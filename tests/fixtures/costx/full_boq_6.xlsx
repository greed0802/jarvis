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ade Breakup" sheetId="1" r:id="rId1"/>
    <sheet name="Trade Breakup Showing Markup" sheetId="2" r:id="rId3"/>
    <sheet name="Trade Summary" sheetId="3" r:id="rId4"/>
  </sheets>
  <calcPr fullCalcOnLoad="1"/>
</workbook>
</file>

<file path=xl/sharedStrings.xml><?xml version="1.0" encoding="utf-8"?>
<sst xmlns="http://schemas.openxmlformats.org/spreadsheetml/2006/main" count="2964" uniqueCount="2964">
  <si>
    <t>Bill Ref.</t>
  </si>
  <si>
    <t>Description</t>
  </si>
  <si>
    <t>Quantity</t>
  </si>
  <si>
    <t>Unit</t>
  </si>
  <si>
    <t>Rate</t>
  </si>
  <si>
    <t>Total</t>
  </si>
  <si>
    <t>GFA</t>
  </si>
  <si>
    <t>DEFINITIONS</t>
  </si>
  <si>
    <t>Gross building areas</t>
  </si>
  <si>
    <t>The sum of the 'Fully Enclosed Covered Area' and other practical functional areas.</t>
  </si>
  <si>
    <t>Note</t>
  </si>
  <si>
    <t>As defined by Australian Institute of Quantity Surveyors</t>
  </si>
  <si>
    <t>Unit of Measurement: Square Metres (m2)</t>
  </si>
  <si>
    <t>Fully enclosed covered area (FECA)</t>
  </si>
  <si>
    <t>The sum of all such areas at all building floor levels, including basements (except unexcavated portions), floored roof spaced and attics, garages, penthouses, enclosed porches and attached enclosed covered ways alongside buildings, equipment rooms, lift shafts, vertical ducts, staircases and any other fully enclosed spaces and usable areas of the building, computed by measuring from the normal inside face of exterior walls but ignoring any projections such as plinths, columns, piers and the like which project form the normal inside face of exterior walls.</t>
  </si>
  <si>
    <t>It shall not include open courts, light wells, connecting or isolated covered ways and net open areas of upper portions of rooms, lobbies, halls, interstitial space and the like which extend through the storey being computed.</t>
  </si>
  <si>
    <t>Other practical functional building areas</t>
  </si>
  <si>
    <t xml:space="preserve">Areas of the project externally to FECA that may have usefulness to the tenderer in bulk checking and cost analysis  </t>
  </si>
  <si>
    <t xml:space="preserve">Unenclosed covered areas (UCA) as defined by the Australian Institute of Quantity Surveyors has not been measured, instead a more practical measurement approach has been adopted such as total areas of balconies, areas under awnings, porte cocheres and the like </t>
  </si>
  <si>
    <t>GROSS FLOOR AREA MEASUREMENT</t>
  </si>
  <si>
    <t>A measurement of the GFA has been included for the use of tenderers. No costing of these quantities is required for the tender submission</t>
  </si>
  <si>
    <t>FULLY ENCLOSED COVERED AREA</t>
  </si>
  <si>
    <t>BUILDING A1</t>
  </si>
  <si>
    <t>Ground floor (A-1300-01 &amp; A-1302-01)</t>
  </si>
  <si>
    <t>m2</t>
  </si>
  <si>
    <t>Level 1 (A-1301-01 &amp; A-1303-01)</t>
  </si>
  <si>
    <t>BUILDING A2</t>
  </si>
  <si>
    <t>Ground floor (A-1304-01)</t>
  </si>
  <si>
    <t>Level 1 (A-1305-01)</t>
  </si>
  <si>
    <t>HALL, CANTEEN &amp; COLA</t>
  </si>
  <si>
    <t>Ground floor (A-1306-01)</t>
  </si>
  <si>
    <t>PRESCHOOL</t>
  </si>
  <si>
    <t>Ground floor (A-1307-01)</t>
  </si>
  <si>
    <t>DEMOLITION, EXTERNAL WORKS &amp; EXTERNAL SERVICES</t>
  </si>
  <si>
    <t>Ground floor (A-4001-01)</t>
  </si>
  <si>
    <t>UNENCLOSED COVERED AREA</t>
  </si>
  <si>
    <t>Detailed Earthworks</t>
  </si>
  <si>
    <t>GENERALLY</t>
  </si>
  <si>
    <t xml:space="preserve"> 2/1A</t>
  </si>
  <si>
    <t>Tenderers are referred to the Specification for the full particulars of workmanship and materials, and the quantities herein provided shall be read in conjunction with the drawings</t>
  </si>
  <si>
    <t xml:space="preserve"> 2/1B</t>
  </si>
  <si>
    <t>This Builders Bill of Quantities has not been measured in accordance with the Australian Standard Method of Measurement of Building Works, 5th Edition</t>
  </si>
  <si>
    <t>REFERENCES</t>
  </si>
  <si>
    <t>Refer to following structural drawing series: S-0010 to S-0161 for "Typical Details", S-10 to S-11 for "General Arrangement Plans", S-15 for Facade Section Plans"</t>
  </si>
  <si>
    <t>PRICES</t>
  </si>
  <si>
    <t>Prices shall include for:</t>
  </si>
  <si>
    <t xml:space="preserve"> 2/1C</t>
  </si>
  <si>
    <t>Getting out, levelling, grading, trimming and forming batters</t>
  </si>
  <si>
    <t xml:space="preserve"> 2/1D</t>
  </si>
  <si>
    <t>Keeping sides plumb and to shape</t>
  </si>
  <si>
    <t xml:space="preserve"> 2/1E</t>
  </si>
  <si>
    <t>Scabbling faces of excavation as required</t>
  </si>
  <si>
    <t xml:space="preserve"> 2/1F</t>
  </si>
  <si>
    <t>Backfilling, ramming solid</t>
  </si>
  <si>
    <t xml:space="preserve"> 2/1G</t>
  </si>
  <si>
    <t>Processing excavated materials suitable for reuse as fill</t>
  </si>
  <si>
    <t xml:space="preserve"> 2/1H</t>
  </si>
  <si>
    <t>Loading and disposal of surplus spoil</t>
  </si>
  <si>
    <t xml:space="preserve"> 2/1J</t>
  </si>
  <si>
    <t>Importing fill where required</t>
  </si>
  <si>
    <t xml:space="preserve"> 2/1K</t>
  </si>
  <si>
    <t>All double handling required</t>
  </si>
  <si>
    <t xml:space="preserve"> 2/1L</t>
  </si>
  <si>
    <t>All costs associated with forming and maintaining stripped material stockpiles</t>
  </si>
  <si>
    <t xml:space="preserve"> 2/1M</t>
  </si>
  <si>
    <t>Tip fees</t>
  </si>
  <si>
    <t xml:space="preserve"> 2/1N</t>
  </si>
  <si>
    <t>The Contractor is deemed to have included for material as found</t>
  </si>
  <si>
    <t>GENERAL ITEMS</t>
  </si>
  <si>
    <t xml:space="preserve"> 2/1P</t>
  </si>
  <si>
    <t>Allow for giving notice of and providing facilities for inspection</t>
  </si>
  <si>
    <t>Item</t>
  </si>
  <si>
    <t xml:space="preserve"> 2/2A</t>
  </si>
  <si>
    <t>Allow for compliance with quality assurance requirements</t>
  </si>
  <si>
    <t xml:space="preserve"> 2/2B</t>
  </si>
  <si>
    <t xml:space="preserve">Allow for providing samples </t>
  </si>
  <si>
    <t xml:space="preserve"> 2/2C</t>
  </si>
  <si>
    <t xml:space="preserve">Allow for testing </t>
  </si>
  <si>
    <t xml:space="preserve"> 2/2D</t>
  </si>
  <si>
    <t xml:space="preserve">Allow for contractors submissions </t>
  </si>
  <si>
    <t xml:space="preserve"> 2/2E</t>
  </si>
  <si>
    <t>Allow for inspection of site</t>
  </si>
  <si>
    <t xml:space="preserve"> 2/2F</t>
  </si>
  <si>
    <t>Allow for complying with relevant Acts, By-laws and regulations relating to excavation, planking and strutting</t>
  </si>
  <si>
    <t xml:space="preserve"> 2/2G</t>
  </si>
  <si>
    <t>Allow for all costs associated with meeting local authority requirements and obtaining approvals</t>
  </si>
  <si>
    <t xml:space="preserve"> 2/2H</t>
  </si>
  <si>
    <t>Allow for locating and marking all existing services including disconnection of redundant services not otherwise allowed for and protection of services to be retained</t>
  </si>
  <si>
    <t xml:space="preserve"> 2/2J</t>
  </si>
  <si>
    <t>Allow for a dilapidation survey if required, monitoring of existing buildings, pavements and structures close to work areas, controlling possible damage and making good damage on completion</t>
  </si>
  <si>
    <t xml:space="preserve"> 2/2K</t>
  </si>
  <si>
    <t>Allow for keeping excavations free from rain and percolating water by pumping, bailing and other means</t>
  </si>
  <si>
    <t xml:space="preserve"> 2/2L</t>
  </si>
  <si>
    <t>Allow for provision and removal of temporary fencing, hoardings warning notices and the like</t>
  </si>
  <si>
    <t xml:space="preserve"> 2/2M</t>
  </si>
  <si>
    <t>Allow for traffic management measures</t>
  </si>
  <si>
    <t xml:space="preserve"> 2/2N</t>
  </si>
  <si>
    <t>Allow for any shoring, planking and strutting deemed necessary to retain sides of excavations but not measured following</t>
  </si>
  <si>
    <t xml:space="preserve"> 2/3A</t>
  </si>
  <si>
    <t xml:space="preserve">Allow for benching prior to bulk fill on surfaces exeeding 1:4 slope </t>
  </si>
  <si>
    <t xml:space="preserve"> 2/3B</t>
  </si>
  <si>
    <t>Allow for any working space excavations deemed necessary but not measured following</t>
  </si>
  <si>
    <t xml:space="preserve"> 2/3C</t>
  </si>
  <si>
    <t>Allow for any safety covers over holes and other OH&amp;S requirements</t>
  </si>
  <si>
    <t xml:space="preserve"> 2/3D</t>
  </si>
  <si>
    <t xml:space="preserve">Allow for geotechnical investigations, monitoring and reports </t>
  </si>
  <si>
    <t>NOTES AND ASSUMPTIONS</t>
  </si>
  <si>
    <t>No working area was considered in the quantity of the detailed excavation</t>
  </si>
  <si>
    <t>DETAILED EXCAVATION</t>
  </si>
  <si>
    <t>Footing</t>
  </si>
  <si>
    <t>Detailed excavation to pile cap footing</t>
  </si>
  <si>
    <t>m3</t>
  </si>
  <si>
    <t>Detailed excavation to raft footing</t>
  </si>
  <si>
    <t>Detailed excavation to strip footing</t>
  </si>
  <si>
    <t>Detailed excavation to ground beam</t>
  </si>
  <si>
    <t>Piling</t>
  </si>
  <si>
    <t xml:space="preserve"> 3/1A</t>
  </si>
  <si>
    <t xml:space="preserve"> 3/1B</t>
  </si>
  <si>
    <t>Refer to following sections of Calderwood Primary School "Architectural Specification" Revision 03 dated 12 September 2025 by Bennett and Trimble for: 0181A - Adhesives, Sealant and Fasteners, 0315 - In-situ Concrete Finishes - (Architectural Requirements)</t>
  </si>
  <si>
    <t>Refer to following structural drawing series: S-0010 to S-0161 for "Typical Details", S-09 for "Piling Plans"</t>
  </si>
  <si>
    <t xml:space="preserve"> 3/1C</t>
  </si>
  <si>
    <t>All necessary excavation required for movement of the piling/boring rig about the site</t>
  </si>
  <si>
    <t xml:space="preserve"> 3/1D</t>
  </si>
  <si>
    <t>Environmental and sustainable requirements detailed in the Tender documents (if any)</t>
  </si>
  <si>
    <t xml:space="preserve"> 3/1E</t>
  </si>
  <si>
    <t>Prices for concrete and reinforcement shall include for all prices clauses items noted in those trade sections that may be applicable to the following works</t>
  </si>
  <si>
    <t xml:space="preserve"> 3/1F</t>
  </si>
  <si>
    <t>Prices for piling measured following are to include for any additional costs associated with staging with bulk earthworks if required</t>
  </si>
  <si>
    <t xml:space="preserve"> 3/1G</t>
  </si>
  <si>
    <t>Allow for monitoring adjoining properties or piers during the works for damage</t>
  </si>
  <si>
    <t xml:space="preserve"> 3/1H</t>
  </si>
  <si>
    <t>Allow for giving notice of and providing facilities for inspections</t>
  </si>
  <si>
    <t xml:space="preserve"> 3/1J</t>
  </si>
  <si>
    <t xml:space="preserve"> 3/1K</t>
  </si>
  <si>
    <t>Allow for all testing in accordance with Engineers requirements</t>
  </si>
  <si>
    <t xml:space="preserve"> 3/2A</t>
  </si>
  <si>
    <t>Allow for providing samples of materials or finishes as required</t>
  </si>
  <si>
    <t xml:space="preserve"> 3/2B</t>
  </si>
  <si>
    <t>Allow for setting out</t>
  </si>
  <si>
    <t xml:space="preserve"> 3/2C</t>
  </si>
  <si>
    <t>Allow for records of data and other contractors submissions</t>
  </si>
  <si>
    <t xml:space="preserve"> 3/2D</t>
  </si>
  <si>
    <t>Allow for boodler to boring rig where required</t>
  </si>
  <si>
    <t xml:space="preserve"> 3/2E</t>
  </si>
  <si>
    <t>Allow for providing safety covers to open excavations or other OH&amp;S requirements</t>
  </si>
  <si>
    <t xml:space="preserve"> 3/2F</t>
  </si>
  <si>
    <t>Allow for all foundation material to be monitored and certified by a suitably qualified Geotechnical Engineer prior to installation of reinforcement and concrete</t>
  </si>
  <si>
    <t xml:space="preserve"> 3/2G</t>
  </si>
  <si>
    <t>Allow for proving holes at base of footings if required by the contractors Geotechnical Engineer</t>
  </si>
  <si>
    <t>Allow for making good/levelling the bulk earthworks following concrete pile works if necessary</t>
  </si>
  <si>
    <t>FOUNDATION PILING</t>
  </si>
  <si>
    <t>Boring</t>
  </si>
  <si>
    <t>P01 - 600mm diameter bored pile; 16500mm high</t>
  </si>
  <si>
    <t>m</t>
  </si>
  <si>
    <t>P05 - 600mm diameter bored pile; 16500mm high</t>
  </si>
  <si>
    <t>P06 - 900mm diameter bored pile; 16500mm high</t>
  </si>
  <si>
    <t>P07 - 900mm diameter bored pile; 17500mm high</t>
  </si>
  <si>
    <t>P08 - 900mm diameter bored pile; 17500mm high</t>
  </si>
  <si>
    <t>P09 - 450mm diameter bored pile; 16500mm high</t>
  </si>
  <si>
    <t>PG01 - 900mm diameter bored pile; 16000mm high (NB: Socket lengths to be confirmed by piling subcontractor)</t>
  </si>
  <si>
    <t>Extra Over for Socketing</t>
  </si>
  <si>
    <t>P01 - 600mm diameter bored pile; 500mm high</t>
  </si>
  <si>
    <t>no</t>
  </si>
  <si>
    <t>P05 - 600mm diameter bored pile; 500mm high</t>
  </si>
  <si>
    <t>P06 - 900mm diameter bored pile; 500mm high</t>
  </si>
  <si>
    <t>P07 - 900mm diameter bored pile; 1500mm high</t>
  </si>
  <si>
    <t>P08 - 900mm diameter bored pile; 1500mm high</t>
  </si>
  <si>
    <t>P09 - 450mm diameter bored pile; 500mm high</t>
  </si>
  <si>
    <t>PG01 - 900mm diameter bored pile (NB: Socket lengths to be confirmed by piling subcontractor)</t>
  </si>
  <si>
    <t>Insitu Concrete</t>
  </si>
  <si>
    <t>Pile (40MPa, 80mm slump, 20mm max. aggregate size)</t>
  </si>
  <si>
    <t>P01 - 600mm diameter bored pile [Number of: 4]</t>
  </si>
  <si>
    <t>P05 - 600mm diameter bored pile [Number of: 14]</t>
  </si>
  <si>
    <t>P06 - 900mm diameter bored pile [Number of: 18]</t>
  </si>
  <si>
    <t>P07 - 900mm diameter bored pile [Number of: 12]</t>
  </si>
  <si>
    <t>P08 - 900mm diameter bored pile [Number of: 6]</t>
  </si>
  <si>
    <t>P09 - 450mm diameter bored pile [Number of: 20]</t>
  </si>
  <si>
    <t>PG01 - 900mm diameter bored pile (NB: Socket lengths to be confirmed by piling subcontractor) [Number of: 4]</t>
  </si>
  <si>
    <t>Reinforcement</t>
  </si>
  <si>
    <t>Bar Reinforcement (By Ratio)</t>
  </si>
  <si>
    <t>Piles</t>
  </si>
  <si>
    <t>Reinforcement to P01 - 600mm diameter bored pile; REO Rate: 100kg/m3</t>
  </si>
  <si>
    <t>t</t>
  </si>
  <si>
    <t>Reinforcement to P05 - 600mm diameter bored pile; REO Rate: 100kg/m3</t>
  </si>
  <si>
    <t>Reinforcement to P06 - 900mm diameter bored pile; REO Rate: 100kg/m3</t>
  </si>
  <si>
    <t>Reinforcement to P07 - 900mm diameter bored pile; REO Rate: 280kg/m3</t>
  </si>
  <si>
    <t>Reinforcement to P08 - 900mm diameter bored pile; REO Rate: 280kg/m3</t>
  </si>
  <si>
    <t>Reinforcement to P09 - 450mm diameter bored pile; REO Rate: 100kg/m3</t>
  </si>
  <si>
    <t>Reinforcement to PG01 - 900mm diameter bored pile; REO Rate: 280kg/m3</t>
  </si>
  <si>
    <t>Spoil Removal</t>
  </si>
  <si>
    <t>Spoil removal to P01 - 600mm diameter bored pile</t>
  </si>
  <si>
    <t>Spoil removal to P05 - 600mm diameter bored pile</t>
  </si>
  <si>
    <t>Spoil removal to P06 - 900mm diameter bored pile</t>
  </si>
  <si>
    <t>Spoil removal to P07 - 900mm diameter bored pile</t>
  </si>
  <si>
    <t>Spoil removal to P08 - 900mm diameter bored pile</t>
  </si>
  <si>
    <t>Spoil removal to P09 - 450mm diameter bored pile</t>
  </si>
  <si>
    <t>Spoil removal to PG01 - 900mm diameter bored pile (NB: Socket lengths to be confirmed by piling subcontractor)</t>
  </si>
  <si>
    <t>Sundries</t>
  </si>
  <si>
    <t>Preparation of concrete pile head for incorporation into the structure including trimming/roughening surface at cut-off level, inspecting for and rectifying defective material, cleaning and straightening/bending projecting reinforcement, etc. to:</t>
  </si>
  <si>
    <t>P01 - 600mm diameter bored pile</t>
  </si>
  <si>
    <t>P05 - 600mm diameter bored pile</t>
  </si>
  <si>
    <t>P06 - 900mm diameter bored pile</t>
  </si>
  <si>
    <t>P07 - 900mm diameter bored pile</t>
  </si>
  <si>
    <t>P08 - 900mm diameter bored pile</t>
  </si>
  <si>
    <t>P09 - 450mm diameter bored pile</t>
  </si>
  <si>
    <t>PG01 - 900mm diameter bored pile</t>
  </si>
  <si>
    <t>Clean out base of concrete pile, including removing all water and loose material for:</t>
  </si>
  <si>
    <t>Concrete</t>
  </si>
  <si>
    <t xml:space="preserve"> 5/1A</t>
  </si>
  <si>
    <t xml:space="preserve"> 5/1B</t>
  </si>
  <si>
    <t>Refer to following architectural drawing series: 12 for "Concrete Outlines", 32 for "Details - Sections"</t>
  </si>
  <si>
    <t xml:space="preserve"> 5/1C</t>
  </si>
  <si>
    <t>Mixing, handling, hoisting, placing in position and compacting</t>
  </si>
  <si>
    <t xml:space="preserve"> 5/1D</t>
  </si>
  <si>
    <t>Pour joints / construction joints not detailed by engineer OR shown on drawings but not requiring formwork or jointing materials (eg between slab/footing and base of column/wall), including any associated scabbling</t>
  </si>
  <si>
    <t xml:space="preserve"> 5/1E</t>
  </si>
  <si>
    <t>Forming falls and/or crossfalls for drainage other than indicated below as detailed</t>
  </si>
  <si>
    <t xml:space="preserve"> 5/1F</t>
  </si>
  <si>
    <t>Making good after removal of formwork all holes for pipes, conduits and the like and casting in ends of angle brackets, lugs, frames and the like</t>
  </si>
  <si>
    <t xml:space="preserve"> 5/1G</t>
  </si>
  <si>
    <t xml:space="preserve">Additional concrete required to conform to structural and excavated tolerances     </t>
  </si>
  <si>
    <t xml:space="preserve"> 5/1H</t>
  </si>
  <si>
    <t xml:space="preserve"> 5/2A</t>
  </si>
  <si>
    <t>Allow for approval of foundation material bearing capacity by the consulting Geotechnical Engineer prior to placement of concrete</t>
  </si>
  <si>
    <t xml:space="preserve"> 5/2B</t>
  </si>
  <si>
    <t xml:space="preserve"> 5/2C</t>
  </si>
  <si>
    <t xml:space="preserve"> 5/2D</t>
  </si>
  <si>
    <t xml:space="preserve"> 5/2E</t>
  </si>
  <si>
    <t>Allow for providing samples and sample panels of materials or finishes</t>
  </si>
  <si>
    <t xml:space="preserve"> 5/2F</t>
  </si>
  <si>
    <t xml:space="preserve">Allow for contractor's submissions </t>
  </si>
  <si>
    <t xml:space="preserve"> 5/2G</t>
  </si>
  <si>
    <t>Allow for protecting finished surfaces from damage and cleaning on completion</t>
  </si>
  <si>
    <t xml:space="preserve"> 5/2H</t>
  </si>
  <si>
    <t>Allow for coordination with and attendance upon other trades for embedded items and other works associated with Concrete</t>
  </si>
  <si>
    <t>5/4J</t>
  </si>
  <si>
    <t>Allow for concrete pumping and pump visits</t>
  </si>
  <si>
    <t>5/4K</t>
  </si>
  <si>
    <t>Allow for concrete testing</t>
  </si>
  <si>
    <t xml:space="preserve"> 5/2J</t>
  </si>
  <si>
    <t>Allow for guarantees</t>
  </si>
  <si>
    <t>All Slabs measured in full thickness</t>
  </si>
  <si>
    <t>CONCRETE SUPPLY SUMMARY</t>
  </si>
  <si>
    <t>40MPa, 100mm slump, 20mm max. aggregate size</t>
  </si>
  <si>
    <t>50MPa, 80mm slump, 20mm max. aggregate size</t>
  </si>
  <si>
    <t>INSITU CONCRETE</t>
  </si>
  <si>
    <t>Pile Cap Footing (40MPa, 80mm slump, 20mm max. aggregate size)</t>
  </si>
  <si>
    <t>Ground Floor (S-1000-CD-2 &amp; S-1001-CD-2)</t>
  </si>
  <si>
    <t>PC01 - 900 x 900 x 600mm deep pile cap footing [Number of: 18]</t>
  </si>
  <si>
    <t>PC02 - 1200 x 1200 x 600mm deep pile cap footing [Number of: 17]</t>
  </si>
  <si>
    <t>PC03 - 1500 x 1500 x 600mm deep pile cap footing [Number of: 1]</t>
  </si>
  <si>
    <t>Raft Footing (40Mpa, 80mm slump, 20mm max. aggregate size)</t>
  </si>
  <si>
    <t>Ground Floor (S-1000-CD-2)</t>
  </si>
  <si>
    <t>800mm thick raft footing [Area: 16]</t>
  </si>
  <si>
    <t>Strip Footing (40MPa, 80mm slump, 20mm max. aggregate size)</t>
  </si>
  <si>
    <t>SF1 - 900 x 600mm deep strip footing [Length: 20]</t>
  </si>
  <si>
    <t>Ground Beam (40Mpa, 80mm slump, 20mm max. aggregate size)</t>
  </si>
  <si>
    <t>450 x 700mm deep edge beam [Length: 15]</t>
  </si>
  <si>
    <t>600 x 380mm deep edge beam [Length: 5]</t>
  </si>
  <si>
    <t>600 x 450mm deep edge beam [Length: 233]</t>
  </si>
  <si>
    <t>1200 x 800mm deep ground beams [Length: 30]</t>
  </si>
  <si>
    <t>Slab on Ground (40Mpa, 80mm slump, 20mm max. aggregate size)</t>
  </si>
  <si>
    <t>180mm thick slab on ground [Area: 16]</t>
  </si>
  <si>
    <t>200mm thick slab on ground [Area: 26]</t>
  </si>
  <si>
    <t>250mm thick slab on ground [Area: 1136]</t>
  </si>
  <si>
    <t>300mm thick slab on ground [Area: 126]</t>
  </si>
  <si>
    <t>600mm wide slab fold [Length: 3]</t>
  </si>
  <si>
    <t>1000mm wide slab fold [Length: 85]</t>
  </si>
  <si>
    <t>40mm thick integral fall to 250mm thick slab on ground [Area: 108]</t>
  </si>
  <si>
    <t>40mm thick integral fall to 300mm thick slab on ground [Area: 14]</t>
  </si>
  <si>
    <t>Extra over labour for setdown</t>
  </si>
  <si>
    <t>Suspended Slab (40MPa, 80mm slump, 20mm max. aggregate size)</t>
  </si>
  <si>
    <t>Level 1 (S-1100-CD-2 &amp; S-1101-CD-2)</t>
  </si>
  <si>
    <t>210mm thick post tensioned suspended slab [Area: 171]</t>
  </si>
  <si>
    <t>230mm thick post tensioned suspended slab [Area: 1253]</t>
  </si>
  <si>
    <t>250mm thick post tensioned suspended slab [Area: 76]</t>
  </si>
  <si>
    <t>250mm thick suspended slab [Area: 5]</t>
  </si>
  <si>
    <t>260mm thick post tensioned suspended slab [Area: 22]</t>
  </si>
  <si>
    <t>320mm thick post tensioned suspended slab [Area: 14]</t>
  </si>
  <si>
    <t>350mm thick post tensioned suspended slab [Area: 2]</t>
  </si>
  <si>
    <t>300mm wide slab fold [Length: 5]</t>
  </si>
  <si>
    <t>1000mm wide slab fold [Length: 147]</t>
  </si>
  <si>
    <t>40mm thick integral fall to 210mm thick post tensioned suspended slab [Area: 171]</t>
  </si>
  <si>
    <t>40mm thick integral fall to 250mm thick post tensioned suspended slab [Area: 76]</t>
  </si>
  <si>
    <t>40mm thick integral fall to 260mm thick post tensioned suspended slab [Area: 22]</t>
  </si>
  <si>
    <t>Extra over labour for setdown [Length: 62]</t>
  </si>
  <si>
    <t>Extra over labour for setdown at perimeter</t>
  </si>
  <si>
    <t>Roof (S-1200-CD-2)</t>
  </si>
  <si>
    <t>250mm thick suspended slab [Area: 17]</t>
  </si>
  <si>
    <t>40mm thick integral fall to 250mm thick suspended slab [Area: 17]</t>
  </si>
  <si>
    <t>Attached Beam (40Mpa, 80mm slump, 20mm max. aggregate size)</t>
  </si>
  <si>
    <t>800 x 500mm deep attached beam [Length: 18]</t>
  </si>
  <si>
    <t>Column (50Mpa, 80mm slump, 20mm max. aggregate size)</t>
  </si>
  <si>
    <t>Ground Floor (S-1000-CD-2 to S-1001-C)</t>
  </si>
  <si>
    <t>350 x 350mm wide concrete column [Number of: 1]</t>
  </si>
  <si>
    <t>450 x 450mm wide concrete column [Number of: 23]</t>
  </si>
  <si>
    <t>400 x 800mm wide concrete column [Number of: 5]</t>
  </si>
  <si>
    <t>200 x 800mm wide concrete column [Number of: 2]</t>
  </si>
  <si>
    <t>Level 1 (S-1100-CD-2 to S-1101-CD-2)</t>
  </si>
  <si>
    <t>200 x 800mm wide concrete column [Number of: 1]</t>
  </si>
  <si>
    <t>500 x 800mm wide concrete column [Number of: 2]</t>
  </si>
  <si>
    <t>400 x 800mm wide concrete column [Number of: 2]</t>
  </si>
  <si>
    <t>450 x 450mm wide concrete column [Number of: 26]</t>
  </si>
  <si>
    <t>Concrete Wall (50MPa, 80mm slump, 20mm max. aggregate size)</t>
  </si>
  <si>
    <t>External Concrete Wall</t>
  </si>
  <si>
    <t>200mm thick reinforced concrete stair core wall [Length: 19]</t>
  </si>
  <si>
    <t>200mm thick reinforced concrete wall [Length: 8]</t>
  </si>
  <si>
    <t>Internal Concrete Wall</t>
  </si>
  <si>
    <t>Foundation (S-1001-CD-2)</t>
  </si>
  <si>
    <t>200mm thick lift pit wall [Length: 11]</t>
  </si>
  <si>
    <t>200mm thick reinforced concrete wall [Length: 23]</t>
  </si>
  <si>
    <t>Level 1 (S-1100-CD-2)</t>
  </si>
  <si>
    <t>Hob (40Mpa, 80mm slump, 20mm max. aggregate size)</t>
  </si>
  <si>
    <t>Ground Floor (A-1200-02 &amp; A-1202-02)</t>
  </si>
  <si>
    <t>100 x 150mm deep concrete hob [Length: 6]</t>
  </si>
  <si>
    <t>150 x 150mm deep concrete hob [Length: 172]</t>
  </si>
  <si>
    <t>Level 1 (A-1203-02)</t>
  </si>
  <si>
    <t>150 x 185mm deep concrete hob [Length: 16]</t>
  </si>
  <si>
    <t>175 x 185mm deep concrete hob [Length: 18]</t>
  </si>
  <si>
    <t>330 x 185mm deep concrete hob [Length: 2]</t>
  </si>
  <si>
    <t>420 x 185mm deep concrete hob [Length: 3]</t>
  </si>
  <si>
    <t>490 x 185mm deep concrete hob [Length: 1]</t>
  </si>
  <si>
    <t>Concrete Stair (40MPa, 100mm slump, 20mm max. aggregate size)</t>
  </si>
  <si>
    <t>Stair 01 - 2300mm wide concrete stair with 285mm treads, 156mm riser height, 200mm throat thickness with 2 flight and 2 landings</t>
  </si>
  <si>
    <t>Stair 02 - 2300mm wide concrete stair with 285mm treads, 156mm riser height, 200mm throat thickness with 2 flight and 1 landing</t>
  </si>
  <si>
    <t>SUNDRIES</t>
  </si>
  <si>
    <t>Concrete curing of slab in accordance with engineers requirements</t>
  </si>
  <si>
    <t>Slab on ground</t>
  </si>
  <si>
    <t>Suspended slab</t>
  </si>
  <si>
    <t>Stair treads and Landing</t>
  </si>
  <si>
    <t>Integral surface finishes as required</t>
  </si>
  <si>
    <t>Machine Float Finish (NB: Assumed to general slab)</t>
  </si>
  <si>
    <t>Broom Finish (NB: Assumed to external slab)</t>
  </si>
  <si>
    <t>Wood Float Finish (NB: Assumed to tiled areas)</t>
  </si>
  <si>
    <t>Steel Trowel Finish (NB: Assumed to stair treads and landings)</t>
  </si>
  <si>
    <t>Stair Treads</t>
  </si>
  <si>
    <t>Stair Landings</t>
  </si>
  <si>
    <t>Miscellaneous Items</t>
  </si>
  <si>
    <t>100mm diameter AG line (NB: No details provided, refer to drawing DR-S0012)</t>
  </si>
  <si>
    <t>Waterstop (NB: No details provided, refer to drawing DR-S0012)</t>
  </si>
  <si>
    <t>50mm thick non-shrink grout (NB: Refer to drawing S-1261-CD-2)</t>
  </si>
  <si>
    <t>300mm thick clean compacted free draining granular backfill to 98% standard compaction (NB: Assumed 300mm thickness, refer to drawing DR-S0012)</t>
  </si>
  <si>
    <t>180x40mm deep concrete infill threshold ramp rebate (NB: Refer details to A-3204-02)</t>
  </si>
  <si>
    <t>300x300x300mm deep sump including reinforcement as required (NB: Refer to S-0012-CD-1 for details)</t>
  </si>
  <si>
    <t>JOINTS AND ASSOCIATED ITEMS</t>
  </si>
  <si>
    <t>Bridging Slab - 10mm ableflex filler, 10mm sealant, 20mm galvanised danley square dowel, 400mm long at 400mm spacing with flanged dowels boxes to alow for two-way horizontal slab movement, N12-400 with 2N12 cross rods (NB: Refer to S-0011-CD-1 for details)</t>
  </si>
  <si>
    <t>Building movement joint including drip tray, BMJ (NB: No details provided)</t>
  </si>
  <si>
    <t>BLINDING LAYER AND CONCRETE UNDERLAY</t>
  </si>
  <si>
    <t>50mm thick sand blinding under slab on ground</t>
  </si>
  <si>
    <t>Danley stego wrap vapour barrier or approved equivalent under slab on ground and sides of footing</t>
  </si>
  <si>
    <t>Formwork</t>
  </si>
  <si>
    <t xml:space="preserve"> 6/1A</t>
  </si>
  <si>
    <t xml:space="preserve"> 6/1B</t>
  </si>
  <si>
    <t xml:space="preserve"> 6/1C</t>
  </si>
  <si>
    <t>All necessary boarding, supports, erecting, framing, temporary cambering, wedging, bolts, ties, etc</t>
  </si>
  <si>
    <t xml:space="preserve"> 6/1D</t>
  </si>
  <si>
    <t>All cutting and angles</t>
  </si>
  <si>
    <t xml:space="preserve"> 6/1E</t>
  </si>
  <si>
    <t>Perforations for reinforcing bars and pipes</t>
  </si>
  <si>
    <t xml:space="preserve"> 6/1F</t>
  </si>
  <si>
    <t>Cleaning, wetting and treatment with separating agent before placing concrete</t>
  </si>
  <si>
    <t xml:space="preserve"> 6/1G</t>
  </si>
  <si>
    <t>Provision of inspection openings</t>
  </si>
  <si>
    <t xml:space="preserve"> 6/1H</t>
  </si>
  <si>
    <t>Removal of formwork</t>
  </si>
  <si>
    <t xml:space="preserve"> 6/1J</t>
  </si>
  <si>
    <t>Forming chamferred edges / corners, splayed internal angles, bevels, pencil-round edges, drip grooves and the like in beams, columns, walls, openings, slab edges, kerbs and the like</t>
  </si>
  <si>
    <t xml:space="preserve"> 6/1K</t>
  </si>
  <si>
    <t>Filling tie bolt holes</t>
  </si>
  <si>
    <t xml:space="preserve"> 6/1L</t>
  </si>
  <si>
    <t>Strutting left after removal of formwork</t>
  </si>
  <si>
    <t xml:space="preserve"> 6/1M</t>
  </si>
  <si>
    <t xml:space="preserve"> 6/2A</t>
  </si>
  <si>
    <t xml:space="preserve"> 6/2B</t>
  </si>
  <si>
    <t xml:space="preserve"> 6/2C</t>
  </si>
  <si>
    <t xml:space="preserve"> 6/2D</t>
  </si>
  <si>
    <t>Allow for catch scaffolds where propping height exceeds 5m if required (or other OH&amp;S requirements as necessary)</t>
  </si>
  <si>
    <t xml:space="preserve"> 6/2E</t>
  </si>
  <si>
    <t>Allow for working platforms around suspended slabs if required (not included in measured areas)</t>
  </si>
  <si>
    <t>Formwork less than or equal to 250mm high measured as length whereas formwork greater than 250mm high measured as area</t>
  </si>
  <si>
    <t>Formwork to footing measured, however contractor to determine whether required against ground works conditions</t>
  </si>
  <si>
    <t>FORMWORK - CLASS 2</t>
  </si>
  <si>
    <t>Suspended Slab</t>
  </si>
  <si>
    <t>Formwork to soffit with strutting height up to 3.5m high</t>
  </si>
  <si>
    <t>Edgeboard less than or equal to 250mm high to suspended slab</t>
  </si>
  <si>
    <t>Edgeboard greater than 250mm high to suspended slab</t>
  </si>
  <si>
    <t>Slab step in top of slab less than or equal to 250mm high to suspended slab</t>
  </si>
  <si>
    <t>Slab step in soffit of slab less than or equal to 250mm high to suspended slab</t>
  </si>
  <si>
    <t>Formwork to soffit with strutting height 7.5m - 8.5m high</t>
  </si>
  <si>
    <t>Attached Beam</t>
  </si>
  <si>
    <t>Formwork less than or equal to 250mm high to attached beam</t>
  </si>
  <si>
    <t>Formwork greater than 250mm high to 250mm high to attached beam</t>
  </si>
  <si>
    <t>Column</t>
  </si>
  <si>
    <t>Formwork to 450 x 450mm wide concrete column</t>
  </si>
  <si>
    <t>Formwork to 200 x 800mm wide concrete column</t>
  </si>
  <si>
    <t>Concrete Wall</t>
  </si>
  <si>
    <t>Formwork to concrete wall</t>
  </si>
  <si>
    <t>Hob</t>
  </si>
  <si>
    <t>Formwork to concrete hob, less than or equal to 250mm high</t>
  </si>
  <si>
    <t>FORMWORK - CLASS 3</t>
  </si>
  <si>
    <t>Pile Cap Footing</t>
  </si>
  <si>
    <t>Formwork to PC01 - 900 x 900 x 600mm deep pile cap footing</t>
  </si>
  <si>
    <t>Formwork to PC02 - 1200 x 1200 x 600mm deep pile cap footing</t>
  </si>
  <si>
    <t>Formwork to PC03 - 1500 x 1500 x 600mm deep pile cap footing</t>
  </si>
  <si>
    <t>Raft Footing</t>
  </si>
  <si>
    <t>Edgeboard greater than 250mm high to raft footing</t>
  </si>
  <si>
    <t>Strip Footing</t>
  </si>
  <si>
    <t>Formwork to SF1 - 900 x 600mm deep strip footing</t>
  </si>
  <si>
    <t>Ground Beam</t>
  </si>
  <si>
    <t>Formwork to less than or equal to 250mm high to ground beam</t>
  </si>
  <si>
    <t>Formwork to greater than 250mm high to ground beam</t>
  </si>
  <si>
    <t>Slab on Ground</t>
  </si>
  <si>
    <t>Edgeboard greater than 250mm high to slab on ground</t>
  </si>
  <si>
    <t>Edgeboard less than or equal to 250mm high to slab on ground</t>
  </si>
  <si>
    <t>Slab step in top of slab less than or equal to 250mm high to slab on ground</t>
  </si>
  <si>
    <t>Slab step in soffit of slab less than or equal to 250mm high to slab on ground</t>
  </si>
  <si>
    <t>100mm thick void former to slab on ground</t>
  </si>
  <si>
    <t>Formwork to 350 x 350mm wide concrete column</t>
  </si>
  <si>
    <t>Formwork to 400 x 800mm wide concrete column</t>
  </si>
  <si>
    <t>Formwork to 500 x 800mm wide concrete column</t>
  </si>
  <si>
    <t>Formwork to concrete stair core wall</t>
  </si>
  <si>
    <t>Formwork to 200mm thick lift pit wall</t>
  </si>
  <si>
    <t xml:space="preserve">Formwork to  lift pit wall</t>
  </si>
  <si>
    <t>Formwork to lift pit wall</t>
  </si>
  <si>
    <t>Concrete Stair</t>
  </si>
  <si>
    <t>Soffit to stair</t>
  </si>
  <si>
    <t>Stringer formwork less than or equal to 250mm high</t>
  </si>
  <si>
    <t>Riser formwork less than or equal to 250mm high</t>
  </si>
  <si>
    <t>Soffit to stair landing</t>
  </si>
  <si>
    <t>Edgeboard to stair landing less than or equal to 250mm high</t>
  </si>
  <si>
    <t>Extra over to formed curved surfaces to stair landing</t>
  </si>
  <si>
    <t xml:space="preserve"> 7/1A</t>
  </si>
  <si>
    <t xml:space="preserve"> 7/1B</t>
  </si>
  <si>
    <t xml:space="preserve"> 7/1C</t>
  </si>
  <si>
    <t>Supply and delivery to site</t>
  </si>
  <si>
    <t xml:space="preserve"> 7/1D</t>
  </si>
  <si>
    <t>Cleaning, cutting, bending, fabrication and tagging</t>
  </si>
  <si>
    <t xml:space="preserve"> 7/1E</t>
  </si>
  <si>
    <t>Placing and provision of all necessary temporary fixings and supports including tie wire, chair supports, etc</t>
  </si>
  <si>
    <t xml:space="preserve"> 7/1F</t>
  </si>
  <si>
    <t>Rolling margins and waste</t>
  </si>
  <si>
    <t xml:space="preserve"> 7/1G</t>
  </si>
  <si>
    <t xml:space="preserve"> 7/1H</t>
  </si>
  <si>
    <t xml:space="preserve"> 7/1J</t>
  </si>
  <si>
    <t xml:space="preserve"> 7/1K</t>
  </si>
  <si>
    <t>Allow for producing bending schedules</t>
  </si>
  <si>
    <t xml:space="preserve"> 7/1L</t>
  </si>
  <si>
    <t>Allow for contractor's submissions</t>
  </si>
  <si>
    <t xml:space="preserve"> 7/1M</t>
  </si>
  <si>
    <t>Allow for safety capping to starter bars</t>
  </si>
  <si>
    <t xml:space="preserve"> 7/2A</t>
  </si>
  <si>
    <t xml:space="preserve">Allow for all costs associated with cathodic protection, earthing and lightning conduction </t>
  </si>
  <si>
    <t>Splicing, trimmer bars and wastage not considered</t>
  </si>
  <si>
    <t>REINFORCEMENT SUPPLY SUMMARY</t>
  </si>
  <si>
    <t>Total bar reinforcement (Measured Net)</t>
  </si>
  <si>
    <t>Total bar reinforcement (By Ratio Net)</t>
  </si>
  <si>
    <t>Total SL102 mesh reinforcement to slab on ground</t>
  </si>
  <si>
    <t>BAR REINFORCEMENT (MEASURED)</t>
  </si>
  <si>
    <t>Bar reinforcement to concrete hob</t>
  </si>
  <si>
    <t>BAR REINFORCEMENT (BY RATIO)</t>
  </si>
  <si>
    <t>Reinforcement to pile cap footing; REO Rate: 150kg/m3</t>
  </si>
  <si>
    <t>Reinforcement to raft footing; REO Rate: 250kg/m3</t>
  </si>
  <si>
    <t>Reinforcement to strip footing; REO Rate: 150kg/m3</t>
  </si>
  <si>
    <t>Reinforcement to ground beam; REO Rate: 200kg/m3</t>
  </si>
  <si>
    <t>Reinforcement to slab on ground; REO Rate: 60kg/m3</t>
  </si>
  <si>
    <t>Reinforcement to slab fold; REO Rate: 60kg/m3</t>
  </si>
  <si>
    <t>Reinforcement to post tensioned suspended slab; REO Rate: 50kg/m3</t>
  </si>
  <si>
    <t>Reinforcement to slab fold; REO Rate: 50kg/m3</t>
  </si>
  <si>
    <t>Reinforcement to suspended slab; REO Rate: 170kg/m3</t>
  </si>
  <si>
    <t>Reinforcement to post tensioned attached beam; REO Rate: 50kg/m3</t>
  </si>
  <si>
    <t>Reinforcement to attached beam; REO Rate: 200kg/m3</t>
  </si>
  <si>
    <t>Reinforcement to 350 x 350mm wide concrete column; REO Rate: 250kg/m3</t>
  </si>
  <si>
    <t>Reinforcement to 450 x 450mm wide concrete column; REO Rate: 250kg/m3</t>
  </si>
  <si>
    <t>Reinforcement to 400 x 800mm wide concrete column; REO Rate: 250kg/m3</t>
  </si>
  <si>
    <t>Reinforcement to 200 x 800mm wide concrete column; REO Rate: 250kg/m3</t>
  </si>
  <si>
    <t>Reinforcement to 500 x 800mm wide concrete column; REO Rate: 250kg/m3</t>
  </si>
  <si>
    <t>Reinforcement to concrete stair core wall; REO Rate: 265kg/m3</t>
  </si>
  <si>
    <t>Reinforcement to concrete wall; REO Rate: 266kg/m3</t>
  </si>
  <si>
    <t>Foundation (S-1000-CD-2)</t>
  </si>
  <si>
    <t>Reinforcement to lift pit wall; REO Rate: 265kg/m3</t>
  </si>
  <si>
    <t>Reinforcement to Stair 1; REO Rate: 150kg/m3</t>
  </si>
  <si>
    <t>Reinforcement to Stair 2; REO Rate: 150kg/m3</t>
  </si>
  <si>
    <t>MESH REINFORCEMENT</t>
  </si>
  <si>
    <t>SL92 mesh reinforcement to slab on ground</t>
  </si>
  <si>
    <t>Post Tensioning</t>
  </si>
  <si>
    <t xml:space="preserve"> 8/1A</t>
  </si>
  <si>
    <t xml:space="preserve"> 8/1B</t>
  </si>
  <si>
    <t xml:space="preserve"> 8/1C</t>
  </si>
  <si>
    <t>Formation of and grouting of all air holes</t>
  </si>
  <si>
    <t xml:space="preserve"> 8/1D</t>
  </si>
  <si>
    <t xml:space="preserve"> 8/1E</t>
  </si>
  <si>
    <t xml:space="preserve"> 8/1F</t>
  </si>
  <si>
    <t>Allow for samples and tests</t>
  </si>
  <si>
    <t xml:space="preserve"> 8/1G</t>
  </si>
  <si>
    <t xml:space="preserve"> 8/1H</t>
  </si>
  <si>
    <t>Allow for contractors submissions including shop drawings, work method statement, certificates, etc</t>
  </si>
  <si>
    <t xml:space="preserve"> 8/1J</t>
  </si>
  <si>
    <t>Allow for supply of power for prestressing works</t>
  </si>
  <si>
    <t xml:space="preserve"> 8/1K</t>
  </si>
  <si>
    <t>Allow for supply of water for prestressing works</t>
  </si>
  <si>
    <t xml:space="preserve"> 8/1L</t>
  </si>
  <si>
    <t>Allow for hoisting of prestressing materials and equipment</t>
  </si>
  <si>
    <t xml:space="preserve"> 8/1M</t>
  </si>
  <si>
    <t>Allow for scaffolding</t>
  </si>
  <si>
    <t xml:space="preserve"> 8/2A</t>
  </si>
  <si>
    <t>Allow for the supply of expendable items such as cones, wedges, anchor plates, spacers and similar items</t>
  </si>
  <si>
    <t xml:space="preserve"> 8/2B</t>
  </si>
  <si>
    <t>Allow for cutting off staple ends as required</t>
  </si>
  <si>
    <t xml:space="preserve"> 8/2C</t>
  </si>
  <si>
    <t>Allow for compressed air as required</t>
  </si>
  <si>
    <t xml:space="preserve"> 8/2D</t>
  </si>
  <si>
    <t>Allow for filling and parging of pockets / recesses at anchorages</t>
  </si>
  <si>
    <t xml:space="preserve"> 8/2E</t>
  </si>
  <si>
    <t>Allow for all design and detailing by post-tensioning subcontractor</t>
  </si>
  <si>
    <t>POST TENSION REINFORCEMENT SUPPLY SUMMARY</t>
  </si>
  <si>
    <t>Total post tension reinforcement (By Ratio Net)</t>
  </si>
  <si>
    <t>POST TENSIONING (BY RATIO)</t>
  </si>
  <si>
    <t>Post tensioning to suspended slab; PT Rate: 27kg/m3</t>
  </si>
  <si>
    <t>Post tensioning to attached beam; PT Rate: 18kg/m3</t>
  </si>
  <si>
    <t>Masonry</t>
  </si>
  <si>
    <t>Structural Steel</t>
  </si>
  <si>
    <t>12/1A</t>
  </si>
  <si>
    <t>12/1B</t>
  </si>
  <si>
    <t>REFERENCE</t>
  </si>
  <si>
    <t>Refer to following sections of Calderwood Primary School "Architectural Specification" Revision 03 dated 12 September 2025 by Bennett and Trimble for: 0181A - Adhesives, Sealant and Fasteners, 0344 - Galvanised Coatings, 0345 - Steel - Protective Paint Coatings</t>
  </si>
  <si>
    <t>Refer to following architectural drawing series: A-11 for "General Arrangement Plans", A-12 for "Concrete Outlines Plan"</t>
  </si>
  <si>
    <t>Refer to following structural drawing series: S-0020 for "Typical Steelwork Details", S-1000 for "Profile Plans, sections and details"</t>
  </si>
  <si>
    <t>12/1C</t>
  </si>
  <si>
    <t>All shop fabrication work including cutting, notching, milling, machining, drilling, slotted holes, bolting, riveting, welding, grinding and incidental labours</t>
  </si>
  <si>
    <t>12/1D</t>
  </si>
  <si>
    <t>Marking, delivery, unloading, hoisting, erecting and fixing</t>
  </si>
  <si>
    <t>12/1E</t>
  </si>
  <si>
    <t>Cutting to dead lengths, notching and machining ends and bearings</t>
  </si>
  <si>
    <t>12/1F</t>
  </si>
  <si>
    <t>Site cutting and welding</t>
  </si>
  <si>
    <t>12/1G</t>
  </si>
  <si>
    <t>Touching up surface treatment where required</t>
  </si>
  <si>
    <t>12/1H</t>
  </si>
  <si>
    <t>Bolts including nuts and washers</t>
  </si>
  <si>
    <t>12/1J</t>
  </si>
  <si>
    <t>12/1K</t>
  </si>
  <si>
    <t>12/1L</t>
  </si>
  <si>
    <t>12/1M</t>
  </si>
  <si>
    <t>Allow for preparation of shop drawings</t>
  </si>
  <si>
    <t>12/2A</t>
  </si>
  <si>
    <t>Allow for testing in accordance with the Engineer's requirements</t>
  </si>
  <si>
    <t>12/2B</t>
  </si>
  <si>
    <t xml:space="preserve">Allow for providing samples of materials or finishes </t>
  </si>
  <si>
    <t>12/2C</t>
  </si>
  <si>
    <t>Allow for obtaining manufacturers certificates of inspections</t>
  </si>
  <si>
    <t>12/2D</t>
  </si>
  <si>
    <t xml:space="preserve">Allow for special trial shop assembly where required </t>
  </si>
  <si>
    <t>12/2E</t>
  </si>
  <si>
    <t xml:space="preserve">Allow for necessary temporary bracing, propping and the like required for erection and removing on completion </t>
  </si>
  <si>
    <t>12/2F</t>
  </si>
  <si>
    <t>Allow for inspection / testing of welds including the use of any special equipment</t>
  </si>
  <si>
    <t>12/2G</t>
  </si>
  <si>
    <t>12/2H</t>
  </si>
  <si>
    <t xml:space="preserve">Allow for identification marks to steel </t>
  </si>
  <si>
    <t>Architectural concrete setout will govern for structural steel columns</t>
  </si>
  <si>
    <t>STRUCTURAL MEMBERS</t>
  </si>
  <si>
    <t>Stair 2 Roof (S-1201-CD-2)</t>
  </si>
  <si>
    <t>UC06 - 200UC52.20, 52.2kg/m, 1212mm surface perimeter</t>
  </si>
  <si>
    <t>15% for connection, etc</t>
  </si>
  <si>
    <t>250 x 250 x 12mm thick base plate with 4M20 grade 8.8 cast in 'L-Bar' anchors 200mm embedment</t>
  </si>
  <si>
    <t>Roof Framing</t>
  </si>
  <si>
    <t>Stair 1 Roof (S-1200-CD-2)</t>
  </si>
  <si>
    <t>PC09 - 300 PFC, 40.1kg/m, 944mm surface perimeter</t>
  </si>
  <si>
    <t>PC09 - 300 PFC curved, 40.1kg/m, 944mm surface perimeter</t>
  </si>
  <si>
    <t>S328 - 150 x 150 x 6 SHS, 26.2kg/m, 600mm surface perimeter</t>
  </si>
  <si>
    <t>UB14 - 310 UB 40.4, 40.4kg/m, 1251.8mm surface perimeter</t>
  </si>
  <si>
    <t>Allow for 6M24 grade 8.8 cast in anchors for connection to central stair column</t>
  </si>
  <si>
    <t>Allow for 4M24 grade 8.8 cast in anchors for connection to central stair column</t>
  </si>
  <si>
    <t>PC09 - 300PFC, 40.1kg/m, 944mm surface perimeter</t>
  </si>
  <si>
    <t>PC09 - 300PFC curved, 40.1kg/m, 944mm surface perimeter</t>
  </si>
  <si>
    <t>PC10 - 380PFC, 55.2kg/m, 1140mm surface perimeter</t>
  </si>
  <si>
    <t>S328 - 150x150x6SHS, 26.2kg/m, 600mm surface perimeter</t>
  </si>
  <si>
    <t>UB14 - 310UB40.4, 40.4kg/m, 1251.8mm surface perimeter</t>
  </si>
  <si>
    <t>UB18 - 360 UB 56.7, 56.7kg/m, 1390mm surface perimeter</t>
  </si>
  <si>
    <t>Main Roof (S-1200-CD-2 to S-1201-CD-2)</t>
  </si>
  <si>
    <t>R330 - 250 x 150 x 6 RHS, 35.6kg/m, 800mm surface perimeter with M24 grade L bar 8.8 cast in anchors to concrete column</t>
  </si>
  <si>
    <t>S321 - 100 x 100 x 6 SHS, 16.7kg/m, 400mm surface perimeter</t>
  </si>
  <si>
    <t>UB12 - 250 UB 37.3, 37.3kg/m, 1083.2mm surface perimeter</t>
  </si>
  <si>
    <t>Bracing</t>
  </si>
  <si>
    <t>MC01 - 20mm diameter rod bracing</t>
  </si>
  <si>
    <t>50 x 50 x 5 EA, 3.5kg/m, 200mm surface perimeter Fly Bracing with 1M16 4.6/S bolt at each end</t>
  </si>
  <si>
    <t>Girts and Purlins</t>
  </si>
  <si>
    <t>MC08 - C20019 Purlins at 900 centres</t>
  </si>
  <si>
    <t>MC08 - C20019 Purlins at 1200 centres</t>
  </si>
  <si>
    <t>C20024 Gutter Purlins</t>
  </si>
  <si>
    <t>MC02 - C25024 Gutter Purlins</t>
  </si>
  <si>
    <t xml:space="preserve">MC05 - C20024  Gutter Purlins</t>
  </si>
  <si>
    <t>MC09 - C25019 Purlins at 900 centres</t>
  </si>
  <si>
    <t>MC09 - C25019 Purlins at 1200 centres</t>
  </si>
  <si>
    <t>MC03 - C30024 Purlins at 600 centres</t>
  </si>
  <si>
    <t>MC03 - C30024 Purlins</t>
  </si>
  <si>
    <t>MC07 - Z25019 Purlins at 600 centres</t>
  </si>
  <si>
    <t>MC07 - Z25019 Purlins at 900 centres</t>
  </si>
  <si>
    <t>Facade Steel Framing</t>
  </si>
  <si>
    <t>Ground Floor (S-1500-CD-1 to S-1501-CD-1)</t>
  </si>
  <si>
    <t>S321 - 100x100x6SHS, 16.7kg/m, 400mm surface perimeter</t>
  </si>
  <si>
    <t>PC03 - 125PFC, 11.9kg/m, 500.6mm surface perimeter</t>
  </si>
  <si>
    <t>20mm thick base plate to S321 - 100x100x6SHS steel column</t>
  </si>
  <si>
    <t>20mm thick base plate to S328 - 150x150x6SHS steel column</t>
  </si>
  <si>
    <t>20mm thick base plate to PC03 - 125PFC steel column</t>
  </si>
  <si>
    <t>Allow for M24 Grade L Bar 8.8 cast in anchors (NB: Refer to drawing S-1261-CD-2)</t>
  </si>
  <si>
    <t>item</t>
  </si>
  <si>
    <t>Level 1 (S-1500-CD-1 to S-1501-CD-1)</t>
  </si>
  <si>
    <t>S322 - 100x100x9SHS, 23.5kg/m, 400mm surface perimeter</t>
  </si>
  <si>
    <t>20mm thick base plate to S322 - 100x100x9SHS steel column</t>
  </si>
  <si>
    <t>Subframe for Stair Vertical Screen</t>
  </si>
  <si>
    <t>Allow for proprietary subframe to support vertical screens</t>
  </si>
  <si>
    <t>Sliding Door Framing</t>
  </si>
  <si>
    <t>Level 1 (A-1101-06 &amp; A-1104-06)</t>
  </si>
  <si>
    <t>UC04 - 150 UC 37.20 post, 37.2kg/m, 923.8mm surface perimeter</t>
  </si>
  <si>
    <t>R330 - 250 x 150 x 6 RHS beam, 35.6kg/m, 800mm surface perimeter</t>
  </si>
  <si>
    <t>UB09 - 200 UB 29.8 beam, 29.8kg/m, 937.4mm surface perimeter</t>
  </si>
  <si>
    <t>20mm thick baseplate for UC04 - 150 UC 37.20 post</t>
  </si>
  <si>
    <t>20mm thick endplate for UB09 - 200 UB 29.8 beam</t>
  </si>
  <si>
    <t>SURFACE PREPARATION</t>
  </si>
  <si>
    <t>Abrasive Blast to Class 2.5 AS1627.4</t>
  </si>
  <si>
    <t>Sand blasting to columns</t>
  </si>
  <si>
    <t>Sand blasting to facade steel framing</t>
  </si>
  <si>
    <t>Sand blasting to roof framing</t>
  </si>
  <si>
    <t>Sand blasting to sliding door framing</t>
  </si>
  <si>
    <t>Hot Dipped Galvanised HDG390 to AS4680; Minimum coating mass 600g/m2</t>
  </si>
  <si>
    <t>Hot dipped galvanised to column</t>
  </si>
  <si>
    <t>Hot dipped galvanised to facade steel framing</t>
  </si>
  <si>
    <t>Hot dipped galvanised to roof framing</t>
  </si>
  <si>
    <t xml:space="preserve">Two coats of R0ZP zinc rich primer  as per AS 4312 and AS 2312.1; 75 microns dry film thickness</t>
  </si>
  <si>
    <t>Two coats of R0ZP zinc rich primer paint to sliding door framing</t>
  </si>
  <si>
    <t>Waterproof Membranes</t>
  </si>
  <si>
    <t>10/1A</t>
  </si>
  <si>
    <t>10/1B</t>
  </si>
  <si>
    <t>Refer to following sections of Calderwood Primary School "Architectural Specification" Revision 03 dated 12 September 2025 by Bennett and Trimble for: 0181A - Adhesives, Sealant and Fasteners, 0315 - In-situ Concrete Finishes - (Architectural Requirements), 0411 - Waterproof Membranes</t>
  </si>
  <si>
    <t>Refer to following architectural drawing series: 11 for "General Arrangement Plans", 32 for "Details - Sections", 33 for "Details - Plan", 6 for "RLS"</t>
  </si>
  <si>
    <t>Refer to following structural drawing series: S-0010 to S-0161 for "Typical Details", S-10 to S-11 for "General Arrangement Plans"</t>
  </si>
  <si>
    <t>10/1C</t>
  </si>
  <si>
    <t>Fair edges, dressing over angle fillets, turning into grooves and all other labours</t>
  </si>
  <si>
    <t>10/1D</t>
  </si>
  <si>
    <t>Internal and external angles, fillets, circular edges</t>
  </si>
  <si>
    <t>10/1E</t>
  </si>
  <si>
    <t>Separation strips other than those specifically detailed</t>
  </si>
  <si>
    <t>10/1F</t>
  </si>
  <si>
    <t>Nails, screws, clips, rivets, straps, fixings and the like</t>
  </si>
  <si>
    <t>10/1G</t>
  </si>
  <si>
    <t>Provision for thermal movement</t>
  </si>
  <si>
    <t>10/1H</t>
  </si>
  <si>
    <t>Isolation of dissimilar materials</t>
  </si>
  <si>
    <t>10/1J</t>
  </si>
  <si>
    <t>Temporary screeds, rules and grounds</t>
  </si>
  <si>
    <t>10/1K</t>
  </si>
  <si>
    <t>Laps, square cutting and waste</t>
  </si>
  <si>
    <t>10/1L</t>
  </si>
  <si>
    <t>Environmental and sustainable requirements detailed in the specification</t>
  </si>
  <si>
    <t>10/1M</t>
  </si>
  <si>
    <t>Allow for giving notice of and providing facilities for inspection, of tanking components</t>
  </si>
  <si>
    <t>10/2A</t>
  </si>
  <si>
    <t>Allow for protecting the waterproofing from damage throughout the work and cleaning off on completion, including cleaning out of rainwater systems</t>
  </si>
  <si>
    <t>10/2B</t>
  </si>
  <si>
    <t>Allow for ensuring that the roof slab structure is satisfactory before fixing membranes, and providing certification of same prior to commencing installation</t>
  </si>
  <si>
    <t>10/2C</t>
  </si>
  <si>
    <t>10/2D</t>
  </si>
  <si>
    <t>Allow for data submissions</t>
  </si>
  <si>
    <t>10/2E</t>
  </si>
  <si>
    <t>Allow for warranties</t>
  </si>
  <si>
    <t>10/2F</t>
  </si>
  <si>
    <t>Allow for maintenance manual</t>
  </si>
  <si>
    <t>10/2G</t>
  </si>
  <si>
    <t>Allow for workshop drawings and details</t>
  </si>
  <si>
    <t>Assume waterproofing for roof deck and balconies / external corridors</t>
  </si>
  <si>
    <t>Assume height for vertical membrane for shower will be from floor to ceiling height</t>
  </si>
  <si>
    <t>WATERPROOFING</t>
  </si>
  <si>
    <t>Waterproofing to Wet Areas</t>
  </si>
  <si>
    <t>PVC sheet membrane indicative to Fatra Fatrafol 807g - 0.9mm DFT (NB: Architectural Specification Revision 03 dated 12 September 2025 by Bennett and Trimble)</t>
  </si>
  <si>
    <t xml:space="preserve">Horizontal membrane; applied on wet area floor to falls and/or cross falls
</t>
  </si>
  <si>
    <t>Ground Floor (A-1100-07 &amp; A-1103-07)</t>
  </si>
  <si>
    <t>Vertical membrane; applied on shower wall</t>
  </si>
  <si>
    <t>Turn-ups less than or equal to 250mm high; including any angle fillet and dressing over fillets at bottom</t>
  </si>
  <si>
    <t>Waterproofing to Balcony / Corridor</t>
  </si>
  <si>
    <t>Waterproofing to Balcony / Corridor (NB: No details provided)</t>
  </si>
  <si>
    <t>Horizontal membrane; applied balcony floor to falls and/or cross falls</t>
  </si>
  <si>
    <t>Waterproofing to Roof Deck</t>
  </si>
  <si>
    <t>Horizontal membrane; applied roof deck floor to falls and/or cross falls</t>
  </si>
  <si>
    <t>Level 1 (A-1104-06)</t>
  </si>
  <si>
    <t>Vertical membrane; applied on parapet wall (NB: No details provided, assumed 300mm high)</t>
  </si>
  <si>
    <t>WATERPROOFING TO LIFT PIT WALL</t>
  </si>
  <si>
    <t>Vertical membrane; applied on lift pit wall</t>
  </si>
  <si>
    <t>Waterproofing to lift pit wall</t>
  </si>
  <si>
    <t>Roofing &amp; Roof Plumbing</t>
  </si>
  <si>
    <t>13/1A</t>
  </si>
  <si>
    <t>13/1B</t>
  </si>
  <si>
    <t>Refer to following sections of Calderwood Primary School "Architectural Specification Issue for Tender Revision 03" dated 12 September 2025 by Bennett and Trimble: 0183a - Metals and Pre-Finishes, 0193 - Roof Access Safety Systems, 0423 - Metal Roof and Wall Cladding, 0471 - Insulation and Barriers</t>
  </si>
  <si>
    <t>Refer to the following Calderwood Primary School architectural drawing series: A-0104 for "Site Plan - Roof-Stage 1, A-1002 for "GA Plan - Roof - Stage 1, A-1102 for "Building A1 West Wing - Roof - GA Plan, A-1105 for "Building A1 East Wing - Roof - Ga Plan, A-1108 for "Building A2 - Roof - GA Plan, A-1109 for "Building H - Hall - Roof - GA Plan, A-1112 for "Building P - Preschool - Hall - GA Plan",A-20 for "Elevations", A-32 for "Details - Section"</t>
  </si>
  <si>
    <t xml:space="preserve">Refer to  New Primary School and Public Preschool in Calderwood "Finshes Schedule" dated 12 September 2025 by Bennett and Trimble</t>
  </si>
  <si>
    <t>13/1C</t>
  </si>
  <si>
    <t>Laps, square or raking cutting and waste</t>
  </si>
  <si>
    <t>13/1D</t>
  </si>
  <si>
    <t>Turning-up and turning-down roof sheets</t>
  </si>
  <si>
    <t>13/1E</t>
  </si>
  <si>
    <t>Nails, screws, clips, rivets, straps and the like</t>
  </si>
  <si>
    <t>13/1F</t>
  </si>
  <si>
    <t>13/1G</t>
  </si>
  <si>
    <t>13/1H</t>
  </si>
  <si>
    <t>Fixing of wall cladding in vertical or horizontal direction as required</t>
  </si>
  <si>
    <t>13/1J</t>
  </si>
  <si>
    <t>13/1K</t>
  </si>
  <si>
    <t>Allow for giving notice and providing facilities for inspections</t>
  </si>
  <si>
    <t>13/1L</t>
  </si>
  <si>
    <t>Allow for providing samples and prototypes</t>
  </si>
  <si>
    <t>13/1M</t>
  </si>
  <si>
    <t xml:space="preserve">Allow for tests </t>
  </si>
  <si>
    <t>13/1N</t>
  </si>
  <si>
    <t>13/1P</t>
  </si>
  <si>
    <t xml:space="preserve">Allow for providing warranties </t>
  </si>
  <si>
    <t>13/2A</t>
  </si>
  <si>
    <t xml:space="preserve">Allow for providing maintenance manuals </t>
  </si>
  <si>
    <t>13/2B</t>
  </si>
  <si>
    <t>Allow for protecting the roofing system from damage throughout the work and cleaning off on completion</t>
  </si>
  <si>
    <t>13/2C</t>
  </si>
  <si>
    <t>Allow for ensuring that the roof structure is satisfactory before fixing roof sheeting</t>
  </si>
  <si>
    <t>SHEET METAL ROOFING</t>
  </si>
  <si>
    <t xml:space="preserve">RMS-01- Low Profile Klip-Lok 700 Hi Strength;Profile: Ribbed with 34mm deep ribs at 235mm centres, 0.48mm base metal thickness, SRI: 66; Colour: Shale Grey; Finish: Colorbond; Supplier: Bluescope Lysaght </t>
  </si>
  <si>
    <t>INSULATION</t>
  </si>
  <si>
    <t>Sarking to RMS-01 - Non Combustible Roof Sarking to BAL-19 Requirements including sarking tape</t>
  </si>
  <si>
    <t>Sarking to Fascia - Non Combustible Roof Sarking to BAL-19 Requirements including sarking tape</t>
  </si>
  <si>
    <t>Sarking to Eaves - Non Combustible Roof Sarking to BAL-19 Requirements including sarking tape (NB: Assumed 1400mm eaves width)</t>
  </si>
  <si>
    <t>Insulation to RMS-01 - 175mm thick Earthwool Glasswool insulation faced with Thor Heavy Duty Foil, R-Value: R3.72 m2 K/W</t>
  </si>
  <si>
    <t>SUPPORT MESH</t>
  </si>
  <si>
    <t>Safety Mesh to Roofing (Standard AS/NZS 4389)</t>
  </si>
  <si>
    <t>FLASHING AND CAPPINGS</t>
  </si>
  <si>
    <t>Flashing</t>
  </si>
  <si>
    <t>Apron Flashing - Aluminium zinc magnesium alloy (AM150) coated G300 Steel, 0.6mm BMT, marine grade aluminium /0.90/1.2mm BMT, to match metal roof finish</t>
  </si>
  <si>
    <t>Roof to Gutter Flashing - Aluminium zinc magnesium alloy (AM150) coated G300 Steel, 0.6mm BMT, marine grade aluminium /0.90/1.2mm BMT, to match metal roof finish</t>
  </si>
  <si>
    <t>Capping</t>
  </si>
  <si>
    <t>Ridge Capping - Aluminium zinc magnesium alloy (AM150) coated G300 Steel, 0.6mm BMT, marine grade aluminium /0.90/1.2mm BMT, to match metal roof finish</t>
  </si>
  <si>
    <t>Valley Capping - Aluminium zinc magnesium alloy (AM150) coated G300 Steel, 0.6mm BMT, marine grade aluminium /0.90/1.2mm BMT, to match metal roof finish</t>
  </si>
  <si>
    <t>Barge Capping (CAP-201) - Aluminium zinc magnesium alloy (AM150) coated G300 Steel, 0.6mm BMT, marine grade aluminium /0.90/1.2mm BMT, to match metal roof finish</t>
  </si>
  <si>
    <t>Fascia</t>
  </si>
  <si>
    <t>520mm wide Fascia finish to match RMS-01</t>
  </si>
  <si>
    <t>GUTTERS AND DOWNPIPES</t>
  </si>
  <si>
    <t>GUE-01 - 300mm dia. 0.6mm thick half round eaves gutter, Material: Aluminium/zinc alloy coated steel with pre-painted finish, Colour: Zincalume</t>
  </si>
  <si>
    <t>GUE-03 - 300x200mm deep rectangular box gutter</t>
  </si>
  <si>
    <t>GUE-01 downpipe - 7000mm high, 225mm dia. 0.6mm thick Zinc/aluminium alloy coated steel with pre-painted finish, Profile: Circular, Finish: to match GUE-01 guutter</t>
  </si>
  <si>
    <t>GUE-01 downpipe - 7200mm high, 225mm dia. 0.6mm thick Zinc/aluminium alloy coated steel with pre-painted finish, Profile: Circular, Finish: to match GUE-01 guutter</t>
  </si>
  <si>
    <t>GUE-01 downpipe - 3750mm high, 100mm dia. 0.6mm thick Zinc/aluminium alloy coated steel with pre-painted finish, Profile: Circular, Finish: to match GUE-01 guutter</t>
  </si>
  <si>
    <t xml:space="preserve">GUE-01 downpipe -  5200mm high,150mm dia. 0.6mm thick Zinc/aluminium alloy coated steel with pre-painted finish, Profile: Circular, Finish: to match GUE-01 guutter</t>
  </si>
  <si>
    <t xml:space="preserve">GUE-03 - 5600mm high downpipe, 100mm dia. </t>
  </si>
  <si>
    <t>Leaf Screen to Downpipe</t>
  </si>
  <si>
    <t>Leaf Screen to Gutters</t>
  </si>
  <si>
    <t>300x400x160mm deep sump</t>
  </si>
  <si>
    <t>30mm overflow edge</t>
  </si>
  <si>
    <t>200x100mm high overflow channel</t>
  </si>
  <si>
    <t>ROOF ACCESS SAFETY SYSTEM</t>
  </si>
  <si>
    <t>Steel Ladder</t>
  </si>
  <si>
    <t>Roof Anchors and access points to AS/NZ 1891, AS/NZ 4488. and AS/NZ 5532</t>
  </si>
  <si>
    <t>Allow for access walkway and equipments to roof</t>
  </si>
  <si>
    <t>External Cladding &amp; Soffit</t>
  </si>
  <si>
    <t>23/1A</t>
  </si>
  <si>
    <t>Tenderers are referred to the Specification for the full particulars of workmanship and materials and the quantities herein provided shall be read in conjunction with the drawings</t>
  </si>
  <si>
    <t>23/1B</t>
  </si>
  <si>
    <t>Refer to following sections of Calderwood Primary School "Architectural Specification" Revision 03 dated 12 September 2025 by Bennett and Trimble for: 0181A - Adhesives, Sealant and Fasteners, 0423 - Roof and Wall Cladding, and 0438 - Fibre Cement Cladding</t>
  </si>
  <si>
    <t>Refer to Calderwood Public School "BCA Design Assessment Report" dated 06 May 2025 by DC Partnership</t>
  </si>
  <si>
    <t>Refer to Calderwood Primary School "Acoustic Engineering" Revision 21 dated 06 September 2021 by SINSW</t>
  </si>
  <si>
    <t>Refer to following architectural drawing series: 11 for "General Arrangement Plans", 17 for "Partitions Plans", 20 for "Elevations", 30 for "Sections", 31 for "Wall Sections", 32 for "Details - Sections", 33 for "Details - Plan", and 6 for "RLS", 8 for "Schedules"</t>
  </si>
  <si>
    <t>23/1C</t>
  </si>
  <si>
    <t>23/1D</t>
  </si>
  <si>
    <t>Fixing in position with all necessary templates, blocking, nails, screws, plugs etc</t>
  </si>
  <si>
    <t>23/1E</t>
  </si>
  <si>
    <t>Cutting and making good around pipes and the like</t>
  </si>
  <si>
    <t>23/1F</t>
  </si>
  <si>
    <t>Wall framing</t>
  </si>
  <si>
    <t>16/1D</t>
  </si>
  <si>
    <t>16/1E</t>
  </si>
  <si>
    <t>16/1F</t>
  </si>
  <si>
    <t>16/1G</t>
  </si>
  <si>
    <t>16/1H</t>
  </si>
  <si>
    <t>Bolts and nuts and any type of washer that may be required</t>
  </si>
  <si>
    <t>Linings</t>
  </si>
  <si>
    <t>16/1J</t>
  </si>
  <si>
    <t>Notching and fitting around projections, pipes, light fittings, hatches and the like and including cleats, packers, wedges and similar items</t>
  </si>
  <si>
    <t>16/1K</t>
  </si>
  <si>
    <t>Nails and screws</t>
  </si>
  <si>
    <t>16/2A</t>
  </si>
  <si>
    <t>Internal and external angles</t>
  </si>
  <si>
    <t>16/2B</t>
  </si>
  <si>
    <t>Edges set and finished flush with solid plastering in the same plane</t>
  </si>
  <si>
    <t>16/2C</t>
  </si>
  <si>
    <t>Casing beads</t>
  </si>
  <si>
    <t>16/2D</t>
  </si>
  <si>
    <t>Insulation</t>
  </si>
  <si>
    <t>16/2E</t>
  </si>
  <si>
    <t>16/2F</t>
  </si>
  <si>
    <t>16/2G</t>
  </si>
  <si>
    <t>23/1G</t>
  </si>
  <si>
    <t>23/1H</t>
  </si>
  <si>
    <t>Allow for co-operating with, attending on and making good after all other trades as necessary</t>
  </si>
  <si>
    <t>23/1J</t>
  </si>
  <si>
    <t>Allow for covering and protecting surfaces from weather and building operations</t>
  </si>
  <si>
    <t>23/1K</t>
  </si>
  <si>
    <t>Allow for cleaning on completion</t>
  </si>
  <si>
    <t>23/1L</t>
  </si>
  <si>
    <t>23/1M</t>
  </si>
  <si>
    <t xml:space="preserve">Allow for data submissions </t>
  </si>
  <si>
    <t>23/1N</t>
  </si>
  <si>
    <t xml:space="preserve">Allow for warranties </t>
  </si>
  <si>
    <t>23/1P</t>
  </si>
  <si>
    <t>16/2H</t>
  </si>
  <si>
    <t>Allow for shop drawings if required</t>
  </si>
  <si>
    <t>16/2J</t>
  </si>
  <si>
    <t>Allow for samples</t>
  </si>
  <si>
    <t>16/2K</t>
  </si>
  <si>
    <t>Allow for testing</t>
  </si>
  <si>
    <t>16/2N</t>
  </si>
  <si>
    <t>Allow for attending on and making good after all other trades, cutting out and making good defective work and for cleaning on completion</t>
  </si>
  <si>
    <t>16/2P</t>
  </si>
  <si>
    <t>Allow for protecting finished surfaces</t>
  </si>
  <si>
    <t>16/2S</t>
  </si>
  <si>
    <t>There were no assumptions for the " XXXXXX " trade, documents were sufficient to cover the entire scope.</t>
  </si>
  <si>
    <t>CLADDING TO EXTERNAL WALLS</t>
  </si>
  <si>
    <t>CPA 01 - 8mm thick Vitrapanel Fibre Cement sheet; Cladding Material: Smooth and even Compressed Fibre cement sheets with factory sealed edges, free of imperfections such as chips: Catergory: Type A Category 5 to AS/NZS 2908.2; Colour: Spinifex</t>
  </si>
  <si>
    <t>Ground Level (A-1700-01 to A-1702-01)</t>
  </si>
  <si>
    <t>Level 1 (A-1701-01 to A-1703-01)</t>
  </si>
  <si>
    <t>CMP 01 - Cladding Metal Panel; Solid sheet metal cladding on lightweight metal framing; Colour: Colorbond Basalt Matt (Standard finish per SINSW requirements)</t>
  </si>
  <si>
    <t>CMP 02 - Cladding Metal Panel; Perforated sheet metal cladding on lightweight metal framing; Colour: Colorbond Basalt Matt (Standard finish per SINSW requirements)</t>
  </si>
  <si>
    <t>CMP 04 Cladding Metal Panel Sunshade; Solid sheet metal box section sunshade highlight element; Colour: Dulux Duratec Sunshine satin finish</t>
  </si>
  <si>
    <t>CMS 01 - Cladding Metal sheet; Type: Proprietary system of preformed sheets with purpose-made accessories and corrosion resistant perforated metal mesh angle max 2mm; Material: Aluminium/zinc alloy coated steel with pre-painted finish; Colour: Shale grey matt finish</t>
  </si>
  <si>
    <t>Expanded steel netting safety Mesh to prevent climbing to be Documented in next phase</t>
  </si>
  <si>
    <t>Windows Glazing and Glazed Doors</t>
  </si>
  <si>
    <t>22/1A</t>
  </si>
  <si>
    <t>22/1B</t>
  </si>
  <si>
    <t>22/1C</t>
  </si>
  <si>
    <t>All shop fabrication work</t>
  </si>
  <si>
    <t>22/1D</t>
  </si>
  <si>
    <t>22/1E</t>
  </si>
  <si>
    <t>Frames, mullions, transoms, glazing bars, beads and trims</t>
  </si>
  <si>
    <t>22/1F</t>
  </si>
  <si>
    <t>Cover plates within and between window units</t>
  </si>
  <si>
    <t>22/1G</t>
  </si>
  <si>
    <t>Window and door hardware</t>
  </si>
  <si>
    <t>22/1H</t>
  </si>
  <si>
    <t>Chain winders if required</t>
  </si>
  <si>
    <t>22/1J</t>
  </si>
  <si>
    <t>Caulking and pointing</t>
  </si>
  <si>
    <t>22/1K</t>
  </si>
  <si>
    <t>Flashings and weather bars</t>
  </si>
  <si>
    <t>22/1L</t>
  </si>
  <si>
    <t>Glass and glazing</t>
  </si>
  <si>
    <t>22/1M</t>
  </si>
  <si>
    <t>Sub-sills and sub-heads</t>
  </si>
  <si>
    <t>22/1N</t>
  </si>
  <si>
    <t>Packers</t>
  </si>
  <si>
    <t>22/1P</t>
  </si>
  <si>
    <t>Touching up surface treatment where damaged</t>
  </si>
  <si>
    <t>22/1Q</t>
  </si>
  <si>
    <t>Refer to following sections of Calderwood Primary School "Architectural Specification" Revision 03 dated 12 September 2025 by Bennett and Trimble for: 0181A - Adhesives, Sealant and Fasteners, 0182 - Fire-stopping, 0451 Windows/Rooflights/Screens/Louvres/Glazed Doors, 0453 Doorsets, 0461 Glass and Coatings</t>
  </si>
  <si>
    <t>Refer to following architectural drawing series: 11 for "General Arrangement Plans", 13 for "RCP", 20 for "Elevations", 30 for "Sections", 31 for "Wall Sections", 32 for "Details - Sections", 33 for "Details - Plan", 6 for "RLS", 8 for "Schedules"</t>
  </si>
  <si>
    <t>22/2A</t>
  </si>
  <si>
    <t>Allow for shop drawings as required</t>
  </si>
  <si>
    <t>22/2B</t>
  </si>
  <si>
    <t>22/2C</t>
  </si>
  <si>
    <t>22/2D</t>
  </si>
  <si>
    <t>22/2E</t>
  </si>
  <si>
    <t xml:space="preserve">Allow for providing shop drawings </t>
  </si>
  <si>
    <t>22/2F</t>
  </si>
  <si>
    <t>22/2G</t>
  </si>
  <si>
    <t>22/2H</t>
  </si>
  <si>
    <t>22/2J</t>
  </si>
  <si>
    <t xml:space="preserve"> Louvre Type ID LV-02 is assumed to have a quantity of one (1) based on the Louvre Schedule, as it cannot be found in plan</t>
  </si>
  <si>
    <t>EXTERNAL WINDOWS</t>
  </si>
  <si>
    <t>Ground Floor (A-1100-07, A-1103-07)</t>
  </si>
  <si>
    <t>Fixed Glazed Windows</t>
  </si>
  <si>
    <t>2050x2130mm wide EW-01 fixed toughened glazed window with aluminium frame in powdercoated finish; Colour: Dulux Charisma Shale Grey (Area of 1 window panel = 4.37m2)</t>
  </si>
  <si>
    <t>2050x1150mm wide EW-11 fixed toughened glazed window with aluminium frame in powdercoated finish; Colour: Dulux Charisma Shale Grey (Area of 1 window panel = 2.36m2)</t>
  </si>
  <si>
    <t>Sliding Glazed Windows</t>
  </si>
  <si>
    <t>2050x3380mm wide EW-03 sliding with fixed toughened glazed window with aluminium frame in powdercoated finish; Colour: Dulux Charisma Shale Grey; Others: Aluminum-Framed Fly Screen behind window (max 2mm aperture); Framing: aluminum extrusions with mesh fixing channel; Mesh: anodised aluminum mesh beaded into the frame channel with a continuous resilient gasket; Fixing: concealed fixed (Area of 1 window panel = 6.93m2)</t>
  </si>
  <si>
    <t>2050x2130mm wide EW-05 sliding toughened glazed window with aluminium frame in powdercoated finish; Colour: Dulux Charisma Shale Grey; Others: Aluminum-Framed Fly Screen behind window (max 2mm aperture); Framing: aluminum extrusions with mesh fixing channel; Mesh: anodised aluminum mesh beaded into the frame channel with a continuous resilient gasket; Fixing: concealed fixed (Area of 1 window panel = 4.37m2)</t>
  </si>
  <si>
    <t>Level 1 (A-1101-06, A-1104-06)</t>
  </si>
  <si>
    <t>1550x2233mm wide EW-07 sliding toughened glazed window with aluminium frame in powdercoated finish; Colour: Dulux Charisma Shale Grey; Others: Aluminum-Framed Fly Screen behind window (max 2mm aperture); Framing: aluminum extrusions with mesh fixing channel; Mesh: anodised aluminum mesh beaded into the frame channel with a continuous resilient gasket; Fixing: concealed fixed (Area of 1 window panel = 3.46m2)</t>
  </si>
  <si>
    <t>INTERNAL WINDOWS</t>
  </si>
  <si>
    <t>1200x2400mm wide IW-01 fixed glazed window with aluminium frame in powdercoated finish; Acoustic Rating: Rw 40 (Area of 1 window panel = 2.88m2)</t>
  </si>
  <si>
    <t>1200x1200mm wide IW-04 fixed glazed window with aluminium frame in powdercoated finish; Acoustic Rating: Rw 40 (Area of 1 window panel = 1.44m2)</t>
  </si>
  <si>
    <t>1600x4000mm wide IW-02 sliding glazed window with aluminium frame in powdercoated finish; Acoustic Rating: Rw 40 (Area of 1 window panel = 6.4m2)</t>
  </si>
  <si>
    <t>1600x2350mm wide IW-03 sliding glazed window with aluminium frame in powdercoated finish; Acoustic Rating: Rw 40 (Area of 1 window panel = 3.76m2)</t>
  </si>
  <si>
    <t>EXTERNAL GLAZED DOORS</t>
  </si>
  <si>
    <t>Swing Glazed Doors</t>
  </si>
  <si>
    <t>2750x1117mm wide ED-01 single leaf swing double glazed door with transom with aluminium frame in powdercoated finish (Area of 1 door panel = 3.07m2)</t>
  </si>
  <si>
    <t>2750x2235mm wide ED-02 single leaf swing double glazed door with transom and sidelight with aluminium frame in powdercoated finish (Area of 1 door panel = 6.15m2)</t>
  </si>
  <si>
    <t>2750x2160mm wide ED-03 double leaf swing double glazed door with transom with aluminium frame in powdercoated finish (Area of 1 door panel = 5.94m2)</t>
  </si>
  <si>
    <t>Level 1 (A-1101-07, A-1104-06)</t>
  </si>
  <si>
    <t>INTERNAL GLAZED DOORS</t>
  </si>
  <si>
    <t>2400x2200mm wide ID-06 single leaf swing double glazed door with sidelight with aluminium frame in powdercoated finish (Area of 1 door panel = 5.28m2)</t>
  </si>
  <si>
    <t>Sliding Glazed Doors</t>
  </si>
  <si>
    <t>2750x1200mm wide ID-01 sliding glazed pocket door with aluminium frame in powdercoated finish (Area of 1 door panel = 3.3m2)</t>
  </si>
  <si>
    <t>2750x2500mm wide ID-02 sliding glazed pocket door with aluminium frame in powdercoated finish (Area of 1 door panel = 6.88m2)</t>
  </si>
  <si>
    <t>2750x4000mm wide ID-03 sliding glazed stacking door with aluminium frame in powdercoated finish (Area of 1 door panel = 11.m2)</t>
  </si>
  <si>
    <t>2750x7200mm wide ID-04 double sliding glazed stacking door with aluminium frame in powdercoated finish (Area of 1 door panel = 19.8m2)</t>
  </si>
  <si>
    <t>Doors, Frames and Hardware</t>
  </si>
  <si>
    <t>Labours in framing, checking, mitring, housing, halving, mortice and tenoning, gluing, spiking, screwing and drilling for bolts</t>
  </si>
  <si>
    <t>Shop priming before fixing and priming all faces of undressed timber to be built in as required</t>
  </si>
  <si>
    <t>Cut-outs, spreader bars, stiffener plates, packers, mortar guards, strike plates, ties and anchors, rubber buffers, hinges etc.</t>
  </si>
  <si>
    <t>Filling frames solid with mortar and/or pressure grouting</t>
  </si>
  <si>
    <t>Refer to following sections of Calderwood Primary School "Architectural Specification" Revision 03 dated 12 September 2025 by Bennett and Trimble for: 0181A - Adhesives, Sealant and Fasteners, 0182 - Fire-stopping, 0453 Doorsets, 0455 - Hardware</t>
  </si>
  <si>
    <t xml:space="preserve">Allow for shop drawings as required </t>
  </si>
  <si>
    <t xml:space="preserve">Allow for submitting samples </t>
  </si>
  <si>
    <t>23/2A</t>
  </si>
  <si>
    <t>Allow for attending upon and making good after all other trades, cutting out and making good defective work and for cleaning off and leaving work perfect on completion</t>
  </si>
  <si>
    <t>23/2B</t>
  </si>
  <si>
    <t>23/2C</t>
  </si>
  <si>
    <t>23/2D</t>
  </si>
  <si>
    <t>Allow for providing independent testing authority report that fire doors have passed relevant tests</t>
  </si>
  <si>
    <t>23/2E</t>
  </si>
  <si>
    <t>Allow for priming the top and bottom edges of the door before installation</t>
  </si>
  <si>
    <t>23/2F</t>
  </si>
  <si>
    <t>EXTERNAL DOORS</t>
  </si>
  <si>
    <t>Fire Rated Doors</t>
  </si>
  <si>
    <t>2100x900mm wide ED-15 double leaf swing fire rated solid core door with metal frame in paint finish; FRL: 60/60/60</t>
  </si>
  <si>
    <t>2100x800mm wide ED-16 single leaf swing fire rated solid core door with metal frame in paint finish; FRL: 60/60/60</t>
  </si>
  <si>
    <t>Solid Core Doors</t>
  </si>
  <si>
    <t>2750x1000mm wide ED-10 single leaf swing solid core door with louvre with metal frame in paint finish</t>
  </si>
  <si>
    <t>2750x1080mm wide ED-12 single leaf swing solid core door with louvre with metal frame in paint finish</t>
  </si>
  <si>
    <t>2750x900mm wide ED-09 single leaf swing solid core door with louvre with metal frame in paint finish</t>
  </si>
  <si>
    <t>2750x1200mm wide ED-11 single leaf swing solid core door with louvre with metal frame in paint finish</t>
  </si>
  <si>
    <t>2100x1500mm wide ED-14 double leaf swing solid core egress door with metal frame in paint finish</t>
  </si>
  <si>
    <t>INTERNAL DOORS</t>
  </si>
  <si>
    <t>2100x900mm wide ID-07 single leaf swing solid core door with metal frame in paint finish</t>
  </si>
  <si>
    <t>2100x1000mm wide ID-08 single leaf swing solid core door with metal frame in paint finish</t>
  </si>
  <si>
    <t>2100x1030mm wide ID-13 double leaf swing solid core door with metal frame in paint finish</t>
  </si>
  <si>
    <t>2100x1500mm wide ID-19 double leaf swing solid core door with metal frame in paint finish</t>
  </si>
  <si>
    <t>2100x1200mm wide ID-21 single leaf swing solid core door with metal frame in paint finish</t>
  </si>
  <si>
    <t>2150x1000mm wide ID-18 single leaf swing fire rated solid core door with metal frame in paint finish; FRL: 60/60/60</t>
  </si>
  <si>
    <t>DOOR HARDWARE TO EXTERNAL DOORS</t>
  </si>
  <si>
    <t>Door Hardware to Fire Rated Doors</t>
  </si>
  <si>
    <t>Door Hardware to Solid Core Doors</t>
  </si>
  <si>
    <t>DOOR HARDWARE TO INTERNAL DOORS</t>
  </si>
  <si>
    <t>Partition and Linings</t>
  </si>
  <si>
    <t>16/1A</t>
  </si>
  <si>
    <t>16/1B</t>
  </si>
  <si>
    <t>Refer to following sections of Calderwood Primary School "Architectural Specification" Revision 03 dated 12 September 2025 by Bennett and Trimble for: 0181A - Adhesives, Sealant and Fasteners, 0182 - Fire-stopping, 0191a Wall Protection and Trims, 0411 - Waterproof Membranes, 0471 - Insulation and Barriers, 0522 - Partitions and Linings</t>
  </si>
  <si>
    <t xml:space="preserve">Refer to following architectural drawing series: 11 for "General Arrangement Plans", 13 for "RCP", 15 for "Acoustic Rating", 16 for "Fire  Rating", 17 for "Partitions Plans", 20 for "Elevations", 30 for "Sections", 31 for "Wall Sections", 32 for "Details - Sections", 33 for "Details - Plan", 6 for "RLS", 8 for "Schedules" </t>
  </si>
  <si>
    <t>16/1C</t>
  </si>
  <si>
    <t>16/2L</t>
  </si>
  <si>
    <t>16/2M</t>
  </si>
  <si>
    <t>16/2Q</t>
  </si>
  <si>
    <t>16/2R</t>
  </si>
  <si>
    <t>16/2T</t>
  </si>
  <si>
    <t xml:space="preserve">Measurements based on the plan (Sections and RCP) assume that the height of linings for fire-rated walls  and external walls extends to the soffit, while other walls are to be measured as shown in the plans—Example wall height:2750mm plus an additional 100mm in height.</t>
  </si>
  <si>
    <t>EXTERNAL WALL</t>
  </si>
  <si>
    <t>Fire Rated Wall</t>
  </si>
  <si>
    <t>EW-01 – 1x13mm high-density, impact-resistant plasterboard lining on one side of the wall, and 1mm thick weather barrier membrane with 25mm and 35mm vertical and 25mm horizontal tophat on the other side, both sides fixed to 150mm steel stud with insulation; Fire Rating: 120/120/120</t>
  </si>
  <si>
    <t>Ground floor (A-1700-01 to A-1702-01)</t>
  </si>
  <si>
    <t xml:space="preserve">EW-01 – 1x13mm high-density, impact-resistant plasterboard lining on one side of the wall, and 1mm thick weather barrier membrane with 25mm and 35mm vertical and 25mm horizontal tophat on the other side, both sides fixed to 150mm steel stud with insulation; Fire Rating: 120/120/120; Acoustic  Rating: Rw50</t>
  </si>
  <si>
    <t>EW-02B – 1x13mm high-density, impact-resistant plasterboard lining on one side of the wall, and one layer of 1x16mm fire-rated plasterboard with 1mm vapor barrier membrane and 35mm vertical and 25mm horizontal tophat on the other side, both sides fixed to 150mm steel stud with insulation; Fire Rating: 120/120/120</t>
  </si>
  <si>
    <t>Acoustically Rated Wall</t>
  </si>
  <si>
    <t>EW-02B – 1x13mm high-density, impact-resistant plasterboard lining on one side of the wall, and one layer of 1x16mm fire-rated plasterboard with 1mm vapor barrier membrane and 35mm vertical and 25mm horizontal tophat on the other side, both sides fixed to 150mm steel stud with insulation; Acoustic Rating: Rw50</t>
  </si>
  <si>
    <t>Non-Fire Rated Wall</t>
  </si>
  <si>
    <t>EW-01 – 1x13mm high-density, impact-resistant plasterboard lining on one side of the wall, and 1mm thick weather barrier membrane with 25mm and 35mm vertical and 25mm horizontal tophat on the other side, both sides fixed to 150mm steel stud with insulation</t>
  </si>
  <si>
    <t>Ground Floor (A-1700-01 to A-1702-01)</t>
  </si>
  <si>
    <t>EW-02B – 1x13mm high-density, impact-resistant plasterboard lining on one side of the wall, and one layer of 1x16mm fire-rated plasterboard with 1mm vapor barrier membrane and 35mm vertical and 25mm horizontal tophat on the other side, both sides fixed to 150mm steel stud with insulation</t>
  </si>
  <si>
    <t>Extra over for forming of curved surfaces</t>
  </si>
  <si>
    <t>INTERNAL WALL</t>
  </si>
  <si>
    <t>IW-01 - 1x13mm impact resistant plasterboard lining on both side of the wall fixed to 92mm steel stud with insulation; Fire Rating: 60/60/60; Acoustic Rating: Rw50</t>
  </si>
  <si>
    <t>IW-01 - 1x13mm impact resistant plasterboard lining on both side of the wall fixed to 92mm steel stud with insulation; Fire Rating: 120/120/120; Acoustic Rating: Rw50</t>
  </si>
  <si>
    <t>IW-02 B - 1x13mm high density and impact resistant plasterboard lining on one side of the wall and 1x16mm fire resistant plasterboard lining on other side both side fixed to 150mm steel stud with insulation; Fire Rating: 120/120/120 Acoustic Rating: Rw50</t>
  </si>
  <si>
    <t>WL-03 - 1x13mm impact resistant plasterboard lining with fixed 35mm vertical and 25mm horizontal tophat; Fire Rating: 120/120/120 (NB: No details provided, assumed WL-02 linings)</t>
  </si>
  <si>
    <t>WL-03 - 1x13mm impact resistant plasterboard lining with fixed 35mm vertical and 25mm horizontal tophat; Fire Rating: 120/120/120; Acoustic Rating: Rw45 (NB: No details provided, assumed WL-02 linings)</t>
  </si>
  <si>
    <t>WL-03 - 1x13mm impact resistant plasterboard lining with fixed 35mm vertical and 25mm horizontal tophat; Fire Rating: 120/120/120; Acoustic Rating: Rw50 (NB: No details provided, assumed WL-02 linings)</t>
  </si>
  <si>
    <t>IW-03 - 1x16mm fire resistant plasterboard lining on both side of the wall fixed to 92mm steel stud with insulation; Fire Rating: 60/60/60</t>
  </si>
  <si>
    <t>IW-03 - 1x16mm fire resistant plasterboard lining on both side of the wall fixed to 92mm steel stud with insulation; Fire Rating: 60/60/60; Acoustic Rating: Rw35</t>
  </si>
  <si>
    <t>IW-03 - 1x16mm fire resistant plasterboard lining on both side of the wall fixed to 92mm steel stud with insulation; Fire Rating: 60/60/60; Acoustic Rating: Rw50</t>
  </si>
  <si>
    <t>IW-03 - 1x16mm fire resistant plasterboard lining on both side of the wall fixed to 92mm steel stud with insulation; Fire Rating: 120/120/120</t>
  </si>
  <si>
    <t>IW-04 - 1x16mm fire resistant plasterboard lining on one side the wall and 1x16mm fire resistant plasterboard lining with 1x9mm fibre cement sheet lining on other side both fixed to 92mm steel stud with insulation; Fire Rating: 60/60/60; Acoustic Rating: Rw40</t>
  </si>
  <si>
    <t xml:space="preserve">IW-06 - 1x13mm impact resistant plasterboard lining on one side of the wall and 9mm fibre cement sheet lining  both fixed to 92mm steel stud with insulation; Fire Rating: 120/120/120; Acoustic Rating: Rw40</t>
  </si>
  <si>
    <t>IW-01 - 1x13mm impact resistant plasterboard lining on both side of the wall fixed to 92mm steel stud with insulation; Acoustic Rating: Rw35</t>
  </si>
  <si>
    <t>IW-01 - 1x13mm impact resistant plasterboard lining on both side of the wall fixed to 92mm steel stud with insulation; Acoustic Rating: Rw40</t>
  </si>
  <si>
    <t>IW-01 - 1x13mm impact resistant plasterboard lining on both side of the wall fixed to 92mm steel stud with insulation; Acoustic Rating: Rw45</t>
  </si>
  <si>
    <t>IW-02 - 1x13mm impact resistant plasterboard lining on one side of the wall and 2x13mm impact resistant plasterboard lining on other side both side fixed to 92mm steel stud with insulation; Acoustic Rating: Rw40</t>
  </si>
  <si>
    <t>IW-02 - 1x13mm impact resistant plasterboard lining on one side of the wall and 2x13mm impact resistant plasterboard lining on other side both side fixed to 92mm steel stud with insulation; Acoustic Rating: Rw45</t>
  </si>
  <si>
    <t xml:space="preserve">IW-02 B -  1x13mm high density and impact resistant plasterboard lining on one side of the wall and 1x16mm fire resistant plasterboard lining on other side both side fixed to 150mm steel stud with insulation; Acoustic Rating: Rw50</t>
  </si>
  <si>
    <t>IW-05 - 1x9mm fibre cement sheet lining on both side of the wall fixed to 92mm steel stud with insulation; Acoustic Rating: Rw35</t>
  </si>
  <si>
    <t>IW-05 - 1x9mm fibre cement sheet lining on both side of the wall fixed to 92mm steel stud with insulation; Acoustic Rating: Rw40</t>
  </si>
  <si>
    <t xml:space="preserve">IW-06 - 1x13mm impact resistant plasterboard lining on one side of the wall and 9mm fibre cement sheet lining  both fixed to 92mm steel stud with insulation; Acoustic Rating: Rw40</t>
  </si>
  <si>
    <t>IW-09 - 9mm fibre cement sheet lining fixed to 92mm steel stud; Acoustic Rating: Rw50</t>
  </si>
  <si>
    <t>IW-25 - 9mm fibre cement sheet lining fixed to 92mm steel stud with insulation; Acoustic Rating: Rw40</t>
  </si>
  <si>
    <t>IW-50 1x13mm high density plasterboard lining on both side of the wall fixed to 150mm steel stud with insulation; Acoustic Rating: Rw45</t>
  </si>
  <si>
    <t>IW-60 - 1x13mm high density and impact resistant plasterboard lining fixed to 76mm steel stud with insulation on one side of the wall; 90mm cavity; 1x13mm high density and impact resistant plasterboard lining fixed to 76mm steel stud with insulation on other side; Acoustic Rating: Rw45</t>
  </si>
  <si>
    <t>WL-02 - 1x13mm impact resistant plasterboard lining with fixed 35mm vertical and 25mm horizontal tophat; Acoustic Rating: Rw40</t>
  </si>
  <si>
    <t>IW-01 - 1x13mm impact resistant plasterboard lining on both side of the wall fixed to 92mm steel stud with insulation</t>
  </si>
  <si>
    <t>IW-13 - 13mm standard flush plasterboard lining fixed to 92mm steel stud</t>
  </si>
  <si>
    <t>PINBOARD</t>
  </si>
  <si>
    <t>PIN-402A - 25mm thick Pinboard; Colour: Wheat Scan</t>
  </si>
  <si>
    <t>Level 1 (A-1301-04 to A-1303-04)</t>
  </si>
  <si>
    <t>PIN-401B - 12mm thick Pinboard; Colour: Celery</t>
  </si>
  <si>
    <t>Ground floor (A-1300-04 to A-1302-04)</t>
  </si>
  <si>
    <t>PIN-401C - 12mm thick Pinboard; Colour: Tumeric</t>
  </si>
  <si>
    <t>PIN-401D - 12mm thick Pinboard; Colour: Milkyway</t>
  </si>
  <si>
    <t>WHITEBOARD</t>
  </si>
  <si>
    <t>WTB-101 (NB: No details provided)</t>
  </si>
  <si>
    <t>LINING TO WALLS</t>
  </si>
  <si>
    <t>LIN-601 - Security galvanised steel mesh; 100mm long way mesh; 50mm short way mesh;</t>
  </si>
  <si>
    <t xml:space="preserve">Plywood Reinforcement to Walls (NB: Refer to  MLD Install Template for Preschool, Patternbook)</t>
  </si>
  <si>
    <t>Wall Reinforcement to Audio Visual Screens</t>
  </si>
  <si>
    <t>Wall Reinforcement to Multi Learning Display</t>
  </si>
  <si>
    <t xml:space="preserve">Operable Walls and  Overhead Doors</t>
  </si>
  <si>
    <t>Operable Walls</t>
  </si>
  <si>
    <t>2150x6650mm wide ID-05 solid core concertina door with metal frame in paint finish</t>
  </si>
  <si>
    <t>Ceilings</t>
  </si>
  <si>
    <t>17/1A</t>
  </si>
  <si>
    <t>17/1B</t>
  </si>
  <si>
    <t>Refer to following sections of Calderwood Primary School "Architectural Specification" Revision 03 dated 12 September 2025 by Bennett and Trimble for: 0438 - Fibre Cement Cladding, 0471 - Insulation and Barriers, 0522 - Partitions and Linings, 0531 - Suspended Ceiling, 0671 - Painting</t>
  </si>
  <si>
    <t xml:space="preserve">Refer to  New Primary School and Public Preschool in Calderwood "Finishes Schedule" Revision CD-2 dated 12 September 2025 by Bennett and Trimble</t>
  </si>
  <si>
    <t xml:space="preserve">Refer to following architectural drawing series: 11 for "General Arrangement Plans", 13 for "RCP", 20 for "Elevations", 30 for "Sections", 32 for "Details - Sections",  33 for "Details - Plan", 6 for "RLS", 8 for "Schedules"</t>
  </si>
  <si>
    <t>17/1C</t>
  </si>
  <si>
    <t>Cutting and making good around sprinkler heads, pipes and the like</t>
  </si>
  <si>
    <t>17/1D</t>
  </si>
  <si>
    <t>Movement and control joints</t>
  </si>
  <si>
    <t>17/1E</t>
  </si>
  <si>
    <t>Purpose made stop beads, casing beads and corner beads</t>
  </si>
  <si>
    <t>17/1F</t>
  </si>
  <si>
    <t>17/1G</t>
  </si>
  <si>
    <t>17/1H</t>
  </si>
  <si>
    <t>17/1J</t>
  </si>
  <si>
    <t>Allow for submitting samples</t>
  </si>
  <si>
    <t>17/1K</t>
  </si>
  <si>
    <t>17/1L</t>
  </si>
  <si>
    <t>17/1M</t>
  </si>
  <si>
    <t>17/1N</t>
  </si>
  <si>
    <t>17/1P</t>
  </si>
  <si>
    <t>17/2A</t>
  </si>
  <si>
    <t>Allow for giving notice of inspections</t>
  </si>
  <si>
    <t>17/2B</t>
  </si>
  <si>
    <t xml:space="preserve">Allow for providing spares </t>
  </si>
  <si>
    <t>Assume pelmets located on windows area with roller blinds.</t>
  </si>
  <si>
    <t>CEILING TYPE</t>
  </si>
  <si>
    <t>Ceiling Type up to 3.50m height from FFL</t>
  </si>
  <si>
    <t xml:space="preserve">CLG-101 - 13mm standard suspended flush plasterboard lining in ceiling suspension system; Finish: Painted PTC03, unless noted otherwise; Support Framing: Approximately 25 x 38mm galvanised steel furring channels at maximum 
600mm centres, fixed to approximately 38 x 20mm suspended galvanised steel top cross rails at maximum 1200mm centres. Suspend the top cross 
rails from the building structure above with galvanised steel rod at maximum 1200mm centres;</t>
  </si>
  <si>
    <t xml:space="preserve">CLG-102 -  1200x600mm moisture-resistant, flush plasterboard lining fixed to suspended metal support 
framing system in grid ceiling system; Fire hazard properties: Group 1; Fire performance: Non-combustible; Finish: Painted PTC03, unless noted otherwise;</t>
  </si>
  <si>
    <t>CLG-110 - 1200x600mm with 30mm thk standard suspended acoustic mineral fibre plasterboard tile to suit Armstrong grid system; Edge profile: Tegular 15; Grid system: PeakForm Superﬁne 15 XL2 Steel 15mm Tee;</t>
  </si>
  <si>
    <t>CLG-114 - 25mm thk surface stick acoustic ceiling panel in ceiling suspension system; Supplier: Acoufelt/ Filasorb; Color: Milkyway;</t>
  </si>
  <si>
    <t xml:space="preserve">CLG-115 -  13mm standard suspended flush plasterboard lining, security flush with suspended galvanised steel security mesh in ceiling suspension system; Finish: Painted PTC03, unless noted otherwise;</t>
  </si>
  <si>
    <t>CPA-03 - 9mm thk high density, compressed Cemintel Barestone fibre cement sheeting fixed to support framing; Supplier: CSR;</t>
  </si>
  <si>
    <t>LIN-601 - Galvanised steel security mesh;</t>
  </si>
  <si>
    <t>Ceiling Type 3.5 to 4.50m height from FFL</t>
  </si>
  <si>
    <t>Raked CMS-02 - Non-combustible cladding metal sheet soffit; Finish: Colorbond; Colour: Zincalume; Material: Aluminium/ zinc alloy coated steel and custom shaped polyethylene strips;</t>
  </si>
  <si>
    <t>BULKHEADS AND CEILING ACCESSORIES</t>
  </si>
  <si>
    <t>Bulkheads (Including bulkhead to skylights and stair opening)</t>
  </si>
  <si>
    <t>Plasterboard Bulkheads greater than 250mm high</t>
  </si>
  <si>
    <t>Cornice, Lighting Cove &amp; Pelmets</t>
  </si>
  <si>
    <t>Pelmet (NB: No details provided.)</t>
  </si>
  <si>
    <t>10mm Rondo P50 steel shadowline</t>
  </si>
  <si>
    <t>Access Panels</t>
  </si>
  <si>
    <t>600 x 600mm wide Access Panels for CLG-101</t>
  </si>
  <si>
    <t>600 x 600mm wide Access Panels for CLG-102</t>
  </si>
  <si>
    <t>600 x 600mm wide Access Panels for CLG-115</t>
  </si>
  <si>
    <t>Tiling</t>
  </si>
  <si>
    <t>19/1A</t>
  </si>
  <si>
    <t>19/1B</t>
  </si>
  <si>
    <t>Refer to following sections of Calderwood Primary School "Architectural Specification" Revision 03 dated 12 September 2025 by Bennett and Trimble for: 0181A - Adhesives, Sealant and Fasteners, 0612 - Screed, 0630 - Tiling</t>
  </si>
  <si>
    <t>Refer to New Primary School and Public Preschool in Calderwood "Finishes Schedule" Revision CD-2 dated 12 September 2025 by Architect Bennett and Trimble</t>
  </si>
  <si>
    <t>19/1C</t>
  </si>
  <si>
    <t>Temporary rules, temporary grounds, temporary screeds and the like</t>
  </si>
  <si>
    <t>19/1D</t>
  </si>
  <si>
    <t>Cutting and making good around pipes, sanitary fittings, floor wastes and the like</t>
  </si>
  <si>
    <t>19/1E</t>
  </si>
  <si>
    <t>All normal bedding and pointing materials, adhesives and the like</t>
  </si>
  <si>
    <t>19/1F</t>
  </si>
  <si>
    <t>Standard glazed edge tiles</t>
  </si>
  <si>
    <t>19/1G</t>
  </si>
  <si>
    <t>Salient and re-entrant corners including trims if required by the documents</t>
  </si>
  <si>
    <t>19/1H</t>
  </si>
  <si>
    <t>19/1J</t>
  </si>
  <si>
    <t>Allow for attending on and making good after all other trades, cutting out and making good defective work</t>
  </si>
  <si>
    <t>19/1K</t>
  </si>
  <si>
    <t>19/1L</t>
  </si>
  <si>
    <t>19/1M</t>
  </si>
  <si>
    <t xml:space="preserve">Allow for laying sample panel </t>
  </si>
  <si>
    <t>19/2A</t>
  </si>
  <si>
    <t>19/2B</t>
  </si>
  <si>
    <t>Allow for cleaning and polishing on completion</t>
  </si>
  <si>
    <t>19/2C</t>
  </si>
  <si>
    <t>Allow for grouted and caulked joints</t>
  </si>
  <si>
    <t>19/2D</t>
  </si>
  <si>
    <t>Allow for spare tiles</t>
  </si>
  <si>
    <t>19/2E</t>
  </si>
  <si>
    <t>Allow for preparation of substrate</t>
  </si>
  <si>
    <t>19/2F</t>
  </si>
  <si>
    <t>There were no assumptions made for floor tiling. Documents were sufficient to cover the entire scope.</t>
  </si>
  <si>
    <t>TILING TO FLOOR</t>
  </si>
  <si>
    <t>FT-01X - 300x300mm Di Marmo terrazzo look porcelain tiles in "Kenzi" colour and "Matt" surface with stack bond pattern including Mapei ultracolor plus grout with Davco grout cure additive and sealant to match grout colour; Non-slip rating: R11/P4</t>
  </si>
  <si>
    <t>LEVELLING SCREED/TOPPING</t>
  </si>
  <si>
    <t>Minimum 1.5mm cement and polymer based levelling and smoothing compound in "Grey" colour with water based primer, pre-coat, bonding agent and pore closer (NB: Architectural Specification Revision 03 dated 12 September 2025 by Bennett and Trimble)</t>
  </si>
  <si>
    <t>TILING TO INTERNAL WALLS</t>
  </si>
  <si>
    <t>WT-01X - 10mm thick Wall Tiles (NB: No details provided)</t>
  </si>
  <si>
    <t>TILE SKIRTING</t>
  </si>
  <si>
    <t>SK-03 - 100mm high Ceramic Coved Tile; Surface: Gloss; Size: 300x100mm; Colour: White</t>
  </si>
  <si>
    <t>Carpet</t>
  </si>
  <si>
    <t>Refer to following sections of Calderwood Primary School "Architectural Specification" Revision 03 dated 12 September 2025 by Bennett and Trimble for: 0181A - Adhesives, Sealant and Fasteners, 0652 - Carpet</t>
  </si>
  <si>
    <t>18/1C</t>
  </si>
  <si>
    <t>Cutting including raking and circular cutting and waste</t>
  </si>
  <si>
    <t>18/1D</t>
  </si>
  <si>
    <t>Making good around pipes and the like</t>
  </si>
  <si>
    <t>18/1E</t>
  </si>
  <si>
    <t>21.1B</t>
  </si>
  <si>
    <t>Allow for all deemed to be included items</t>
  </si>
  <si>
    <t>21.1C</t>
  </si>
  <si>
    <t>21.1D</t>
  </si>
  <si>
    <t>21.1E</t>
  </si>
  <si>
    <t>Additional floor preparation items not documented but measured for best practice, builder to remove if not required</t>
  </si>
  <si>
    <t>CARPET FINISHES</t>
  </si>
  <si>
    <t>CPT-01A - 500x500x6.5mm thick modular carpet tile with textured type pattern, loop pile and Ashlar installation pattern; Interface EFSG Range: Escarpment; ACCS Grade: Commercial extra heavy duty &amp; stairs; Material: 100% recycled solution dyed nylon; Backing: CushionBacRE; Fixing System: Release type adhesive; Edge strip finish and colour: Hard clear anodised aluminium; VOC: Green Carpet - ASTM D5116 Accredited; Colour: Escarpment - Desert Neutral</t>
  </si>
  <si>
    <t>CPT-01B - 500x500x6.5mm thick modular carpet tile with textured type pattern, loop pile and Ashlar installation pattern; Interface EFSG Range: Escarpment; ACCS Grade: Commercial extra heavy duty &amp; stairs; Material: 100% recycled solution dyed nylon; Backing: CushionBacRE; Fixing System: Release type adhesive; Edge strip finish and colour: Hard clear anodised aluminium; VOC: Green Carpet - ASTM D5116 Accredited; Colour: Escarpment - Saltwater Cliff</t>
  </si>
  <si>
    <t>CPT-01C - 500x500x6.5mm thick modular carpet tile with textured type pattern, loop pile and Ashlar installation pattern; Interface EFSG Range: Escarpment; ACCS Grade: Commercial extra heavy duty &amp; stairs; Material: 100% recycled solution dyed nylon; Backing: CushionBacRE; Fixing System: Release type adhesive; Edge strip finish and colour: Hard clear anodised aluminium; VOC: Green Carpet - ASTM D5116 Accredited; Colour: Escarpment - Desert Shrub</t>
  </si>
  <si>
    <t>CPT-02A - 500x500x6.5mm thick alternating stripes modular carpet tile consisting of alternating bands of 500mm wide tiles, equal quantities of each color with textured type pattern, loop pile and Ashlar installation pattern; Interface EFSG Range: Escarpment; ACCS Grade: Commercial extra heavy duty &amp; stairs; Material: 100% recycled solution dyed nylon; Backing: CushionBacRE; Fixing System: Release type adhesive; Edge strip finish and colour: Hard clear anodised aluminium; VOC: Green Carpet - ASTM D5116 Accredited; Colours: Escarpment - Rainforest Floor &amp; Escarpment - Desert Neutral</t>
  </si>
  <si>
    <t>CPT-02B - 500x500x6.5mm thick alternating stripes modular carpet tile consisting of alternating bands of 500mm wide tiles, equal quantities of each color with textured type pattern, loop pile and Ashlar installation pattern; Interface EFSG Range: Escarpment; ACCS Grade: Commercial extra heavy duty &amp; stairs; Material: 100% recycled solution dyed nylon; Backing: CushionBacRE; Fixing System: Release type adhesive; Edge strip finish and colour: Hard clear anodised aluminium; VOC: Green Carpet - ASTM D5116 Accredited; Colours: Escarpment - Desert Shrub &amp; Escarpment - Saltwater Neutral</t>
  </si>
  <si>
    <t>ENTRY MAT</t>
  </si>
  <si>
    <t>MAT-01 - 2050x9mm thick Forbo Coral Bush entrance matting; Dimension: 27.5m x2050mm nominal; Pile Height: 7mm; LRV: 3%</t>
  </si>
  <si>
    <t>FLOOR JUNCTION</t>
  </si>
  <si>
    <t>between Carpet &amp; Tile</t>
  </si>
  <si>
    <t>between Carpet &amp; Vinyl</t>
  </si>
  <si>
    <t>FLOOR PREPARATION AND PROTECTION</t>
  </si>
  <si>
    <t>Grind floor (if required)</t>
  </si>
  <si>
    <t xml:space="preserve">Make good floor levels (3mm ardit / topping), 50% of area allowed </t>
  </si>
  <si>
    <t>Allow for floor protection to carpet areas</t>
  </si>
  <si>
    <t>Resilient Flooring</t>
  </si>
  <si>
    <t>18/1A</t>
  </si>
  <si>
    <t>18/1B</t>
  </si>
  <si>
    <t>Refer to following sections of Calderwood Primary School "Architectural Specification" Revision 03 dated 12 September 2025 by Bennett and Trimble for: 0181A - Adhesives, Sealant and Fasteners, 0651 - Resilient Finishes</t>
  </si>
  <si>
    <t>18/1F</t>
  </si>
  <si>
    <t>18/1G</t>
  </si>
  <si>
    <t>18/1H</t>
  </si>
  <si>
    <t>18/1J</t>
  </si>
  <si>
    <t>18/1K</t>
  </si>
  <si>
    <t>18/1L</t>
  </si>
  <si>
    <t>18/1M</t>
  </si>
  <si>
    <t>18/2A</t>
  </si>
  <si>
    <t>Allow for spare materials as specified (1%)</t>
  </si>
  <si>
    <t>18/2B</t>
  </si>
  <si>
    <t>18/2C</t>
  </si>
  <si>
    <t>Assumed RS-02X be same detail as RF-02</t>
  </si>
  <si>
    <t>VINYL FLOORING</t>
  </si>
  <si>
    <t>RF-01 - 2mm thick Forbo Surestep Original PVC Vinyl in "Smoke" colour and homogenous sheet form; Wearlayer dimension: 25m x 200cm x 0.7mm NCS S 6000-N; LRV: 19%</t>
  </si>
  <si>
    <t>RF-02 - 2mm thick Forbo Sphera Energetic PVC Vinyl in "Vivid Nutmeg" colour and homogenous sheet form; Wearlayer dimension: 27m x 200cm NCS S 6000-N; LRV: 31%</t>
  </si>
  <si>
    <t>RF-03 - 2mm thick Forbo Safestep R11 textured PVC Vinyl in "Smoke" colour, sanded pattern and homogenous sheet form; Sheet width: 2000mm; Critical radiant flux: 8.8kW/m2; Slip resistance classification: R11/P5; Underlay: 2mm Sarlibase acoustic underlay with levelling compound</t>
  </si>
  <si>
    <t>RF-04 - 2mm thick Sphera SD textured PVC Vinyl in "Dark Neutral Grey" colour, sanded pattern and homogenous sheet form; Sheet width: 2000mm; Critical radiant flux: 8.8kW/m2; Slip resistance classification: R12/P5</t>
  </si>
  <si>
    <t>SEALER/EPOXY FLOORING</t>
  </si>
  <si>
    <t>CON-02 - Penetrating Sealer</t>
  </si>
  <si>
    <t>between Vinyl &amp; Tile</t>
  </si>
  <si>
    <t xml:space="preserve">Allow for costs associated with treating concrete slabs to meet AS1884 ready to receive resilient finishes if the required moisture content cannot be achieved including the application of selected sealer </t>
  </si>
  <si>
    <t>Allow to strip and seal laid vinyl flooring</t>
  </si>
  <si>
    <t>Allow for floor protection to vinyl areas</t>
  </si>
  <si>
    <t>Timber Sprung Flooring / Sports Flooring</t>
  </si>
  <si>
    <t>Carpentry (Hall Stage &amp; Internal Ramps)</t>
  </si>
  <si>
    <t>Joinery</t>
  </si>
  <si>
    <t>20/1A</t>
  </si>
  <si>
    <t>20/1B</t>
  </si>
  <si>
    <t>Refer to the following architectural drawing series: 7 for "Joinery", 14 for "FFE"</t>
  </si>
  <si>
    <t>Refer to following sections of Calderwood Primary School "Architectural Specification" Revision 03 dated 12 September 2025 by Bennett and Trimble: 0551 - Joinery</t>
  </si>
  <si>
    <t>Refer to New Primary School and Public Preschool in Calderwood "Finishes - Schedule" Revision CD-02 dated 12 September 2025 by Architect Bennett and Trimble</t>
  </si>
  <si>
    <t>20/1C</t>
  </si>
  <si>
    <t>20/1D</t>
  </si>
  <si>
    <t>20/1E</t>
  </si>
  <si>
    <t>20/1F</t>
  </si>
  <si>
    <t>Drawer and door hardware</t>
  </si>
  <si>
    <t>20/1G</t>
  </si>
  <si>
    <t>Mitred angles and stopped and fitted ends</t>
  </si>
  <si>
    <t>20/1H</t>
  </si>
  <si>
    <t>20/1J</t>
  </si>
  <si>
    <t>20/1K</t>
  </si>
  <si>
    <t>20/1L</t>
  </si>
  <si>
    <t>Allow for Contractor's submissions</t>
  </si>
  <si>
    <t>20/1M</t>
  </si>
  <si>
    <t>20/2A</t>
  </si>
  <si>
    <t>20/2B</t>
  </si>
  <si>
    <t>JNB-02A - Panel; Finish: Double-Sided HPL Laminate ; Colour: Colour White; Supplier: Laminex</t>
  </si>
  <si>
    <t>JNB-02B - Panel; Finish: Double-Sided HPL Laminate; Colour: Coastal Sunrise; Supplier: Laminex</t>
  </si>
  <si>
    <t xml:space="preserve">JNB-02C - Panel; Finish: Double-Sided HPL Laminate; Colour:  Burnt Ochre; Supplier: Laminex</t>
  </si>
  <si>
    <t>JNB-02D - Panel; Finish: Double-Sided HPL Laminate; Colour: Pale Honey; Supplier: Laminex</t>
  </si>
  <si>
    <t>JNB-02E - Panel; Finish: Double-Sided HPL Laminate; Colour: Eucalypt; Supplier: Laminex</t>
  </si>
  <si>
    <t>JNB-02F - Panel; Finish: Double-Sided HPL Laminate; Colour: Lava Grey; Supplier: Laminex</t>
  </si>
  <si>
    <t>JNB-02G - Panel; Finish: Double-Sided HPL Laminate; Colour: Curly Birch; Supplier: Laminex</t>
  </si>
  <si>
    <t>JNB-01A - Benchtop; Finish: Double-Sided HPL Laminate; Colour: Colour White; Supplier: Laminex</t>
  </si>
  <si>
    <t>JNB-01B - Benchtop; Finish: Double-Sided HPL Laminate; Colour: Coastal Sunrise; Supplier: Laminex</t>
  </si>
  <si>
    <t>JNB-01C - Benchtop; Finish: Double-Sided HPL Laminate; Colour: Burnt Ochre; Supplier: Laminex</t>
  </si>
  <si>
    <t>JNB-01D - Benchtop; Finish: Double-Sided HPL Laminate; Colour: Pale Honey; Supplier: Laminex</t>
  </si>
  <si>
    <t>JNB-01E - Benchtop; Finish: Double-Sided HPL Laminate; Colour: Eucalypt; Supplier: Laminex</t>
  </si>
  <si>
    <t>JNB-01F - Benchtop; Finish: Double-Sided HPL Laminate; Colour: Lava Grey; Supplier: Laminex</t>
  </si>
  <si>
    <t>JNB-01G - Benchtop; Finish: Double-Sided HPL Laminate; Colour: Curly Birch; Supplier: Laminex</t>
  </si>
  <si>
    <t>JNF-01A - Kickplate and Splashback; Finish: Double-Sided HPL Laminate; Colour: Colour White; Supplier: Laminex</t>
  </si>
  <si>
    <t>JNF-01B - Kickplate and Splashback; Finish: Double-Sided HPL Laminate; Colour: Coastal Sunrise; Supplier: Laminex</t>
  </si>
  <si>
    <t>JNF-01C - Kickplate and Splashback; Finish: Double-Sided HPL Laminate; Colour: Burnt Ochre; Supplier: Laminex</t>
  </si>
  <si>
    <t>JNF-01D - Kickplate and Splashback; Finish: Double-Sided HPL Laminate; Colour: Pale Honey; Supplier: Laminex</t>
  </si>
  <si>
    <t>JNF-01E - Kickplate and Splashback; Finish: Double-Sided HPL Laminate; Colour: Eucalypt; Supplier: Laminex</t>
  </si>
  <si>
    <t>JNF-01F - Kickplate and Splashback; Finish: Double-Sided HPL Laminate; Colour: Lava Grey; Supplier: Laminex</t>
  </si>
  <si>
    <t>JNF-01G - Kickplate and Splashback; Finish: Double-Sided HPL Laminate; Colour: Curly Birch; Supplier: Laminex</t>
  </si>
  <si>
    <t>SS - Benchtop; Finish: 304 Stainless Steel</t>
  </si>
  <si>
    <t>PIN-401A - Pinboard - 12mm Type; Colour: Wheat Scan</t>
  </si>
  <si>
    <t>PIN-401C - Pinboard - 12mm Type; Colour: Tumeric</t>
  </si>
  <si>
    <t>PIN-401D - Pinboard - 12mm Type; Colour: Milkyway</t>
  </si>
  <si>
    <t>Joinery finish tags are not indicated on the drawings. It is assumed that all joinery unit finishes are in accordance with the Room Layout Sheets and Finishes Schedule</t>
  </si>
  <si>
    <t>Joinery unit</t>
  </si>
  <si>
    <t>JNH-101 - 2500x600x1485mm high Learning Commons underbench cupboard with 2500x600mm wide benchtop in JNB-01F finish, three (3) 1-door shelf cabinets, two (2) 1-door drawers in JNB-02F finish, 615mm high splashback, 100 mm high kickboard in JNF-01F finish (NB: Refer to drawing no. CCWPS-BAT-B00A-ZZ-DR-A-7003-02 for further details)</t>
  </si>
  <si>
    <t xml:space="preserve">JNH-102 - 2500x600x1485mm high Learning Commons underbench cupboard with 2500x600mm wide benchtop in JNB-01F finish, one (1) 1-door, two (2) 2-door shelf cabinets, 615mm high splashback, 100 mm high kickboard  in JNF-01F finish (NB: Refer to drawing no. CWPS-BAT-B00A-ZZ-DR-A-7003-02 for further details)</t>
  </si>
  <si>
    <t xml:space="preserve">JNP-101A - 8450x700x2750mm high GLS joinery unit with three (3) 1450mm high 2-door cupboards in JNB-02A  finish with four internal shelves at each end, eight (8) 2-tier equal-height lower open shelves at each end, four (4) open shelves in the middle portion in JNB-02C finish, 2330x1750mm high wall panel, 100 mm high kickboard in JNF-01C finish, and 600mm high joinery bulkhead in PIN-401C finish (NB: Refer to drawing no. CWPS-BAT-B00A-ZZ-DR-A-7000-02 for further details)
</t>
  </si>
  <si>
    <t xml:space="preserve">JNP-101B - 8450x700x2750mm high GLS joinery unit with three (3) 1450mm high 2-door cupboard in JNB-02A  finish with four internal shelves at one end,  two (2) 1450mm high 2-door cupboard in JNB-02A  finish with four internal shelves on the other end, eight (8) 2-tier equal-height lower open shelves at each end, four (4) open shelves in the middle portion in JNB-02C finish, 2330x1750mm high wall panel, 100 mm high kickboard in JNF-01C finish, and 600mm high joinery bulkhead in PIN-401C finish (NB: Refer to drawing no. CWPS-BAT-B00A-ZZ-DR-A-7001-02 for further details)
</t>
  </si>
  <si>
    <t xml:space="preserve">JNP-102 - 7050x510x700mm high Multi Purpose Space underbench shelving with eighteen (18) equal-height lower open shelves in JNB-02B finish, 100 mm high kickboard in JNF-01B finish (NB: Refer to drawing no. CWPS-BAT-B00A-ZZ-DR-A-7002-02 for further details)
</t>
  </si>
  <si>
    <t xml:space="preserve">JNP-103 - 5310x700x2750mm high GLS joinery unit with two (2) 1450mm high 2-door cupboard in JNB-02A finish with four internal shelves at one end, six (6) 2-tier at one end, two (2) 2-tier at the other end in JNB-02C finish, 2330x2050mm high wall panel, 100mm high kickboard in JNF-01C finish, and 600mm high joinery bulkhead in PIN-401C finish (NB: Refer to drawing no. CWPS-BAT-B00A-ZZ-DR-A-7000-02 for further details)
</t>
  </si>
  <si>
    <t xml:space="preserve">JNP-104 - 3200x700x2750mm high GLS joinery unit with three (3) 1450mm high 2-door cupboards in JNB-02A  finish with four internal shelves, nine (9) equal-height lower open shelves in JNB-02C finish, 100 mm high kickboard in JNF-01C finish and 600mm high joinery bulkhead in PIN-401C finish (NB: Refer to drawing no. CWPS-BAT-B00A-ZZ-DR-A-7001-02 for further details)
</t>
  </si>
  <si>
    <t>JNP-2XY - 4075x625x900mm high Public Reception L-shaped upholstered benchseat in FBTxx finish with 100mm high kickboad in JNF-01A finish (NB: Refer to drawing no. CWPS-BAT-B00A-R0-DR-A-7007-02 for further details)</t>
  </si>
  <si>
    <t>JNP-210 - 4000x1045x2400mm high Public Reception desk with 4000x700mm wide benchtop, 2350x227mm wide round floating benchtop in JNB-01B finish, two (2) 1-door underbench cupboard in JNB-02D finish, 100mm high kickboad in JNF-01D finish (NB: Refer to drawing no. CWPS-BAT-B00A-R0-DR-A-7007-02 for further details)</t>
  </si>
  <si>
    <t>JNP-213 - 1800mm long Sick Bay kitchen cupboard joinery unit with 1800x600mm wide benchtop in JNB-01E finish, 350x650mm high overhead cupboard with two (2) 2-door shelf cabinets, and 600x770mm high underbench cupboard with one (1) 2-door shelf cabinet, four (4) 1-door drawers in JNB-02E finish, 100mm high kickboard in JNF-01E finish (NB: Refer to drawing no. CWPS-BAT-B00A-R0-DR-A-7009-02 for further details)</t>
  </si>
  <si>
    <t>JNP-214 - 2800x1045x870mm high Clerical/Printing reception desk with 2800x695mm wide benchtop in JNB-01B finish, 2350x350mm wide round floating benchtop in JNB-01B finish, with two (2) 1-door shelf cabinets in JNB-02D finish, and 100mm high kickboard in JNF-01D finish (NB: Refer to drawing no. CWPS-BAT-B00A-ZZ-DR-A-7008-02 for further details)</t>
  </si>
  <si>
    <t>JNP-215 - 6745x655x700mm high Clerical/Printing L-shaped underbench cupboard with 7270x655mm wide benchtop in JNB-02D finish, six (6) 2-door underbench cupboards, one (1) 1-door underbench cupboard in JNB-02D finish, and 100mm high kickboard in JNF-01D finish (NB: Refer to drawing no. CWPS-BAT-B00A-R0-DR-A-7008-02 for further details)</t>
  </si>
  <si>
    <t xml:space="preserve">JNP-216 - 2740x600x870mm high Clerical/Printing underbench cupboard with 2740x600mm wide benchtop in JNB-02D finish, including two (2) 2-door underbench cupboards and two (2) 4-tier equal-height drawers in JNB-02D finish, with a 100mm high kickboard in JNF-01D finish 
(NB: Refer to drawing no. CWPS-BAT-B00A-R0-DR-A-7007-02 for further details)</t>
  </si>
  <si>
    <t>JNP-220 - 4825x635x900mm high Kitchen Area upholstered benchseat in FBTxx finish with a 100mm high kickboard in JNF-01A finish (NB: Refer to drawing no. CWPS-BAT-B00A-R0-DR-A-7010-02 for further details)</t>
  </si>
  <si>
    <t>JNP-221 - 3355x1000x870mm high Kitchen Area joinery unit with a 3355x1000mm wide benchtop in JNB-01D finish, two (2) 2-door underbench cupboards, one (1) 1-door underbench cupboard, two (2) 4-tier equal-height shelves in JNB-02D finish, and a 100mm high kickboard in JNF-01D finish (NB: Refer to drawing no. CWPS-BAT-B00A-R0-DR-A-7010-02 for further details)</t>
  </si>
  <si>
    <t>JNP-222 - 4755x700x2700mm high Kitchen Area joinery unit with a 4755x700mm wide benchtop JNB-01D finish, three (3) 2-door overhead cupboards, one (1) 2-door underbench cupboard, one (1) 4-tier equal-height shelf, one (1) 2-tier equal-height shelf, and open shelf provisions for a microwave, oven, and two fridges in JNB-02D finish. Includes a 100mm high kickboard in JNF-01D finish, and 600mm high joinery bulkhead in PIN-401A finish (NB: Refer to drawing no. CWPS-BAT-B00A-R0-DR-A-7010-02 for further details)</t>
  </si>
  <si>
    <t xml:space="preserve">JNP-241 - 5010x700x720mm high Library J-shaped reception desk in JNB-02G finish with 5010x650mm wide benchtop in JNB-01G finish, 1530mm high glazing screen, and 100mm high kickboard in JNF-01G finish (NB: Refer to drawing no. CWPS-BAT-B00A-R0-DR-A-7006-02 for further details)
</t>
  </si>
  <si>
    <t>No</t>
  </si>
  <si>
    <t>JNP-242 - 2095x600x1500mm high Office kitchen underbench cupboard joinery unit with 2095x600mm wide benchtop, one (1) 770mm high 2-door cupboard with internal shelves, one (1) 4-tier equal-height shelf unit in JNB-02F finish, 630mm high splashback, and 100mm high kickboard in JNF-01F finish (NB: Refer to drawing no. CWPS-BAT-B00A-R0-DR-A-7004-02 for further details)</t>
  </si>
  <si>
    <t>JNP-243 L - 2095x600x1500mm high Special Programs Room kitchen underbench cupboard joinery unit with a 2095x700mm wide benchtop, including one (1) 770mm high 2-door cupboard with internal shelves in JNB-02E finish, a 630mm high splashback, and a 100mm high kickboard in JNF-01E finish (NB: Refer to drawing no. CWPS-BAT-B00A-R0-DR-A-7004-02 for further details)</t>
  </si>
  <si>
    <t>JNP-243 R - 2095x600x1500mm high Special Programs Room kitchen underbench cupboard joinery unit with a 2095x700mm wide benchtop, including one (1) 770mm high 2-door cupboard with internal shelves in JNB-02E finish, a 630mm high splashback, and a 100mm high kickboard in JNF-01E finish (NB: Refer to drawing no. CWPS-BAT-B00A-R0-DR-A-7004-02 for further details)</t>
  </si>
  <si>
    <t>JNP-244 - 1850x380x1500mm high Library shelves with one (1) 3-tier equal-height hanging shelf in JNB-02E finish, 70mm high kickboard in JNF-01E finish (NB: Refer to drawing no. CCWPS-BAT-B00A-R0-DR-A-7005-02 for further details)</t>
  </si>
  <si>
    <t>JNP-244 - 4105x433x2405mm high Library shelves with four (4) wide shelves on both sides, one (1) 3 column lower shelves on both sides in JNB-02E finish, 100mm high kickboard in JNF-01E finish (NB: Refer to drawing no. CWPS-BAT-B00A-R0-DR-A-7005-02 for further details)</t>
  </si>
  <si>
    <t>JNP-245 - 11025x500x700mm high Library shelving unit with eight (8) shelves in JNB-02G finish, with a 100mm high kickboard in JNF-01G finish (NB: Refer to drawing no. CWPS-BAT-B00A-R0-DR-A-7006-02 for further details)</t>
  </si>
  <si>
    <t>Metalwork</t>
  </si>
  <si>
    <t>21/1A</t>
  </si>
  <si>
    <t>21/1B</t>
  </si>
  <si>
    <t>Refer to following sections of Calderwood Primary School "Architectural Specification" Revision 03 dated 12 September 2025 by Bennett and Trimble for: 0181A - Adhesives, Sealant and Fasteners, 0183a - Metals and Pre-Finishes, 0195 - Tactile Indicators and Stair Nosing, 0552 - Architectural Metalwork</t>
  </si>
  <si>
    <t>Refer to the following Calderwood Primary School architectural drawing series: A-1100 for "General Arrangements Plan", A-1200 for "Concrete Outlne", A-2000 for "Elevations", A-3200 for "Details - Sections", A-3300 for "Details - Plan", A-4000 for "Detail Areas", A-5000 for "Stair and Lift"</t>
  </si>
  <si>
    <t>21/1C</t>
  </si>
  <si>
    <t>21/1D</t>
  </si>
  <si>
    <t>21/1E</t>
  </si>
  <si>
    <t>Cutting to dead lengths and machining ends and bearings</t>
  </si>
  <si>
    <t>21/1F</t>
  </si>
  <si>
    <t>21/1G</t>
  </si>
  <si>
    <t>21/1H</t>
  </si>
  <si>
    <t>21/1J</t>
  </si>
  <si>
    <t>21/1K</t>
  </si>
  <si>
    <t>21/1L</t>
  </si>
  <si>
    <t>Allow for tests</t>
  </si>
  <si>
    <t>21/1M</t>
  </si>
  <si>
    <t>21/2A</t>
  </si>
  <si>
    <t>21/2B</t>
  </si>
  <si>
    <t>BALUSTRADES AND HANDRAILS</t>
  </si>
  <si>
    <t>Ground Floor (DR-A-1100-07)</t>
  </si>
  <si>
    <t>BAL-01 - Pattern Book Balustrade; Top Rail: 75x12mm thick flat (angled); Posts/Balusters: 75x12mm thick flat; 1300mm high; 50x12mm galvanised steel flat bar; 50x12mm galvanised steel flat bar posts; 100x12mm kerb rail height; 50x12mm galvanised steel flat bottom plate</t>
  </si>
  <si>
    <t>AMW-123 - 33 diameter; 75x12mm Double Handrail, 900mm high top handrail, 700mm high lower handrail</t>
  </si>
  <si>
    <t>Level 1 (DR-A-1101-07)</t>
  </si>
  <si>
    <t>AMW-123 - 75x12mm Double Handrail, 900mm high top handrail, 700mm high lower handrail</t>
  </si>
  <si>
    <t>SCREENS</t>
  </si>
  <si>
    <t>SCR-01 - External Stair Screen, Nom. Solidal PMP U100, Perforation patterns TBC, Finish: Powdercoat Finish, Colour: Dulux Duratec Desert Satin Finish</t>
  </si>
  <si>
    <t>DRAIN</t>
  </si>
  <si>
    <t>GD-01 - Linear Grated Drain, Material: 316 Stainless steel</t>
  </si>
  <si>
    <t>THRESHOLD PLATE</t>
  </si>
  <si>
    <t>AMW-232 - Threshold Plate Walkway; 100mmx6mm; Finish: Matt Silver (Clear anodised); Countersunk SS fixings at minimum 300mm centres and adhesive</t>
  </si>
  <si>
    <t>LOUVRE</t>
  </si>
  <si>
    <t>Ground Floor (A-1100-07, A-1103-07, A-2000-05, A-2001-05)</t>
  </si>
  <si>
    <t>Fixed Ventilation Grille Louvre</t>
  </si>
  <si>
    <t xml:space="preserve">2050x1117mm wide EW-09 fixed ventilation grille louvre with aluminium frame in powdercoated finish; Colour: Dulux Charisma Shale Grey; Others: Aluminum-Framed Fly Screen behind louvre (max 2mm aperture); Framing: aluminum extrusions with mesh fixing channel; Mesh: anodised aluminum mesh beaded into the frame channel with a continuous resilient gasket; Fixing: concealed fixed (Area of 1  = 2.29m2)</t>
  </si>
  <si>
    <t xml:space="preserve">2050x1150mm wide EW-10 fixed ventilation grille louvre with aluminium frame in powdercoated finish and inward opening ventilated door panel; Colour: Dulux Charisma Shale Grey; Others: Aluminum-Framed Fly Screen behind louvre (max 2mm aperture); Framing: aluminum extrusions with mesh fixing channel; Mesh: anodised aluminum mesh beaded into the frame channel with a continuous resilient gasket; Fixing: concealed fixed (Area of 1  = 2.36m2)</t>
  </si>
  <si>
    <t>Mechanical Fixed Louvre</t>
  </si>
  <si>
    <t xml:space="preserve">710x1117mm wide LV-01 fixed mechanical louvre with aluminium frame in powdercoated finish; Colour: Dulux Charisma Shale Grey; Others: stainless steel ember/vermin mesh (max 2mm aperture) behind louvre </t>
  </si>
  <si>
    <t xml:space="preserve">740x1150mm wide LV-04 fixed mechanical louvre with aluminium frame in powdercoated finish; Colour: Dulux Charisma Shale Grey; Others: stainless steel ember/vermin mesh (max 2mm aperture) behind louvre </t>
  </si>
  <si>
    <t xml:space="preserve">710x1150mm wide LV-02 fixed mechanical louvre with aluminium frame in powdercoated finish; Colour: Dulux Charisma Shale Grey; Others: stainless steel ember/vermin mesh (max 2mm aperture) behind louvre </t>
  </si>
  <si>
    <t>Level 1 (A-1101-06, A-1104-06, A-2000-05, A-2001-05, A-5001-05)</t>
  </si>
  <si>
    <t xml:space="preserve">2750x1117mm wide EW-08 fixed ventilation grille louvre with aluminium frame in powdercoated finish; Colour: Dulux Charisma Shale Grey; Others: Aluminum-Framed Fly Screen behind louvre (max 2mm aperture); Framing: aluminum extrusions with mesh fixing channel; Mesh: anodised aluminum mesh beaded into the frame channel with a continuous resilient gasket; Fixing: concealed fixed (Area of 1  = 3.07m2)</t>
  </si>
  <si>
    <t xml:space="preserve">740x1117mm wide LV-03 fixed mechanical louvre with aluminium frame in powdercoated finish; Colour: Dulux Charisma Shale Grey; Others: stainless steel ember/vermin mesh (max 2mm aperture) behind louvre </t>
  </si>
  <si>
    <t xml:space="preserve">1000x1150mm wide LV-05 fixed mechanical louvre with aluminium frame in powdercoated finish; Colour: Dulux Charisma Shale Grey; Others: stainless steel ember/vermin mesh (max 2mm aperture) behind louvre </t>
  </si>
  <si>
    <t xml:space="preserve">600x600mm wide LV-09 fixed mechanical louvre with aluminium frame in powdercoated finish; Colour: Dulux Charisma Shale Grey; Others: stainless steel ember/vermin mesh (max 2mm aperture) behind louvre </t>
  </si>
  <si>
    <t>ALUMINIUM SKIRTING</t>
  </si>
  <si>
    <t>SK-02 - 100mm high Aluminium skirting; Size: 100x1.6m; Profile type: Square edge; Finish: Powdercoat - Natural anodised</t>
  </si>
  <si>
    <t>STAIR NOSING</t>
  </si>
  <si>
    <t xml:space="preserve">AMW-201 - Clear Anodised Aluminium Latham Asbraloy FA751ST surface mounted abrasive stair thread nosing in black infill with contrasting &amp; slip resistant to all treads; Slip resistance: P4 </t>
  </si>
  <si>
    <t>AMW-201 to Stair A0076 / A1048</t>
  </si>
  <si>
    <t>AMW-201 to Stair A0083 / A1047</t>
  </si>
  <si>
    <t>TACTILE INDICATOR</t>
  </si>
  <si>
    <t xml:space="preserve">TGSI-01  - Stainless steel indivisual stud indicator in 316 stainless steel with contrasting silicon carbine insert; Product: DTAC DT0212</t>
  </si>
  <si>
    <t>2100x300mm wide TGSI-01</t>
  </si>
  <si>
    <t>2100x600mm wide TGSI-01</t>
  </si>
  <si>
    <t>Metalwork - Fences and Gates Only</t>
  </si>
  <si>
    <t>Refer to following sections of Calderwood Primary School "Architectural Specification Issue for Tender Revision 03" dated 12 September 2025 by Bennett and Trimble: 0183a - Metals and Pre-Finishes, 0242 - Fences and Barriers, 0552 - Architectural Metalwork</t>
  </si>
  <si>
    <t>GATES</t>
  </si>
  <si>
    <t>2630x5450mm wide top hung sliding gate in powdercoat steel finish including all hardwares</t>
  </si>
  <si>
    <t>2630x965mm wide hinged swing gate in powdercoat steel finish including all hardwares</t>
  </si>
  <si>
    <t>Toilet Partitions</t>
  </si>
  <si>
    <t>28/1A</t>
  </si>
  <si>
    <t>28/1B</t>
  </si>
  <si>
    <t>Refer to following sections of Calderwood Primary School "Architectural Specification" Revision 03 dated 12 September 2025 by Bennett and Trimble for: 0181A - Adhesives, Sealant and Fasteners, 0572- Loose Furniture, Fittings and Equipment</t>
  </si>
  <si>
    <t>Refer to New Public School and Public Preschool in Calderwood "FFE- Sanitary Fixture Schedule" Revision CD-2 dated on 12 September 2025</t>
  </si>
  <si>
    <t>Refer to New Public School and Public Preschool in Calderwood "FFE- Schedule" Revision CD-2 dated on 12 September 2025</t>
  </si>
  <si>
    <t>Refer to following architectural drawing series: 14 for "FFE", 6 for "RLS"</t>
  </si>
  <si>
    <t>28/1C</t>
  </si>
  <si>
    <t>28/1D</t>
  </si>
  <si>
    <t>28/1E</t>
  </si>
  <si>
    <t>28/1F</t>
  </si>
  <si>
    <t>28/1G</t>
  </si>
  <si>
    <t>28/1H</t>
  </si>
  <si>
    <t>TOILET PARTITION AND SCREENS</t>
  </si>
  <si>
    <t>Partitions</t>
  </si>
  <si>
    <t xml:space="preserve">SHS-01 - Privacy Panel Wall Mount (PWM); Supplier: Duracube </t>
  </si>
  <si>
    <t xml:space="preserve">PTN-02a - Toilet Partition; Supplier: Duracube </t>
  </si>
  <si>
    <t>Painting</t>
  </si>
  <si>
    <t>34/1A</t>
  </si>
  <si>
    <t>34/1B</t>
  </si>
  <si>
    <t xml:space="preserve">Refer to following architectural drawing series: 11 for "General Arrangement Plans", 13 for "RCP", 17 for "Partitions Plans", 20 for "Elevations", 30 for "Sections", 31 for "Wall Sections", 32 for "Details - Sections",  33 for "Details - Plan", 6 for "RLS", 8 for "Schedules"</t>
  </si>
  <si>
    <t>34/1C</t>
  </si>
  <si>
    <t>Provision, erection and removal of scaffolding</t>
  </si>
  <si>
    <t>34/1D</t>
  </si>
  <si>
    <t>Preparation of surfaces</t>
  </si>
  <si>
    <t>34/1E</t>
  </si>
  <si>
    <t>Rubbing between coats and the like</t>
  </si>
  <si>
    <t>34/1F</t>
  </si>
  <si>
    <t>Back priming of dressed timber where required</t>
  </si>
  <si>
    <t>34/1G</t>
  </si>
  <si>
    <t>Protection and masking of floors, fittings and the like</t>
  </si>
  <si>
    <t>34/1H</t>
  </si>
  <si>
    <t>Removing and replacing door and window furniture</t>
  </si>
  <si>
    <t>34/1J</t>
  </si>
  <si>
    <t>Removing splash and spray marks</t>
  </si>
  <si>
    <t>34/1K</t>
  </si>
  <si>
    <t>34/1L</t>
  </si>
  <si>
    <t>34/1M</t>
  </si>
  <si>
    <t xml:space="preserve">Allow for all testing </t>
  </si>
  <si>
    <t>34/1N</t>
  </si>
  <si>
    <t xml:space="preserve">Allow for obtaining manufacturer's certificates </t>
  </si>
  <si>
    <t>34/1P</t>
  </si>
  <si>
    <t>34/1Q</t>
  </si>
  <si>
    <t>34/2A</t>
  </si>
  <si>
    <t>34/2B</t>
  </si>
  <si>
    <t>34/2C</t>
  </si>
  <si>
    <t>Allow for covering and protecting surfaces from building operations</t>
  </si>
  <si>
    <t>34/2D</t>
  </si>
  <si>
    <t>Assume paint finish to exposed concrete soffit. No details provided.</t>
  </si>
  <si>
    <t>Notes</t>
  </si>
  <si>
    <t>Assumed PFI-01 to be same as PF-01</t>
  </si>
  <si>
    <t>Assumption</t>
  </si>
  <si>
    <t>PAINTING TO CEILING</t>
  </si>
  <si>
    <t>Paint To Ceiling Linings</t>
  </si>
  <si>
    <t>Painting to Ceiling Type up to 3.50m height from FFL</t>
  </si>
  <si>
    <t>PFI-03 to CLG-101 - Internal, water based acrylic ceiling paint finish; Finish: flat;</t>
  </si>
  <si>
    <t>PFI-03 to CLG-110 - Internal, water based acrylic ceiling paint finish; Finish: flat;</t>
  </si>
  <si>
    <t>PFI-03 to CLG-115 - Internal, water based acrylic ceiling paint finish; Finish: flat;</t>
  </si>
  <si>
    <t>PFI-03 to CPA-02 - Internal, water based acrylic ceiling paint finish; Finish: flat;</t>
  </si>
  <si>
    <t xml:space="preserve">PFI-04  to CLG-102 - Internal, mouldshield acrylic wet areas ceiling paint finish; Finish: flat;</t>
  </si>
  <si>
    <t xml:space="preserve">PFI-05  to CLG-101 - Internal, water based acrylic food prep area ceiling paint finish; Finish: flat;</t>
  </si>
  <si>
    <t>Paint to Concrete Soffit (NB: No details provided.)</t>
  </si>
  <si>
    <t>Paint to Bulkhead</t>
  </si>
  <si>
    <t>PFI-03 to CLG-101 Plasterboard Bulkhead, greater than 250mm high</t>
  </si>
  <si>
    <t>Paint to Cornice/Pelmets</t>
  </si>
  <si>
    <t>PFI-03 to Pelmet</t>
  </si>
  <si>
    <t>PAINTING TO INTERNAL WALLS</t>
  </si>
  <si>
    <t>PFI-01/P01 (NB: No details provided)</t>
  </si>
  <si>
    <t>PAINTING TO EXTERNAL WALLS</t>
  </si>
  <si>
    <t>PFE 04 - Extent of Graffiti-proof coating to external wall elements facing public domain</t>
  </si>
  <si>
    <t>CON 01 - Clear concrete sealer</t>
  </si>
  <si>
    <t>PAINTING TO EXTERNAL DOORS</t>
  </si>
  <si>
    <t>PFE-02 - External Timber Paint, Charisma Shale Grey</t>
  </si>
  <si>
    <t>Painting to both sides of Fire Rated Doors</t>
  </si>
  <si>
    <t>Painting to both sides of Solid Core Doors</t>
  </si>
  <si>
    <t>PAINTING TO INTERNAL DOORS</t>
  </si>
  <si>
    <t>PFI-06 - Internal Timber Paint, enamel coating</t>
  </si>
  <si>
    <t>Blinds</t>
  </si>
  <si>
    <t>BLINDS, CURTAIN AND TRACK</t>
  </si>
  <si>
    <t xml:space="preserve">BLN-01  - 2700mm high 100% Trevira CS with FR backing (PVC-free), stainless steel 4.6mm diameter black control chain, base bar system, Type 1.02 Easydrive BGS® Roller Blind System; Finish: FABRIC: Euroscreen and FABRIC COLOUR: Gunmetal; Supplier: VERTILUX</t>
  </si>
  <si>
    <t>Curtains Track</t>
  </si>
  <si>
    <t>CUR-101 - curtain track sick bay</t>
  </si>
  <si>
    <t>Signs and Display</t>
  </si>
  <si>
    <t>26/1A</t>
  </si>
  <si>
    <t>26/1B</t>
  </si>
  <si>
    <t>Refer to following sections of Calderwood Primary School "Architectural Specification" Revision 03 dated 12 September 2025 by Bennett and Trimble for: 0181A - Adhesives, Sealant and Fasteners, 0581 - Signages</t>
  </si>
  <si>
    <t>Refer to NSW Department of Education "Part D: Technical Standards"</t>
  </si>
  <si>
    <t>Refer to Calderwood Public School Pattern Book and Data Sheets "Hub Layout &amp; RDS" dated on July 2025</t>
  </si>
  <si>
    <t>Refer to following architectural drawing series: 11 for "General Arrangement Plans", 40 - "Detail Areas"</t>
  </si>
  <si>
    <t>26/1C</t>
  </si>
  <si>
    <t>All shop fabrication work including cutting milling, machining, drilling, grinding and incidental labours</t>
  </si>
  <si>
    <t>26/1D</t>
  </si>
  <si>
    <t>Delivery, unloading, erecting and fixing</t>
  </si>
  <si>
    <t>26/1E</t>
  </si>
  <si>
    <t>26/1F</t>
  </si>
  <si>
    <t>26/1G</t>
  </si>
  <si>
    <t>26/1H</t>
  </si>
  <si>
    <t>26/1J</t>
  </si>
  <si>
    <t>26/1K</t>
  </si>
  <si>
    <t>26/1L</t>
  </si>
  <si>
    <t>26/1M</t>
  </si>
  <si>
    <t>Allow for any undetailed statutory signage</t>
  </si>
  <si>
    <t>Room Data Sheet signage based on ESFG Patternbook</t>
  </si>
  <si>
    <t>Signage typeface assumed to be Microgramma Bold Extended; other possible typefaces include Helvetica Medium, Helvetica Bold Extended, and Folio Medium Extended</t>
  </si>
  <si>
    <t>STATUTORY SIGNAGE</t>
  </si>
  <si>
    <t>SGN-03 - "Block/Core Facility Signage" Identification Signage; Supports the clear identification and branding of school blocks visible from the central grounds within the school; Finish: (NB: Refer to drawing no. A-4002-02)</t>
  </si>
  <si>
    <t>SGN-04 - "External Signage - PPS / OSHC / School Reception" Identification Signage; Supports the clear identification of specific core facilities; Finish: (NB: Refer to drawing no. A-4002-02)</t>
  </si>
  <si>
    <t>SGN-06 Student Amenities Signage;(NB: Refer to drawing no. A-4002-02)</t>
  </si>
  <si>
    <t>WAYFINDING</t>
  </si>
  <si>
    <t>SGN-02 - "School Plan" Directional Signage; Ensures provision of high level information supporting navigation of the school sire for visitors; Finish: (NB: Refer to drawing no. A-4002-02)</t>
  </si>
  <si>
    <t>EXTERNAL SIGNAGE</t>
  </si>
  <si>
    <t>SGN-00 - 3570x1330mm high, 350mm high main text size "Placeholder Public School" Indicative School Name Signage; Individual lettering mounted to Block A1 southern façade adjacent to Main School Entry gates; Lettering to be powder coated. Letter forms to be 15mm thick solid aluminum to Dulux Duratec Tomcat Gloss finish (NB: Refer to drawing no. A-4002-02)</t>
  </si>
  <si>
    <t>SGN-01 - 1930x4340mm high, 150mm high main text size "Placeholder Public School" Indicative School Main Entry Blade Signage; Double-sided sign with LED panel; Panels and graphics to be powder coated; Letter forms to be 15mm thisck solid aluminum; Finish: (NB: Refer to drawing no. A-4002-02)</t>
  </si>
  <si>
    <t>ROOM DATA SHEET SIGNAGE (NB: BASED FROM EFSG -PATTERNBOOK)</t>
  </si>
  <si>
    <t>Door Signs</t>
  </si>
  <si>
    <t>Door Signage- AMS with Braille and Tactile Signage- Material: Laminated plastic with contrasting coloured layers to match door signage; Size: Text width x 30 mm (nominal); Finish: Engraved through top layer to reveal lower laminate; Characters: Letter height 16 mm; Typeface: Microgramma Bold Extended. Including a braille and tactile signage Standard Reference: BCA D3.6 (Amendment No.10); Compliance: Symbols in accordance with AS 1428.1(NB: Refer to ESFG Standards and Patternbook)</t>
  </si>
  <si>
    <t>"Principal's Office"</t>
  </si>
  <si>
    <t>"Deputy Office"</t>
  </si>
  <si>
    <t>"Assistant Principal Office"</t>
  </si>
  <si>
    <t>"Interview Office"</t>
  </si>
  <si>
    <t>"Clerical/Printing"</t>
  </si>
  <si>
    <t>"Student ACC WC"</t>
  </si>
  <si>
    <t>"Staff Toilet"</t>
  </si>
  <si>
    <t>"Student Toiet"</t>
  </si>
  <si>
    <t>Door Signs -AMS- Material: Laminated plastic with contrasting coloured layers to match door signage; Size: Text width x 30 mm (nominal); Finish: Engraved through top layer to reveal lower laminate; Characters: Letter height 16 mm; Typeface: Microgramma Bold Extended(NB: Refer to ESFG Standards and Patternbook)</t>
  </si>
  <si>
    <t xml:space="preserve"> "STORE ROOM" - number of room sequential within block</t>
  </si>
  <si>
    <t>Door Signage - Variable Room Identification System - Material: Laminated plastic with contrasting coloured layers; Size: Door width minus 20 mm each side x 30 mm (nominal); Finish: Engraved through top layer to reveal lower laminate; Characters: Letter height 16 mm; Typeface: Microgramma Bold Extended</t>
  </si>
  <si>
    <t>"LIBRARY ADMINISTRATION" ( Main Sign)</t>
  </si>
  <si>
    <t>"STAFF ONLY " ( Secondary Sign)</t>
  </si>
  <si>
    <t>"Special Programs Room"</t>
  </si>
  <si>
    <t>"LEARNING COMMONS"</t>
  </si>
  <si>
    <t>"(Number room Sequential within block Ie. A1, A2…….)"</t>
  </si>
  <si>
    <t xml:space="preserve"> "CLINIC - BOYS": or "CLINIC - GIRLS" </t>
  </si>
  <si>
    <t>"(SEMINAR A1, SEMINAR A2…….)"</t>
  </si>
  <si>
    <t>Door Signage - Variable Room Identification System with Braille and Tactile Signage - Material: Laminated plastic with contrasting coloured layers; Size: Door width minus 20 mm each side x 30 mm (nominal); Finish: Engraved through top layer to reveal lower laminate; Characters: Letter height 16 mm; Typeface: Microgramma Bold Extended. Including Standard Reference: BCA D3.6 (Amendment No.10); Compliance: Symbols in accordance with AS 1428.1; Includes: International symbol of access for accessible sanitary facilities and international symbol of deafness for spaces equipped with a hearing augmentation system</t>
  </si>
  <si>
    <t xml:space="preserve"> "STAFF END OF TRIP FACILITIES"</t>
  </si>
  <si>
    <t>"AMBULANT TOILET"</t>
  </si>
  <si>
    <t>"ACCESSIBLE TOILET"</t>
  </si>
  <si>
    <t>Student Toilet Sign (“BOYS” / “GIRLS”); Material: Engraved colour-filled aluminium plate; Thickness: 1.6 mm (min.); Finish: Clear anodised surface; Characters: Block letters “BOYS” and “GIRLS” in black; Dimensions: 350 W x 150 H mm; Letter Height: 75 mm; Installation: Screw and adhesive fix to solid base, positioned adjacent to entries, underside of sign 1800 mm above finished floor level (AFFL)</t>
  </si>
  <si>
    <t>Girls WC</t>
  </si>
  <si>
    <t>Boys WC</t>
  </si>
  <si>
    <t>Notice Door Sign - Class: Notice sign; Description: White background with “NOTICE” header in blue background and white text, wording in black printed below header; Dimensions: 300 W x 225 H mm (nominal); Installation: Underside of sign mounted 1520 mm above finished floor level (AFFL)</t>
  </si>
  <si>
    <t>"AUTHORISED STAFF ONLY "</t>
  </si>
  <si>
    <t>General Information Signage</t>
  </si>
  <si>
    <t xml:space="preserve">Information Signage - Letter Height: 50 mm; Installation: Underside of sign mounted 1600 mm above finished floor level (AFFL)
</t>
  </si>
  <si>
    <t>"ENQUIRIES"</t>
  </si>
  <si>
    <t>General Warning Signs</t>
  </si>
  <si>
    <t>GENERALWARNING SIGN- Class: Notice sign in accordance with AS 1319; Description: White background with “NOTICE” header in blue background and white text, wording in black printed below header; Dimensions: 450 W x 300 H mm (nominal); Installation: Mounted with underside of sign 1600 mm above finished floor level (AFFL)(NB: Refer to ESFG Standards and Patternbook)</t>
  </si>
  <si>
    <t>"THIS AREA IS UNDER VIDOE SURVEILLANCE"</t>
  </si>
  <si>
    <t>General Safety Notice</t>
  </si>
  <si>
    <t>Class: Notice sign in accordance with AS 1319; Letters: To AS 1319; Description: White background with “NOTICE” header in blue background and white text, wording in black printed below header; Dimensions: 300 W x 225 H mm (nominal); Installation: Underside of sign mounted 1600 mm above finished floor level (AFFL).</t>
  </si>
  <si>
    <t>"ASSISTANCE REQUIRED IN ACCESS TOILET WHEN BUZZER SOUNDS "</t>
  </si>
  <si>
    <t>Interior Wayfinding Signage</t>
  </si>
  <si>
    <t>Hydraulic Services</t>
  </si>
  <si>
    <t>Dry Fire Service</t>
  </si>
  <si>
    <t>Electrical, Communication and Security Services</t>
  </si>
  <si>
    <t>PV Energy System</t>
  </si>
  <si>
    <t>Audio Visual - Supply &amp; Install</t>
  </si>
  <si>
    <t>AUDIO &amp; VISUAL EQUIPMENT (GROUP 3)</t>
  </si>
  <si>
    <t>AVS-102 - Wall mounted audio visual screen type 2</t>
  </si>
  <si>
    <t xml:space="preserve">AVS-103 -  Wall mounted audio visual screen type 3</t>
  </si>
  <si>
    <t xml:space="preserve">MLD-01 -  Multi learning display with fixed screen and adjustable mount height</t>
  </si>
  <si>
    <t>MLD-03 - mobile screen</t>
  </si>
  <si>
    <t>MLD-105 - wall mounted multi learning display with fixed screen and adjustable mount height Type 5</t>
  </si>
  <si>
    <t>MLD-204 - wall mounted multi learning display with fixed screen and adjustable mount height Type 4</t>
  </si>
  <si>
    <t>MLD-206 - wall mounted multi learning display with fixed screen and adjustable mount height Type 6</t>
  </si>
  <si>
    <t>MLD-304 - mobile screen with adjustable-mount height</t>
  </si>
  <si>
    <t>MLD-306 - mobile screen with adjustable-mount height</t>
  </si>
  <si>
    <t>Hearing Augmentation</t>
  </si>
  <si>
    <t>Mechanical Services</t>
  </si>
  <si>
    <t>FF&amp;E - Group 1 Supply &amp; Installed by Contractor</t>
  </si>
  <si>
    <t>CHR-801 shown on drawing tagging but listed as FSL-01 in the schedule, followed schedule tags</t>
  </si>
  <si>
    <t>WC-26 shown on drawing tagging but listed as WC-01B in the schedule,followed schedule tags</t>
  </si>
  <si>
    <t>BAS-26 shown on drawing tagging but listed as BAS-01 in the schedule,followed schedule tags</t>
  </si>
  <si>
    <t>No tags for tap on basin in Staff WC, assumed TAP-02</t>
  </si>
  <si>
    <t>No tags indicating FW type, assumed all FW to be FW-01</t>
  </si>
  <si>
    <t>GROUP 1 (BUILDER SUPPLY AND INSTALL)</t>
  </si>
  <si>
    <t>Loose Furniture</t>
  </si>
  <si>
    <t>Storage</t>
  </si>
  <si>
    <t>MSS-400-300A - 1200x2500x1875mm high Oﬃce Mobile Shelving (6 Bays); Finish: Finish: Steel and Colour: Oﬀ White; Code: Ezi-Glide</t>
  </si>
  <si>
    <t xml:space="preserve">STG-302 - 2175mm high Steel shelving with solid steel backs </t>
  </si>
  <si>
    <t xml:space="preserve">STG-303  - 2175mm high Steel shelving with solid steel backs </t>
  </si>
  <si>
    <t xml:space="preserve">STG-108 - 1800X400X1875mm high Steel shelving with solid steel backs </t>
  </si>
  <si>
    <t>Sanitary Fixtures</t>
  </si>
  <si>
    <t>Basin &amp; Sink</t>
  </si>
  <si>
    <t>BAS-01 - Wall Basin 1TH with Shroud + Plug ; Finish: Basin: Material: Vitreous China; Colour: White, Anti vandal plug: Finish/Colour: Chrome; Code: 6401210W; Supplier: Caroma</t>
  </si>
  <si>
    <t xml:space="preserve">BAS-02R - 720x450mm wide 721 LHS Wall Basin 1 TH with Shroud; Finish: Basin: Material: Vitreous China; Colour: White, Anti vandal plug: Finish/Colour: Chrome; Code: basin: 632210, plug and flush: 687141C , shroud:632602; Supplier: Opal </t>
  </si>
  <si>
    <t xml:space="preserve">BAS-02L  - 720x450mm wide  Wall Basin 1 TH with Shroud; Finish: Basin: Material: Vitreous China; Colour: White, Anti vandal plug: Finish/Colour: Chrome; Code: basin: 632210, plug and flush: 687141C , shroud:632601; Supplier: Opal </t>
  </si>
  <si>
    <t xml:space="preserve">BAS-10  - Basin Size: 485x240x140mm high, Vanity Size:475x235x500m high Powder Room Vanity Unit Wall Hung ; Finish: Basin Cabinet Wall Mounted/ Pinewood &amp; MDF ; Code: Posh Solus/ 632710W</t>
  </si>
  <si>
    <t>SNK-01L - 930x550mm wide Monaco Single End Bowl – 1TH, LHB, single left-hand bowl with drainer, one tap hole, including bamboo board and stainless steel colander; Finish: 304 Stainless Steel; Code: 5113.1L</t>
  </si>
  <si>
    <t>SNK-01R - 930x550mm wide Monaco Single End Bowl – 1TH, RHB, single right-hand bowl with drainer, one tap hole (no tap hole for Special Programs), including bamboo board and stainless steel colander; Finish: 305 Stainless Steel; Code: 5113.1R</t>
  </si>
  <si>
    <t xml:space="preserve">SNK-04 - 600x500mm wide Cleaner’s Sink CSL with wall brackets and support legs, featuring a large 46L tub with hinged stainless steel bucket grate, brackets, front adjustable support legs, and 600mm extended splashbacks; Finish: Grade 304 stainless steel tub with satin finish and Grade 304 stainless steel hinged bucket grate; Code: CSL; Supplier: Britex </t>
  </si>
  <si>
    <t>SNK-06 - 1500x450x160mm deep Practical Activity Trough TPRAC-A, rear tap hob only, 1500 L with centre waste position; bench-mounted for hand washing and curricular activities, featuring rear hob with 40 mm overflow, three tap holes, and centre-positioned waste, designed to NSW education specifications; Code: TPRAC-A</t>
  </si>
  <si>
    <t xml:space="preserve">SNK-08 - 1600x390x150mm deep Wallsend Trough, complete with radius front corners, 300 mm rear blade upstand, left/right 50 mm waste outlet, and wall mounting bracket; Code: TWAL-4-X-1600WB-R; Supplier: Britex </t>
  </si>
  <si>
    <t>SNK-11 - 440x440x200mm high single bowel ﬂushline sink; Finish: Grade 304 Stainless Steel; Supplier: Prism</t>
  </si>
  <si>
    <t>Mixer Tap</t>
  </si>
  <si>
    <t>TAP-01 - Oras Saﬁra Basin Mixer with Yellow / Blue Indicator; Finish: Bright Chrome; Code: SAF606-YB; Supplier: Enware</t>
  </si>
  <si>
    <t>TAP-02 - Oras Saﬁra Basin Mixer with Extended Lever Handle ; Finish: Bright Chrome; Code: SAF606D-YB; Supplier: Enware</t>
  </si>
  <si>
    <t>TAP-03 - Delabie Tempo Soft Time Flow Basin Tap ; Finish: Bright Chrome ; Code: TFC740510; Supplier: Enware</t>
  </si>
  <si>
    <t>TAP-04 - Bath / Shower Mixer; Finish: Chrome ﬁnish ; Code: 96366C/96360C; Supplier: Liano II</t>
  </si>
  <si>
    <t>TAP-07B - Oras Saﬁra Sink Mixer with Extended Lever ; Finish: Bright Chrome; Code: SAF607-YB; Supplier: Enware</t>
  </si>
  <si>
    <t xml:space="preserve">TAP-09 - 465x315x340mm high Gooseneck Mixer Tap and 40L Quadra Plus 5 underbench unit with dispenser; Finish: Bright Chrome; Code: underbench unit: 904025, tapware: 904025LGCH, dispenser:  LG (L-TP-08 / G-TP-09) ; Supplier: Billi</t>
  </si>
  <si>
    <t xml:space="preserve">TAP-11 - Type 26-7 Lab Bench Bib Tap with lever handle and anti-vandal aerator, 6 L/min.; Finish: Chrome Plated; Code:  LF118SL; Supplier: Enware</t>
  </si>
  <si>
    <t xml:space="preserve">TAP-12 - 16C7 School Pattern Stop Tap with 200mm length.; Finish: Chrome Plated; Code:  LF118SL; Supplier: Enware</t>
  </si>
  <si>
    <t>TAP-13 - School Pattern Recess Set with SP120 Wall Mounted Curved ; Code: VP317S</t>
  </si>
  <si>
    <t>WC</t>
  </si>
  <si>
    <t xml:space="preserve">WC-01a - School Smart CF WFCC BE Suite with Liano Single Flap Black Seat ; Finish: Material: Vitreous China; Colour: White; Code:  814148B (TBC) ; Supplier: Caroma</t>
  </si>
  <si>
    <t>WC-02 - Height Wall Faced Closed Coupled (Germgard®) ; Model: Liano CleanﬂushEasy; Code: 843306W (Pan), 810828W (Cistern), 300054B (Black Seat).; Supplier: Caroma</t>
  </si>
  <si>
    <t>WC-03 - Wall Faced Suite with Backrest and Caravelle Care Single Flap Seat ; Finish: Anthracite Grey; Model: Care 800 Cleanﬂush; Code:901920BAG ; Supplier: Caroma</t>
  </si>
  <si>
    <t>Shower</t>
  </si>
  <si>
    <t xml:space="preserve">SHW-01 - Shower:1500mm long, Grab rail 900mm long hand-held shower with 100mm ABS single-function rub-clean spray diffuser, full pattern spray, single-hand adjustable holder, and  heavy-duty grab rail; Finish: Shower: Chrome, Grab rail: polished stainless steel; Code:  SGR023NS ; Supplier: Enware</t>
  </si>
  <si>
    <t xml:space="preserve">SHW-03R - Shower:1500mm long, Grab rail 1100x700mm long Inverted T Accessible Shower Set, shower mounted on grab rail; Finish: Shower: Chrome, Grab rail: stainless steel; Supplier: Caroma
</t>
  </si>
  <si>
    <t>Floor Waste and Rain Water Outlet</t>
  </si>
  <si>
    <t xml:space="preserve">FW-01  - 130x130mm wide  Square Floor Waste for Tile Insert ; Finish: Stainless Steel; Code:  SQ100Ti </t>
  </si>
  <si>
    <t>RWO - Rain Water Outlet (NB: No Details Provided)</t>
  </si>
  <si>
    <t>Sanitary Hardware</t>
  </si>
  <si>
    <t>Dispenser</t>
  </si>
  <si>
    <t xml:space="preserve">DSP-01  - 120x70/90x205mm high Vertical Soap Dispenser ; Finish: Satin Finished Stainless Steel; Code:  B2111; Supplier: Bobrick</t>
  </si>
  <si>
    <t>DSP-02 - 275x125x335mm high Paper Towel Dispenser Contura ; Finish: Satin Finished Stainless Steel; Code: B4262; Supplier: Bobrick</t>
  </si>
  <si>
    <t>DSP-03 - 275x125x335mm high Paper Towel Dispenser Contura ; Finish: Satin Finished Stainless Steel; Code: B4262; Supplier: Bobrick</t>
  </si>
  <si>
    <t>DSP-04 - 315x120x155mm high Surface Mounted Double Toilet Roller Holder; Finish: Satin Finished Stainless Steel; Code: B69997; Supplier: Bobrick</t>
  </si>
  <si>
    <t xml:space="preserve">HOL-01 - 110x110x38mm high Soap Dish, commercial grade with radiused corners and edges; Finish: #304 Stainless Steel, Polished Finish ; Code: RBA1622-101; Supplier:  Ënda</t>
  </si>
  <si>
    <t xml:space="preserve">HOL-02 - 450x95mm deep Bathroom Shelf ; Finish: Chrome ﬁnish; Code: 99619C; Supplier:  Urbane II</t>
  </si>
  <si>
    <t>Grab Rails</t>
  </si>
  <si>
    <t>GRB-01L - 90degree left-hand and 450 mm straight grab rail set; Finish: Satin Finished Stainless Steel; Code: RBA4090-345/6; Supplier: RBA</t>
  </si>
  <si>
    <t xml:space="preserve">GRB-01R - 90degree right-hand and 450 mm straight grab rail set; Finish: Satin Finished Stainless Steel; Code: RBA4090-345/6; Supplier: RBA
</t>
  </si>
  <si>
    <t>GRB-03 - 450X450mm wide Ambulant Grab Rail; Finish: Stainless Steel; Code: RBA4090-450; Supplier: RBA</t>
  </si>
  <si>
    <t>Hooks, Shelf</t>
  </si>
  <si>
    <t xml:space="preserve">BH-01 - 914x127x128mm high Mop &amp; Broom Holder with Hook; Finish:  #304 Stainless Steel; Satin Stainless Steel; Code: ML983-Series; Supplier: Metlam
</t>
  </si>
  <si>
    <t>HOK-01 - 22x30x72mm high Robe Hook, commercial grade with radius corners and edges, featuring dual fixing points; Finish: Heavy Duty Brass, Bright Chrome FiniSH; Code: RBA1631-100; Supplier: Oken</t>
  </si>
  <si>
    <t xml:space="preserve">HOK-02 - 52x84x150mm high Hat and Coat Hook; Finish: Satin Stainless Steel; Code: ML214S; Supplier: Metlam </t>
  </si>
  <si>
    <t xml:space="preserve">SHF-03 - 610mm wide shelf; Finish: stainless steel; Code: BTX-10-012 </t>
  </si>
  <si>
    <t>Bin</t>
  </si>
  <si>
    <t xml:space="preserve">BIN-01 - Paper Waste Disposal; Supplier: Duracube </t>
  </si>
  <si>
    <t xml:space="preserve">BIN-02 - 180x340x560mm high Foot Pedal Sanitary Unit </t>
  </si>
  <si>
    <t>BIN-04 - Foot Pedal Sanitary Unit, hands-free operation</t>
  </si>
  <si>
    <t>Shower Seat/Bench Seat</t>
  </si>
  <si>
    <t xml:space="preserve">SEA-01 - 960x400x480mm high  Folding Shower Seat with Legs ; Finish: 304 Stainless Steel, Satin Finish frame; Phenolic seat</t>
  </si>
  <si>
    <t>FBS-01 - 1700x395mm wide Bench Seating with wall Shelving; Finish: Board selection for seating, shelving, and coat panels in Durasafe 13mm compact laminate with frame, leg, and bracket finish in pearl grey or black powder coat; Supplier: Duracube</t>
  </si>
  <si>
    <t>Mirror</t>
  </si>
  <si>
    <t xml:space="preserve">MI-01 - 450x7.5x1200mm high polished mirror; Finish: Grade 304 stainless steel with solid nylon back.; Supplier: Britex </t>
  </si>
  <si>
    <t xml:space="preserve">MI-02 - 1000x7.5x1800mm high polished mirror; Finish: Grade 304 stainless steel with solid nylon back.; Supplier: Britex </t>
  </si>
  <si>
    <t>MI-06 - 600x900mm high mirror with glass framed fixed on wall</t>
  </si>
  <si>
    <t>Appliances and Equipment</t>
  </si>
  <si>
    <t>AAB-01 - Emergency Call Button with external alarm</t>
  </si>
  <si>
    <t>EDW-02 - 598x573x815mm high 40L Microwave Convection Oven; Finish: Stainless Steel; Code: SMU6HCS01A; Supplier: Bosch</t>
  </si>
  <si>
    <t>EMO-01 - 553x453x327mm high 60cm Stainless Steel Pyrolytic Oven; Finish: White Finish; Code: WMF4102SA; Supplier: Westinghouse</t>
  </si>
  <si>
    <t xml:space="preserve">ERF-02B - 896x781x1725mm high  Fully Integrated Bar Fridge ; Finish: Stainless Steel; Code: WHE6000SB; Supplier: Westinghouse</t>
  </si>
  <si>
    <t>ERF-04 - 600x575x840mm high 148L ENVY Alfresco Bar Fridge; Finish: Stainless Steel with glass door; Code: ENV1L-SS; Supplier: Rhino</t>
  </si>
  <si>
    <t>FF&amp;E - Group 2 Provided by Principal and installed by Contractor</t>
  </si>
  <si>
    <t>GROUP 2 (OWNER SUPPLY AND BUILDER INSTALL)</t>
  </si>
  <si>
    <t>Chair</t>
  </si>
  <si>
    <t>CHR-101 - Stackable Chair; Finish: Slate Grey; Code: Postura Max Chair(NB: Chair available in diﬀerent sizes as per stage)</t>
  </si>
  <si>
    <t>CHR-104 - Stackable Chair; Finish: Slate Grey; Code: Postura Max Chair</t>
  </si>
  <si>
    <t>CHR-115 - 445mm high Stackable Chair; Finish: Sage; Model: Tru Pos Sled</t>
  </si>
  <si>
    <t xml:space="preserve">CHR-116 - Armchair with arms and upholstered with sled base; Code: Loria </t>
  </si>
  <si>
    <t xml:space="preserve">CHR-121 - Stool PP with no arms and with sled base ; Code: Loria </t>
  </si>
  <si>
    <t xml:space="preserve">CHR-251 - Armchair with arms and upholstered with sled base; Finish: Colour: Upholstery: Light Grey and Sled Base: Black; Code: Loria </t>
  </si>
  <si>
    <t>CHR-251 - 620x620mm high Plus Task Chair Medium Back without arms; Finish: Black frame and upholstery; Code: Ergos</t>
  </si>
  <si>
    <t>CHR-261 - 480x450x870mm high Drafting Chair with adjustable Gas Height and Without Arms; Finish: Dark Grey; Code: Ergos</t>
  </si>
  <si>
    <t>CHR-301- Sled chair Chrome Sled Base; Finish: Shell colour: Charcoal; Code: Kanvas</t>
  </si>
  <si>
    <t>CHR-401 – 570x550x790mm high Italo KAYA chair, fully upholstered with arms and timber legs; Finish: Augustus range – Copper colour; Code: Advanta</t>
  </si>
  <si>
    <t xml:space="preserve">CHR-702 - 450x400mm  deep wooble stool; Finish: Colours: Base: Dark Grey and Seat: Black with white ring; Code: Mogi</t>
  </si>
  <si>
    <t xml:space="preserve">CU-1H - 450x400mm  deep Balance Ottoman; Finish: Diplomat range - Cotta colour and 
Diplomat range - Nugget colour</t>
  </si>
  <si>
    <t>OT06 - 600mm diameter Ottoman Medium; Finish: Colour: Diplomat range - Cotta colour; Code: Drum</t>
  </si>
  <si>
    <t>OTO-102 - 1000mm diameter Ottoman Medium; Finish: Colour: Diplomat range - Cotta colour; Code: Drum</t>
  </si>
  <si>
    <t>SET-106 - 800x800x300mm high Create-A-Mats Floor Cushions</t>
  </si>
  <si>
    <t xml:space="preserve">SET-201 - 4700x2350x900mm high Large Gumbuyah Bookcase Suite; Finish: Bookshelf units: Laminex Curly Birch ,Frame: Black (default) and Seat ﬁnish: Keylargo Paprika </t>
  </si>
  <si>
    <t>SET-202 - 930x660x1580mm high Single Seater Study Hub; Finish: Upholstery to frame: Keylargo Ash and Seat ﬁnish: Keylargo Paprika</t>
  </si>
  <si>
    <t>Table</t>
  </si>
  <si>
    <t>DSK-121 - 800x575x720mm high Mobile Teachers Lecturn with Storage; Finish: White writable table top, Colour Edging (TBC); Supplier: Beparta</t>
  </si>
  <si>
    <t>DSK-152 - 620x600x1050mm high Mobile Teachers Lecturn with Storage</t>
  </si>
  <si>
    <t xml:space="preserve">DSK-202 - 1500x800 deep workstation with  height adjustable with cut-out and cable tray for power/data cables; Code: Travel C Workstation; Supplier:  Workspace</t>
  </si>
  <si>
    <t>TBL-114 – Double workstation(NB: No further details)</t>
  </si>
  <si>
    <t>TBL-129 Corner workstation with adjustable height</t>
  </si>
  <si>
    <t xml:space="preserve">TBL-151 - 1200x600x550mm high Mobile Low Flip Top Table with coloured frame and top edge; Finish: White writable table top; Code: T010; Supplier: Beparta
</t>
  </si>
  <si>
    <t>TBL-152 - 120x750x600mm high Mobile Low Flip Top Table with coloured frame and top edge; Supplier: BFX Mars</t>
  </si>
  <si>
    <t>TBL-182 - 1800x750x720mm high Mobile Flip Top Table with coloured frame, top edge, and writable tabletop; Supplier: BFX Mars</t>
  </si>
  <si>
    <t xml:space="preserve">TBL-352 - 1800x900x680mm high  Intensive Teaching Table; Code: T082; Supplier: Beparta</t>
  </si>
  <si>
    <t xml:space="preserve">TBL-401 - 1800x900x720mm high Fixed Table; Finish:  Laminated top with Polished Aluminium base; Colour: Laminex White with matching ABS Edge; Supplier: Elan</t>
  </si>
  <si>
    <t>TBL-642 - 900x755mm high Rapidspan Table</t>
  </si>
  <si>
    <t>T-07 - 1090x500x760mm high Beparta Soft Trapeze Table T037; Finish: White writable table top, Colour Edging (TBC)</t>
  </si>
  <si>
    <t>T-13 - 340x470x648mm high Double workstation; Finish: Colour: Natural Beech (standard ﬁnish)</t>
  </si>
  <si>
    <t>MOP 101 - Mobile Pedestal with 2 Darwer &amp; File Drawer</t>
  </si>
  <si>
    <t>STG-AF-01 - 1800x450x1500mm high Artefact Storage Cabinet with LED strip lighting to top rail and lockable glass doors; Finish: Clear anodised aluminium framing with solid white top base, back, top and ends</t>
  </si>
  <si>
    <t>STG-106 - 900x650x1350mm high Duo Shelving - Double-Sided Mobile Shelving Half Top with 4shelves per side; Finish: Carcass:Laminex Curly Birch and Shelves:Black powdercoat</t>
  </si>
  <si>
    <t>STG-137 - 880x470x1540mm high 4-door cupboard with glass and cabinet pull JNP02; Finish: Finish: Laminate and Colour: Laminex TBC; Code: RE-C65</t>
  </si>
  <si>
    <t>STG-138 – 1050x500x615mm high Trimline Mobile Caddy with 2 Box 1 File unit including pencil tray and side storage unit available with or without tambour door; fitted with ABS door slats, fifth castor wheel for anti-tilt stability, lockable drawers and tambour door, lockable castors, full-extension ball bearing runners for full drawer access, and barrel exchange locks; Finish: Powder coated; Supplier: Steelco</t>
  </si>
  <si>
    <t>STG-139 – 467x610x1325mm high 4 Drawer Filing Cabinet; Finish: Metal, Colour: White; Code: RE-C29</t>
  </si>
  <si>
    <t>STG-140 - 1200x463x1200mm high Tambour Cabinet with adjustable interior levelling feet, barrel exchange locking system with anti-bacterial keys, and 32mm increment adjustable shelves; Code: Finishes:Carcass:White Satin powdercoat; Supplier: Steelco</t>
  </si>
  <si>
    <t>STG-201 - 1175x435x865mm high Tote Tray Unit with 6 Trays ; Finish: Frame: Laminex Raw Birchply and Totes: White; Code: RE-B52</t>
  </si>
  <si>
    <t>STG-202 - 1100x700x855mm high Zig Zag Picture Book Bin, double-sided mobile 3-bay unit with 12 display compartments and clear acrylic front; Code: Finishes:Carcass:Laminex Timber Look - Curly Birch</t>
  </si>
  <si>
    <t>STG-203 - 1100x355x855mm high Zig Zag Picture Book Bin, single-sided static 3-bay unit with 6 display compartments and clear acrylic front; Code: Finishes: Laminex Timber Look - Curly Birch</t>
  </si>
  <si>
    <t>STG-204 - 900x650x1200mm high Slimline Static Shelving, single-sided with full top, two flat reversible shelves, and one bottom shelf overlay; Finish: Carcass:Laminex Curly Birch and Shelves:Black powdercoat</t>
  </si>
  <si>
    <t>TRL 102 - 600x702x600mm high ergonomic returns trolley; Finish: Polytec Natural Oak; Code: 44001</t>
  </si>
  <si>
    <t>Beds</t>
  </si>
  <si>
    <t>FSL-01 - 2050x685x965mm high Sick Lounge with Overlay; Code: Board colour: Laminex White-200-LX, legs in powdercoated white, cushion in Lustrell Charisma Vinyl Range – Oyste</t>
  </si>
  <si>
    <t>MFP-2 - Multifunction printer with booklet maker</t>
  </si>
  <si>
    <t>Miscellaneous</t>
  </si>
  <si>
    <t xml:space="preserve">LS-M60 - 315x395mm high  Mobile Step Stool; Code: Safety Stool Yellow</t>
  </si>
  <si>
    <t xml:space="preserve">Other FF&amp;E -  Group 3 and ungrouped</t>
  </si>
  <si>
    <t>GROUP 3 (OWNER SUPPLY AND INSTALL)</t>
  </si>
  <si>
    <t>TRL-101 - 832x615x903mm high laptop mobile charging station; Finish: Finish: Standard;Colour: Standard; Code: Revolution 32 Cart</t>
  </si>
  <si>
    <t>FURNITURE, FIXTURE AND EQUIPMENT (UNGROUPED)</t>
  </si>
  <si>
    <t>TBL-124 - 1500x900x870mm high bench table (NB: No further details)</t>
  </si>
  <si>
    <t>STG-127 - 1220mm wide 2-door lockable cupboard storage</t>
  </si>
  <si>
    <t>STG-304 (NB: No details provided)</t>
  </si>
  <si>
    <t>Audio &amp; Visual Equipment</t>
  </si>
  <si>
    <t>AVS-104 - wall mounted audio visual screen type 4</t>
  </si>
  <si>
    <t>Vertical Transportation Services (Additional Trade)</t>
  </si>
  <si>
    <t>Plant, equipment, commissioning, testing, wiring, connections and ancillary items</t>
  </si>
  <si>
    <t>Complying with all statutory regulations</t>
  </si>
  <si>
    <t>Allow for costs of complying with statutory regulations</t>
  </si>
  <si>
    <t>Allow for paying all fees, inspections and the like</t>
  </si>
  <si>
    <t>LIFT CAR</t>
  </si>
  <si>
    <t xml:space="preserve">2500x2000x1400mm wide lift car including all finishes, Service Level:  Ground Floor to Level 1; 2 stops (NB: Refer to Patternbook Vol 2 - Rev 6)</t>
  </si>
  <si>
    <t>Refer to following structural drawing series: S-0010 to S-0161 for "Typical Details", S-09 for "Piling Plans", S-10 to S-11 for "General Arrangement Plans", S-15 for Facade Section Plans"</t>
  </si>
  <si>
    <t>P01 - 600mm diameter bored pile; 8000mm high</t>
  </si>
  <si>
    <t>P02 - 900mm diameter bored pile; 8000mm high</t>
  </si>
  <si>
    <t>P03 - 900mm diameter bored pile; 9000mm high</t>
  </si>
  <si>
    <t>P04 - 900mm diameter bored pile; 9000mm high</t>
  </si>
  <si>
    <t>P09 - 450mm diameter bored pile; 8000mm high</t>
  </si>
  <si>
    <t>P02 - 900mm diameter bored pile; 500mm high</t>
  </si>
  <si>
    <t>P03 - 900mm diameter bored pile; 1500mm high</t>
  </si>
  <si>
    <t>P04 - 900mm diameter bored pile; 1500mm high</t>
  </si>
  <si>
    <t>P01 - 600mm diameter bored pile [Number of: 17]</t>
  </si>
  <si>
    <t>P02 - 900mm diameter bored pile [Number of: 12]</t>
  </si>
  <si>
    <t>P03 - 900mm diameter bored pile [Number of: 8]</t>
  </si>
  <si>
    <t>P04 - 900mm diameter bored pile [Number of: 6]</t>
  </si>
  <si>
    <t>P09 - 450mm diameter bored pile [Number of: 13]</t>
  </si>
  <si>
    <t>Reinforcement to P02 - 900mm diameter bored pile; REO Rate: 100kg/m3</t>
  </si>
  <si>
    <t>Reinforcement to P03 - 900mm diameter bored pile; REO Rate: 280kg/m3</t>
  </si>
  <si>
    <t>Reinforcement to P04 - 900mm diameter bored pile; REO Rate: 280kg/m3</t>
  </si>
  <si>
    <t>Spoil removal to P02 - 900mm diameter bored pile</t>
  </si>
  <si>
    <t>Spoil removal to P03 - 900mm diameter bored pile</t>
  </si>
  <si>
    <t>Spoil removal to P04 - 900mm diameter bored pile</t>
  </si>
  <si>
    <t>P02 - 900mm diameter bored pile</t>
  </si>
  <si>
    <t>P03 - 900mm diameter bored pile</t>
  </si>
  <si>
    <t>P04 - 900mm diameter bored pile</t>
  </si>
  <si>
    <t>40MPa, 80mm slump, 20mm max. aggregate size</t>
  </si>
  <si>
    <t>PC01 - 900 x 900 x 600mm deep pile cap footing [Number of: 16]</t>
  </si>
  <si>
    <t>PC02 - 1200 x 1200 x 600mm deep pile cap footing [Number of: 12]</t>
  </si>
  <si>
    <t>SF1 - 900 x 600mm deep strip footing [Length: 40]</t>
  </si>
  <si>
    <t>600 x 450mm deep edge beam [Length: 165]</t>
  </si>
  <si>
    <t>1200 x 800mm deep ground beams [Length: 28]</t>
  </si>
  <si>
    <t>200mm thick slab on ground [Area: 42]</t>
  </si>
  <si>
    <t>250mm thick slab on ground [Area: 901]</t>
  </si>
  <si>
    <t>315mm thick slab on ground [Area: 45]</t>
  </si>
  <si>
    <t>1000mm wide slab fold [Length: 72]</t>
  </si>
  <si>
    <t>40mm thick integral fall to 200mm thick slab on ground [Area: 42]</t>
  </si>
  <si>
    <t>Extra over labour for setdown [Length: 115]</t>
  </si>
  <si>
    <t>210mm thick post tensioned suspended slab [Area: 101]</t>
  </si>
  <si>
    <t>230mm thick post tensioned suspended slab [Area: 837]</t>
  </si>
  <si>
    <t>250mm thick post tensioned suspended slab [Area: 77]</t>
  </si>
  <si>
    <t>260mm thick post tensioned suspended slab [Area: 40]</t>
  </si>
  <si>
    <t>320mm thick post tensioned suspended slab [Area: 15]</t>
  </si>
  <si>
    <t>350mm thick post tensioned suspended slab [Area: 3]</t>
  </si>
  <si>
    <t>300mm wide slab fold [Length: 3]</t>
  </si>
  <si>
    <t>1000mm wide slab fold [Length: 113]</t>
  </si>
  <si>
    <t>40mm thick integral fall to 210mm thick post tensioned suspended slab [Area: 101]</t>
  </si>
  <si>
    <t>40mm thick integral fall to 250mm thick post tensioned suspended slab [Area: 77]</t>
  </si>
  <si>
    <t>40mm thick integral fall to 260mm thick post tensioned suspended slab [Area: 40]</t>
  </si>
  <si>
    <t>Extra over labour for setdown [Length: 61]</t>
  </si>
  <si>
    <t>800 x 500mm deep attached beam [Length: 11]</t>
  </si>
  <si>
    <t>Ground Floor (S-1001-CD-2)</t>
  </si>
  <si>
    <t>350 x 350mm wide concrete column [Number of: 2]</t>
  </si>
  <si>
    <t>450 x 450mm wide concrete column [Number of: 15]</t>
  </si>
  <si>
    <t>400 x 800mm wide concrete column [Number of: 6]</t>
  </si>
  <si>
    <t>400 x 800mm wide concrete column [Number of: 3]</t>
  </si>
  <si>
    <t>450 x 450mm wide concrete column [Number of: 18]</t>
  </si>
  <si>
    <t>200mm thick reinforced concrete stair core wall [Length: 39]</t>
  </si>
  <si>
    <t>200mm thick reinforced concrete wall [Length: 4]</t>
  </si>
  <si>
    <t>Ground Floor (A-1204-02)</t>
  </si>
  <si>
    <t>150 x 150mm deep concrete hob [Length: 102]</t>
  </si>
  <si>
    <t>Level 1 (A-1205-02)</t>
  </si>
  <si>
    <t>175 x 185mm deep concrete hob [Length: 19]</t>
  </si>
  <si>
    <t>360 x 185mm deep concrete hob [Length: 2]</t>
  </si>
  <si>
    <t>Concrete Stair (40MPa, 80mm slump, 20mm max. aggregate size)</t>
  </si>
  <si>
    <t>Stair 02 - 2300mm wide concrete stair with 285mm treads, 156mm riser height, 200mm throat thickness with 2 flight and 2 landings</t>
  </si>
  <si>
    <t>Bridging Slab to Grated Drain - 10mm ableflex filler, 10mm sealant, 20mm galvanised danley square dowel, 400mm long at 400mm spacing with flanged dowels boxes to alow for two-way horizontal slab movement (NB: Refer to S-0011-CD-1 for details)</t>
  </si>
  <si>
    <t xml:space="preserve">Column </t>
  </si>
  <si>
    <t>200 x 800mm wide concrete column</t>
  </si>
  <si>
    <t>350 x 350mm wide concrete column</t>
  </si>
  <si>
    <t>450 x 450mm wide concrete column</t>
  </si>
  <si>
    <t xml:space="preserve">Concrete Wall </t>
  </si>
  <si>
    <t>200mm thick reinforced concrete wall</t>
  </si>
  <si>
    <t>Formwork less than or equal to 250mm high to ground beam</t>
  </si>
  <si>
    <t>Formwork greater than 250mm high to ground beam</t>
  </si>
  <si>
    <t>400 x 800mm wide concrete column</t>
  </si>
  <si>
    <t>200mm thick reinforced concrete stair core wall</t>
  </si>
  <si>
    <t xml:space="preserve">Concrete Stair </t>
  </si>
  <si>
    <t>Refer to following structural drawing series: S-0020 for "Typical Steelwork Details", S-1000 for "Profile Plans, section and details"</t>
  </si>
  <si>
    <t>UC07 - 200 UC 59.50, 59.5kg/m, 1221.4mm surface perimeter</t>
  </si>
  <si>
    <t>Main Roof (S-1200-CD-2)</t>
  </si>
  <si>
    <t>Stair 2 Roof (S-1200-CD-2)</t>
  </si>
  <si>
    <t>PC10 - 380 PFC, 55.2kg/m, 1140mm surface perimeter</t>
  </si>
  <si>
    <t>Bridging to MC03 - C30024 Purlins</t>
  </si>
  <si>
    <t>Bridging to MC07 - Z25019 Purlins</t>
  </si>
  <si>
    <t>C30024 Gutter purlins</t>
  </si>
  <si>
    <t>Bridging to MC08 - C20019</t>
  </si>
  <si>
    <t>MC02 - C25024 Purlins</t>
  </si>
  <si>
    <t>Bridging to MC09 - C25019</t>
  </si>
  <si>
    <t>S321 - 100 x 100 x 6 SHS facade post, 16.7kg/m, 400mm surface perimeter</t>
  </si>
  <si>
    <t>S328 - 150 x 150 x 6 SHS facade post, 26.2kg/m, 600mm surface perimeter</t>
  </si>
  <si>
    <t>S328 - 150 x 150 x 6 SHS facade beam, 26.2kg/m, 600mm surface perimeter</t>
  </si>
  <si>
    <t>Baseplate for S321 - 100x100x6SHS facade post</t>
  </si>
  <si>
    <t>Baseplate for S328 - 150x150x6SHS facade post</t>
  </si>
  <si>
    <t>12mm thick Endplate for S328 - 150x150x6SHS facade beam</t>
  </si>
  <si>
    <t>S321 - 100x100x6SHS facade post, 16.7kg/m, 400mm surface perimeter</t>
  </si>
  <si>
    <t>S322 - 100x100x9SHS facade post, 23.5kg/m, 400mm surface perimeter</t>
  </si>
  <si>
    <t>Baseplate for S322 - 100x100x9SHS facade post</t>
  </si>
  <si>
    <t>Ground Floor (A-1106-06)</t>
  </si>
  <si>
    <t>Baseplate for UC04 - 150 UC 37.20 post</t>
  </si>
  <si>
    <t>12mm thick Endplate for UB09 - 200 UB 29.8 beam</t>
  </si>
  <si>
    <t>Level 1 (A-1107-06)</t>
  </si>
  <si>
    <t>UC04 - 150UC37.20 post, 37.2kg/m, 923.8mm surface perimeter</t>
  </si>
  <si>
    <t>UB09 - 200UB29.8 beam, 29.8kg/m, 937.4mm surface perimeter</t>
  </si>
  <si>
    <t>R330 - 250x150x6RHS, 35.6kg/m, 800mm surface perimeter</t>
  </si>
  <si>
    <t>Sand blasting to bracing</t>
  </si>
  <si>
    <t>Hot dipped galvanised to columns</t>
  </si>
  <si>
    <t>Hot dipped galvanised to bracing</t>
  </si>
  <si>
    <t>Hot dipped galvanised to sliding door framing</t>
  </si>
  <si>
    <t>Two coats of R0ZP zinc rich primer paint to columns</t>
  </si>
  <si>
    <t>Two coats of R0ZP zinc rich primer paint to roof framing</t>
  </si>
  <si>
    <t>Two coats of R0ZP zinc rich primer paint to bracing</t>
  </si>
  <si>
    <t>Refer to following sections of Calderwood Primary School "Architectural Specification" Revision 03 dated 12 September 2025 by Bennett and Trimble for: 0181A - Adhesives, Sealant and Fasteners, 0411 - Waterproof Membranes</t>
  </si>
  <si>
    <t>Ground Floor (A-1109-06)</t>
  </si>
  <si>
    <t>Ground Floor (A-1111-06)</t>
  </si>
  <si>
    <t>Waterstop angle and sealant (NB: Refer to drawing no. A-3204-02 for details)</t>
  </si>
  <si>
    <t>Waterproofing membrane to be compliant to AS4654.1 and AS4654.2 and UV resistant if exposed, sealant at corners to support membrane (NB: Refer to drawing no. A-3205-02 for details)</t>
  </si>
  <si>
    <t>Barge Capping (CAP-01) - Aluminium zinc magnesium alloy (AM150) coated G300 Steel, 0.6mm BMT, marine grade aluminium /0.90/1.2mm BMT, to match metal roof finish</t>
  </si>
  <si>
    <t>GUE-01 downpipe - 7500mm high, 225mm dia. 0.6mm thick Zinc/aluminium alloy coated steel with pre-painted finish, Profile: Circular, Finish: to match GUE-01 guutter</t>
  </si>
  <si>
    <t xml:space="preserve">GUE-01 downpipe -  5600mm high,150mm dia. 0.6mm thick Zinc/aluminium alloy coated steel with pre-painted finish, Profile: Circular, Finish: to match GUE-01 guutter</t>
  </si>
  <si>
    <t>Ground Level (A-1704-01)</t>
  </si>
  <si>
    <t>Level 1 (A-1706-6)</t>
  </si>
  <si>
    <t>CPA 03 - 9mm thick CSR Cemintel Barestone fibre cement sheet; Colour: Barestone original</t>
  </si>
  <si>
    <t>CPA 04 - 9mm thick CSR Cemintel Barestone fibre cement sheet; Colour: Lunar</t>
  </si>
  <si>
    <t>CMP 03 - Cladding Metal Panel Sunshade; Solid sheet metal box section sunshade highlight element; Colour: Dulux Duratec Sunshine satin finish</t>
  </si>
  <si>
    <t>Refer to the following architectural drawing series: 11 for "General Arrangement Plans", 8 for "Schedules", 20 for "Elevations"</t>
  </si>
  <si>
    <t>Refer to following sections of Calderwood Primary School "Architectural Specification" Revision 03 dated 12 September 2025 by Bennett and Trimble: 0451 - Windows/Rooflights/Screens/Louvres/Glazed Doors, 0183a - Metals and Pre-finishes</t>
  </si>
  <si>
    <t>2050x2130mm wide EW-02 fixed toughened glazed window with aluminium frame in powdercoated finish; Colour: Dulux Charisma Shale Grey (Area of 1 window panel = 4.37m2)</t>
  </si>
  <si>
    <t>Glazed Swing Door</t>
  </si>
  <si>
    <t>Glazed Sliding Door</t>
  </si>
  <si>
    <t>2100x1117mm wide ED-04 automatic sliding solid core door with metal frame in paint finish</t>
  </si>
  <si>
    <t>2700x1235mm wide ED-13 single leaf swing solid core egress door with metal frame in paint finish</t>
  </si>
  <si>
    <t>Ground Floor (A-1704-01)</t>
  </si>
  <si>
    <t xml:space="preserve">EW-02B – 1x13mm high-density, impact-resistant plasterboard lining on one side of the wall, and one layer of 1x16mm fire-rated plasterboard with 1mm vapor barrier membrane and  vertical and 25mm horizontal tophat on the other side, both sides fixed to 150mm steel stud with insulation; Fire Rating: 120/120/120</t>
  </si>
  <si>
    <t>Level 1 (A-1705-01)</t>
  </si>
  <si>
    <t>EW-01 – 1x13mm high-density, impact-resistant plasterboard lining on one side of the wall, and 1mm thick weather barrier membrane with 25mm and 35mm vertical and 25mm horizontal tophat on the other side, both sides fixed to 150mm steel stud with insulation; Acoustic Rating: Rw50</t>
  </si>
  <si>
    <t>IW-01 - 1x13mm impact resistant plasterboard lining on both side of the wall fixed to 92mm steel stud with insulation; Fire Rating: 120/120/120; Acoustic Rating: Rw35</t>
  </si>
  <si>
    <t xml:space="preserve">IW-02 B -  1x13mm high density and impact resistant plasterboard lining on one side of the wall and 1x16mm fire resistant plasterboard lining on other side both side fixed to 150mm steel stud with insulation; Fire Rating: 120/120/120; Acoustic Rating: Rw50</t>
  </si>
  <si>
    <t>IW-04 - 1x16mm fire resistant plasterboard lining on one side the wall and 1x16mm fire resistant plasterboard lining with 1x9mm fibre cement sheet lining on other side both side fixed to 92mm steel stud with insulation; Fire Rating: 60/60/60; Acoustic Rating: Rw40</t>
  </si>
  <si>
    <t>IW-65 - 1x13mm high density and impact resistant plasterboard lining with fixed 35mm vertical and 25mm horizontal tophat on one side of the wall;124mm Cavity; 76mm steel stud with insulation; 90mm cavity; 1x13mm high density and impact resistant plasterboard lining fixed to 76mm steel stud with insulation on other side; Fire Rating: 120/120/120; Acoustic Rating: Rw45</t>
  </si>
  <si>
    <t>IW-01 - 1x13mm impact resistant plasterboard lining on both side of the wall fixed to 92mm steel stud with insulation; Acoustic Rating: Rw50</t>
  </si>
  <si>
    <t xml:space="preserve">IW-06 - 1x13mm impact resistant plasterboard lining on one side of the wall and 9mm fibre cement sheet lining  both side fixed to 92mm steel stud with insulation; Acoustic Rating: Rw45</t>
  </si>
  <si>
    <t xml:space="preserve">IW-06 - 1x13mm impact resistant plasterboard lining on one side of the wall and 9mm fibre cement sheet lining  both side fixed to 92mm steel stud with insulation; Acoustic Rating: Rw40</t>
  </si>
  <si>
    <t xml:space="preserve">IW-06 - 1x13mm impact resistant plasterboard lining on one side of the wall and 9mm fibre cement sheet lining  both side fixed to 92mm steel stud with insulation; Acoustic Rating: Rw35</t>
  </si>
  <si>
    <t>IW-08 - 1x9mm fibre cement sheet lining on one side of the wall and 2x13mm high density plasterboard lining both side fixed to 92mm steel stud with insulation; Acoustic Rating: Rw45</t>
  </si>
  <si>
    <t>IW-08 - 1x9mm fibre cement sheet lining on one side of the wall and 2x13mm high density plasterboard lining both side fixed to 92mm steel stud with insulation; Acoustic Rating: Rw35</t>
  </si>
  <si>
    <t>IW-09 - 9mm fibre cement sheet lining fixed to 92mm steel stud; Acoustic Rating: Rw45</t>
  </si>
  <si>
    <t>IW-60 - 1x13mm high density and impact resistant plasterboard lining fixed to 76mm steel stud with insulation on one side of the wall; 90mm cavity; 1x13mm high density and impact resistant plasterboard lining fixed to 76mm steel stud with insulation on other side: Acoustic Rating: Rw45</t>
  </si>
  <si>
    <t>PIN-402A (NB: No details provided)</t>
  </si>
  <si>
    <t>Ground floor (A-1304-04)</t>
  </si>
  <si>
    <t>Level 1 (A-1305-04)</t>
  </si>
  <si>
    <t>PIN-401C (NB: No details provided)</t>
  </si>
  <si>
    <t>VINYL SKIRTING</t>
  </si>
  <si>
    <t>SK-04 - 100mm high Forbo Safestep R11; Type: PVC Vinyl; Colour: Smoke; Pattern: Sanded; Supplier: Forbo</t>
  </si>
  <si>
    <t>There were no assumptions for the Ceiling Works trade, documents were sufficient to cover the entire scope.</t>
  </si>
  <si>
    <t>CMS-02 - Non-combustible cladding metal sheet soffit; Finish: Colorbond; Colour: Zincalume; Material: Aluminium/ zinc alloy coated steel and custom shaped polyethylene strips;</t>
  </si>
  <si>
    <t>27/1A</t>
  </si>
  <si>
    <t>27/1B</t>
  </si>
  <si>
    <t>27/1C</t>
  </si>
  <si>
    <t>27/1D</t>
  </si>
  <si>
    <t>27/1E</t>
  </si>
  <si>
    <t>27/1F</t>
  </si>
  <si>
    <t>27/1G</t>
  </si>
  <si>
    <t>27/1H</t>
  </si>
  <si>
    <t>27/1J</t>
  </si>
  <si>
    <t>27/1K</t>
  </si>
  <si>
    <t>27/1L</t>
  </si>
  <si>
    <t>27/1M</t>
  </si>
  <si>
    <t>27/2A</t>
  </si>
  <si>
    <t>27/2B</t>
  </si>
  <si>
    <t>TIMBER SKIRTING</t>
  </si>
  <si>
    <t>100mm high SK-01 Breathable hardwood timber skirting; Size: 100mmx32mm; Finish: Spotted Gum</t>
  </si>
  <si>
    <t>JOINERY UNIT</t>
  </si>
  <si>
    <t xml:space="preserve">JNP-101B - 8450x700x2750mm high SLS joinery unit with three (3) 1450mm high 2-door cupboard in JNB-02A  finish with four internal shelves at one end,  two (2) 1450mm high 2-door cupboard in JNB-02A  finish with four internal shelves on the other end, eight (8) 2-tier equal-height lower open shelves at each end, four (4) open shelves in the middle portion in JNB-02C finish, 2330x1750mm high wall panel, 100 mm high kickboard in JNF-01C finish, and 600mm high joinery bulkhead in PIN-401C finish (NB: Refer to drawing no. CWPS-BAT-B00A-ZZ-DR-A-7001-02 for further details)</t>
  </si>
  <si>
    <t xml:space="preserve">JNP-102 - 7050x510x700mm high Multi Purpose Space underbench shelving with eighteen (18) equal-height lower open shelves in JNB-02B finish, 100mm high kickboard in JNF-01B finish (NB: Refer to drawing no. CWPS-BAT-B00A-ZZ-DR-A-7002-02 for further details)
</t>
  </si>
  <si>
    <t xml:space="preserve">JNP-250 - 1760x600x1500mm high Tea Room kitchen joinery unit with 1760x600mm wide benchtop in JNB-01F finish, two (2) 700mm high 2-door cupboards with internal shelves in JNB-02F finish, 630mm high splashback, and 100mm high kickboard in JNF-01F finish (NB: Refer to drawing no. CWPS-BAT-B00A-R0-DR-A-7004-02 for further details)
</t>
  </si>
  <si>
    <t>Refer to following sections of Calderwood Primary School "Architectural Specification" Revision 03 dated 12 September 2025 by Bennett and Trimble for: 0181A - Adhesives, Sealant and Fasteners, 0195 - Tactile Indicators and Stair Nosing, 0183a - Metals and Pre-Finishes, 0552 - Architectural Metalwork</t>
  </si>
  <si>
    <t>Refer to CMP 03 and CMP 04 for additional details on Sunshade SCN-202</t>
  </si>
  <si>
    <t>Ground Floor (DR-A-1100-07 &amp; DR-A-1103-7)</t>
  </si>
  <si>
    <t>Level 1 (DR-A-1101-07 &amp; DR-A-1104-7)</t>
  </si>
  <si>
    <t>Ground Floor (A-1106-06, A-2002-05)</t>
  </si>
  <si>
    <t>Level 1 (A-1107-06, A-2002-05)</t>
  </si>
  <si>
    <t>AMW-201 to Stair A0081 / A1050</t>
  </si>
  <si>
    <t>AMW-201 to Stair A0082 / A1051</t>
  </si>
  <si>
    <t>SUNSHADES</t>
  </si>
  <si>
    <t>SCN-202 - 585mm wide angled box section window shade; Profile type: metal box section; Finish: Powdercoated aluminum external grade; Colour: Dulux duratec sunshine satin finish</t>
  </si>
  <si>
    <t>Ground floor (A-1106-06)</t>
  </si>
  <si>
    <t xml:space="preserve">Metalwork -  Fences &amp; Gates only</t>
  </si>
  <si>
    <t>Screen</t>
  </si>
  <si>
    <t xml:space="preserve">PTN-03 - 1750x1450mm wide Freestanding Retractable Privacy Screent Folding Privacy Screen ; Code:  ROPI-RFW634 ; Supplier:  Ropimex</t>
  </si>
  <si>
    <t>PFI-03 to CPA-03 - Internal, water based acrylic ceiling paint finish; Finish: flat;</t>
  </si>
  <si>
    <t xml:space="preserve">TRK-01  - 20x25mm high  L Bend Shower Curtain Track System ; Finish:  White Powder coated aluminium ; Code:  ML-SCT-Series-L with CUR-01 - curtain fabric in drop length to suit</t>
  </si>
  <si>
    <t xml:space="preserve">TRK-02 - Ceiling Hook  and track</t>
  </si>
  <si>
    <t xml:space="preserve">TRK-03/HOI-01  - H-Track B System and ceiling hoist, ceiling surface-mounted HLS room coverage track rated to 250 kg; Finish: Powder coated white rail with white side covers; Code:  H-Track B System Ceiling </t>
  </si>
  <si>
    <t>"Number room Sequential within block Ie. A1, A2……."</t>
  </si>
  <si>
    <t>""LEARNING COMMONS""</t>
  </si>
  <si>
    <t xml:space="preserve">Door Signage - Variable Room Identification System with Braille and Tactile Signage - Material: Laminated plastic with contrasting coloured layers; Size: Door width minus 20 mm each side x 30 mm (nominal); Finish: Engraved through top layer to reveal lower laminate; Characters: Letter height 16 mm; Typeface: Microgramma Bold Extended. Including Standard Reference: BCA D3.6 (Amendment No.10); Compliance: Symbols in accordance with AS 1428.1; Includes: International symbol of access for accessible sanitary facilities and international symbol of deafness for spaces equipped with a hearing augmentation system
</t>
  </si>
  <si>
    <t>"ADULT CHANGE FACILITY &amp; LAUNDRY"</t>
  </si>
  <si>
    <t xml:space="preserve">MLD-01-  Multi learning display with fixed screen and adjustable mount height</t>
  </si>
  <si>
    <t>MLD-03 - Mobile screen</t>
  </si>
  <si>
    <t>MLD-205 - Wall mounted multi learning display with fixed screen and adjustable mount height Type 5</t>
  </si>
  <si>
    <t xml:space="preserve">BAS-04L - 920x450mm wide Wall Basin 1TH with Shroud ; Code: basin:  632410W, plug and flush: 687141C , shroud:632601c ; Supplier: Opal </t>
  </si>
  <si>
    <t xml:space="preserve">BAS-10  - Basin Size: 485x240x140mm high, Vanity Size:475x235x500m high Powder Room Vanity Unit Wall Hung ; Finish: Basin Cabinet Wall Mounted/ Pinewood &amp; MDF ; Code: Posh Solus/ 632710W
</t>
  </si>
  <si>
    <t xml:space="preserve">SNK-01R - 930x550mm wide Monaco Single End Bowl – 1TH, RHB, single right-hand bowl with drainer, one tap hole (no tap hole for Special Programs), including bamboo board and stainless steel colander; Finish: 305 Stainless Steel; Code: 5113.1R
</t>
  </si>
  <si>
    <t xml:space="preserve">SNK-04 - 600x500mm wide Cleaner’s Sink CSL with wall brackets and support legs, featuring a large 46L tub with hinged stainless steel bucket grate, brackets, front adjustable support legs, and 600mm extended splashbacks; Finish: Grade 304 stainless steel tub with satin finish and Grade 304 stainless steel hinged bucket grate; Code: CSL; Supplier: Britex 
</t>
  </si>
  <si>
    <t>SNK-05 - 630x586x873mm high 70 Litre Standard T&amp;C, single by-pass with one flexible by-pass kit, 70 L tub, white permacoat steel cabinet with hinged door, pull handle, and cupboard catch; without floor; Code: 9011; Supplier: Eureka</t>
  </si>
  <si>
    <t xml:space="preserve">SNK-06 - 1500x450x160mm deep Practical Activity Trough TPRAC-A, rear tap hob only, 1500 L with centre waste position; bench-mounted for hand washing and curricular activities, featuring rear hob with 40 mm overflow, three tap holes, and centre-positioned waste, designed to NSW education specifications; Code: TPRAC-A
</t>
  </si>
  <si>
    <t xml:space="preserve">SNK-08 - 1600x390x150mm deep Wallsend Trough, complete with radius front corners, 300 mm rear blade upstand, left/right 50 mm waste outlet, and wall mounting bracket; Code: TWAL-4-X-1600WB-R; Supplier: Britex 
</t>
  </si>
  <si>
    <t xml:space="preserve">TAP-01 - Oras Saﬁra Basin Mixer with Yellow / Blue Indicator; Finish: Bright Chrome; Code: SAF606-YB; Supplier: Enware
</t>
  </si>
  <si>
    <t>TAP-06 - Oras Saﬁra In-Wall Compact Shower Mixer with Yellow / Blue Indicator; Finish: Bright Chrome Plated; Code: SAF608-YB; Supplier: Enware</t>
  </si>
  <si>
    <t xml:space="preserve">TAP-07B - Oras Saﬁra Sink Mixer with Extended Lever ; Finish: Bright Chrome; Code: SAF607-YB; Supplier: Enware
</t>
  </si>
  <si>
    <t xml:space="preserve">TAP-11 - Type 26-7 Lab Bench Bib Tap with lever handle and anti-vandal aerator, 6 L/min.; Finish: Chrome Plated; Code:  LF118SL; Supplier: Enware
</t>
  </si>
  <si>
    <t xml:space="preserve">TAP-12 - 16C7 School Pattern Stop Tap with 200mm length.; Finish: Chrome Plated; Code:  LF118SL; Supplier: Enware
</t>
  </si>
  <si>
    <t xml:space="preserve">WC-01a - School Smart CF WFCC BE Suite with Liano Single Flap Black Seat ; Finish: Material: Vitreous China; Colour: White; Code:  814148B (TBC) ; Supplier: Caroma
</t>
  </si>
  <si>
    <t xml:space="preserve">WC-01b - Liano CleanFlush® Wall Faced Closed Coupled Toilet Suite ; Finish: Material: Vitreous China; Colour: White; Code: 848405W (Pan), 810828W (Cistern); Supplier: Caroma
</t>
  </si>
  <si>
    <t xml:space="preserve">WC-04  - Wall Faced Suite with Backrest and Caravelle Care Single Flap Seat; Finish: Anthracite Grey; Code: Care 800 Cleanﬂush®/901920BAG; Supplier: Caroma</t>
  </si>
  <si>
    <t>SHW-03R - Shower:1500mm long, Grab rail 1100x700mm long Inverted T Accessible Shower Set, shower mounted on grab rail; Finish: Shower: Chrome, Grab rail: stainless steel; Supplier: Caroma</t>
  </si>
  <si>
    <t xml:space="preserve">DSP-01  - 120x70/90x205mm high Vertical Soap Dispenser ; Finish: Satin Finished Stainless Steel; Code:  B2111; Supplier: Bobrick
</t>
  </si>
  <si>
    <t xml:space="preserve">DSP-02 - 275x125x335mm high Paper Towel Dispenser Contura ; Finish: Satin Finished Stainless Steel; Code: B4262; Supplier: Bobrick
</t>
  </si>
  <si>
    <t xml:space="preserve">DSP-03 - 275x125x335mm high Paper Towel Dispenser Contura ; Finish: Satin Finished Stainless Steel; Code: B4262; Supplier: Bobrick
</t>
  </si>
  <si>
    <t xml:space="preserve">DSP-04 - 315x120x155mm high Surface Mounted Double Toilet Roller Holder; Finish: Satin Finished Stainless Steel; Code: B69997; Supplier: Bobrick
</t>
  </si>
  <si>
    <t xml:space="preserve">GRB-01R -  90° right-hand and 450 mm straight grab rail set; Finish: Satin Finished Stainless Steel; Code: RBA4090-345/6; Supplier: RBA</t>
  </si>
  <si>
    <t xml:space="preserve">GRB-01L - 90° left-hand and 450 mm straight grab rail set; Finish: Satin Finished Stainless Steel; Code: RBA4090-345/6; Supplier: RBA
</t>
  </si>
  <si>
    <t xml:space="preserve">HOK-02 - 52x84x150mm high Hat and Coat Hook; Finish: Satin Stainless Steel; Code: ML214S; Supplier: Metlam 
</t>
  </si>
  <si>
    <t xml:space="preserve">MI-02 - 1000x7.5x1800mm high polished mirror; Finish: Grade 304 stainless steel with solid nylon back.; Supplier: Britex 
</t>
  </si>
  <si>
    <t>Change Table</t>
  </si>
  <si>
    <t>CHT-01 - Powered Wall Mounted Adult Change Table ; Finish: 350x1880mm long; Supplier: Montar</t>
  </si>
  <si>
    <t>Laundry</t>
  </si>
  <si>
    <t>EWM-01 - 600x660x850mm high Washer Dryer Combo; Finish: White; Supplier: Electrolux</t>
  </si>
  <si>
    <t xml:space="preserve">C-08 - Armchair with arms and upholstered with sled base; Finish: Colour: Upholstery: Light Grey and Sled Base: Black; Code: Loria </t>
  </si>
  <si>
    <t xml:space="preserve">CHR-101 - Stackable Chair; Finish: Slate Grey; Code: Postura Max Chair
</t>
  </si>
  <si>
    <t xml:space="preserve">CHR-103 - Stackable Chair; Finish: Slate Grey; Code: Postura Max Chair
</t>
  </si>
  <si>
    <t xml:space="preserve">CHR-115 - 445mm high Stackable Chair; Finish: Sage; Model: Tru Pos Sled
</t>
  </si>
  <si>
    <t xml:space="preserve">CHR-702 - 450x400mm  deep wooble stool; Finish: Colours: Base: Dark Grey and Seat: Black with white ring; Code: Mogi
</t>
  </si>
  <si>
    <t>SET-102 - 4000x2000x570mm high Soft Theatre Suite; Code: RES95; Supplier: BATGER</t>
  </si>
  <si>
    <t xml:space="preserve">SET-103 - Seat: 440x800x540mm high and Hood: 535x1100x1200mm high hideaway hood paired with hideaway seat
</t>
  </si>
  <si>
    <t>SET-105 - 1000x450x70mm high Laylow Raft</t>
  </si>
  <si>
    <t xml:space="preserve">SET-106 - 800x800x300mm high Create-A-Mats Floor Cushions
</t>
  </si>
  <si>
    <t xml:space="preserve">T-07 - 1090x500x760mm high Beparta Soft Trapeze Table T037; Finish: White writable table top, Colour Edging (TBC)
</t>
  </si>
  <si>
    <t xml:space="preserve">TBL-181 - 1200x750x720mm high Mobile Low Flip Top Table with coloured frame and top edge; Supplier: BFX Mars
</t>
  </si>
  <si>
    <t xml:space="preserve">TBL-182 - 1800x750x720mm high Mobile Flip Top Table with coloured frame, top edge, and writable tabletop; Supplier: BFX Mars
</t>
  </si>
  <si>
    <t xml:space="preserve">TBL-352 - 1800x900x680mm high  Intensive Teaching Table; Code: T082; Supplier: Beparta
</t>
  </si>
  <si>
    <t xml:space="preserve">DSK-121 - 800x575x720mm high Mobile Teachers Lecturn with Storage; Finish: White writable table top, Colour Edging (TBC); Supplier: Beparta
</t>
  </si>
  <si>
    <t>ST-17A - 800x470x1800mm high Cupboard - Double Door with Cabinet Pull JNP02</t>
  </si>
  <si>
    <t xml:space="preserve">Other - FF&amp;E -  Group 3 and ungrouped</t>
  </si>
  <si>
    <t>TRL-101 - 832x615x903mm high laptop mobile charging station; Finish: Finish: Standard;Colour: Standard; Code: Revolution 32 Cart™</t>
  </si>
  <si>
    <t>Detailed excavation to pad footing</t>
  </si>
  <si>
    <t>Pad Footing (40Mpa, 80mm slump, 20mm max. aggregate size)</t>
  </si>
  <si>
    <t>IPF01 - 2500 x 2500 x 700mm deep pad footing [Number of: 7]</t>
  </si>
  <si>
    <t>IPF02 - 1600 x 1600 x 700mm deep pad footing [Number of: 11]</t>
  </si>
  <si>
    <t>IPF03 - 2500 x 2500 x 1000mm deep pad footing [Number of: 3]</t>
  </si>
  <si>
    <t>IPF04 - 1200 x 1200 x 400mm deep pad footing [Number of: 9]</t>
  </si>
  <si>
    <t>PF01 - 1200 x 1200 x 600mm deep pad footing [Number of: 11]</t>
  </si>
  <si>
    <t>PF02 - 1500 x 1500 x 900mm deep pad footing [Number of: 2]</t>
  </si>
  <si>
    <t>PF03 - 1800 x 1800 x 900mm deep pad footing [Number of: 2]</t>
  </si>
  <si>
    <t>450 x 700mm deep edge beam [Length: 59]</t>
  </si>
  <si>
    <t>300 x 640mm deep internal beam [Length: 12]</t>
  </si>
  <si>
    <t>300 x 670mm deep internal beam [Length: 28]</t>
  </si>
  <si>
    <t>300 x 700mm deep internal beam [Length: 177]</t>
  </si>
  <si>
    <t>300 x 760mm deep internal beam [Length: 9]</t>
  </si>
  <si>
    <t>110mm thick slab on ground [Area: 149]</t>
  </si>
  <si>
    <t>170mm thick slab on ground [Area: 565]</t>
  </si>
  <si>
    <t>600mm wide slab fold [Length: 45]</t>
  </si>
  <si>
    <t>950mm wide slab fold [Length: 2]</t>
  </si>
  <si>
    <t>40mm thick integral fall to 110mm thick slab on ground [Area: 149]</t>
  </si>
  <si>
    <t>Extra over labour for setdown [Length: 123]</t>
  </si>
  <si>
    <t>Ground Floor (A-1206-02)</t>
  </si>
  <si>
    <t>210 x 150mm deep concrete hob [Length: 72]</t>
  </si>
  <si>
    <t>240 x 150mm deep concrete hob [Length: 15]</t>
  </si>
  <si>
    <t>100mm thick DGB 20 basecourse</t>
  </si>
  <si>
    <t>Pad Footing</t>
  </si>
  <si>
    <t>Formwork to IPF01 - 2500 x 2500 x 700mm deep pad footing</t>
  </si>
  <si>
    <t>Formwork to IPF02 - 1600 x 1600 x 700mm deep pad footing</t>
  </si>
  <si>
    <t>Formwork to IPF03 - 2500 x 2500 x 1000mm deep pad footing</t>
  </si>
  <si>
    <t>Formwork to IPF04 - 1200 x 1200 x 400mm deep pad footing</t>
  </si>
  <si>
    <t>Formwork to PF01 - 1200 x 1200 x 600mm deep pad footing</t>
  </si>
  <si>
    <t>Formwork to PF02 - 1500 x 1500 x 900mm deep pad footing</t>
  </si>
  <si>
    <t>Formwork to PF03 - 1800 x 1800 x 900mm deep pad footing</t>
  </si>
  <si>
    <t>Total SL92 mesh reinforcement to slab on ground</t>
  </si>
  <si>
    <t>Reinforcement to pad footing; REO Rate: 90kg/m3</t>
  </si>
  <si>
    <t>Bar reinforcement to ground beam; REO Rate: 200kg/m3</t>
  </si>
  <si>
    <t>SL92 top mesh reinforcement to slab on ground</t>
  </si>
  <si>
    <t>Square cutting and waste</t>
  </si>
  <si>
    <t>Forming all openings, machine cutting, cutting to form bond, cutting to form chases for edges of floor slabs</t>
  </si>
  <si>
    <t>Forming reveals including pointing and cleaning down</t>
  </si>
  <si>
    <t>Plumbing reveals and angles</t>
  </si>
  <si>
    <t>Building in of frames, flashings, dampproof course, ties, lintels, structural steel framework and the like</t>
  </si>
  <si>
    <t>Raking out joints for applied finishes</t>
  </si>
  <si>
    <t>Keeping cavities clear of mortar droppings</t>
  </si>
  <si>
    <t>Forming weepholes</t>
  </si>
  <si>
    <t>Using solid blocks where core holes would otherwise be visible or where required for fire rating</t>
  </si>
  <si>
    <t>Using matching half-blocks, closers, lintel and bond beam blocks as required</t>
  </si>
  <si>
    <t>Building in or cutting holes for pipes, handrails, cramps, steel ties sections and the like</t>
  </si>
  <si>
    <t>Making good and protecting finished surfaces</t>
  </si>
  <si>
    <t>Cleaning down</t>
  </si>
  <si>
    <t>Assumption was made on rates for corefilling to blockwalls and lintel beam</t>
  </si>
  <si>
    <t>BLOCKWORK</t>
  </si>
  <si>
    <t>Blockwall</t>
  </si>
  <si>
    <t>External Blockwall</t>
  </si>
  <si>
    <t>External Blockwall with total height from 3.0m - 4.0m</t>
  </si>
  <si>
    <t>EW-07 - 190mm Block Wall</t>
  </si>
  <si>
    <t>Ground Floor (A-1706-01)</t>
  </si>
  <si>
    <t>Internal Blockwall</t>
  </si>
  <si>
    <t>Internal Blockwall with total height from 3.0m - 4.0m</t>
  </si>
  <si>
    <t>IW-19 - 190mm Block Wall</t>
  </si>
  <si>
    <t>IW-80 - 190mm Block Wall; Fire Rating: 60/60/60; Acoustic Rating: Rw35</t>
  </si>
  <si>
    <t>IW-81 - 190mm Block Wall; Acoustic Rating: Rw40</t>
  </si>
  <si>
    <t>IW-83 - 190mm Block Wall; Fire rating: 60/60/60; Acoustic Rating: Rw40</t>
  </si>
  <si>
    <t>IW-85 - 190mm Block Wall; Acoustic Rating: Rw40</t>
  </si>
  <si>
    <t>Internal Blockwall with total height from 5.0m - 6.3m</t>
  </si>
  <si>
    <t>IW-79 - 190mm Block Wall; Acoustic Rating: Rw40</t>
  </si>
  <si>
    <t>IW-83 - 190mm Block Wall; Acoustic Rating: Rw40</t>
  </si>
  <si>
    <t>IW-84 - 190mm Block Wall; Acoustic Rating: Rw40</t>
  </si>
  <si>
    <t>Lintel Beam</t>
  </si>
  <si>
    <t>Corefilling</t>
  </si>
  <si>
    <t>Corefilling to External Blockwall</t>
  </si>
  <si>
    <t>Corefilling to External Blockwall with total height from 3.0m - 4.0m</t>
  </si>
  <si>
    <t>Corefilling to EW-07 - 190mm Block Wall; Assumed REO: 0.12m3/m2</t>
  </si>
  <si>
    <t>Corefilling to Internal Blockwall</t>
  </si>
  <si>
    <t>Corefilling to Internal Blockwall with total height from 3.0m - 4.0m</t>
  </si>
  <si>
    <t>Corefilling to IW-19 - 190mm Block Wall; Assumed REO: 0.12m3/m2</t>
  </si>
  <si>
    <t>Corefilling to IW-80 - 190mm Block Wall; Assumed REO: 0.12m3/m2</t>
  </si>
  <si>
    <t>Corefilling to IW-81 - 190mm Block Wall; Assumed REO: 0.12m3/m2</t>
  </si>
  <si>
    <t>Corefilling to IW-83 - 190mm Block Wall; Assumed REO: 0.12m3/m2</t>
  </si>
  <si>
    <t>Corefilling to IW-85 - 190mm Block Wall; Assumed REO: 0.12m3/m2</t>
  </si>
  <si>
    <t>Corefilling to Internal Blockwall with total height from 5.0m - 6.3m</t>
  </si>
  <si>
    <t>Corefilling to IW-79 - 190mm Block Wall; Assumed REO: 0.12m3/m2</t>
  </si>
  <si>
    <t>Corefilling to IW-84 - 190mm Block Wall; Assumed REO: 0.12m3/m2</t>
  </si>
  <si>
    <t>Corefilling to Lintel Beam; Assumed REO: 0.12m3/m2</t>
  </si>
  <si>
    <t>Reinforcement (By Ratio)</t>
  </si>
  <si>
    <t>Reinforcement to External Blockwall</t>
  </si>
  <si>
    <t>Reinforcement to External Blockwall with total height from 3.0m - 4.0m</t>
  </si>
  <si>
    <t>Reinforcement to EW-07 - 190mm Block Wall; REO Rate: 60kg/m3</t>
  </si>
  <si>
    <t>Reinforcement to Internal Blockwall</t>
  </si>
  <si>
    <t>Reinforcement to Internal Blockwall with total height from 3.0m - 4.0m</t>
  </si>
  <si>
    <t>Reinforcement to IW-19 - 190mm Block Wall; REO Rate: 60kg/m3</t>
  </si>
  <si>
    <t>Reinforcement to IW-80 - 190mm Block Wall; REO Rate: 60kg/m3</t>
  </si>
  <si>
    <t>Reinforcement to IW-81 - 190mm Block Wall; REO Rate: 60kg/m3</t>
  </si>
  <si>
    <t>Reinforcement to IW-83 - 190mm Block Wall; REO Rate: 60kg/m3</t>
  </si>
  <si>
    <t>Reinforcement to IW-85 - 190mm Block Wall; REO Rate: 60kg/m3</t>
  </si>
  <si>
    <t>Reinforcement to Internal Blockwall with total height from 5.0m - 6.3m</t>
  </si>
  <si>
    <t>Reinforcement to IW-79 - 190mm Block Wall; REO Rate: 60kg/m3</t>
  </si>
  <si>
    <t>Reinforcement to IW-84 - 190mm Block Wall; REO Rate: 60kg/m3</t>
  </si>
  <si>
    <t>RENDER FINISH TO INTERNAL WALLS</t>
  </si>
  <si>
    <t>EC-03 - 10mm thick Cement Finish Render (NB: No details provided, refer to drawing series A-8008-02 "Wall types schedule")</t>
  </si>
  <si>
    <t>Ground floor (A-1306-04)</t>
  </si>
  <si>
    <t>Refer to following structural drawing series: S-0020 for "Typical Steelwork Details", S-1000 for "Profile Plans"</t>
  </si>
  <si>
    <t>UB27 - 610 UB 113, 113kg/m, 2103.6mm surface perimeter</t>
  </si>
  <si>
    <t>UB28 - 610 UB 125, 125kg/m, 2116.2mm surface perimeter</t>
  </si>
  <si>
    <t>UC04 - 150 UC 37.20, 37.2kg/m, 923.8mm surface perimeter</t>
  </si>
  <si>
    <t>C312 - 168.3 CHS 6.4, 23.7kg/m, 528.73mm surface perimeter</t>
  </si>
  <si>
    <t>C318 - 273.1 CHS 6.4, 42.1kg/m, 858mm surface perimeter</t>
  </si>
  <si>
    <t>Base plate to UB27 - 610 UB 113 steel column</t>
  </si>
  <si>
    <t>Base plate to UB28 - 610 UB 125 steel column</t>
  </si>
  <si>
    <t>Base plate to UC04 - 150 UC 37.20 steel column</t>
  </si>
  <si>
    <t>Base plate to UC07 - 200 UC 59.50 steel column</t>
  </si>
  <si>
    <t>Base plate to C312 - 168.3 CHS 6.4 steel column</t>
  </si>
  <si>
    <t>Base plate to C318 - 273.1 CHS 6.4 steel column</t>
  </si>
  <si>
    <t>4M20 grade 8.8 cast in 'L-Bar' anchor bolts for steel columns</t>
  </si>
  <si>
    <t>6M20 grade 8.8 cast in 'L-Bar' anchor bolts with stiffened raft for UB27/UB28 steel columns</t>
  </si>
  <si>
    <t>Hall Roof (S-1200-CD-1)</t>
  </si>
  <si>
    <t>Awning Framing (S-1100-CD-1)</t>
  </si>
  <si>
    <t>UB07 - 200 UB 22.3, 22.3kg/m, 926mm surface perimeter</t>
  </si>
  <si>
    <t>UB09 - 200 UB 29.8, 29.8kg/m, 937.4mm surface perimeter</t>
  </si>
  <si>
    <t>UB11 - 250 UB 31.4, 31.4kg/m, 1075.8mm surface perimeter</t>
  </si>
  <si>
    <t>PC08 - 250 PFC, 35.5kg/m, 844mm surface perimeter</t>
  </si>
  <si>
    <t>UB15 - 310 UB 46.2, 46.2kg/m, 1264.6mm surface perimeter</t>
  </si>
  <si>
    <t>UB23 - 460 UB 82.1, 82.1kg/m, 1664.2mm surface perimeter</t>
  </si>
  <si>
    <t>UB25 - 530 UB 92.4, 92.4kg/m, 1881.6mm surface perimeter</t>
  </si>
  <si>
    <t>C314 - 219.1 CHS 4.8, 25.4kg/m, 688mm surface perimeter</t>
  </si>
  <si>
    <t>C316 - 219.1 CHS 8.2, 42.6kg/m, 688mm surface perimeter</t>
  </si>
  <si>
    <t>MC04 - 16mm diameter rod bracings</t>
  </si>
  <si>
    <t>MC01 - 20mm diameter rod bracings</t>
  </si>
  <si>
    <t>MC05 - C20024 Purlins at 600 centres</t>
  </si>
  <si>
    <t>MC09 - C25019 Purlins at edge</t>
  </si>
  <si>
    <t>Bridging to MC05 - C20024 Purlins</t>
  </si>
  <si>
    <t>Bridging to MC09 - C25019 Purlins</t>
  </si>
  <si>
    <t>MC02 - C25024 Purlins at edges</t>
  </si>
  <si>
    <t>MC02 - C25024 Purlins at 900 centres</t>
  </si>
  <si>
    <t>Bridging to MC02 - C25024 Purlins</t>
  </si>
  <si>
    <t>Ground Floor (S-1500-CD-1)</t>
  </si>
  <si>
    <t>S325 - 125 x 125 x 6 SHS post, 21.4kg/m, 500mm surface perimeter</t>
  </si>
  <si>
    <t>S328 - 150 x 150 x 6 SHS bracing, 26.2kg/m, 600mm surface perimeter</t>
  </si>
  <si>
    <t>S329 - 150 x 150 x 9 SHS bracing, 37.7kg/m, 600mm surface perimeter</t>
  </si>
  <si>
    <t>S333 - 250 x 250 x 6 SHS beam, 45kg/m, 1000mm surface perimeter</t>
  </si>
  <si>
    <t>Baseplate to S325 - 125 x 125 x 6 SHS post</t>
  </si>
  <si>
    <t>RMS-02 - Fielders Aramax 700m cover profile 1.0 base metal thickness, Colour/Finish: TBC, Colorbond Shale Grey to top surface</t>
  </si>
  <si>
    <t>RMS-03 - Fielders Aramax 700m cover profile 1.2 base metal thickness, Colour/Finish: TBC, Colorbond Shale Grey to top surface</t>
  </si>
  <si>
    <t>Insulation to RMS-02 - 175mm thick Earthwool Glasswool insulation faced with Thor Heavy Duty Foil, R-Value: R3.72 m2 K/W</t>
  </si>
  <si>
    <t>Insulation to RMS-03 - 175mm thick Earthwool Glasswool insulation faced with Thor Heavy Duty Foil, R-Value: R3.72 m2 K/W</t>
  </si>
  <si>
    <t xml:space="preserve">220mm Fascia to match RMS-01 </t>
  </si>
  <si>
    <t xml:space="preserve">390mm Fascia to match RMS-02 </t>
  </si>
  <si>
    <t xml:space="preserve">390mm Fascia to match RMS-03 </t>
  </si>
  <si>
    <t>GUE-01 downpipe - 4200mm high, 225mm dia. 0.6mm thick Zinc/aluminium alloy coated steel with pre-painted finish, Profile: Circular, Finish: to match GUE-01 guutter</t>
  </si>
  <si>
    <t>GUE-01 downpipe - 3170mm high, 225mm dia. 0.6mm thick Zinc/aluminium alloy coated steel with pre-painted finish, Profile: Circular, Finish: to match GUE-01 guutter</t>
  </si>
  <si>
    <t>GUE-01 downpipe - 3400mm high, 150mm dia. 0.6mm thick Zinc/aluminium alloy coated steel with pre-painted finish, Profile: Circular, Finish: to match GUE-01 guutter</t>
  </si>
  <si>
    <t>GUE-02 - 600mm COLA Eave Gutters to Aramax Standard Detail</t>
  </si>
  <si>
    <t>GUE-02 - 225mm dia. 3750mm high COLA Downpipe to Aramax Standard Detail, 0.6mm thickness; Material: zinc/aluminium alloy coated steel; Profile: Circular; Colour: to match adjacent finish; Finish: Pre-painted</t>
  </si>
  <si>
    <t>ROOF VENTILATOR</t>
  </si>
  <si>
    <t>Roof-mounted turbo ventilators</t>
  </si>
  <si>
    <t>Ground Level (A-1706-01)</t>
  </si>
  <si>
    <t>CPA 02 - 8mm thick Vitrapanel Fibre Cement sheet; Cladding Material: Smooth and even Compressed Fibre cement sheets with factory sealed edges, free of imperfections such as chips: Catergory: Type A Category 5 to AS/NZS 2908.2; Colour: Yellow</t>
  </si>
  <si>
    <t>Extend of Graffiti-proof coating to external wall elements facing public domain</t>
  </si>
  <si>
    <t>1200x1200mm wide EW-14 fixed toughened glazed window with aluminium frame in powdercoated finish; Colour: Dulux Charisma Shale Grey (Area of 1 window panel = 1.44m2)</t>
  </si>
  <si>
    <t>3000x5000mm wide EW-12 fixed toughened glazed window with aluminium frame in powdercoated finish; Colour: Dulux Charisma Shale Grey (Area of 1 window panel = 15m2)</t>
  </si>
  <si>
    <t>1200x2700mm wide EW-13 sliding stacked toughened glazed window with aluminium frame in powdercoated finish; Colour: Dulux Charisma Shale Grey (Area of 1 window panel = 3.24m2)</t>
  </si>
  <si>
    <t>1250x1800mm wide IW-05 fixed glazed window with aluminium frame in powdercoated finish (Area of 1 window panel = 2.25m2)</t>
  </si>
  <si>
    <t>3010x2400mm wide ED-05 double leaf swing double glazed egress door with transom with aluminium frame in powdercoated finish (Area of 1 door panel = 7.22m2)</t>
  </si>
  <si>
    <t>2400x1000mm wide ED-06 single leaf swing double glazed door with aluminium frame in powdercoated finish (Area of 1 door panel = 2.4m2)</t>
  </si>
  <si>
    <t>2100x1000mm wide ED-07 single leaf swing solid core door with metal frame in paint finish</t>
  </si>
  <si>
    <t>2100x1100mm wide ED-08 single leaf swing solid core door with metal frame in paint finish</t>
  </si>
  <si>
    <t>2100x1500mm wide ID-11 unequal double leaf swing fire rated solid core door with metal frame in paint finish; FRL: 60/60/60</t>
  </si>
  <si>
    <t>2100x2100mm wide ID-12 double leaf swing fire rated solid core door with metal frame in paint finish; FRL: 60/60/60</t>
  </si>
  <si>
    <t>2100x1900mm wide ID-15 double leaf swing fire rated solid core door with metal frame in paint finish; FRL: 60/60/60</t>
  </si>
  <si>
    <t>2100x2100mm wide ID-16 double leaf swing fire rated solid core door with metal frame in paint finish; FRL: 60/60/60</t>
  </si>
  <si>
    <t>2100x1000mm wide ID-09 single leaf swing solid core door with metal frame in paint finish</t>
  </si>
  <si>
    <t>2100x1000mm wide ID-10 single leaf swing solid core door with louvre with metal frame in paint finish</t>
  </si>
  <si>
    <t>2150x1500mm wide ID-17 double leaf swing solid core door with metal frame in paint finish</t>
  </si>
  <si>
    <t>2100x900mm wide ID-20 double leaf swing fire rated solid core door with metal frame in paint finish</t>
  </si>
  <si>
    <t>EW-06 (NB: No details provided (Refer to A-1706-01 for details)</t>
  </si>
  <si>
    <t>EW-07 (NB: No details provided (Refer to A-1706-01 for details)</t>
  </si>
  <si>
    <t>IW-03 - 1x16mm fire resistant plasterboard lining on both side of the wall fixed to 92mm steel stud with insulation; Fire Rating: 60/60/60; Acoustic Rating: Rw40</t>
  </si>
  <si>
    <t>IW-04 - 1x16mm fire resistant plasterboard lining on one side the wall and 1x16mm fire resistant plasterboard lining with 1x9mm fibre cement sheet lining on other side both fixed to 92mm steel stud with insulation Fire Rating: 60/60/60; Acoustic Rating: Rw40</t>
  </si>
  <si>
    <t>WL-33- 1x13mm impact resistant plasterboard lining with fixed 35mm vertical and 25mm horizontal tophat; Acoustic Rating: Rw40 (NB: No details provided, assumed WL-02 linings)</t>
  </si>
  <si>
    <t>IW-80 - 1x13mm impact resistant plasterboard lining with fixed 35mm vertical and 25mm horizontal tophat; Acoustic Rating: Rw35</t>
  </si>
  <si>
    <t>IW-85 - 1x10mm fibre cement sheet fixed to blockwork; Acoustic Rating: Rw40</t>
  </si>
  <si>
    <t>IW-05 - 1x9mm fibre cement sheet lining on both side of the wall fixed to 92mm steel stud with insulation</t>
  </si>
  <si>
    <t>WTB-101</t>
  </si>
  <si>
    <t>PIN-401D - 12mm thick Pinboard; Colour: Milkway</t>
  </si>
  <si>
    <t>WALL LINING</t>
  </si>
  <si>
    <t xml:space="preserve">LIN-303 - FC Wall Lining; Product: DecorLux; Finish: Smart Look Nom. Birch pine; </t>
  </si>
  <si>
    <t xml:space="preserve">LIN-304 - Perforated FC Wall Lining; Product: DecorLux; Finish: Smart Look Nom. Birch pine; </t>
  </si>
  <si>
    <t>VINYL TO WALL</t>
  </si>
  <si>
    <t>RW-01 - 92mm thick Vinyl sheet walling; Product: Forbo onyx+ vinyl sheet wall covering; Colour: Uni Ivory; Supplier: Forbo</t>
  </si>
  <si>
    <t>Overhead Doors</t>
  </si>
  <si>
    <t>1200x2800mm wide ID-22 roller door with pop up flyscreen with metal frame in paint finish</t>
  </si>
  <si>
    <t>CLG-105 - Two layers of 13mm fire rated, suspended flush plasterboard lining concealed in ceiling suspension system; Supplier: Gyprock; Code: CSR6367; Fire rating: FRL 60/60/60; Finish: Painted PTC03, unless noted otherwise;</t>
  </si>
  <si>
    <t>Raked CLG-101 - 13mm standard suspended flush plasterboard lining in ceiling suspension system; Finish: Painted PTC03, unless noted otherwise;</t>
  </si>
  <si>
    <t xml:space="preserve">Raked CLG-102 -  1200x600mm moisture-resistant, flush plasterboard lining fixed to suspended metal support 
framing system in grid ceiling system; Fire hazard properties: Group 1; Fire performance: Non-combustible; Finish: Painted PTC03, unless noted otherwise;</t>
  </si>
  <si>
    <t>RF-05 - 2mm thick Safestep R12 textured PVC Vinyl in "Concrete" colour, sanded pattern and homogenous sheet form; Sheet width: 2000mm; Critical radiant flux: 8.8kW/m2; Slip resistance classification: R12/P5; Underlay: 2mm Sarlibase acoustic underlay with levelling compound</t>
  </si>
  <si>
    <t>Refer to following sections of Calderwood Primary School "Architectural Specification" Revision 03 dated 12 September 2025 by Bennett and Trimble for: 0181A - Adhesives, Sealant and Fasteners, 0383 - Timber Flooring / Decking</t>
  </si>
  <si>
    <t>Assume TF-01X has the same detail as TF-01.</t>
  </si>
  <si>
    <t>TIMBER/WOOD</t>
  </si>
  <si>
    <t>TF-01X on Ramp - Elevated timber sprung flooring in "Spotted Gum" colour; 60mm x 20.5mm with 3 coats of tung oil seal, 3 coats of high solid content cross-linked acrylic polymer clear wood floor finish; Apply 2 component "Bona Traffic HD TDS AU" on 12mmH2 plywood substrate on 75x35 hardwood timber battens at max 300mm centres; on 40x20x19mm thick neoprene resilient mounts at 300mm centres</t>
  </si>
  <si>
    <t>TF-01X - Elevated timber sprung flooring in "Spotted Gum" colour; 60mm x 20.5mm with 3 coats of tung oil seal, 3 coats of high solid content cross-linked acrylic polymer clear wood floor finish; Apply 2 component "Bona Traffic HD TDS AU" on 12mmH2 plywood substrate on 75x35 hardwood timber battens at max 300mm centres; on 40x20x19mm thick neoprene resilient mounts at 300mm centres</t>
  </si>
  <si>
    <t>TF-01 - Timber sprung flooring in "Spotted Gum" colour; 60mm x 20.5mm with 3 coats of tung oil seal, 3 coats of high solid content cross-linked acrylic polymer clear wood floor finish; Apply 2 component "Bona Traffic HD TDS AU" on 12mmH2 plywood substrate on 75x35 hardwood timber battens at max 300mm centres; on 40x20x19mm thick neoprene resilient mounts at 300mm centres</t>
  </si>
  <si>
    <t>between Timber &amp; Vinyl</t>
  </si>
  <si>
    <t>JNY-XXX/JNY-300 - 7210x600x2150mm high Canteen joinery unit with 7210x600mm wide benchtop in SS finish, one (1) 2-door underbench cupboard, one (1) 1-door underbench cupboard, three (3) 4-tier draweres, two (2) 2-tier open shelves, open bench frame modules with support legs, 2480x1250mm high splashback, 1200x300mm high splashback, 100mm high kickboad in SS finish (NB: Refer to drawing no. CWPS-BAT-B00B-R0-DR-A-7013-02 for further details)</t>
  </si>
  <si>
    <t xml:space="preserve">JNY-XXX/JNY-300 - 5400x600x1200mm high Canteen joinery unit with 5400x600mm wide benchtop in SS finish, one (1) 1-door cupboard, (1) 4-tier equal-height drawer, open bench frame modules with support legs, 300mm high splashback, 100mm high kickboad in SS finish (NB: Refer to drawing no. CWPS-BAT-B00B-R0-DR-A-7012-02 for further details)
</t>
  </si>
  <si>
    <t xml:space="preserve">JNY-XXX/JNY-300 - 1200x600x1200mm high Canteen sink joinery unit with 1200x600mm wide benchtop, open bench frame modules with support legs in SS finish (NB: Refer to drawing no. CWPS-BAT-B00B-R0-DR-A-7013-02 for further details)
</t>
  </si>
  <si>
    <t>JNY-233 - 8240x955x2700mm high OSHC Kitchenette joinery unit with a 4645x955mm wide benchtop, two (2) 2-door underbench cupboards, two (2) 1-door underbench cupboards, two (2) 2-door overhead cupboards, two (2) 1-door overhead cupboards, one (1) tall cabinet, one (1) 3-tier equal-height underbench drawer, one (1) 4-tier equal-height underbench drawer, and one (1) 2-tier overhead open shelf. Includes open shelf provisions for a microwave, oven, and two fridges in JNB-02F finish, with a 100mm high kickboard in JNF-01F finish, and 550mm high joinery bulkhead in PIN-401D finish (NB: Refer to drawing no. CWPS-BAT-B00B-R0-DR-A-7011-02 for further details)</t>
  </si>
  <si>
    <t>JNY-233 - 2205x805x2700mm high OSHC Kitchenette joinery unit with one (1) tall cabinet, an open shelf provision for a fridge in JNB-02F finish, and a 100mm high kickboard in JNF-01F finish (NB: Refer to drawing no. CWPS-BAT-B00B-R0-DR-A-7011-02 for further details)</t>
  </si>
  <si>
    <t>Ground Floor (DR-A-1109-06)</t>
  </si>
  <si>
    <t>CMP-02 - Perforated sheet metal cladding; Nom. Solidal TEGO Box cladding system; Finish: Powdercoat; Colour: Colorbond Basalt Matt; Perforation pattern TBC to achieve open surface area</t>
  </si>
  <si>
    <t>Ground Floor (A-2003-05)</t>
  </si>
  <si>
    <t xml:space="preserve">900x2500mm wide LV-06 fixed mechanical louvre with aluminium frame in powdercoated finish; Colour: Dulux Charisma Shale Grey; Others: stainless steel ember/vermin mesh (max 2mm aperture) behind louvre </t>
  </si>
  <si>
    <t xml:space="preserve">600x1000mm wide LV-07 fixed mechanical louvre with aluminium frame in powdercoated finish; Colour: Dulux Charisma Shale Grey; Others: stainless steel ember/vermin mesh (max 2mm aperture) behind louvre </t>
  </si>
  <si>
    <t>PFI-03 to CLG-105 - Internal, water based acrylic ceiling paint finish; Finish: flat;</t>
  </si>
  <si>
    <t>Painting to Ceiling Type 3.5 to 4.50m height from FFL</t>
  </si>
  <si>
    <t>PFI-03 to Raked CLG-101 - Internal, water based acrylic ceiling paint finish; Finish: flat;</t>
  </si>
  <si>
    <t>PAINTING TO EXTERNAL STEELWORK</t>
  </si>
  <si>
    <t>PPE-03 - Dulux Duremax HBE protective paint to typical freestanding columns to 1.500m AFFL; Colour: to match Dulux Duratec Sunshine</t>
  </si>
  <si>
    <t>TRAFFIC SIGNAGE</t>
  </si>
  <si>
    <t>SGN-05 Car Park Signage Identification Signage; Supports the clear identification and differentiation of the two car parks servicing the PPS and School off auxilliary road. (NB: Refer to drawing no. A-4002-02)</t>
  </si>
  <si>
    <t>Door Sign</t>
  </si>
  <si>
    <t>"TOILET/SHOWER"</t>
  </si>
  <si>
    <t>Audio Visual - Supply &amp; Install ( Design Cost to be included in Consultants)</t>
  </si>
  <si>
    <t xml:space="preserve">B-86 - 1770x645x890mm high Woodwork Demonstration; Finish: Solid timber top and powdercoated steel frame; Code: RE-B86; Supplier: Steelco
</t>
  </si>
  <si>
    <t xml:space="preserve">CFL 250 - 1100x500x1800mm high Flammables Storage Cupboard 250
</t>
  </si>
  <si>
    <t xml:space="preserve">LS-512 - 900x250x1980mm high wall fixed shelves with 5 rear wall shelves and rear sloping shelf
</t>
  </si>
  <si>
    <t xml:space="preserve">LS-522 - 900x250x1980mm high wall fixed shelves add-on bay with 5 standard shelves and rear sloping shelf
</t>
  </si>
  <si>
    <t xml:space="preserve">SA 300 - Steel shelving with solid steel backs </t>
  </si>
  <si>
    <t xml:space="preserve">SA 400 - Steel shelving with solid steel backs 
</t>
  </si>
  <si>
    <t xml:space="preserve">SA 600 - Steel shelving with solid steel backs 
</t>
  </si>
  <si>
    <t xml:space="preserve">BAS-02L  - 720x450mm wide  Wall Basin 1 TH with Shroud; Finish: Basin: Material: Vitreous China; Colour: White, Anti vandal plug: Finish/Colour: Chrome; Code: basin: 632210, plug and flush: 687141C , shroud:632601; Supplier: Opal 
</t>
  </si>
  <si>
    <t xml:space="preserve">BAS-02R - 720x450mm wide 721 LHS Wall Basin 1 TH with Shroud; Finish: Basin: Material: Vitreous China; Colour: White, Anti vandal plug: Finish/Colour: Chrome; Code: basin: 632210, plug and flush: 687141C , shroud:632602; Supplier: Opal 
</t>
  </si>
  <si>
    <t xml:space="preserve">SNK-02L - 1200x500mm wide Monaco Double End Bowl – 1TH, LHB, double left-hand bowl with drainer, one tap hole, including bamboo board and stainless steel colander.; Finish: 306 Stainless Steel; Code: 5113
</t>
  </si>
  <si>
    <t xml:space="preserve">SNK-03B - 1800x600mm wide  Benchtech 600 Series Double Sink with Centre Bowls with intergrated sink; Finish: 304 Grade, 1.2mm Thick Stainless steel Benchtop Satin Finish; Code: BT-DSB-618-C
</t>
  </si>
  <si>
    <t xml:space="preserve">SNK-03C - 1200x600mm wide  Benchtech Single Sink Benches - Left Hand Bowl with intergrated sink and Splashback with 45 degree angle top edge; Code: BT-SSB-612-L
</t>
  </si>
  <si>
    <t xml:space="preserve">SNK-09 - 900x350x162mm deep Pre-plumbed Hand Wash Trough, 900 mm long with 2 tap outlets, radius front corners, 300 mm rear blade upstand, left/right 50 mm waste outlet, and wall mounting bracket; Code: TPWDPH; Supplier: Britex 
</t>
  </si>
  <si>
    <t xml:space="preserve">TAP-03 - Delabie Tempo Soft Time Flow Basin Tap ; Finish: Bright Chrome ; Code: TFC740510; Supplier: Enware
</t>
  </si>
  <si>
    <t xml:space="preserve">TAP-09 - 465x315x340mm high Gooseneck Mixer Tap and 40L Quadra Plus 5 underbench unit with dispenser; Finish: Bright Chrome; Code: underbench unit: 904025, tapware: 904025LGCH, dispenser:  LG (L-TP-08 / G-TP-09) ; Supplier: Billi
</t>
  </si>
  <si>
    <t>TAP-10 - Food Service Pre-Rinse Wall Assembly with concealed mixer, compact version with spring return and pot filler, dual check valves for backflow protection, and separate mixing taps.; Finish: Brass and Stainless Steel ; Code: FWS121W; Supplier: Enware</t>
  </si>
  <si>
    <t xml:space="preserve">TAP-13 School Pattern Recess Set with SP120 Wall Mounted Curved ; Code: VP317S
</t>
  </si>
  <si>
    <t xml:space="preserve">WC-03 - Wall Faced Suite with Backrest and Caravelle Care Single Flap Seat ; Finish: Anthracite Grey; Model: Care 800 Cleanﬂush; Code:901920BAG ; Supplier: Caroma
</t>
  </si>
  <si>
    <t>SHW-03L - Shower:1500mm long, Grab rail 1100x700mm long Inverted T Accessible Shower Set, shower mounted on grab rail; Finish: Shower: Chrome, Grab rail: stainless steel; Supplier: Caroma</t>
  </si>
  <si>
    <t>Floor Waste</t>
  </si>
  <si>
    <t xml:space="preserve">HOL-01 - 110x110x38mm high Soap Dish, commercial grade with radiused corners and edges; Finish: #304 Stainless Steel, Polished Finish ; Code: RBA1622-101; Supplier:  Ënda
</t>
  </si>
  <si>
    <t xml:space="preserve">GRB-03 - 450X450mm wide Ambulant Grab Rail; Finish: Stainless Steel; Code: RBA4090-450; Supplier: RBA
</t>
  </si>
  <si>
    <t xml:space="preserve">HOK-01 - 22x30x72mm high Robe Hook, commercial grade with radius corners and edges, featuring dual fixing points; Finish: Heavy Duty Brass, Bright Chrome FiniSH; Code: RBA1631-100; Supplier: Oken
</t>
  </si>
  <si>
    <t xml:space="preserve">SHF-03 - 610mm wide shelf; Finish: stainless steel; Code: BTX-10-012 
</t>
  </si>
  <si>
    <t xml:space="preserve">BIN-04 - Foot Pedal Sanitary Unit, hands-free operation
</t>
  </si>
  <si>
    <t xml:space="preserve">MI-01 - 450x7.5x1200mm high polished mirror; Finish: Grade 304 stainless steel with solid nylon back.; Supplier: Britex 
</t>
  </si>
  <si>
    <t xml:space="preserve">MI-02B - 900x7.5x1000mm high polished mirror; Finish: Grade 304 stainless steel with solid nylon back.; Supplier: Britex </t>
  </si>
  <si>
    <t>Kitchen</t>
  </si>
  <si>
    <t xml:space="preserve">ECT-01 - 590x520x51mm high Electronic pie warmer cabinet; Finish:  Black Ceramic Glass Finish; Code: WHI645BE; Supplier: Westinghouse
</t>
  </si>
  <si>
    <t>EDW-01 - 598x594x820mm high Series 6 built-under dishwasher ; Finish: Stainless Steel; Code: PG 8059 U [MK HYGIENE MAR; Supplier: Miele</t>
  </si>
  <si>
    <t xml:space="preserve">EDW-02 - 598x573x815mm high 40L Microwave Convection Oven; Finish: Stainless Steel; Code: SMU6HCS01A; Supplier: Bosch
</t>
  </si>
  <si>
    <t xml:space="preserve">EMO-01 - 553x453x327mm high 60cm Stainless Steel Pyrolytic Oven; Finish: White Finish; Code: WMF4102SA; Supplier: Westinghouse
</t>
  </si>
  <si>
    <t xml:space="preserve">EOV-01 - 595x568x595mm high 335L Bottom Mount Fridge; Finish: Stainless Steel; Code: CAO610XP; Supplier: Artusi
</t>
  </si>
  <si>
    <t xml:space="preserve">ERF-03 - 596x550x818mm high  Fully Integrated Bar Fridge ; Finish: Stainless Steel; Code: AINT119-NF2; Supplier: Artusi
</t>
  </si>
  <si>
    <t xml:space="preserve">ERH-02 - 600x290x297mm high Under Cupboard Stainless Steel Rangehood including 2x Mesh Filter; Finish: Stainless Steel Under Facia Panel Only with a Dark Grey Cabinet; Code: AUM60; Supplier: Artusi
</t>
  </si>
  <si>
    <t>Board</t>
  </si>
  <si>
    <t xml:space="preserve">MG-02 - 1180x880x23mm thick Fixed Pegboard Panel
</t>
  </si>
  <si>
    <t>Pegs</t>
  </si>
  <si>
    <t xml:space="preserve">WP-01  - 150mm long Wall pegs; Finish: Galvanised MS Wall Peg
</t>
  </si>
  <si>
    <t>Racks</t>
  </si>
  <si>
    <t xml:space="preserve">RB-01 - 510x510x720mm high  Rack for Bats; Finish:  2 coats clear polyurethane
</t>
  </si>
  <si>
    <t>Lectern</t>
  </si>
  <si>
    <t xml:space="preserve">LCT-01 - Lectern; Finish: Colour: Silver; Code: AL2000 Senator
</t>
  </si>
  <si>
    <t xml:space="preserve">S-06 - 450x505x765mm high chair; Code: Slim N Comfy 
</t>
  </si>
  <si>
    <t xml:space="preserve">S-07 - 1810x505x765mm high 4-seater chair; Finish: Polypropylene with steel base; Colour: Redgum
</t>
  </si>
  <si>
    <t>FWK-02 - 1800x700 deep Travel C Workstation by Workspace, height adjustable with cut-out and cable tray for power/data cables</t>
  </si>
  <si>
    <t xml:space="preserve">LC-02 - 375x450x1800mm high Shield Single Door Steel Locker; Finish: Finish: Powdercoated Steel and Colour: White; Code: RE-L01
</t>
  </si>
  <si>
    <t xml:space="preserve">TR-01 - 3-tier  catering trolley with 0.8mm thick stainless steel trays, 25kg load capacity per tray, swivel castors (two lockable), and dual-end handles for easy manoeuvring; Finish: Stainless steel
</t>
  </si>
  <si>
    <t xml:space="preserve">ECT-02 - 744x363x433mm high 800 Series Electric Cooktop with 4 hot plates on stand with undershelf; Code:  DC859-A ; Supplier: Apuro
</t>
  </si>
  <si>
    <t>EPW-01 - 610x800x1120mm high Built-under fresh water dishwasher with baskets; Code: PEB4S-X ; Supplier: Goldstein</t>
  </si>
  <si>
    <t xml:space="preserve">ERH-03 - 1200x1100x700mm high Commercial Kitchen Exhaust Canopy; Finish: Stainless Steel; Code: Xtracta 1200; Supplier: Xtracta
</t>
  </si>
  <si>
    <t xml:space="preserve">ERF-05 - 1200x690x2080mm high Commercial freestanding display fridge; Finish: clear glass-fronted; Code: GM1000LBCAS; Supplier: Bromic
</t>
  </si>
  <si>
    <t xml:space="preserve">ERF-06 - 595x640x1725mm high Commercial freestanding display fridge; Finish: lear glass-fronted door; Code: GM1000LBCAS; Supplier: Bromic
</t>
  </si>
  <si>
    <t xml:space="preserve">ERF-07 - 777x695x1890mm high 555L Single Glass Door Freezer Upright Static Display Freezer; Finish: Clear glass-fronted door; Code: XF600SG; Supplier: FED-X
</t>
  </si>
  <si>
    <t>Trolley</t>
  </si>
  <si>
    <t>TR-02 - 780x485x820mm high Double Shelf Trolley; Finish: ERW Commercial grade powder coated steel frame and 18mm Laminate Board (Laminex E0); Code: RETR01</t>
  </si>
  <si>
    <t>TR-03 - 180x670x1180mm high Chair Trolley; Finish: Powder coated; Colour: Black; Code: Integra/Postura/Hobnob Trolley to suit Slim N Comfy 4-leg stacking chair</t>
  </si>
  <si>
    <t>TR-04 - 1884x510x490mm high Chair Trolley; Finish: steel frame: charcoal powder coat; Code: Sim n’ Comfy Auditto Trolley to suit Slim N Comfy Chair - 4 Seat Auditto</t>
  </si>
  <si>
    <t xml:space="preserve">LS-033 - 300mm deep shelving wall with three shelves
</t>
  </si>
  <si>
    <t xml:space="preserve">ST-17D (NB: No details provided)
</t>
  </si>
  <si>
    <t xml:space="preserve">Bo-19 - 1200mm wide fixed whiteboard
</t>
  </si>
  <si>
    <t>25MPa, 80mm slump, 20mm max. aggregate size</t>
  </si>
  <si>
    <t>Ground Beam (25Mpa, 80mm slump, 20mm max. aggregate size)</t>
  </si>
  <si>
    <t>450 x 700mm deep edge beam [Length: 144]</t>
  </si>
  <si>
    <t>450 x 630mm deep edge beam [Length: 18]</t>
  </si>
  <si>
    <t>300 x 700mm deep internal beam [Length: 28]</t>
  </si>
  <si>
    <t>100 x 385mm deep waffle slab ribs</t>
  </si>
  <si>
    <t>Slab on Ground (25Mpa, 80mm slump, 20mm max. aggregate size)</t>
  </si>
  <si>
    <t>85mm thick waffle slab [Area: 574]</t>
  </si>
  <si>
    <t>110mm thick slab on ground [Area: 102]</t>
  </si>
  <si>
    <t>600mm wide slab fold [Length: 67]</t>
  </si>
  <si>
    <t>40mm thick integral fall to 85mm thick slab on ground</t>
  </si>
  <si>
    <t>Extra over labour for setdown [Length: 68]</t>
  </si>
  <si>
    <t>Hob (25Mpa, 80mm slump, 20mm max. aggregate size)</t>
  </si>
  <si>
    <t>Ground Floor (A-1207-02)</t>
  </si>
  <si>
    <t>150 x 150mm deep concrete hob [Length: 79]</t>
  </si>
  <si>
    <t>225mm thick void former to waffle slab</t>
  </si>
  <si>
    <t>590mm thick void former to slab on ground</t>
  </si>
  <si>
    <t>Bar reinforcement to waffle slab ribs</t>
  </si>
  <si>
    <t>Bar reinforcement to ground beam</t>
  </si>
  <si>
    <t>SL92 top mesh reinforcement to slab on ground [Area: 17]</t>
  </si>
  <si>
    <t xml:space="preserve">Post Tensioning </t>
  </si>
  <si>
    <t xml:space="preserve">Roof framing for future preschool including trusses, purlins and bracings are to be designed in accordance with relevant to australian standards, EFSG, Spec 43, and BAL 19 </t>
  </si>
  <si>
    <t xml:space="preserve">RMS-01- Low Profile Klip-Lok 700 Hi Strength; Colour: Shale Grey; Finish: Colorbond; Supplier: Bluescope Lysaght </t>
  </si>
  <si>
    <t xml:space="preserve">250mm Fascia to match RMS-01 </t>
  </si>
  <si>
    <t>GUE-01 downpipe - 3100mm high, 225mm dia. 0.6mm thick Zinc/aluminium alloy coated steel with pre-painted finish, Profile: Circular, Finish: to match GUE-01 guutter</t>
  </si>
  <si>
    <t>GUE-01 downpipe - 2500mm high, 225mm dia. 0.6mm thick Zinc/aluminium alloy coated steel with pre-painted finish, Profile: Circular, Finish: to match GUE-01 guutter</t>
  </si>
  <si>
    <t>Ground Level (A-1707-01)</t>
  </si>
  <si>
    <t>There are discrepancies in the tagging between the window schedule and the general arrangement plan. The placements of Window Type IDs IW-20 and IW-22 have been determined based on the window type descriptions</t>
  </si>
  <si>
    <t>It is assumed that Window Type ID IW-20 is a sliding glazed window unless otherwise specified in the drawings or specifications</t>
  </si>
  <si>
    <t>Ground Floor (A-1111-06, A-2004-05)</t>
  </si>
  <si>
    <t>1700x1200mm wide EW-20 fixed toughened glazed window with aluminium frame in powdercoated finish; Colour: Dulux Charisma Shale Grey (Area of 1 window panel = 2.04m2)</t>
  </si>
  <si>
    <t>1700x2400mm wide EW-21 fixed toughened glazed window with aluminium frame in powdercoated finish; Colour: Dulux Charisma Shale Grey (Area of 1 window panel = 4.08m2)</t>
  </si>
  <si>
    <t>1150x2400mm wide EW-22 fixed toughened glazed window with aluminium frame in powdercoated finish; Colour: Dulux Charisma Shale Grey (Area of 1 window panel = 2.76m2)</t>
  </si>
  <si>
    <t>1700x1200mm wide EW-23 fixed toughened glazed window with aluminium frame in powdercoated finish; Colour: Dulux Charisma Shale Grey (Area of 1 window panel = 2.04m2)</t>
  </si>
  <si>
    <t>1000x1000mm wide EW-24 fixed toughened glazed window with aluminium frame in powdercoated finish; Colour: Dulux Charisma Shale Grey (Area of 1 window panel = 1m2)</t>
  </si>
  <si>
    <t>550x1775mm wide EW-25 fixed toughened glazed window with aluminium frame in powdercoated finish; Colour: Dulux Charisma Shale Grey (Area of 1 window panel = 0.98m2)</t>
  </si>
  <si>
    <t>730x4800mm wide EW-26 fixed toughened glazed window with aluminium frame in powdercoated finish; Colour: Dulux Charisma Shale Grey (Area of 1 window panel = 3.5m2)</t>
  </si>
  <si>
    <t>1550x2000mm wide IW-21 fixed glazed window with aluminium frame in powdercoated finish; Acoustic Rating: Rw 40 (Area of 1 window panel = 3.1m2)</t>
  </si>
  <si>
    <t>1400x2000mm wide IW-22 fixed glazed window with aluminium frame in powdercoated finish; Acoustic Rating: Rw 45 (Area of 1 window panel = 2.8m2)</t>
  </si>
  <si>
    <t>1290x1800mm wide IW-20 sliding glazed window with aluminium frame in powdercoated finish; Acoustic Rating: Rw 40 (Area of 1 window panel = 2.32m2)</t>
  </si>
  <si>
    <t>2700x2400mm wide ED-21 sliding double glazed stacking door with aluminium frame in powdercoated finish (Area of 1 door panel = 6.48m2)</t>
  </si>
  <si>
    <t>2700x3600mm wide ED-22 sliding double glazed stacking door with aluminium frame in powdercoated finish (Area of 1 door panel = 9.72m2)</t>
  </si>
  <si>
    <t>2700x1300mm wide ED-20 single leaf swing double glazed door with transom with aluminium frame in powdercoated finish (Area of 1 door panel = 3.51m2)</t>
  </si>
  <si>
    <t>2700x1050mm wide ED-23 single leaf swing double glazed door with transom with aluminium frame in powdercoated finish (Area of 1 door panel = 2.84m2)</t>
  </si>
  <si>
    <t>2700x1200mm wide ED-24 single leaf swing double glazed door with transom with aluminium frame in powdercoated finish (Area of 1 door panel = 3.24m2)</t>
  </si>
  <si>
    <t>2150x1000mm wide ID-23 sliding double glazed pocket door with aluminium frame in powdercoated finish (Area of 1 door panel = 2.15m2)</t>
  </si>
  <si>
    <t>2400x950mm wide ID-24 sliding double glazed pocket door with aluminium frame in powdercoated finish (Area of 1 door panel = 2.28m2)</t>
  </si>
  <si>
    <t>2150x1600mm wide ID-21 single leaf swing double glazed door with sidelight with aluminium frame in powdercoated finish; Acoustic Rating: Rw Rw32 (Area of 1 door panel = 3.44m2)</t>
  </si>
  <si>
    <t>2100x2100mm wide ED-25 double leaf swing solid core door with metal frame in paint finish</t>
  </si>
  <si>
    <t>2150x950mm wide ID-29 double leaf swing fire rated solid core door with metal frame in paint finish; FRL: 60/60/60</t>
  </si>
  <si>
    <t>2150x1050mm wide ID-22 single leaf swing solid core butler door with porthole with metal frame in paint finish; Acoustic Rating: Rw Rw32</t>
  </si>
  <si>
    <t>2150x900mm wide ID-25 single leaf swing solid core door with metal frame in paint finish</t>
  </si>
  <si>
    <t>2150x1000mm wide ID-27 single leaf swing solid core door with metal frame in paint finish</t>
  </si>
  <si>
    <t>2150x1380mm wide ID-28 double leaf swing solid core door with metal frame in paint finish</t>
  </si>
  <si>
    <t xml:space="preserve">EW-01 – 1x13mm high-density, impact-resistant plasterboard lining on one side of the wall, and 1mm thick weather barrier membrane with 25mm and 35mm  vertical and 25mm horizontal tophat on the other side, both sides fixed to 150mm steel stud with insulation</t>
  </si>
  <si>
    <t>Ground Floor (A-1707-01)</t>
  </si>
  <si>
    <t>EW-03 - 1x9mm fibre cement sheet lining on one side of the wall and 1x9mm fibre cement sheet lining with 35mm and 15mm batten ventilated cavity and 1mm vapor barrier membrane on other side both side fixed to 150mm steel stud</t>
  </si>
  <si>
    <t xml:space="preserve">IW-06 - 1x13mm impact resistant plasterboard lining on one side of the wall and 9mm fibre cement sheet lining  both side fixed to 92mm steel stud with insulation; Acoustic Rating: Rw50</t>
  </si>
  <si>
    <t>IW-07 - 1x8mm fibre cement sheet lining and 1x13mm impact resistant plasterboard lining on one side of the wall and 2x13mm impact resistant plasterboard lining on other both side fixed to 92mm steel stud with insulation; Acoustic Rating: Rw40</t>
  </si>
  <si>
    <t>IW-07 - 1x8mm fibre cement sheet lining and 1x13mm impact resistant plasterboard lining on one side of the wall and 2x13mm impact resistant plasterboard lining on other both side fixed to 92mm steel stud with insulation; Acoustic Rating: Rw45</t>
  </si>
  <si>
    <t>IW-13 - 13mm standard flush plasterboard lining fixed to 92mm steel stud; Acoustic Rating: Rw45</t>
  </si>
  <si>
    <t>IW-71 - 1x13mm high density and impact resistant plasterboard lining fixed to 64mm steel stud with insulation on one side of the wall and 1x9mm fibre cement sheet lining fixed to 64mm steel stud with insulation on other side; Acoustic Rating: Rw45</t>
  </si>
  <si>
    <t>Ground floor (A-1307-04)</t>
  </si>
  <si>
    <t>PIN-401A - 12mm thick Pinboard; Colour: Wheat Scan</t>
  </si>
  <si>
    <t>Assume that CLG-103 to have same details as CLG-101.</t>
  </si>
  <si>
    <t>CLG-103 - 13mm standard suspended flush plasterboard lining in ceiling suspension system; Finish: Painted PTC03, unless noted otherwise; (NB: Assume that details are the same as CLG-101</t>
  </si>
  <si>
    <t>CPA-01 - 8mm thk prefinished compressed fibre cement cladding panel; Supplier: Vitrapanel; Colour: Spinifex;</t>
  </si>
  <si>
    <t>LIN-104 - 12mm thk natural birch veneer finished plywood ceiling lining;</t>
  </si>
  <si>
    <t xml:space="preserve">Raked CLG-101 - 13mm standard suspended flush plasterboard lining in ceiling suspension system; Finish: Painted PTC03, unless noted otherwise; Support Framing: Fixed directly to roof framing: Approximately 25 x 38mm galvanised steel 
furring channels at maximum 600mm centres connected to direct fixing 
clips fixed to roof framing;</t>
  </si>
  <si>
    <t>Raked CLG-114 - 25mm thk surface stick acoustic ceiling panel in ceiling suspension system; Supplier: Acoufelt/ Filasorb; Color: Milkyway;</t>
  </si>
  <si>
    <t>450 X 450mm wide Access Panels for CLG-103</t>
  </si>
  <si>
    <t>600 x 600mm wide Access Panels for CLG-103</t>
  </si>
  <si>
    <t>600 x 600mm wide Access Panels for LIN-104</t>
  </si>
  <si>
    <t>14/1A</t>
  </si>
  <si>
    <t>14/1B</t>
  </si>
  <si>
    <t>14/1C</t>
  </si>
  <si>
    <t>14/1D</t>
  </si>
  <si>
    <t>14/1E</t>
  </si>
  <si>
    <t>14/1F</t>
  </si>
  <si>
    <t>14/1G</t>
  </si>
  <si>
    <t>14/1H</t>
  </si>
  <si>
    <t>14/1J</t>
  </si>
  <si>
    <t>14/1K</t>
  </si>
  <si>
    <t>14/1L</t>
  </si>
  <si>
    <t>14/1M</t>
  </si>
  <si>
    <t>14/1N</t>
  </si>
  <si>
    <t>14/2A</t>
  </si>
  <si>
    <t>14/2B</t>
  </si>
  <si>
    <t>14/2C</t>
  </si>
  <si>
    <t>14/2D</t>
  </si>
  <si>
    <t>14/2E</t>
  </si>
  <si>
    <t>CPT-02C - 500x500x6.5mm thick alternating stripes modular carpet tile consisting of alternating bands of 500mm wide tiles, equal quantities of each color with textured type pattern, loop pile and Ashlar installation pattern; Interface EFSG Range: Escarpment; ACCS Grade: Commercial extra heavy duty &amp; stairs; Material: 100% recycled solution dyed nylon; Backing: CushionBacRE; Fixing System: Release type adhesive; Edge strip finish and colour: Hard clear anodised aluminium; VOC: Green Carpet - ASTM D5116 Accredited; Colours: Escarpment - Rainforest Floor &amp; Escarpment - Desert Neutral</t>
  </si>
  <si>
    <t>Assume CON-02 - penetrating sealer to C0027 - Mech</t>
  </si>
  <si>
    <t>RF-06 - 2mm thick Surestep Laguna PVC Vinyl in "Smoke" colour and homogenous sheet form; Wearlayer dimension: 25m x 200cm x 0.7mm NCS S 6000-N; LRV: 19%</t>
  </si>
  <si>
    <t>CON-01 - Clear concrete sealer</t>
  </si>
  <si>
    <t>Minimum 1.5mm cement and polymer based levelling and smoothing compound in "Grey" colour with water based primer, pre-coat, bonding agent and pore closer.</t>
  </si>
  <si>
    <t>JN-01 - 2600x420x2425mm high Foyer reception counter with 1800x420mm wide benchtop in JNB-01G finish, one (1) 5-tier shelf of unequal height, 800mm high vertical end panel supporting benchtop in JNB-02G finish, and a 100mm high kickboard in JNF-01G finish (NB: Refer to drawing no. CWPS-BAT-B00C-R0-DR-A-7014-02 for further details)</t>
  </si>
  <si>
    <t>JN-03A - 4540x450x2700mm high Foyer joinery unit featuring a 2030x600mm upholstered benchseat with backrest in FBTxx finish, a 480x2160mm shelving unit with varying shelf heights between two bench seats in JNB-02B finish (NB: Refer to drawing no. CWPS-BAT-B00C-R0-DR-A-7015-02 for further details</t>
  </si>
  <si>
    <t>JN-03B - 4100x450x350mm high Preschool GLS L-shaped upholstered benchseat in FBTxx finish, seats and edges in JNB-02C finish (NB: Refer to drawing no. CWPS-BAT-B00C-R0-DR-A-7015-02 for further details)</t>
  </si>
  <si>
    <t>JN-05 - 2620x600x870mm high Kitchen servery unit with 2620x600mm wide benchtop in JNB-01A finish and underbench cupboard in JNB-02G finish (NB: Refer to drawing no. CWPS-BAT-B00C-R0-DR-A-7017-02 for further details)</t>
  </si>
  <si>
    <t xml:space="preserve">JN-06 - 4890x700x2700mm high Kitchen joinery unit with 4890x700mm wide benchtop in JNB-01A finish, one (1) 1-door overhead cupboard, two (2) 1-door overhead cupboards, one (1) 1-door underbench cupboard, two (2) 1-door underbench cupboards, one (1) 2-tier overhead shelf, one (1) 2-tier underbench shelf, open shelf provision each for microwave, oven, and fridge in JNB-02G finish, 610mm high splashback, and 100mm high kickboard (NB: Refer to drawing no. CWPS-BAT-B00C-R0-DR-A-7017-02 for further details)
</t>
  </si>
  <si>
    <t>JN-07 - 5100x800x900mm high Office/Interview L-shaped desk (NB: Refer to drawing no. CWPS-BAT-B00C-R0-DR-A-7014-02 for further details)</t>
  </si>
  <si>
    <t>JN-09 - 4455x500x2400mm high Preschool GLS playroom cubby joinery unit with five (5) 2-door cupboards, one (1) 1-door cupboard in JNB-02A finish, eleven (11) 2-tier shelves in JNB-02B finish, and 100mm high kickboard in JNF-01B finish (NB: Refer to drawing no. CWPS-BAT-B00C-R0-DR-A-7015-02 for further details)</t>
  </si>
  <si>
    <t>JN-10 - 2000x600x1000mm high Preschool GLS playroom vanity unit with a 2000x600mm wide benchtop in JNB-01A finish and two (2) 2-door underbench cabinets in JNB-02G finish, and a 100mm high kickboard in JNF-01G finish (NB: Refer to drawing no. CWPS-BAT-B00C-R0-DR-A-7016-02 for further details)</t>
  </si>
  <si>
    <t xml:space="preserve">JN-11 - 1200x600x870mm high Preschool GLS playroom storage joinery unit with a 900x600mm wide benchtop in JNB-01A finish, one (1) 2-door underbench cupboard, one (1) 3-tier equal-height shelf in JNB-02G finish, and a 100mm high kickboard in JNF-01G finish 
(NB: Refer to drawing no. CWPS-BAT-B00C-R0-DR-A-7016-02 for further details)</t>
  </si>
  <si>
    <t>JN-12 - 4783x600x2450mm high Store storage joinery unit with five (5) 5-tier shelves of unequal width and equal height in JNB-02A finish, and 100mm high kickboard in JNF-01A finish (NB: Refer to drawing no. CWPS-BAT-B00C-R0-DR-A-7014-02 for further details)</t>
  </si>
  <si>
    <t xml:space="preserve">JN-18 - 1750x800x900mm high Amenities sink joinery unit with a 1750x800mm wide benchtop, one (1) 1-door underbench cupboard, front panel in JNB-02A finish, and a 100mm high kickboard in JNF-01A finish 
(NB: Refer to drawing no. CWPS-BAT-B00C-R0-DR-A-7016-02 for further details)</t>
  </si>
  <si>
    <t xml:space="preserve">JN-19 - 1800x350x2700mm high Amenities trough overhead cupboard with two (2) 2-door shelf cabinets in JNB-02A finish 
(NB: Refer to drawing no. CWPS-BAT-B00C-R0-DR-A-7016-02 for further details)</t>
  </si>
  <si>
    <t xml:space="preserve">JN-22 - 2190x700x3000mm high Admin/Staff sink joinery unit with 2190x700mm wide benchtop, three (3) 1-door overhead cabinet with internal shelves, one (1) 4-tier drawers, open shelf provision each for microwave, oven, and  fridge, 600mm high splashback, 100mm high kickboad, and 600mm high joinery bulkhead in PIN-401D finish (NB: Refer to drawing no. CWPS-BAT-B00C-R0-DR-A-7018-02 for further details)
</t>
  </si>
  <si>
    <t xml:space="preserve">JN-24 - 2764x700x2400mm high Laundry joinery unit with 2764x700mm wide benchtop, one (1) 1-door overhead cupboard with two internal shelves, two (2) 1-door overhead cupboards with two internal shelves each, one (1) 2-door underbench cupboard with two internal shelves, one (1) tall cupboard with four internal shelves, open shelf provision each for microwave, oven, and fridge, 600mm high splashback, and 100mm high kickboard, and 300mm high joinery bulkhead in PIN-401D finish (NB: Refer to drawing no. CWPS-BAT-B00C-R0-DR-A-7018-02 for further details)
</t>
  </si>
  <si>
    <t>Ground Floor (DR-A-1111-06)</t>
  </si>
  <si>
    <t>Ground Floor (A-2004-05)</t>
  </si>
  <si>
    <t xml:space="preserve">730x1350mm wide LV-08 fixed mechanical louvre with aluminium frame in powdercoated finish; Colour: Dulux Charisma Shale Grey; Others: stainless steel ember/vermin mesh (max 2mm aperture) behind louvre </t>
  </si>
  <si>
    <t>FENCES</t>
  </si>
  <si>
    <t>FT1 - Fence Type 1 (S-stepped) 358 Security fence 2100mm high; Post and mesh powder coated, colour: Black</t>
  </si>
  <si>
    <t>700x1200mm wide hinged swing gate in powdercoat steel finish including all hardwares</t>
  </si>
  <si>
    <t>Privacy Panel</t>
  </si>
  <si>
    <t xml:space="preserve">Refer to following architectural drawing series: 11 for "General Arrangement Plans", 13 for "RCP", 17 for "Partitions Plans", 20 for "Elevations" 20 for "Elevations", 30 for "Sections", 31 for "Wall Sections", 32 for "Details - Sections",  33 for "Details - Plan", 6 for "RLS", 8 for "Schedules"</t>
  </si>
  <si>
    <t>PFI-03 to CLG-103 - Internal, water based acrylic ceiling paint finish; Finish: flat;</t>
  </si>
  <si>
    <t>PFE-05 blackboard paint finish applied to CPA-03 panel hatched in blue</t>
  </si>
  <si>
    <t>AUDIO &amp; VISUAL EQUIPMENT (GROUP 1)</t>
  </si>
  <si>
    <t xml:space="preserve">SC1 - Screen display for facility notice
</t>
  </si>
  <si>
    <t xml:space="preserve">BAS-01 - Wall Basin 1TH with Shroud + Plug ; Finish: Basin: Material: Vitreous China; Colour: White, Anti vandal plug: Finish/Colour: Chrome; Code: 6401210W; Supplier: Caroma
</t>
  </si>
  <si>
    <t xml:space="preserve">SNK-10 - 285x100mm deep  Inset round basin with overflow; Finish: Grade 304 Stainless Steel; Code: HBH3; Supplier: Britex 
</t>
  </si>
  <si>
    <t xml:space="preserve">SNK-11 - 440x440x200mm high single bowel ﬂushline sink; Finish: Grade 304 Stainless Steel; Supplier: Prism
</t>
  </si>
  <si>
    <t xml:space="preserve">SNK-12 - Single 70 Litre Flushline Tub; Code: 9510; Supplier: Clark
</t>
  </si>
  <si>
    <t>TAP-02 Oras Saﬁra Basin Mixer with Extended Lever Handle ; Finish: Bright Chrome; Code: SAF606D-YB; Supplier: Enware</t>
  </si>
  <si>
    <t xml:space="preserve">TAP-04 - Bath / Shower Mixer; Finish: Chrome ﬁnish ; Code: 96366C/96360C; Supplier: Liano II
</t>
  </si>
  <si>
    <t xml:space="preserve">TAP-06 - Oras Saﬁra In-Wall Compact Shower Mixer with Yellow / Blue Indicator; Finish: Bright Chrome Plated; Code: SAF608-YB; Supplier: Enware
</t>
  </si>
  <si>
    <t xml:space="preserve">WC-02 - Height Wall Faced Closed Coupled (Germgard®) ; Model: Liano CleanﬂushEasy; Code: 843306W (Pan), 810828W (Cistern), 300054B (Black Seat).; Supplier: Caroma
</t>
  </si>
  <si>
    <t xml:space="preserve">WC-05 - Liano Junior Cleanﬂush Wall Faced Toilet Suite Includes Quick Release Soft Close Single Flap Seat; Finish:  White Round Chrome Button; Supplier: Caroma</t>
  </si>
  <si>
    <t xml:space="preserve">SHW-03L - Shower:1500mm long, Grab rail 1100x700mm long Inverted T Accessible Shower Set, shower mounted on grab rail; Finish: Shower: Chrome, Grab rail: stainless steel; Supplier: Caroma
</t>
  </si>
  <si>
    <t xml:space="preserve">F21 - 125x71cm high Junior Change Table; Code: CJ12.07021.E0000F.00C10; Supplier:  ABCO</t>
  </si>
  <si>
    <t xml:space="preserve">ERF-02A - 598x1756x650mm high 565L french door refrigerator; Finish: Stainless Steel; Code: WBB3400AK; Supplier: Westinghouse
</t>
  </si>
  <si>
    <t xml:space="preserve">EWM-01 - 600x660x850mm high Washer Dryer Combo; Finish: White; Supplier: Electrolux
</t>
  </si>
  <si>
    <t xml:space="preserve">F3 - 31cm wide Stacking Chairs ; Code: Timber seat and backrest, powder-coated 
metal frame, and plas5c feet to protect ﬂoors from 
scratches or marks
</t>
  </si>
  <si>
    <t xml:space="preserve">F4 - Adult-sized Couch ; Code: fabric in Antimicrobial Stain Resistang Finish and natural ash finish legs
</t>
  </si>
  <si>
    <t xml:space="preserve">F10 - Adult Chair ; Code: fabric in Antimicrobial Stain Resistang Finish and natural ash finish legs
</t>
  </si>
  <si>
    <t xml:space="preserve">F16 - Supersized Cushions; Finish: Weather resistant fabric
</t>
  </si>
  <si>
    <t xml:space="preserve">F19 - 600x600x790mm high adult outside seat; Finish: Base: Freestanding
Chair battens: Aluminium Curly Birch
Frame: DuraBright Lobster Red</t>
  </si>
  <si>
    <t xml:space="preserve">FA3 - Ergonomic task chair with no arms ; Finish:  White Powerdercoat Base and Natural Oak  or Natural White Finish
</t>
  </si>
  <si>
    <t xml:space="preserve">F1 - 1200x600mm wide Rectangle Table with adjustable height
</t>
  </si>
  <si>
    <t xml:space="preserve">F12 -  Home Corner Table &amp; Chair Set with small table and two chairs; Finish: Natural Timber </t>
  </si>
  <si>
    <t>F18 - Table: 1160mm L x 700mm W x 530mm H and Benches: 1010mm L x 310mm W x 300mm H Outdoor Table and Stackable Benches (Set); Finish: Eucalypt timber top with white aluminium frame; Supplier: Harmony Education</t>
  </si>
  <si>
    <t xml:space="preserve">FA2 - Coﬀee Table </t>
  </si>
  <si>
    <t xml:space="preserve">FA4 - 900mm diameter Meeting table
</t>
  </si>
  <si>
    <t xml:space="preserve">FWK-01 - 1500x700 deep Travel C Workstation by Workspace, height adjustable with cut-out and cable tray for power/data cables
</t>
  </si>
  <si>
    <t xml:space="preserve">FWK-02 - 1800x700 deep Travel C Workstation by Workspace, height adjustable with cut-out and cable tray for power/data cables
</t>
  </si>
  <si>
    <t xml:space="preserve">F5 - 180x40x90cm high  Block Storage Shelf ; Finish: Natural Timber
</t>
  </si>
  <si>
    <t xml:space="preserve">F6 - 120x39x80cm high Closed Back Shelf Units ; Finish: Natural Timber
</t>
  </si>
  <si>
    <t xml:space="preserve">F8 - Sloped Bookshelf (Double sided) ; Finish: Natural Timber
</t>
  </si>
  <si>
    <t>F20 - 800x380x600mm high Outdoor Shelf; Supplier: Harmony Education</t>
  </si>
  <si>
    <t xml:space="preserve">MOP 101 - Mobile Pedestal with 2 Drawer &amp; File Drawer
</t>
  </si>
  <si>
    <t xml:space="preserve">LC-04 - 1 Door locker unit; Finish: Doors and Panels: Durasafe 13mm compact laminate, Dry Area Lockers – water resistant black 16mm HMR board and Standard Key Lock (KL); Supplier: Duracube
</t>
  </si>
  <si>
    <t xml:space="preserve">MFP-1 - multifunction printer
</t>
  </si>
  <si>
    <t>Preschool GLS</t>
  </si>
  <si>
    <t xml:space="preserve">F7 - 4 set homeplay includes; kitchen stove, kitchen 
sink, cupboard and refrigerator units; Finish: Natural Timber
</t>
  </si>
  <si>
    <t xml:space="preserve">F9 - Dress Up Trolley on wheels with Mirror  on one side
</t>
  </si>
  <si>
    <t xml:space="preserve">F13 - 90x60x63.2cm high  Hobby Trolley ; Finish: Natural Timber 
</t>
  </si>
  <si>
    <t xml:space="preserve">F14  - Double Sided Art Easel with Drying Rack 
</t>
  </si>
  <si>
    <t xml:space="preserve">F15 -  Sleeping Mat and wall pegs 
</t>
  </si>
  <si>
    <t>F17 - 2m diameter Rugs</t>
  </si>
  <si>
    <t>Refer to following sections of Calderwood Primary School "Architectural Specification" Revision 03 dated 12 September 2025 by Bennett and Trimble for: 0181A - Adhesives, Sealant and Fasteners, 0572- Loose Furniture, Fittings and Equipmen</t>
  </si>
  <si>
    <t>FA1 - Arm Chairs ; Code: Fabric: From selection range Categories B–D with antimicrobial, stain-resistant finish; Legs: Natural Ash.</t>
  </si>
  <si>
    <t xml:space="preserve">FA5 - Stackable Meeting Chair ; Finish:  White Powerdercoat Base and Natural Oak  or Natural White Finish
</t>
  </si>
  <si>
    <t>Demolition</t>
  </si>
  <si>
    <t>The Tenderers should carefully check site to assess the extent of Demolition required for this contract</t>
  </si>
  <si>
    <t>Refer to Calderwood New Primary School "Tender Design Report Civil Engineering" Version A dated 26 August 2025 by BG &amp; E</t>
  </si>
  <si>
    <t>Refer to following Civil drawings: CI-0201-CD-2 for "Siteworks, Roads and Drainage Plan Sheet 2 of 4"</t>
  </si>
  <si>
    <t>Demolition of work</t>
  </si>
  <si>
    <t>Taking down, removal and cartage from site</t>
  </si>
  <si>
    <t>Cleaning up on completion</t>
  </si>
  <si>
    <t>Protecting adjoining surfaces</t>
  </si>
  <si>
    <t>Making good to work disturbed</t>
  </si>
  <si>
    <t>Recycling waste where required</t>
  </si>
  <si>
    <t>Allow for site visit to assess the nature and extent of demolition</t>
  </si>
  <si>
    <t>Allow to remove all vegetation within the demolition zone for the new buildings and associated paths including those not specifically noted on the drawings</t>
  </si>
  <si>
    <t>Allow to retain and protect existing works / premises on site and adjoining properties</t>
  </si>
  <si>
    <t>Allow for provision and removal of temporary fencing / screens, hoardings, weather / dust protection measures, security, temporary access, warning notices and the like</t>
  </si>
  <si>
    <t>Allow for all temporary shoring, propping, supports and the like (other than designed shoring and propping measured following)</t>
  </si>
  <si>
    <t>Allow for all required credits for recovered materials</t>
  </si>
  <si>
    <t>Allow for giving notice of any unanticipated hazardous materials or conditions found on site</t>
  </si>
  <si>
    <t>Allow for submissions including work plans, data and dilapidation records</t>
  </si>
  <si>
    <t xml:space="preserve">Allow to carry out works in accordance with waste management plan </t>
  </si>
  <si>
    <t xml:space="preserve">Allow to remove all redundant (visible and non visible) works; footings, slabs, retaining walls, pits etc including redundant inground services </t>
  </si>
  <si>
    <t>Allow to remove redundant stormwater lines, grates and pits.</t>
  </si>
  <si>
    <t>Allow for the removal of all Asbestos and Hazardous Material in accordance with the requirements of BCA, Work Cover, Australian Standards and local authorities.</t>
  </si>
  <si>
    <t>Allow for the removal of all Contaminated Material in accordance with the requirements of the local authorities.</t>
  </si>
  <si>
    <t>Allow to remove all debris from site including the payment of all fees etc.</t>
  </si>
  <si>
    <t>Allow to make good all disturbed works</t>
  </si>
  <si>
    <t>The following measurement of demolition works are INDICATIVE ONLY and it is the contractors responsibility to inspect the site and establish the full extent of Demolition Works.</t>
  </si>
  <si>
    <t>EXISTING SERVICES</t>
  </si>
  <si>
    <t>Allow to remove existing stormwater pipe and grated pit and surface to be reinstated (NB: Refer detail to CI-0201-CD-2_Siteworks, Road and Drainage Plan Sheet 2 of 4)</t>
  </si>
  <si>
    <t>Allow to remove existing pit and pipe (NB: Refer detail to CI-0203-CD-2_Siteworks, Road and Drainage Plan Sheet 4 of 4)</t>
  </si>
  <si>
    <t>Site Preparation / Bulk Excavation</t>
  </si>
  <si>
    <t>Refer to following Civil drawings: CI-0200-CD-2 to CI-0203-CD-2 for "Siteworks, Roads and Drainage Plan Sheet", CI-0340-CD-2 for "Drainage Details", CI-0700-CD-2 for "Erosion And Sediment Control Plan", CI-0710-CD-2 for "Erosion And Sediment Details"</t>
  </si>
  <si>
    <t xml:space="preserve">Allow for benching prior to bulk fill on surfaces exceeding 1:4 slope </t>
  </si>
  <si>
    <t>Contractor to determine suitability of existing soil to be used as fiil</t>
  </si>
  <si>
    <t>No working area were considered for detailed excavation</t>
  </si>
  <si>
    <t>Earthwork quantities have been calculated on AGTEK 3D Software. Refer to images provided for reference.</t>
  </si>
  <si>
    <t>Structure thickness were considered for the following. Building slab = 210mm &amp; 350mm, Waffle Slab = 485mm, Asphalt Pavement = 500mm, Brick on Concrete Pavement = 270mm, Brick Paver = 245mm, Concrete Footpath Pavement = 225mm, Permeable Pavement = 200mm</t>
  </si>
  <si>
    <t>SITE CLEARANCE</t>
  </si>
  <si>
    <t>Removal of Water</t>
  </si>
  <si>
    <t>Site restoration works to make good areas of site or outside site boundary to existing condition after completion of works if required</t>
  </si>
  <si>
    <t>EROSION AND SEDIMENT CONTROL</t>
  </si>
  <si>
    <t>Sediment Fence with 150mm deep trench along the upslope line of the fence, drive 1.5m long star pickets with safety caps into ground at 2.5m intervals at the downslope edge of trench, fix self-supporting geotextile to the upslope side of the posts, backfill over the base of the fabric and compact it thoroughly over the geotextile (NB: Refer detail to drawing CI-0710-CD-2_Erosion and Sediment Control Details)</t>
  </si>
  <si>
    <t>Security Fence with dust control Hessian (NB: No other details provided)</t>
  </si>
  <si>
    <t>Geotextile Inlet Filter with fabricated sediment barrier made from geotextile or straw bales, pickets spaced at 1.0m centres, wire or steel mesh (14 gauge x 150mm openings) where geotextile is not self-supporting (NB: Refer detail to drawing CI-0710-CD-2_Erosion and Sediment Control Details)</t>
  </si>
  <si>
    <t>Stabilized Site Access (NB: Refer detail to drawing CI-0710-CD-2_Erosion and Sediment Control Details)</t>
  </si>
  <si>
    <t>Lockable Chainwire Gate (NB: No details provided)</t>
  </si>
  <si>
    <t>Stockpile (NB: Refer detail to drawing CI-0710-CD-2_Erosion and Sediment Control Details)</t>
  </si>
  <si>
    <t>Mesh and Gravel Inlet Filter (NB: Refer detail to drawing CI-0710-CD-2_Erosion and Sediment Control Details)</t>
  </si>
  <si>
    <t>Swale (NB: Refer detail to drawing CI-0340-CD-2_Drainage Details)</t>
  </si>
  <si>
    <t>CUT AND FILL</t>
  </si>
  <si>
    <t>Bulk excavation over site to reduced level</t>
  </si>
  <si>
    <t xml:space="preserve">Selected fill won from site </t>
  </si>
  <si>
    <t>Imported fill</t>
  </si>
  <si>
    <t>SITE PREPARATION</t>
  </si>
  <si>
    <t>Trim and Compact</t>
  </si>
  <si>
    <t xml:space="preserve">Trim and compact building pads to level, carpark and roads to final level allowing for falls and cross falls </t>
  </si>
  <si>
    <t>Site Remediation</t>
  </si>
  <si>
    <t>P01 - 600mm diameter bored pile [Number of: 2]</t>
  </si>
  <si>
    <t>P05 - 600mm diameter bored pile [Number of: 5]</t>
  </si>
  <si>
    <t>P06 - 900mm diameter bored pile [Number of: 1]</t>
  </si>
  <si>
    <t>Refer to following structural drawing series: S-0010 to S-0161 for "Typical Details", S-02 for "Link Bridge Plans", S-03 for "Walkway Plans"</t>
  </si>
  <si>
    <t>40MPa, 80mm slump, 20mm max. aggregate size to post-tensioned slab and beams</t>
  </si>
  <si>
    <t>Ground Floor (S-0200-CD-1)</t>
  </si>
  <si>
    <t>PC01 - 900 x 900 x 600mm deep pile cap footing [Number of: 4]</t>
  </si>
  <si>
    <t>Ground Floor (S-0300-CD-1)</t>
  </si>
  <si>
    <t>PF04 - 1000 x 1000 x 500mm deep pad footing [Number of: 13]</t>
  </si>
  <si>
    <t>900 x 600mm deep ground beam [Length: 13]</t>
  </si>
  <si>
    <t>Level 1 (S-0200-CD-1)</t>
  </si>
  <si>
    <t>200mm thick post tensioned suspended slab [Area: 49]</t>
  </si>
  <si>
    <t>600 x 300mm deep attached beam [Length: 39]</t>
  </si>
  <si>
    <t>Ground Level (S-0200-CD-1)</t>
  </si>
  <si>
    <t>350 x 350mm wide concrete column [Number of: 8]</t>
  </si>
  <si>
    <t>Danley stego wrap vapour barrier or approved equivalent to sides of footing</t>
  </si>
  <si>
    <t>Formwork to soffit with strutting height 3.5m - 4.5m high</t>
  </si>
  <si>
    <t>Formwork to PF04 - 1000 x 1000 x 500mm deep pad footing</t>
  </si>
  <si>
    <t>Reinforcement to post tensioned suspended slab; REO Rate: 40kg/m3</t>
  </si>
  <si>
    <t>Reinforcement to attached beam; REO Rate: 50kg/m3</t>
  </si>
  <si>
    <t>Post tensioning to suspended slab; PT Rate: 16kg/m2</t>
  </si>
  <si>
    <t>Post tensioning to attached beam; PT Rate: 18kg/m2</t>
  </si>
  <si>
    <t>Refer to following structural drawing series: S-0020 for "Typical Steelwork Details", S-0200 for "Link Bridge Plans and Details", S-0300 for "Walkway Profile Plan"</t>
  </si>
  <si>
    <t>All steel plates to be Grade 350.</t>
  </si>
  <si>
    <t>All steel plates to be Grade 300.</t>
  </si>
  <si>
    <t>Walkway (S-0300-CD-1)</t>
  </si>
  <si>
    <t>Framing</t>
  </si>
  <si>
    <t>Link Bridge Roof (S-0200-CD-1)</t>
  </si>
  <si>
    <t>UB08 - 200 UB 25.4, 25.4kg/m, 926.4mm surface perimeter</t>
  </si>
  <si>
    <t xml:space="preserve">MC05 - C20024  Purlins</t>
  </si>
  <si>
    <t>MC06 - C15015 Purlins</t>
  </si>
  <si>
    <t xml:space="preserve">Bridging to MC05 - C20024  Purlins</t>
  </si>
  <si>
    <t>CMS 03 - Cladding metal sheet; Type: Proprietary system of preformed sheets with purpose-made accessories; Material: Aluminium/zinc alloy coated steal with pre-painted finish; Finish: Colorbond by Bluescope Lysaght; Colour: Pale Eucalypt Matt finish</t>
  </si>
  <si>
    <t>GUE-01 downpipe - 2950mm high, 225mm dia. 0.6mm thick Zinc/aluminium alloy coated steel with pre-painted finish, Profile: Circular, Finish: to match GUE-01 guutter</t>
  </si>
  <si>
    <t>Steel ladder rail for roof acces</t>
  </si>
  <si>
    <t>Partiton and Linings</t>
  </si>
  <si>
    <t>EW-01 – 1x13mm high-density, impact-resistant plasterboard lining on one side of the wall, and 1mm thick weather barrier membrane with 25mm and 35mm vertical and 25mm horizontal tophat on the other side, both sides fixed to 150mm steel stud with insulation; Fire Rating: 120/120/120 (NB: No details provided for wall types on Storage Shed, assumed EW-01)</t>
  </si>
  <si>
    <t>Ground Floor (A-4001-02)</t>
  </si>
  <si>
    <t>Assume CLG-101 standard ceiling finish for the following rooms indicated in the plan.</t>
  </si>
  <si>
    <t xml:space="preserve">CLG-101 - 13mm standard suspended flush plasterboard lining in ceiling suspension system; Finish: Painted PTC03, unless noted otherwise; Support Framing:  Fixed directly to roof framing: Approximately 25 x 38mm galvanised steel 
furring channels at maximum 600mm centres connected to direct fixing 
clips fixed to roof framing.</t>
  </si>
  <si>
    <t>Refer to following sections of Calderwood Primary School "Architectural Specification" Revision 03 dated 12 September 2025 by Bennett and Trimble for: Technical Reference Sheet (T Sheet)</t>
  </si>
  <si>
    <t>Refer to following architectural drawing series: 40 for "Detail Areas"</t>
  </si>
  <si>
    <t>Assume CON-02 for waste pad and storage shed</t>
  </si>
  <si>
    <t>CON-02 - Penetrating Sealer (by others)</t>
  </si>
  <si>
    <t>Non slip stair nosing (50mm wide, 5mm thk) to comply with accessibility standards AS/NZS 1428.4.1 (NB: Refer to detail 01. Concrete Steps of CWPS-JMD-XX-XX-DR-L-0402-D)</t>
  </si>
  <si>
    <t>To new stair (ST1)</t>
  </si>
  <si>
    <t>D-TAC Yellow Top 'Stainless Steel Classic' Warning Tactile, P5 to AS4586 requirements (NB: Refer to detail 01. Concrete Steps of CWPS-JMD-XX-XX-DR-L-0402-D)</t>
  </si>
  <si>
    <t>3400x600mm wide tactile paving TGSI</t>
  </si>
  <si>
    <t>Ground Level (CWPS-JMD-XX-GF-DR-L-0103-D)</t>
  </si>
  <si>
    <t>2500x600mm wide tactile paving TGSI</t>
  </si>
  <si>
    <t>Ground Level (CWPS-JMD-XX-GF-DR-L-0104-D)</t>
  </si>
  <si>
    <t>2000x600mm wide tactile paving TGSI</t>
  </si>
  <si>
    <t>Metalwork - Fences &amp; Gates only</t>
  </si>
  <si>
    <t>36/1A</t>
  </si>
  <si>
    <t>Tenderers are referred to the Specification for the full particulars of workmanship and materials, and the quantities herein provided shall be read in conjunction with the drawings.</t>
  </si>
  <si>
    <t>36/1B</t>
  </si>
  <si>
    <t>Refer to following sections of Calderwood Primary School "Architectural Specification" Revision 03 dated 12 September 2025 by Bennett and Trimble: 0242 - Fences and Barriers</t>
  </si>
  <si>
    <t xml:space="preserve">Refer to following New Primary School and Public Preschool in Calderwood Landscape Plans: CWPS-JMD-XX-GF-DR-L-0100 for "General Arrangement and Detail Plan", CWPS-JMD-XX-XX-DR-L-0300  for "Section and Elevation Plan", CWPS-JMD-XX-XX-DR-L-0400 for "Landscape Details"</t>
  </si>
  <si>
    <t>Refer to following New Primary School and Public Preschool in Calderwood "Landscape Specification" Revision D dated 12 September 2025: CWPS-JMD-ZZ-ZZ-SP-L-0002 to L0006</t>
  </si>
  <si>
    <t>Prices for landscaping related excavation shall include for:-</t>
  </si>
  <si>
    <t>36/1C</t>
  </si>
  <si>
    <t>36/1D</t>
  </si>
  <si>
    <t>36/1E</t>
  </si>
  <si>
    <t>36/1F</t>
  </si>
  <si>
    <t>36/1G</t>
  </si>
  <si>
    <t>36/1H</t>
  </si>
  <si>
    <t>36/1L</t>
  </si>
  <si>
    <t>36/1M</t>
  </si>
  <si>
    <t>Allow for all testing</t>
  </si>
  <si>
    <t>36/1N</t>
  </si>
  <si>
    <t>36/1P</t>
  </si>
  <si>
    <t>36/2A</t>
  </si>
  <si>
    <t>36/2B</t>
  </si>
  <si>
    <t>There were no assumptions made. Documents were sufficient to cover the entire scope.</t>
  </si>
  <si>
    <t>RAILS AND FENCES</t>
  </si>
  <si>
    <t>Gates</t>
  </si>
  <si>
    <t>G-V(2.1): Gate, lockable vehicular, double leaf, 3m total width (2100mm high)</t>
  </si>
  <si>
    <t>G-P(2.1): Gate, lockable pedestrian, single leaf heavy duty self closing hinges, 1.5m total width (2100mm high)</t>
  </si>
  <si>
    <t>G-P(1.5): Gate, lockable pedestrian, single leaf heavy duty self closing hinges, 1.5m total width (1500mm high)</t>
  </si>
  <si>
    <t>G-B(0.7): Gate, lockable bike access, double leaf, 3m total width (700mm high)</t>
  </si>
  <si>
    <t>G-P(0.7): Gate, lockable pedestrian, single leaf heavy duty self closing hinges, 1.5m total width (700mm high)</t>
  </si>
  <si>
    <t>G-B(2.1): Gate, lockable bike access, double leaf, 3m total width (2100mm high)</t>
  </si>
  <si>
    <t>G-CW(1.2): Gate, lockable pedestrian, single leaf heavy duty self closing hinges, 1.5m total width (1200mm high)</t>
  </si>
  <si>
    <t>G-CW(1.5): Gate, lockable pedestrian, single leaf heavy duty self closing hinges, 1.5m total width (1500mm high)</t>
  </si>
  <si>
    <t>Boom Gate Arm to Parking by others (NB: No details provided)</t>
  </si>
  <si>
    <t>Steel Fence</t>
  </si>
  <si>
    <t xml:space="preserve">FT2 - Fence Type 2 Chain wire mesh 1200mm high; </t>
  </si>
  <si>
    <t xml:space="preserve">FT3 - Fence Type 3  358 1500 high Security fence with gates as specified 2100mm high corromesh</t>
  </si>
  <si>
    <t>FT4 - Fence Type 4 Post and wire vehicular deterrant</t>
  </si>
  <si>
    <t xml:space="preserve">FT5 - Fence Type 5 Bespoke chainwire mesh pps entry fence as specified  (NB: Refer to Detail 01-03 - FT5: Finish to preschool fence with gate of CWPS-JMD-XX-XX-DR-L-0407-D for Landscape Details)</t>
  </si>
  <si>
    <t>FT6 - Fence Type 6 Looped round bar low separation fence with gates as specified (NB: Refer to Detail 01 - FT6: Low looped separation fence of CWPS-JMD-XX-XX-DR-L-0406-D for Landscape Details)</t>
  </si>
  <si>
    <t>Assume the finish is the same as the assigned standard ceiling finish, CLG-101.</t>
  </si>
  <si>
    <t>Assumed paint in primary preschool store, garden store and waste pad</t>
  </si>
  <si>
    <t>Ground floor (A-4001-02)</t>
  </si>
  <si>
    <t>Refer to following landscape drawing series: 100 for "General Arrangement Plans"</t>
  </si>
  <si>
    <t>LANDSCAPE SIGNAGE</t>
  </si>
  <si>
    <t>Accessibility Signage (NB: No details provided)</t>
  </si>
  <si>
    <t>Traffic Signage by others (NB: No details provided)</t>
  </si>
  <si>
    <t>Soft Landscaping</t>
  </si>
  <si>
    <t>Refer to following New Primary School and Public Preschool in Calderwood Landscape Plans: CWPS-JMD-XX-GF-DR-L-0200 for "Plant Schedule and Planting Plan", CWPS-JMD-XX-XX-DR-L0400 for "Landscape Details"</t>
  </si>
  <si>
    <t>Getting out</t>
  </si>
  <si>
    <t>Backfilling</t>
  </si>
  <si>
    <t>Ramming solid</t>
  </si>
  <si>
    <t>36/1J</t>
  </si>
  <si>
    <t>36/1K</t>
  </si>
  <si>
    <t>Allow for contractors submissions</t>
  </si>
  <si>
    <t>36/2C</t>
  </si>
  <si>
    <t>Allow for keeping excavation free from rain and percolating water by pumping, bailing and other means</t>
  </si>
  <si>
    <t>36/2D</t>
  </si>
  <si>
    <t>Allow for warning sign regarding plant protection</t>
  </si>
  <si>
    <t>36/2E</t>
  </si>
  <si>
    <t>Allow for temporary landscape fencing</t>
  </si>
  <si>
    <t>36/2F</t>
  </si>
  <si>
    <t>Allow for reinstatement of existing turf or landscape areas which may be disturbed during the course of the works</t>
  </si>
  <si>
    <t>36/2G</t>
  </si>
  <si>
    <t>Allow for submitting warranties and maintenance manuals where required</t>
  </si>
  <si>
    <t>There are discrepancies in the plant counts between the Plant Schedule and the Planting Plan. The counts in the Planting Plan were followed.</t>
  </si>
  <si>
    <t>PLANTS</t>
  </si>
  <si>
    <t>Trees</t>
  </si>
  <si>
    <t>L-0201</t>
  </si>
  <si>
    <t>AM: Broad-leave apple; Acacia maidenii; 75L pot size [Total count in plant schedule: 10no]</t>
  </si>
  <si>
    <t>AL: Rough bark apple; Acacia longifolia; 75L pot size [Total count in plant schedule: 6no]</t>
  </si>
  <si>
    <t>BA: Illawarra flame tree; Brachychiton acerifolius; 100L pot size [Total count in plant schedule: 2no]</t>
  </si>
  <si>
    <t>BC: Ivory curl tree; Buckinghamia celsissima; 75L pot size [Total count in plant schedule: 3no]</t>
  </si>
  <si>
    <t>BM: Grey myrtle; Backhousia myrtifolia; 45L pot size [Total count in plant schedule: 2no]</t>
  </si>
  <si>
    <t>BM: Grey myrtle; Backhousia myrtifolia; 75L pot size [Total count in plant schedule: 3no]</t>
  </si>
  <si>
    <t>EM: Grey box; Eucalyptus moluccana; 100L pot size [Total count in plant schedule: 1no]</t>
  </si>
  <si>
    <t>ET: Forest red gum; Eucalyptus tereticomis; 75L pot size [Total count in plant schedule: 1no]</t>
  </si>
  <si>
    <t>FM: Moreton Bay fig; Ficis macrophylla; 200L pot size [Total count in plant schedule: 1no]</t>
  </si>
  <si>
    <t xml:space="preserve">PE: Illawarra plum; Podocarpus elata; 75L pot size  [Total count in plant schedule: 3no]</t>
  </si>
  <si>
    <t>WF: Weeping lily pilly; Waterhousia floribunda 'amaroo'; 100L pot size [Total count in plant schedule: 8no]</t>
  </si>
  <si>
    <t>L-0202</t>
  </si>
  <si>
    <t>BA: Illawarra flame tree; Brachychiton acerifolius; 100L pot size [Total count in plant schedule: 1no]</t>
  </si>
  <si>
    <t>BM: Grey myrtle; Backhousia myrtifolia; 75L pot size [Total count in plant schedule: 9no]</t>
  </si>
  <si>
    <t>CG: Swamp she-oak; Cassurina glauca; 25L pot size [Total count in plant schedule: 3no]</t>
  </si>
  <si>
    <t>ER: Blueberry Ash; Eleocarpus reticulata;75L pot size [Total count in plant schedule: 4no]</t>
  </si>
  <si>
    <t>EC: Narrow-leaved ironbark; Eucalyptus crebra; 75L pot size [Total count in plant schedule: 1no]</t>
  </si>
  <si>
    <t>ES: Mugga iron bark; Eucalyptus saligna; 75L pot size [Total count in plant schedule: 2no]</t>
  </si>
  <si>
    <t>ET: Forest red gum; Eucalyptus tereticomis; 75L pot size [Total count in plant schedule: 2no]</t>
  </si>
  <si>
    <t>ML: Snow-in-summer; Melaleuca linariifolia; 75L pot size [Total count in plant schedule: 3no]</t>
  </si>
  <si>
    <t xml:space="preserve">PE: Illawarra plum; Podocarpus elata; 75L pot size  [Total count in plant schedule: 4no]</t>
  </si>
  <si>
    <t>L-0203</t>
  </si>
  <si>
    <t>BC: Ivory curl tree; Buckinghamia celsissima; 75L pot size [Total count in plant schedule: 4no]</t>
  </si>
  <si>
    <t>EM: Grey box; Eucalyptus moluccana; 100L pot size [Total count in plant schedule: 2no]</t>
  </si>
  <si>
    <t>LT: Tulip tree; Liriodendron tulipeifera; 75L pot size [Total count in plant schedule: 1no]</t>
  </si>
  <si>
    <t>LA: Cabbage-tree palm; Livistona australis; 5m pot size [Total count in plant schedule: 8no]</t>
  </si>
  <si>
    <t xml:space="preserve">PE: Illawarra plum; Podocarpus elata; 75L pot size  [Total count in plant schedule: 5no]</t>
  </si>
  <si>
    <t>WF: Weeping lily pilly; Waterhousia floribunda 'amaroo'; 100L pot size [Total count in plant schedule: 3no]</t>
  </si>
  <si>
    <t>L-0204</t>
  </si>
  <si>
    <t>BC: Ivory curl tree; Buckinghamia celsissima; 75L pot size [Total count in plant schedule: 5no]</t>
  </si>
  <si>
    <t>BC: Ivory curl tree; Buckinghamia celsissima; 400L pot size [Total count in plant schedule: 2no]</t>
  </si>
  <si>
    <t>ER: Blueberry Ash; Eleocarpus reticulata;75L pot size [Total count in plant schedule: 2no]</t>
  </si>
  <si>
    <t>ET: Forest red gum; Eucalyptus tereticomis; 400L pot size [Total count in plant schedule: 2no]</t>
  </si>
  <si>
    <t>LT: Tulip tree; Liriodendron tulipeifera; 400L pot size [Total count in plant schedule: 1no]</t>
  </si>
  <si>
    <t>WF: Weeping lily pilly; Waterhousia floribunda 'amaroo'; 75L pot size [Total count in plant schedule: 5no]</t>
  </si>
  <si>
    <t>WF: Weeping lily pilly; Waterhousia floribunda 'amaroo'; 400L pot size [Total count in plant schedule: 5no]</t>
  </si>
  <si>
    <t>L-0205</t>
  </si>
  <si>
    <t>WF: Weeping lily pilly; Waterhousia floribunda 'amaroo'; 75L pot size [Total count in plant schedule: 8no]</t>
  </si>
  <si>
    <t>Shrubs</t>
  </si>
  <si>
    <t>TEACHING GARDEN</t>
  </si>
  <si>
    <t>BC: Backhousia citriodora; 45L pot size [Total count in plant schedule: 2no]</t>
  </si>
  <si>
    <t>Pr: Native oregan; Prostanthera rotundifolia; 140mm height [Total count in plant schedule: 2no]</t>
  </si>
  <si>
    <t>ENTRY GARDENS</t>
  </si>
  <si>
    <t xml:space="preserve">Br: Swap Banksia; Bank sia robur; 45L pot size  [Total count in plant schedule: 6no]</t>
  </si>
  <si>
    <t>IA: Australian indigo; Indigofera australis; 140mm pot size [Total count in plant schedule: 4no]</t>
  </si>
  <si>
    <t>Mc: Honey Myrtle; Melaleuca linariifolia 'Claret Tops'; 140mm pot size [Total count in plant schedule: 6no]</t>
  </si>
  <si>
    <t>LIBRARY COURTYARD</t>
  </si>
  <si>
    <t xml:space="preserve">Br: Swap Banksia; Bank sia robur; 45L pot size  [Total count in plant schedule: 9no]</t>
  </si>
  <si>
    <t>Bo: Coffee bush; Breynia oblongofolia; 250mm pot size [Total count in plant schedule: 4no]</t>
  </si>
  <si>
    <t xml:space="preserve">CA: Tree Fem; Cyathea australi; 45L/m pot size  [Total count in plant schedule: 8no]</t>
  </si>
  <si>
    <t>IA: Australian indigo; Indigofera australis; 140mm hpot size [Total count in plant schedule: 4no]</t>
  </si>
  <si>
    <t>PRESCHOOL PLAYSPACE</t>
  </si>
  <si>
    <t>Mc: Honey Myrtle; Melaleuca linariifolia 'Claret Tops'; 140mm pot size (NB: No count provided in plant schedule; [Total count in planting plan: 10no]</t>
  </si>
  <si>
    <t>Sp: Lily Pilly; Syzygium paniculatum; 45L pot size (NB: No count reflected in planting plan, Refer to CWPS-JMD-XX-GF-DR-L-207-D); [ Total count in plant schedule: 10no]</t>
  </si>
  <si>
    <t>Groundcovers and Grasses</t>
  </si>
  <si>
    <t>A BLOCK</t>
  </si>
  <si>
    <t>Aristida ramosa; 6/block spacing; 50x50x90 pot size [Total count in plant schedule: 30no]</t>
  </si>
  <si>
    <t>Carex appressa; 8/block spacing; 50x50x90 pot size [Total count in plant schedule: 40no]</t>
  </si>
  <si>
    <t>Chrysocephalum apiuclatum; 6/block spacing; 50x50x90 pot size [Total count in plant schedule: 30no]</t>
  </si>
  <si>
    <t>Cymbopogon refractus; 6/block spacing; 50x50x90 pot size [Total count in plant schedule: 30no]</t>
  </si>
  <si>
    <t>Dianella caerulea; 8/block spacing; 50x50x90 pot size [Total count in plant schedule: 40no]</t>
  </si>
  <si>
    <t>Dianella longifola; 8/block spacing; 50x50x90 pot size [Total count in plant schedule: 40no]</t>
  </si>
  <si>
    <t>Dichondra repens; 6/block spacing; 50x50x90 pot size [Total count in plant schedule: 30no]</t>
  </si>
  <si>
    <t>Einadia nutans; 6/block spacing; 50x50x90 pot size [Total count in plant schedule: 30no]</t>
  </si>
  <si>
    <t>Ficinia nodosa; 8/block spacing; 50x50x90 pot size [Total count in plant schedule: 40no]</t>
  </si>
  <si>
    <t>Glycine spp; 15/block spacing; 50x50x90 pot size [Total count in plant schedule: 75no]</t>
  </si>
  <si>
    <t>Hardenberigia violeace; 15/block spacing; 50x50x90 pot size [Total count in plant schedule: 75no]</t>
  </si>
  <si>
    <t>Juncus usitatus; 8/block spacing; 50x50x90 pot size [NB: Total count in plant schedule: 40no]</t>
  </si>
  <si>
    <t>Mentha australis; 6/block spacing; 50x50x90 pot size [Total count in plant schedule: 30no]</t>
  </si>
  <si>
    <t>Plectranthus parviflorus; 8/block spacing; 50x50x90 pot size [Total count in plant schedule: 40no]</t>
  </si>
  <si>
    <t>Poa labillardierei; 6/block spacing; 50x50x90 pot size [Total count in plant schedule: 30no]</t>
  </si>
  <si>
    <t>Rytidosperma caespitosum; 6/block spacing; 50x50x90 pot size [Total count in plant schedule: 30no]</t>
  </si>
  <si>
    <t>Lobelia pedunculata; 6/block spacing; 50x50x90 pot size [Total count in plant schedule: 30no]</t>
  </si>
  <si>
    <t>Thermeda triandra; 6/block spacing; 50x50x90 pot size [Total count in plant schedule: 30no]</t>
  </si>
  <si>
    <t>Viola hederacea; 6/block spacing; 50x50x90 pot size [Total count in plant schedule: 30no]</t>
  </si>
  <si>
    <t>Wahlenbergia gracilis; 6/block spacing; 50x50x90 pot size [Total count in plant schedule: 30no]</t>
  </si>
  <si>
    <t>B BLOCK</t>
  </si>
  <si>
    <t>Bulbine bulbosa; 10/block spacing; 50x50x90 pot size [Total count in plant schedule: 698no]</t>
  </si>
  <si>
    <t>Chrysocephalum apiuclatum; 8/block spacing; 50x50x90 pot size [Total count in plant schedule: 558no]</t>
  </si>
  <si>
    <t>Craspedia variabilis; 8/block spacing; 50x50x90 pot size [Total count in plant schedule: 558no]</t>
  </si>
  <si>
    <t>Dianella caerulea; 8/block spacing; 50x50x90 pot size [Total count in plant schedule: 558no]</t>
  </si>
  <si>
    <t>Dianella revoluta; 8/block spacing; 50x50x90 pot size [Total count in plant schedule: 558no]</t>
  </si>
  <si>
    <t>Dichelachne micrantha; 6/block spacing; 50x50x90 pot size [Total count in plant schedule: 419no]</t>
  </si>
  <si>
    <t>Dichondra repens; 10/block spacing; 50x50x90 pot size [Total count in plant schedule: 698no]</t>
  </si>
  <si>
    <t>Hardenberigia violeace; 15/block spacing; 50x50x90 pot size [Total count in plant schedule: 1046no]</t>
  </si>
  <si>
    <t>Imperata cylindrica; 6/block spacing; 50x50x90 pot size [Total count in plant schedule: 419no]</t>
  </si>
  <si>
    <t>Libertia paniculata; 8/block spacing; 50x50x90 pot size [Total count in plant schedule: 558no]</t>
  </si>
  <si>
    <t>Microlaena stipoides; 6/block spacing; 50x50x90 pot size [Total count in plant schedule: 419no]</t>
  </si>
  <si>
    <t>Pultenaea pedunculata; 15/block spacing; 50x50x90 pot size [Total count in plant schedule: 1046no]</t>
  </si>
  <si>
    <t>Pycnosorus globosus; 8/block spacing; 50x50x90 pot size [Total count in plant schedule: 558no]</t>
  </si>
  <si>
    <t>Rytidosperma caespitosum; 12/block spacing; 50x50x90 pot size [Total count in plant schedule: 837no]</t>
  </si>
  <si>
    <t>Thermeda triandra; 12/block spacing; 50x50x90 pot size [Total count in plant schedule: 837no]</t>
  </si>
  <si>
    <t>Viola hederacea; 10/block spacing; 50x50x90 pot size [Total count in plant schedule: 698no]</t>
  </si>
  <si>
    <t>C BLOCK</t>
  </si>
  <si>
    <t>Carex appressa; 5/block spacing; 50x50x90 pot size [Total count in plant schedule: 10no]</t>
  </si>
  <si>
    <t>Bossiaea prostrata; 10/block spacing; 50x50x90 pot size [Total count in plant schedule: 20no]</t>
  </si>
  <si>
    <t>Dichondra repens; 12/block spacing; 50x50x90 pot size [Total count in plant schedule: 24no]</t>
  </si>
  <si>
    <t>Hardenberigia violeace 'Meema'; 6/block spacing; 50x50x90 pot size [Total count in plant schedule: 12no]</t>
  </si>
  <si>
    <t>Libertia paniculata; 6/block spacing; 50x50x90 pot size [Total count in plant schedule: 12no]</t>
  </si>
  <si>
    <t>Lobelia pedunculata; 6/block spacing; 50x50x90 pot size [Total count in plant schedule: 12no]</t>
  </si>
  <si>
    <t>Mentha australis; 6/block spacing; 50x50x90 pot size [Total count in plant schedule: 12no]</t>
  </si>
  <si>
    <t>Plectranthus parviflorus; 5/block spacing; 50x50x90 pot size [Total count in plant schedule: 10no]</t>
  </si>
  <si>
    <t>Viola hederacea; 13/block spacing; 50x50x90 pot size [Total count in plant schedule: 26no]</t>
  </si>
  <si>
    <t>Oplismenus aemulus; 6/block spacing; 50x50x90 pot size [Total count in plant schedule: 12no]</t>
  </si>
  <si>
    <t>SWALE</t>
  </si>
  <si>
    <t>Ca: Carex appressa; 6/m2 spacing; 50x50x90 pot size [Total count in plant schedule: 199no]</t>
  </si>
  <si>
    <t>Fn: Ficinia nodosa; 6/m2 spacing; 50x50x90 pot size [Total count in plant schedule: 199no]</t>
  </si>
  <si>
    <t>Da: Doodia aspera; 6/m2 spacing; 50x50x90 pot size [Total count in plant schedule: 199no]</t>
  </si>
  <si>
    <t>Pe: Pteridium esculentum; 6/m2 spacing; 50x50x91 pot size [Total count in plant schedule: 199no]</t>
  </si>
  <si>
    <t>Pf: Pellaea falcata; 6/m2 spacing; 50x50x90 pot size [Total count in plant schedule: 199no]</t>
  </si>
  <si>
    <t>Oa: Oplismenus aemulus; 6/m2 spacing; 50x50x91 pot size [Total count in plant schedule: 199no]</t>
  </si>
  <si>
    <t>LOMANDRA GARDEN</t>
  </si>
  <si>
    <t>Dir: Blueberry Lily; Dianella revoluta; 6/m2 spacing; 50x50x90 pot size [Total count in plant schedule: 22no]</t>
  </si>
  <si>
    <t>LH: Green Mat Rush; Lomandra hystrix; 6/m2 spacing; 50x50x92 pot size [Total count in plant schedule: 45no]</t>
  </si>
  <si>
    <t>LK: Mat Rush; Lomandra tanik a; 6/m2 spacing; 50x50x92 pot size [Total count in plant schedule: 45no]</t>
  </si>
  <si>
    <t>Vh: Native violet; Viola hederacea; 6/m2 spacing; 50x50x90 pot size [Total count in plant schedule: 22no]</t>
  </si>
  <si>
    <t>Am: Vanilla lily; Arthropodium millerflorum; 6/m2 spacing; 50x50x90 pot size [Total count in plant schedule: 33no]</t>
  </si>
  <si>
    <t>As: Chocolate lily; Arthropodium strictum; 6/m2 spacing; 50x50x90 pot size [Total count in plant schedule: 36no]</t>
  </si>
  <si>
    <t>Bb: Native leak; Bulbine bulbosa; 6/m2 spacing; 50x50x90 pot size [Total count in plant schedule: 87no]</t>
  </si>
  <si>
    <t>Ca: Lemon-scented grass; Cymbopogon ambiguus; 6/m2 spacing; 50x50x90 pot size [Total count in plant schedule: 47no]</t>
  </si>
  <si>
    <t>Dir: Blueberry Lily; Dianella revoluta; 6/m2 spacing; 50x50x90 pot size [Total count in plant schedule: 56no]</t>
  </si>
  <si>
    <t>Ms: Bush mint; Mentha satureioides; 6/m2 spacing; 50x50x90 pot size [Total count in plant schedule: 25no]</t>
  </si>
  <si>
    <t>Pg: Bush Basil; Plectranthus graveolens; 6/m2 spacing; 50x50x90 pot size [Total count in plant schedule: 42no]</t>
  </si>
  <si>
    <t>Sr: Rosemary; Salvia rosmarinus; 6/m2 spacing; 50x50x90 pot size [Total count in plant schedule: 53no]</t>
  </si>
  <si>
    <t>TT: Kangroo grass; Themeda triandra; 6/m2 spacing; 50x50x90 pot size [Total count in plant schedule: 37no]</t>
  </si>
  <si>
    <t>EH: (NB: no details provided, No count provided in plant schedule; Refer to CWPS-JMD-XX-GF-DR-L-0205-D); [Total count in planting plan: 17no]</t>
  </si>
  <si>
    <t>ENTRY GARDEN</t>
  </si>
  <si>
    <t>LM: Lilyturf; Lirope muscari; 6/m2 spacing; 50x50x90 pot size [Total count in plant schedule: 82no]</t>
  </si>
  <si>
    <t>Dir: Blueberry Lily; Dianella revoluta; 6/m2 spacing; 50x50x90 pot size [Total count in plant schedule: 48no]</t>
  </si>
  <si>
    <t>Fn:Knotted club-rush; Ficinia nodosa; 6/m2 spacing; 50x50x90 pot size [Total count in plant schedule: 26no]</t>
  </si>
  <si>
    <t>Lp: Lobelia pendunculata; 6/m2 spacing; 50x50x90 pot size [Total count in plant schedule: 37no]</t>
  </si>
  <si>
    <t>Plp: Little spur flower; Plectranthus parviflorus; 6/m2 spacing; 50x50x90 pot size [Total count in plant schedule: 76no]</t>
  </si>
  <si>
    <t>GM: Grevillea juniperia 'Molonglo'; 6/m2 spacing; 50x50x90 pot size [Total count in plant schedule: 40no]</t>
  </si>
  <si>
    <t>Pp: Pultenaea pedunculata; 6/m2 spacing; 50x50x90 pot size [Total count in plant schedule: 73no]</t>
  </si>
  <si>
    <t>Rs: Spiny Saltbush; Rhaghodia spinicens; 6/m2 spacing; 50x50x90 pot size [Total count in plant schedule: 94no]</t>
  </si>
  <si>
    <t>Vh: Native violet; Viola hederacea; 6/m2 spacing; 50x50x90 pot size [Total count in plant schedule: 43no]</t>
  </si>
  <si>
    <t>Dir: Blueberry Lily; Dianella revoluta; 6/m2 spacing; 50x50x90 pot size [Total count in plant schedule: 64no]</t>
  </si>
  <si>
    <t>Dr: Kidney weed; Dichondra repens; 6/m2 spacing; 50x50x90 pot size [Total count in plant schedule: 86no]</t>
  </si>
  <si>
    <t>LP: Libertia paniculata; 6/m2 spacing; 50x50x90 pot size [Total count in plant schedule: 52no]</t>
  </si>
  <si>
    <t>Lp: Lobelia pedunculata; 6/m2 spacing; 50x50x90 pot size [Total count in plant schedule: 41no]</t>
  </si>
  <si>
    <t>Fn: Knotted club-rush; Ficinia nodosa; 6/m2 spacing; 50x50x90 pot size [Total count in plant schedule: 8no]</t>
  </si>
  <si>
    <t>Md: Rivet mint; Mentha australis; 6/m2 spacing; 50x50x90 pot size [Total count in plant schedule: 41no]</t>
  </si>
  <si>
    <t>PL: Tussock-grass; Poa labillardierei; 6/m2 spacing; 50x50x90 pot size [Total count in plant schedule: 25no]</t>
  </si>
  <si>
    <t>Pg: Pycnosorus globosus; 6/m2 spacing; 50x50x90 pot size [Total count in plant schedule: 41no]</t>
  </si>
  <si>
    <t>Pp: Pultenaea pedunculata; 6/m2 spacing; 50x50x90 pot size [Total count in plant schedule: 106no]</t>
  </si>
  <si>
    <t>TT: Kangroo grass; Themeda triandra; 6/m2 spacing; 50x50x90 pot size [Total count in plant schedule: 51no]</t>
  </si>
  <si>
    <t>Vh: Native violet; Viola hederacea; 6/m2 spacing; 50x50x90 pot size [Total count in plant schedule: 77no]</t>
  </si>
  <si>
    <t>Bb: Native leak; Bulbine bulbosa; 6/m2 spacing; 50x50x90 pot size [Total count in plant schedule: 13no]</t>
  </si>
  <si>
    <t>Br: Blue Trumpet; Brunoniella australis; 6/m2 spacing; 50x50x90 pot size [Total count in plant schedule: 50no]</t>
  </si>
  <si>
    <t>Cg: Pigface; Carpobrotus glaucescens; 2/m2 spacing; 50x50x90 pot size [Total count in plant schedule: 62no]</t>
  </si>
  <si>
    <t>Ca: Lemon-scented grass; Cymbopogon ambiguus; 6/m2 spacing; 50x50x90 pot size [Total count in plant schedule: 77no]</t>
  </si>
  <si>
    <t>Dc: Blue Flax-lily; Dianella caerulea; 6/m2 spacing; 50x50x90 pot size [Total count in plant schedule: 220no]</t>
  </si>
  <si>
    <t>DL: Pale Flax-lily; Dianella longifolia; 6/m2 spacing; 50x50x90 pot size [Total count in plant schedule: 231no]</t>
  </si>
  <si>
    <t>Dir: Blueberry Lily; Dianella revoluta; 6/m2 spacing; 50x50x90 pot size [Total count in plant schedule: 324no]</t>
  </si>
  <si>
    <t>Dr: Kidney weed; Dichondra repens; 6/m2 spacing; 50x50x90 pot size [Total count in plant schedule: 182no]</t>
  </si>
  <si>
    <t>Hv: Hardenberigia violeace 'Native Sarsaparilla'; 4/m2 spacing; 50x50x90 pot size [Total count in plant schedule: 123no]</t>
  </si>
  <si>
    <t>Ld: French lavender; Lavandula dentata; 6/m2 spacing; 50x50x90 pot size [Total count in plant schedule: 39no]</t>
  </si>
  <si>
    <t>MS: Weeping grass; Microlaena stripoides; 6/m2 spacing; 50x50x90 pot size [Total count in plant schedule: 140no]</t>
  </si>
  <si>
    <t>LP: Grass Flag; Libertia paniculata; 6/m2 spacing; 50x50x90 pot size [Total count in plant schedule: 134no]</t>
  </si>
  <si>
    <t>Lp: Matted pratia; Lobelia pedunculata; 6/m2 spacing; 50x50x90 pot size [Total count in plant schedule: 84no]</t>
  </si>
  <si>
    <t>Ll: Mat Rush; Lomandra longifolia; 6/m2 spacing; 50x50x90 pot size [Total count in plant schedule: 238no]</t>
  </si>
  <si>
    <t>Fn: Knotted club-rush; Ficinia nodosa; 6/m2 spacing; 50x50x90 pot size [Total count in plant schedule: 172no]</t>
  </si>
  <si>
    <t>Pp: Spur Flower; Plectranthus parviflorus; 6/m2 spacing; 50x50x90 pot size [Total count in plant schedule: 344no]</t>
  </si>
  <si>
    <t>PL: Tussock-grass; Poa labillardierei; 6/m2 spacing; 50x50x90 pot size [Total count in plant schedule: 238no]</t>
  </si>
  <si>
    <t>Sr: Rosemary; Salvia rosmarinus; 6/m2 spacing; 50x50x90 pot size [Total count in plant schedule: 25no]</t>
  </si>
  <si>
    <t>TT: Kangroo grass; Themeda triandra; 6/m2 spacing; 50x50x90 pot size [Total count in plant schedule: 85no]</t>
  </si>
  <si>
    <t>Vh: Native violet; Viola hederacea; 6/m2 spacing; 50x50x90 pot size [Total count in plant schedule: 85no]</t>
  </si>
  <si>
    <t>SOFTSCAPE</t>
  </si>
  <si>
    <t>Mass planting area profile (NB: Refer to Detail 02 - Typical Mass Planting in site topsoil of CWPS-JMD-XX-XX-DR-L-0408-D for Landscape Details)</t>
  </si>
  <si>
    <t>75mm depth mulch</t>
  </si>
  <si>
    <t>100mm deep soil mix A</t>
  </si>
  <si>
    <t>200mm deep soil mix B</t>
  </si>
  <si>
    <t>100mm thick cultivated subgrade</t>
  </si>
  <si>
    <t>Excavate to 300mm min below finished levels backfill and consolidate with topsoil mixture and fertiliser as specified</t>
  </si>
  <si>
    <t>150mm thick cultivated subgrade</t>
  </si>
  <si>
    <t>Teaching Garden</t>
  </si>
  <si>
    <t>Library Courtyard</t>
  </si>
  <si>
    <t>Entry Gardens</t>
  </si>
  <si>
    <t>Pre-school Gardens</t>
  </si>
  <si>
    <t xml:space="preserve">Mass planting to swale (NB: Refer to Detail 07 -  Mass planting to swale to CWPS-JMD-XX-XX-DR-L-0408-D for Landscape Details)</t>
  </si>
  <si>
    <t>50mm depth mulch</t>
  </si>
  <si>
    <t>200mm deep soil mix</t>
  </si>
  <si>
    <t>Excavate to 200mm min below finished levels backfill and consolidate with topsoil mixture and fertiliser as specified</t>
  </si>
  <si>
    <t>Tree planting profile (NB: Refer to Detail 01 - Tree Planting in Turf of CWPS-JMD-XX-XX-DR-L-0408-D for Landscape Details)</t>
  </si>
  <si>
    <t>2no of 50x50x1800mm hardwood stakes at the edge of root ball</t>
  </si>
  <si>
    <t>2no of 50mm wide hessian ties, stapled at stakes</t>
  </si>
  <si>
    <t>100mm depth mulch to the diameter of hole</t>
  </si>
  <si>
    <t>Backfill and consolidate with topsoil mixture and fertiliser as specified</t>
  </si>
  <si>
    <t>Turf profile (NB: Refer to Detail 03 - New Turf to CWPS-JMD-XX-XX-DR-L-0408-D for Landscape Details)</t>
  </si>
  <si>
    <t>Kikuyu turf with even thickness of not less than 30mm</t>
  </si>
  <si>
    <t>150mm deep soil mix</t>
  </si>
  <si>
    <t>Native seeded grassland</t>
  </si>
  <si>
    <t>Native seeded grassland including all plants</t>
  </si>
  <si>
    <t>Edging</t>
  </si>
  <si>
    <t>Timber edging</t>
  </si>
  <si>
    <t>Spade edging</t>
  </si>
  <si>
    <t>Hard Landscaping (Footpaths &amp; Pavements)</t>
  </si>
  <si>
    <t>Refer to following sections of Calderwood Primary School "Architectural Specification" Revision 03 dated 12 September 2025 by Bennett and Trimble: 0383 - Timber Flooring/Decking, 0572 - Loose Furniture, Fittings and Equipment</t>
  </si>
  <si>
    <t>Refer to following New Primary School and Public Preschool in Calderwood Civil Plans: CI-0520-CD-2 for Pavement details</t>
  </si>
  <si>
    <t>Refer to following Civil drawings: CI-0200-CD-2 to CI-0203-CD-2 for "Siteworks, Roads and Drainage Plan Sheet", CI-0270-CD-2 to CI-0271-CD-2 for "Driveway Sections", CI-0340-CD-2 for "Drainage Details", CI-0500-CD-2 for "Pavement Plan", CI-0520 for "Pavement Details"</t>
  </si>
  <si>
    <t>Refer to following Landscape drawing: L-0101- D to L-0105-D for "General Arrangement Plan", L-0107-D for "Details"</t>
  </si>
  <si>
    <t>HARDSCAPE</t>
  </si>
  <si>
    <t>Pavement</t>
  </si>
  <si>
    <t>Recycled Brick Paving (P1) - 230x114x65mm thk , natural colour in stack bond pattern. (NB: Refer to Detail 04 - P1: Recycled brick paving on flexible base of CWPS-JMD-XX-XX-DR-L-0401-D for Landscape Details and Brick Paver detail of CI-0520 for Pavement Datails )</t>
  </si>
  <si>
    <t>Existing subgrade with minimum CBR 3%, compacted to 95% of MMDD</t>
  </si>
  <si>
    <t>175mm deep and 300mm wide mortar haunch</t>
  </si>
  <si>
    <t>150mm DGB20 Basecourse bedding layer</t>
  </si>
  <si>
    <t>25mm sand bedding</t>
  </si>
  <si>
    <t>230x114x70mm thk , natural colour in stack bond pattern recycled brick paving</t>
  </si>
  <si>
    <t>Concrete Permeable Paver (P2) - 230x115x80mm thk Techpave 80, P5 to AS 4586-2013, gap filled with 2-5mm no fines aggregate. (NB: Refer to Detail 02 - P3: Concrete permeable pavers of CWPS-JMD-XX-XX-DR-L-0401-D for Landscape Details and Permeable paver pavement of CI-0520-CD-2 for Pavement detail)</t>
  </si>
  <si>
    <t>Subgrade (trim and compact) to be treated with hydrated lime</t>
  </si>
  <si>
    <t>200mm thick base course</t>
  </si>
  <si>
    <t>30mm thick bedding course</t>
  </si>
  <si>
    <t>230x115x80mm thk Techpave 80</t>
  </si>
  <si>
    <t>Wetpour Rubber (WR) - 20mm thk TPV Rubber wetpour with 30-70mm thk low density cushioned shock pad in 150mm deep compacted basecoarse (NB: Refer to Detail 06 - WR: Wetpour rubber of CWPS-JMD-XX-XX-DR-L-0401-D for Landscape Details)</t>
  </si>
  <si>
    <t>Compacted Subgrade</t>
  </si>
  <si>
    <t>150mm thick compacted basecourse</t>
  </si>
  <si>
    <t>Rubber wetpour safety system (35-70mm depth as required for play equipment)</t>
  </si>
  <si>
    <t>WR1 - 20mm thick Wetpour rubber standard red</t>
  </si>
  <si>
    <t>WR2 - 20mm thick Wetpour rubber turqouise</t>
  </si>
  <si>
    <t>WR3 - 20mm thick Wetpour rubber bright yellow</t>
  </si>
  <si>
    <t>Carpark Sundries</t>
  </si>
  <si>
    <t>Accessible Markings</t>
  </si>
  <si>
    <t>Shared areas</t>
  </si>
  <si>
    <t>White Lines</t>
  </si>
  <si>
    <t xml:space="preserve">Bollard (B1) -  100mm dia. 1.2m high Recycled round plastic bollard, charcoal finish. Fixing: subsurface as per manufacturers details.</t>
  </si>
  <si>
    <t>Bollard (B2) - 165mm od/mm 1.3m high disabled car park steel fixed dda bollard to AS269.6. Golden yellow powder coatd finish. Fixing: subsurface as per manufacturers details.</t>
  </si>
  <si>
    <t xml:space="preserve">Bike Rack (BK) -  (NB: No details provided, not reflected on plan)</t>
  </si>
  <si>
    <t>Softfall Organic Mulch (SF) - 150mm deep Softfall mulch with geotextile fabric underneath as specified (NB: Refer to Detail 07 - SF: Softfall mulch of CWPS-JMD-XX-XX-DR-L-0401-D for Landscape Details)</t>
  </si>
  <si>
    <t>Softfall Organic Mulch (SF) - 150mm deep Softfall mulch with geotextile fabric underneath as specified</t>
  </si>
  <si>
    <t>Sandpit (SP) - 600mm deep play sand (NB: Refer to Detail 06 - SP: Sandpit of CWPS-JMD-XX-XX-DR-L-0404-D for Landscape Details)</t>
  </si>
  <si>
    <t>Sandpit (SP) - 600mm deep play sand</t>
  </si>
  <si>
    <t>Concrete Steppers (CSS) - 300x2000x125mm thk, dimensions were based on plan. (NB: Refer to Detail 07 - CCS: Concrete steppers of CWPS-JMD-XX-XX-DR-L-0403-D for Landscape Details</t>
  </si>
  <si>
    <t>Concrete Steppers (CSS) - 300x2000x125mm thk, dimensions were based on plan</t>
  </si>
  <si>
    <t>Walls and Edges</t>
  </si>
  <si>
    <t xml:space="preserve">Brick retaining seating walls (BW) -  470mm wide concrete wall. (NB: Refer to Detail 03 - BW: Brick seat wall of CWPS-JMD-XX-XX-DR-L-0403-D for Landscape Details)</t>
  </si>
  <si>
    <t>470mm thick concrete BW (NB: assumed 25MPa concrete)</t>
  </si>
  <si>
    <t>Formworks to BW</t>
  </si>
  <si>
    <t>Reinforcement to BW; REO Rate: 100kg/m3</t>
  </si>
  <si>
    <t>Brick facing; 230x110x75mm thk bullnose brick</t>
  </si>
  <si>
    <t>Brick capping; 230x110x75mm thk bullnose brick</t>
  </si>
  <si>
    <t>Sandstone entry seating wall (SW) - 650x500mm wide sandstone block in concrete base with reinforcing mesh (refer to engineer detail) with mortar bedding 10-20mm thick (NB: Refer to Detail 05 - SW: Sandstone entry seating walll of CWPS-JMD-XX-XX-DR-L-0403-D for Landscape Details)</t>
  </si>
  <si>
    <t>650x500mm wide sandstone block</t>
  </si>
  <si>
    <t>200mm thick concrete to SW (NB: assumed 25MPa concrete)</t>
  </si>
  <si>
    <t>Formworks to SW</t>
  </si>
  <si>
    <t>Reinforcement to SW(NB: assumed 100kg/m3)</t>
  </si>
  <si>
    <t>20mm thick mortar bedding</t>
  </si>
  <si>
    <t>Concrete seating/ retaining wall (CW) - 650mm depth construct seating with 20mm chamfer to all visible edges. 12mm depth flexible sealer, colour to match concrete. surfaces non slip plastic float finish. Flatness tolerance Class A. (NB: Refer to Detail 01&amp;2 - CW: Concrete seating/retaining walll of CWPS-JMD-XX-XX-DR-L-0403-D for Landscape Details)</t>
  </si>
  <si>
    <t>Concrete to CW (NB: assumed 25MPa concrete)</t>
  </si>
  <si>
    <t>Formworks to CW</t>
  </si>
  <si>
    <t>Reinforcement to CW (NB: assumed 100kg/m3)</t>
  </si>
  <si>
    <t>Sand Pit edge (CE1) - Grey cement, 20mm aggregate, wood float. Flexible sealer - colour to match concrete. (NB: Refer to Detail 04 - CE1: Sand pit edge of CWPS-JMD-XX-XX-DR-L-0404-D for Landscape Details)</t>
  </si>
  <si>
    <t>Concrete to CE1 (NB: assumed 25MPa concrete)</t>
  </si>
  <si>
    <t>Formworks to CE1</t>
  </si>
  <si>
    <t>Reinforcement to CE1 (NB: assumed 100kg/m3)</t>
  </si>
  <si>
    <t>Flush concrete edge (CE2) - 200mm wide cast in-situ concrete edge in 100mm compacted roadbase. Grey cement, 20mm aggregate, 5mm pencil rounf wood float. Flexible sealer - colour to match concrete.(NB: Refer to Detail 05 - CE2: Typical flush concrete edge of CWPS-JMD-XX-XX-DR-L-0404-D for Landscape Details)</t>
  </si>
  <si>
    <t>Concrete to CE2 (NB: assumed 25MPa concrete)</t>
  </si>
  <si>
    <t>Formworks to CE2</t>
  </si>
  <si>
    <t>Reinforcement to CE2 (NB: assumed 100kg/m3)</t>
  </si>
  <si>
    <t>Concrete edge (CE2) - 500mmx125mm thk cast in-situ concrete edge. Grey cement, 20mm aggregate. Flexible sealer - colour to match concrete.(NB: Refer to Detail 05 - CE2: Concrete edge of CWPS-JMD-XX-XX-DR-L-0408-D for Landscape Details)</t>
  </si>
  <si>
    <t>Sandstone log wall (SL) - 500x500mm depth equivalent to Gasford quarries 'Mt white - brown', from sumerset quarry</t>
  </si>
  <si>
    <t>SL 1000mm length</t>
  </si>
  <si>
    <t>SL 1500mm length</t>
  </si>
  <si>
    <t>SL 2000mm length</t>
  </si>
  <si>
    <t>Terraced seating (TS) - (NB: No details provided, Refer to CWPS-JMD-XX-GF-DR-L-0103-D)</t>
  </si>
  <si>
    <t>Terraced seating (TS)</t>
  </si>
  <si>
    <t>Concrete Edge and Kerb</t>
  </si>
  <si>
    <t>Turn Down Slab (E1) - (NB: No details provided)</t>
  </si>
  <si>
    <t xml:space="preserve">Concrete down turn edge (E2) - Turn down edge less than 300mm difference -  small hardstand foot fall area, surfaces to be off form Class 2, AS 3610. Colour grey, flexible sealer- colour to match concrete</t>
  </si>
  <si>
    <t>Raised Edge Barrier (ED2) - Concrete paving with slab beam (NB: Refer to Detail 04 - ED2: Raised edge barrier of CWPS-JMD-XX-XX-DR-L-0402-D for Landscape Details)</t>
  </si>
  <si>
    <t>Castellated Kerb (CK) - Grey cement, 20mm aggregate, wood float. Flexible sealer - colour to match concrete. 500mm breaks between kerbing elements</t>
  </si>
  <si>
    <t>Furniture and Structures</t>
  </si>
  <si>
    <t>Timber Deck (DE) - 35x137 NOM Decking and fascia cladding, rolled edge beam in 100x100 SHS post, with fix SHS post footing. DAR, kiln dried, Class 1 Durability, F17 Strength spotted gum select grade, source form FSC or AFS sustainable forests. (NB: Refer to Detail 05&amp;6 - Typical timber deck section of CWPS-JMD-XX-XX-DR-L-0402-D for Landscape Details)</t>
  </si>
  <si>
    <t>DE1 - curved deck [Area: 6m2]</t>
  </si>
  <si>
    <t>DE2 - circular deck [Area: 7m2]</t>
  </si>
  <si>
    <t>DE3 - rectangular deck [Area: 26m2]</t>
  </si>
  <si>
    <t>DE3 - circular deck [Area: 5m2]</t>
  </si>
  <si>
    <t>Shade Structures (SH) - Shade fabric: monotec 370, colour karloo; Steel: hot dipped galvanized, degrease and grit blast, prior to painting; Painting: powdercoat aluminum - light grey(NB: Refer to Detail 08 - Typical timber deck section of CWPS-JMD-XX-XX-DR-L-0403-D for Landscape Details)</t>
  </si>
  <si>
    <t>Pre-school Playspace</t>
  </si>
  <si>
    <t>SH</t>
  </si>
  <si>
    <t>SLU Play Zone</t>
  </si>
  <si>
    <t>Raised Planter Bed (RPB) - Corrugated iron raised bed using bluescope aquaplate food-grade polymer coated steel, colour: surfmist (NB: No details provided)</t>
  </si>
  <si>
    <t>Oval Raised Planter Bed (RPB)</t>
  </si>
  <si>
    <t>Circular Raised Planter Bed (RPB)</t>
  </si>
  <si>
    <t>Sport Equipment</t>
  </si>
  <si>
    <t>Basketball Hoop and Post (BBL) - BNB 24 heavy metal basketball tower system including ground sleeve, full size fibreglass basketball and heavy duty basketball goal (netball hoop not required)</t>
  </si>
  <si>
    <t>Senior Combo Goals (OG-S) - 7.32Mx2.44M soccer goals with 5.6M rugby crossbar/ 5.6M rugby height with net supports, net and clips. 120/100mm aluminum tube with ground sleeve base kit, colour: white</t>
  </si>
  <si>
    <t>Junior Soccer Goals (OG-J) - 5x2M portable goal frame with net support, net and clips. 120/100mm aluminum tube with portable sleeve base kit, colour: white</t>
  </si>
  <si>
    <t>Furniture</t>
  </si>
  <si>
    <t>Bench Seat (S1) - 1800mm long EM 122 DDA garden seat custom modified. Eco accredited hardwood - oiled, framed galvanised steel, natural galvanised steel finish</t>
  </si>
  <si>
    <t>Picnic Set (PS1) - 1800 mm long EM050 - the george table and bench setting, 63x30mm oiled hardwood timber, framed galvanised steel, natural galvanised steel finish</t>
  </si>
  <si>
    <t>Picnic Set DDA (PS2) - 1800 mm long EM050 - the george setting - DDA table, 63x30mm oiled hardwood timber, framed galvanised steel, natural galvanised steel finish</t>
  </si>
  <si>
    <t>Drinking Fountain (DF) - Hydraulic EFSG 0815 drinking water dispenser. Britex accessible drinking trough - TP6 with minimum 1 accessible bottle filler per trough. Allow 20 total individual bubblers in trough of up to 5</t>
  </si>
  <si>
    <t>Removable umbrella with socket (U) - Centra hexagonal CH57</t>
  </si>
  <si>
    <t>Flag Poles (FP) - 6M above ground height, 81mm aluminum tube, sleeve base with external rope halyard, colour: white</t>
  </si>
  <si>
    <t xml:space="preserve">Sand Play Cover (SAC) -  (NB: No details provided, not reflected on plan)</t>
  </si>
  <si>
    <t>Play Items</t>
  </si>
  <si>
    <t>PE1 - 1480 Stand alone plastic slide, code: PCM302-0905</t>
  </si>
  <si>
    <t>PE2 - Wall cubby with blackboard, code: L010304</t>
  </si>
  <si>
    <t>PE3 - Trampoline, code: Z-1310</t>
  </si>
  <si>
    <t>PE4 - Little town cubby, size: 1.8Mx1.6M, flat roof type, Veranda: NO, Theme: cafe</t>
  </si>
  <si>
    <t>PE5 - Mud kitchen double classic, code: 213</t>
  </si>
  <si>
    <t>TMB - Timber logs (2m), code: PWS-NP04</t>
  </si>
  <si>
    <t>TMB - Timber logs (3m), code: PWS-NP04</t>
  </si>
  <si>
    <t xml:space="preserve">TLS - Timber logs steppers - raised, size:large (SL): nominal dia. 350mmxnominal 350-450mm (L) (50-150mm above ground level); medium (SM): nominal dia 300mmxnominal 350-450mm (L) (50-150mm above ground level); small (SS): nominal dia. 200mmxnominal 350-450m (L) (50-150 above ground level) 30%. Recycled hardwood timber dressed all round with wire brush finish </t>
  </si>
  <si>
    <t>Blackboard finish to building (BB) - (NB: No details provided)</t>
  </si>
  <si>
    <t>Line Markings</t>
  </si>
  <si>
    <t>Court surfacing; Mapei white</t>
  </si>
  <si>
    <t>Sports oval; White waterbased acrylic paint</t>
  </si>
  <si>
    <t>Court Surfacing - 3mm thick Mapecoat multicoat system. Filler undercoat: Mapecoat tns white base coat. Base colour finish: Mapecoat tns base color. Coloured finish: Mapecoat tns finish 1.3.4</t>
  </si>
  <si>
    <t>PP1; Mapei orange (details to PP3)</t>
  </si>
  <si>
    <t>PP2; Mapei sea blue</t>
  </si>
  <si>
    <t>PP3; Mapei sunshine yellow</t>
  </si>
  <si>
    <t>PP4; Mapei light blue</t>
  </si>
  <si>
    <t>PP5; Mapei paris red</t>
  </si>
  <si>
    <t>Stair Nosing</t>
  </si>
  <si>
    <t>Illumination Strip - cold curing plastic pavement marking, ennis 'roadplast roll on' in colour black. Add non slip aggregate such as 300-1200um size marble chips. Installed to AS1428.4</t>
  </si>
  <si>
    <t>To new stair</t>
  </si>
  <si>
    <t>TBC by CWC specialist</t>
  </si>
  <si>
    <t>Artworks and Painting</t>
  </si>
  <si>
    <t>Murals (CWC1); Mural 01: 17.5m (L)x 2.7m (H) on coloured FC sheet or Mural 01: 21.0m (L)x 3.0m (H) on coloured FC sheet</t>
  </si>
  <si>
    <t>Red belly bike track artwork (CWC4) - artwork to elevated side of bike track by CWC specialist, approx. 10.6m (L) x max 0.3m (H). (NB: refer to Detail 02 of CWPS-JMD-XX-XX-DR-L-0405-D for Landscape Details)</t>
  </si>
  <si>
    <t>Keeping area for buried artefacts (CWC2)</t>
  </si>
  <si>
    <t>Feature Brick Infill Paving (CWC3) - 230x76x65mm thk suit halmet sized brick pavers, P5 to AS 4586-2013 (NB: Refer to Detail 01 - CWC3: Brick paving on concrete base of CWPS-JMD-XX-XX-DR-L-0401-D for Landscape Details and Brick on concrete pavement of CI-0520-CD-2 for Pavement detail)</t>
  </si>
  <si>
    <t>100mm thk Class 2 DGB Subbase compacted to minimum of 98% MMDD</t>
  </si>
  <si>
    <t>75mm thick concrete, 32MPa</t>
  </si>
  <si>
    <t>SL72 mesh on top of 75mm thk concrete</t>
  </si>
  <si>
    <t>25mm mortar</t>
  </si>
  <si>
    <t>ROADWORK, FOOTPATH &amp; PAVEMENT</t>
  </si>
  <si>
    <t>Wombat crossing by others</t>
  </si>
  <si>
    <t>Asphalt Pavement</t>
  </si>
  <si>
    <t>300mm thick DGS40 subbase minimum compacted to 97% of MMDD subgrade minimum 3% CBR subject to geotechnical advice (allow for nominal lime subgrade improvement treatment)</t>
  </si>
  <si>
    <t>150mm thick DGB20 basecourse compacted to 98% of MMDD</t>
  </si>
  <si>
    <t>50mm thick AC10 (C320 Binder) wearing course</t>
  </si>
  <si>
    <t>Concrete Footpath/Pavement</t>
  </si>
  <si>
    <t>Existing subgrade with minimum CBR 3% subject to geotechnical advice compacted to 95% of MMDD</t>
  </si>
  <si>
    <t>100mm thick Class 2 DGB subbase compacted to a minimum of 98% MMDD</t>
  </si>
  <si>
    <t>125mm thick concrete, 32 MPa</t>
  </si>
  <si>
    <t>125mm high edgeboard to 125mm thick concrete</t>
  </si>
  <si>
    <t>SL72 mesh on top of 125mm thick concrete</t>
  </si>
  <si>
    <t>Allow for jointing (NB: Refer details to L-0401-D_Landscape Details 01 for Paving Jointing - Typical Detail)</t>
  </si>
  <si>
    <t>Extra over for using coloured concrete instead of standard concrete</t>
  </si>
  <si>
    <t>Extra over for using oxide coloured concrete instead of standard concrete</t>
  </si>
  <si>
    <t>Surface finish</t>
  </si>
  <si>
    <t>CP1 - Concrete paving (pedestrian)</t>
  </si>
  <si>
    <t>CP3 with alternating broom feature finish</t>
  </si>
  <si>
    <t>CP4 with alternating broom feature finish</t>
  </si>
  <si>
    <t>Concrete Driveway/Parking</t>
  </si>
  <si>
    <t>Surface Finish</t>
  </si>
  <si>
    <t>CP2 - Concrete paving (vehicular)</t>
  </si>
  <si>
    <t>Concrete Red Belly Bike Track</t>
  </si>
  <si>
    <t>75mm thick Class 2 DGB subbase compacted to a minimum of 98% MMDD</t>
  </si>
  <si>
    <t>150mm thick concrete, 32 MPa</t>
  </si>
  <si>
    <t>150mm high edgeboard to 150mm thick concrete</t>
  </si>
  <si>
    <t>SL72 mesh on top of 150mm thick concrete</t>
  </si>
  <si>
    <t>CWC4 - Red belly interpretation on bike track feature (NB: Refer details to L-0405-D_Landscape Details 05)</t>
  </si>
  <si>
    <t>Kerb, Gutter and Island</t>
  </si>
  <si>
    <t>CK - Castellated Kerb (NB: No details provided)</t>
  </si>
  <si>
    <t>KR - Kerb (NB: No details provided)</t>
  </si>
  <si>
    <t>Joints and Associated Items</t>
  </si>
  <si>
    <t>EJ - Expansion Joint, 8mm joint filler and sealant (NB: Refer details to L-0401-D_Landscape Details 01 for CP1: Concrete Paving and Paving Jointing - Typical Detaill)</t>
  </si>
  <si>
    <t>1650x100mm high wheel stop with ground spikes as per manufacturer's specification (NB: Refer to drawing no. CI-0520-CD-2_Pavement Details)</t>
  </si>
  <si>
    <t xml:space="preserve">Traffic linemarking by others  (NB: No details, refer to L-0104-D_General Arrangement Plan 04)</t>
  </si>
  <si>
    <t xml:space="preserve">Traffic linemarking by others  (NB: No details, refer to L-0100-D_Overall Plan)</t>
  </si>
  <si>
    <t>Works Outside of School Boundary - e.g. Kiss &amp; Drop, Crossing etc</t>
  </si>
  <si>
    <t>External Stormwater &amp; Drainage</t>
  </si>
  <si>
    <t>35/1A</t>
  </si>
  <si>
    <t>35/1B</t>
  </si>
  <si>
    <t>35/1C</t>
  </si>
  <si>
    <t>35/1D</t>
  </si>
  <si>
    <t>35/1E</t>
  </si>
  <si>
    <t>35/1F</t>
  </si>
  <si>
    <t>35/1G</t>
  </si>
  <si>
    <t>35/1H</t>
  </si>
  <si>
    <t>35/1J</t>
  </si>
  <si>
    <t>35/1K</t>
  </si>
  <si>
    <t>35/1L</t>
  </si>
  <si>
    <t>35/1M</t>
  </si>
  <si>
    <t>35/1N</t>
  </si>
  <si>
    <t>35/1P</t>
  </si>
  <si>
    <t>35/2A</t>
  </si>
  <si>
    <t>35/2B</t>
  </si>
  <si>
    <t>35/2C</t>
  </si>
  <si>
    <t>35/2D</t>
  </si>
  <si>
    <t>35/2E</t>
  </si>
  <si>
    <t>Allow for concrete pumping here or in rates applied</t>
  </si>
  <si>
    <t>STORMWATER</t>
  </si>
  <si>
    <t>Pits and Drain</t>
  </si>
  <si>
    <t>900x900mm wide child proof grated pit (NB: Refer detail to drawing no. CI-340-CD-2_Drainage Details)</t>
  </si>
  <si>
    <t>600x600mm wide child proof grated pit (NB: Refer detail to drawing no. CI-340-CD-2_Drainage Details)</t>
  </si>
  <si>
    <t>450x450mm wide child proof grated pit (NB: Refer detail to drawing no. CI-340-CD-2_Drainage Details)</t>
  </si>
  <si>
    <t>900x900mm wide junction pit with child proof lid (NB: Refer detail to drawing no. CI-340-CD-2_Drainage Details)</t>
  </si>
  <si>
    <t>600x600mm wide child proof grated pit, ocean guard or equivalent to be installed (NB: Refer detail to drawing no. CI-340-CD-2_Drainage Details)</t>
  </si>
  <si>
    <t>GD - 200mm wide heel safe child proof grated trench drain (NB: Refer detail to drawing no. CI-340-CD-2_Drainage Details)</t>
  </si>
  <si>
    <t>GD - 100mm wide heel safe child proof grated trench drain (NB: Refer detail to drawing no. CI-340-CD-2_Drainage Details)</t>
  </si>
  <si>
    <t>Pipes</t>
  </si>
  <si>
    <t>100mm uPVC</t>
  </si>
  <si>
    <t>150mm uPVC</t>
  </si>
  <si>
    <t>225mm uPVC</t>
  </si>
  <si>
    <t>300mm uPVC</t>
  </si>
  <si>
    <t>375mm uPVC</t>
  </si>
  <si>
    <t>450mm uPVC</t>
  </si>
  <si>
    <t>525mm uPVC</t>
  </si>
  <si>
    <t>675mm uPVC</t>
  </si>
  <si>
    <t>750mm uPVC</t>
  </si>
  <si>
    <t>825mm uPVC</t>
  </si>
  <si>
    <t>RETAINING WALL</t>
  </si>
  <si>
    <t>Allow for low rise retaining wall around substation</t>
  </si>
  <si>
    <t>Supply and install OSD tank and associated work</t>
  </si>
  <si>
    <t xml:space="preserve">External Sewer Drainage </t>
  </si>
  <si>
    <t>External Water Supply</t>
  </si>
  <si>
    <t xml:space="preserve">External Fire Protection </t>
  </si>
  <si>
    <t xml:space="preserve">External Electric Light &amp; Power, Communications and Security Services </t>
  </si>
  <si>
    <t>Substation</t>
  </si>
  <si>
    <t xml:space="preserve">High/Low Voltage incoming connection &amp; associated works </t>
  </si>
  <si>
    <t>Connecting with Country Allowance (not covered above)</t>
  </si>
  <si>
    <t>SCHEDULE OF PRINCIPAL'S PRICED OPTIONS</t>
  </si>
  <si>
    <t>PPO1: Stage 2 FHR infrastructure supply</t>
  </si>
  <si>
    <t>PPO2: Stage 2 Water Services Infrastructure supply</t>
  </si>
  <si>
    <t>PPO3: Stage Power, Comms and Security infrastructure supply</t>
  </si>
  <si>
    <t>PPO4: Deletion of Hose Reel and associate underground reticulation to all buildings.</t>
  </si>
  <si>
    <t>PPO5: 50kVA Diesel Generator to Preschool, including day tank and all associated works</t>
  </si>
  <si>
    <t>PPO6: Canopy to Admin</t>
  </si>
  <si>
    <t>Roofing and Roof Plumbing</t>
  </si>
  <si>
    <t>GUE-01 downpipe - 3620mm high, 225mm dia. 0.6mm thick Zinc/aluminium alloy coated steel with pre-painted finish, Profile: Circular, Finish: to match GUE-01 guutter</t>
  </si>
  <si>
    <t>Structural Roof framing for canopy including steel columns (NB: No details provided, measured as roof area)</t>
  </si>
  <si>
    <t>PPO7: Sandblast stencil finish to main pathway, currently brushed coloured concrete</t>
  </si>
  <si>
    <t>Hard Landscaping [Footpaths &amp; Pavements]</t>
  </si>
  <si>
    <t>Extra over for using coloured concrete paving instead of standard concrete</t>
  </si>
  <si>
    <t>Alternating broom feature finish</t>
  </si>
  <si>
    <t>Sandblast Stencil</t>
  </si>
  <si>
    <t>Sandblast stencil finish to main pathway (NB: Refer to L-0100-D_Overall Plan and Schedule of Principal's Price Options)</t>
  </si>
  <si>
    <t>PPO8: Allow 3x800L trees and 27x400L trees in lieu of 75L, including tree pit</t>
  </si>
  <si>
    <t>Trees (75L pot size)</t>
  </si>
  <si>
    <t>Trees (800L pot size)</t>
  </si>
  <si>
    <t>800L Trees</t>
  </si>
  <si>
    <t>Trees (400L pot size)</t>
  </si>
  <si>
    <t>400L Trees</t>
  </si>
  <si>
    <t>SCHEDULE OF MANDATORY ALTERNATIVE TENDERS</t>
  </si>
  <si>
    <t>VE01: Change from documented design to Pattern Book 4.5 Roof on Blocks A1 - Change from mono pitch roof, roof overhang and downpipes to west side and A2 as per Pattern Book, and change to gable roof with central ridge and eaves gutter and downpipes to both west and east sides. - ROOF, WALL TYPES, EXTERNAL</t>
  </si>
  <si>
    <t xml:space="preserve">RMS-01- Low Profile Klip-Lok 700 Hi Strength (Gable Roof);Profile: Ribbed with 34mm deep ribs at 235mm centres, 0.48mm base metal thickness, SRI: 66; Colour: Shale Grey; Finish: Colorbond; Supplier: Bluescope Lysaght </t>
  </si>
  <si>
    <t>GUE-01 downpipe - 8960mm high, 225mm dia. 0.6mm thick Zinc/aluminium alloy coated steel with pre-painted finish, Profile: Circular, Finish: to match GUE-01 guutter</t>
  </si>
  <si>
    <t>GUE-01 downpipe - 8900mm high, 225mm dia. 0.6mm thick Zinc/aluminium alloy coated steel with pre-painted finish, Profile: Circular, Finish: to match GUE-01 guutter</t>
  </si>
  <si>
    <t xml:space="preserve">GUE-01 downpipe -  8960mm high,150mm dia. 0.6mm thick Zinc/aluminium alloy coated steel with pre-painted finish, Profile: Circular, Finish: to match GUE-01 guutter</t>
  </si>
  <si>
    <t>VE02: Delete 'point of use hot water units' to Access WC's without showers x 6 no. (services no need)</t>
  </si>
  <si>
    <t>VE03: Carpark Pavement - replace permeable with asphalt paving with asphalt paving suitable for carparking</t>
  </si>
  <si>
    <t>Asphalt Paving</t>
  </si>
  <si>
    <t>150mm thick DGB20 basecourse compacted 98% of MMDD</t>
  </si>
  <si>
    <t>VE04: Preschool Play Area - scaled back to Pattern Book provision</t>
  </si>
  <si>
    <t>Soft Landscape</t>
  </si>
  <si>
    <t>Turf</t>
  </si>
  <si>
    <t>Hard Landscape</t>
  </si>
  <si>
    <t>Concrete Footpath/Pavement (CP1)</t>
  </si>
  <si>
    <t>Preschool Play Area - scaled back to Pattern Book provision</t>
  </si>
  <si>
    <t>New Play Area</t>
  </si>
  <si>
    <t>VE05: 2100mm Boundary Fence - Diplomat alternative to 358 fence</t>
  </si>
  <si>
    <t>Diplomat Boundary Fence</t>
  </si>
  <si>
    <t>2100mm Diplomat Boundary Fence</t>
  </si>
  <si>
    <t>VE06a: Remove outdoor room and replace with EFSG compliant seeded grass</t>
  </si>
  <si>
    <t>Native Seeded Grass</t>
  </si>
  <si>
    <t>EFSG compliant seeded grass to replace native seeded grass in outdoor room</t>
  </si>
  <si>
    <t>VE06b: Remove temporary trees</t>
  </si>
  <si>
    <t>Refer to following TENDER DOCS - 250918 - CPS - Landscape VE Markup (VE6-VE11): CWPS-JMD-XX-GF-DR-L-0100-C for "Overall Plan"</t>
  </si>
  <si>
    <t>Plants</t>
  </si>
  <si>
    <t>VE07a: Delete external brick and sandstone seating walls. Replace with metal seating compliant to EFSG and DDA</t>
  </si>
  <si>
    <t xml:space="preserve">650x500mm wide sandstone block </t>
  </si>
  <si>
    <t>Metal seating compliant to EFSG to replace brick and sandstone seating (NB: No details provided)</t>
  </si>
  <si>
    <t>Metal seating</t>
  </si>
  <si>
    <t>VE07b: Replace S1 custom seating with metal seating compliant to EFSG and DDA</t>
  </si>
  <si>
    <t>1800mm long Metal seating compliant to EFSG and DDA to replace custom seating (NB: No details provided)</t>
  </si>
  <si>
    <t>VE08: Proposed proprietary corrugated iron raised planter beds in place of bespoke planter beds</t>
  </si>
  <si>
    <t>Furniture and Structure</t>
  </si>
  <si>
    <t>Bespoke planter beds to replaced corrugated iron raised planter beds (NB: No details provided)</t>
  </si>
  <si>
    <t>Oval Planter Bed (RPB)</t>
  </si>
  <si>
    <t>Circular Planter Bed (RPB)</t>
  </si>
  <si>
    <t>VE09: Delete preschool western storage room</t>
  </si>
  <si>
    <t>450 x 700mm deep edge beam [Length: -11]</t>
  </si>
  <si>
    <t>85mm thick waffle slab [Area: -28]</t>
  </si>
  <si>
    <t>150 x 150mm deep concrete hob [Length: -10]</t>
  </si>
  <si>
    <t>Bar reinforcement to concrete hob [Length: 11]</t>
  </si>
  <si>
    <t>External Cladding and Soffit</t>
  </si>
  <si>
    <t>Cladding to External Wall</t>
  </si>
  <si>
    <t>VE10: Reduce preschool southern entry courtyard to minimum preschool design brief requirement</t>
  </si>
  <si>
    <t>450 x 700mm deep edge beam [Length: -6]</t>
  </si>
  <si>
    <t>85mm thick waffle slab [Area: -10]</t>
  </si>
  <si>
    <t>VE11: Remove wooden decking and replace with EFSG and DDA compliant seating, Remove recycled brick paving and replace with brushed coloured concrete CP3</t>
  </si>
  <si>
    <t>CP3 - Brushed coloured concrete to replace recycled brick paving</t>
  </si>
  <si>
    <t>DE1 - curved deck</t>
  </si>
  <si>
    <t>DE2 - circular deck</t>
  </si>
  <si>
    <t>EFSG and DDA compliant seating to replace wooden decking</t>
  </si>
  <si>
    <t>VE12: Shade structure in Preschool outdoor play space to be reduces so that total shade canopy is 60% of 420sqm rather than 60% of 856sqm as currently documented</t>
  </si>
  <si>
    <t>New Shaded Area - 60% of 420m2</t>
  </si>
  <si>
    <t>Subtotal</t>
  </si>
  <si>
    <t>Adjustment</t>
  </si>
  <si>
    <t>G.S.T</t>
  </si>
  <si>
    <t>Markup</t>
  </si>
  <si>
    <t>Job %</t>
  </si>
  <si>
    <t>Cost per Unit</t>
  </si>
</sst>
</file>

<file path=xl/styles.xml><?xml version="1.0" encoding="utf-8"?>
<styleSheet xmlns="http://schemas.openxmlformats.org/spreadsheetml/2006/main">
  <numFmts count="0"/>
  <fonts count="7">
    <font>
      <sz val="11"/>
      <name val="Calibri"/>
    </font>
    <font>
      <b/>
      <sz val="11"/>
      <name val="Calibri"/>
    </font>
    <font>
      <b/>
      <sz val="13"/>
      <color rgb="FF1F497D" tint="0"/>
      <name val="Calibri"/>
    </font>
    <font>
      <b/>
      <sz val="14"/>
      <name val="Calibri"/>
    </font>
    <font>
      <b/>
      <sz val="12"/>
      <name val="Calibri"/>
    </font>
    <font>
      <u/>
      <sz val="11"/>
      <name val="Calibri"/>
    </font>
    <font>
      <sz val="13"/>
      <name val="Calibri"/>
    </font>
  </fonts>
  <fills count="5">
    <fill>
      <patternFill patternType="none"/>
    </fill>
    <fill>
      <patternFill patternType="gray125"/>
    </fill>
    <fill>
      <patternFill patternType="solid">
        <fgColor rgb="FFB8CCE4" tint="0"/>
      </patternFill>
    </fill>
    <fill>
      <patternFill patternType="solid">
        <fgColor rgb="FFCAD9EA" tint="0"/>
      </patternFill>
    </fill>
    <fill>
      <patternFill patternType="solid">
        <fgColor rgb="FFA7C0DD" tint="0"/>
      </patternFill>
    </fill>
  </fills>
  <borders count="1">
    <border>
      <left/>
      <right/>
      <top/>
      <bottom/>
      <diagonal/>
    </border>
  </borders>
  <cellStyleXfs count="1">
    <xf numFmtId="0" fontId="0"/>
  </cellStyleXfs>
  <cellXfs count="26">
    <xf numFmtId="0" applyNumberFormat="1" fontId="0" applyFont="1" xfId="0"/>
    <xf numFmtId="4" applyNumberFormat="1" fontId="2" applyFont="1" xfId="0">
      <alignment horizontal="center" vertical="top" wrapText="1"/>
    </xf>
    <xf numFmtId="4" applyNumberFormat="1" fontId="3" applyFont="1" fillId="2" applyFill="1" xfId="0">
      <alignment horizontal="center" vertical="top" wrapText="1"/>
    </xf>
    <xf numFmtId="4" applyNumberFormat="1" fontId="4" applyFont="1" fillId="3" applyFill="1" xfId="0">
      <alignment horizontal="center" vertical="top" wrapText="1"/>
    </xf>
    <xf numFmtId="4" applyNumberFormat="1" fontId="1" applyFont="1" xfId="0">
      <alignment horizontal="center" vertical="top" wrapText="1"/>
    </xf>
    <xf numFmtId="4" applyNumberFormat="1" fontId="0" applyFont="1" xfId="0">
      <alignment horizontal="center" vertical="top" wrapText="1"/>
    </xf>
    <xf numFmtId="4" applyNumberFormat="1" fontId="5" applyFont="1" xfId="0">
      <alignment horizontal="center" vertical="top" wrapText="1"/>
    </xf>
    <xf numFmtId="4" applyNumberFormat="1" fontId="0" applyFont="1" xfId="0">
      <alignment vertical="top" wrapText="1"/>
    </xf>
    <xf numFmtId="4" applyNumberFormat="1" fontId="6" applyFont="1" fillId="2" applyFill="1" xfId="0">
      <alignment wrapText="1"/>
    </xf>
    <xf numFmtId="4" applyNumberFormat="1" fontId="3" applyFont="1" fillId="4" applyFill="1" xfId="0">
      <alignment wrapText="1"/>
    </xf>
    <xf numFmtId="4" applyNumberFormat="1" fontId="3" applyFont="1" fillId="2" applyFill="1" xfId="0">
      <alignment vertical="top" wrapText="1"/>
    </xf>
    <xf numFmtId="4" applyNumberFormat="1" fontId="4" applyFont="1" fillId="3" applyFill="1" xfId="0">
      <alignment vertical="top" wrapText="1"/>
    </xf>
    <xf numFmtId="4" applyNumberFormat="1" fontId="1" applyFont="1" xfId="0">
      <alignment vertical="top" wrapText="1" indent="1"/>
    </xf>
    <xf numFmtId="4" applyNumberFormat="1" fontId="0" applyFont="1" xfId="0">
      <alignment vertical="top" wrapText="1" indent="2"/>
    </xf>
    <xf numFmtId="4" applyNumberFormat="1" fontId="0" applyFont="1" xfId="0">
      <alignment vertical="top" wrapText="1" indent="1"/>
    </xf>
    <xf numFmtId="4" applyNumberFormat="1" fontId="5" applyFont="1" xfId="0">
      <alignment vertical="top" wrapText="1" indent="2"/>
    </xf>
    <xf numFmtId="4" applyNumberFormat="1" fontId="0" applyFont="1" xfId="0">
      <alignment vertical="top" wrapText="1" indent="3"/>
    </xf>
    <xf numFmtId="4" applyNumberFormat="1" fontId="0" applyFont="1" xfId="0">
      <alignment vertical="top" wrapText="1" indent="4"/>
    </xf>
    <xf numFmtId="4" applyNumberFormat="1" fontId="0" applyFont="1" xfId="0">
      <alignment vertical="top" wrapText="1" indent="5"/>
    </xf>
    <xf numFmtId="4" applyNumberFormat="1" fontId="3" applyFont="1" fillId="2" applyFill="1" xfId="0">
      <alignment horizontal="right" vertical="top" wrapText="1"/>
    </xf>
    <xf numFmtId="4" applyNumberFormat="1" fontId="4" applyFont="1" fillId="3" applyFill="1" xfId="0">
      <alignment horizontal="right" vertical="top" wrapText="1"/>
    </xf>
    <xf numFmtId="4" applyNumberFormat="1" fontId="1" applyFont="1" xfId="0">
      <alignment horizontal="right" vertical="top" wrapText="1"/>
    </xf>
    <xf numFmtId="4" applyNumberFormat="1" fontId="0" applyFont="1" xfId="0">
      <alignment horizontal="right" vertical="top" wrapText="1"/>
    </xf>
    <xf numFmtId="4" applyNumberFormat="1" fontId="5" applyFont="1" xfId="0">
      <alignment horizontal="right" vertical="top" wrapText="1"/>
    </xf>
    <xf numFmtId="4" applyNumberFormat="1" fontId="6" applyFont="1" fillId="2" applyFill="1" xfId="0">
      <alignment vertical="top" wrapText="1"/>
    </xf>
    <xf numFmtId="4" applyNumberFormat="1" fontId="6" applyFont="1" fillId="2" applyFill="1" xfId="0">
      <alignment horizontal="righ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F8412"/>
  <sheetViews>
    <sheetView workbookViewId="0">
      <pane xSplit="6" ySplit="1" topLeftCell="G2" state="frozen" activePane="bottomRight"/>
      <selection pane="topRight" activeCell="G1" sqref="G1"/>
      <selection pane="bottomLeft" activeCell="A2" sqref="A2"/>
      <selection pane="bottomRight" activeCell="A1" sqref="A1"/>
    </sheetView>
  </sheetViews>
  <sheetFormatPr defaultRowHeight="15"/>
  <cols>
    <col min="1" max="1" width="13.6594715118408" customWidth="1"/>
    <col min="2" max="2" width="30" customWidth="1"/>
    <col min="3" max="3" width="10.8870573043823" customWidth="1"/>
    <col min="4" max="4" width="11.8305721282959" customWidth="1"/>
    <col min="5" max="5" width="9.140625" customWidth="1"/>
    <col min="6" max="6" width="20" customWidth="1"/>
  </cols>
  <sheetData>
    <row r="1">
      <c r="A1" s="1" t="s">
        <v>0</v>
      </c>
      <c r="B1" s="1" t="s">
        <v>1</v>
      </c>
      <c r="C1" s="1" t="s">
        <v>2</v>
      </c>
      <c r="D1" s="1" t="s">
        <v>3</v>
      </c>
      <c r="E1" s="1" t="s">
        <v>4</v>
      </c>
      <c r="F1" s="1" t="s">
        <v>5</v>
      </c>
    </row>
    <row r="2">
      <c r="A2" s="2"/>
      <c r="B2" s="10" t="s">
        <v>6</v>
      </c>
      <c r="C2" s="19"/>
      <c r="D2" s="19"/>
      <c r="E2" s="19"/>
      <c r="F2" s="19"/>
    </row>
    <row r="3">
      <c r="A3" s="3"/>
      <c r="B3" s="11" t="s">
        <v>7</v>
      </c>
      <c r="C3" s="20"/>
      <c r="D3" s="20"/>
      <c r="E3" s="20"/>
      <c r="F3" s="20"/>
    </row>
    <row r="4">
      <c r="A4" s="4"/>
      <c r="B4" s="12" t="s">
        <v>8</v>
      </c>
      <c r="C4" s="21"/>
      <c r="D4" s="21"/>
      <c r="E4" s="21"/>
      <c r="F4" s="21"/>
    </row>
    <row r="5">
      <c r="A5" s="5"/>
      <c r="B5" s="13" t="s">
        <v>9</v>
      </c>
      <c r="C5" s="22"/>
      <c r="D5" s="22" t="s">
        <v>10</v>
      </c>
      <c r="E5" s="22"/>
      <c r="F5" s="22">
        <f>C5*E5</f>
      </c>
    </row>
    <row r="6">
      <c r="A6" s="5"/>
      <c r="B6" s="13" t="s">
        <v>11</v>
      </c>
      <c r="C6" s="22"/>
      <c r="D6" s="22" t="s">
        <v>10</v>
      </c>
      <c r="E6" s="22"/>
      <c r="F6" s="22">
        <f>C6*E6</f>
      </c>
    </row>
    <row r="7">
      <c r="A7" s="5"/>
      <c r="B7" s="13" t="s">
        <v>12</v>
      </c>
      <c r="C7" s="22"/>
      <c r="D7" s="22" t="s">
        <v>10</v>
      </c>
      <c r="E7" s="22"/>
      <c r="F7" s="22">
        <f>C7*E7</f>
      </c>
    </row>
    <row r="8">
      <c r="A8" s="4"/>
      <c r="B8" s="12" t="s">
        <v>13</v>
      </c>
      <c r="C8" s="21"/>
      <c r="D8" s="21"/>
      <c r="E8" s="21"/>
      <c r="F8" s="21"/>
    </row>
    <row r="9">
      <c r="A9" s="5"/>
      <c r="B9" s="13" t="s">
        <v>11</v>
      </c>
      <c r="C9" s="22"/>
      <c r="D9" s="22" t="s">
        <v>10</v>
      </c>
      <c r="E9" s="22"/>
      <c r="F9" s="22">
        <f>C9*E9</f>
      </c>
    </row>
    <row r="10">
      <c r="A10" s="5"/>
      <c r="B10" s="13" t="s">
        <v>14</v>
      </c>
      <c r="C10" s="22"/>
      <c r="D10" s="22" t="s">
        <v>10</v>
      </c>
      <c r="E10" s="22"/>
      <c r="F10" s="22">
        <f>C10*E10</f>
      </c>
    </row>
    <row r="11">
      <c r="A11" s="5"/>
      <c r="B11" s="13" t="s">
        <v>15</v>
      </c>
      <c r="C11" s="22"/>
      <c r="D11" s="22" t="s">
        <v>10</v>
      </c>
      <c r="E11" s="22"/>
      <c r="F11" s="22">
        <f>C11*E11</f>
      </c>
    </row>
    <row r="12">
      <c r="A12" s="5"/>
      <c r="B12" s="13" t="s">
        <v>12</v>
      </c>
      <c r="C12" s="22"/>
      <c r="D12" s="22" t="s">
        <v>10</v>
      </c>
      <c r="E12" s="22"/>
      <c r="F12" s="22">
        <f>C12*E12</f>
      </c>
    </row>
    <row r="13">
      <c r="A13" s="4"/>
      <c r="B13" s="12" t="s">
        <v>16</v>
      </c>
      <c r="C13" s="21"/>
      <c r="D13" s="21"/>
      <c r="E13" s="21"/>
      <c r="F13" s="21"/>
    </row>
    <row r="14">
      <c r="A14" s="5"/>
      <c r="B14" s="13" t="s">
        <v>17</v>
      </c>
      <c r="C14" s="22"/>
      <c r="D14" s="22" t="s">
        <v>10</v>
      </c>
      <c r="E14" s="22"/>
      <c r="F14" s="22">
        <f>C14*E14</f>
      </c>
    </row>
    <row r="15">
      <c r="A15" s="5"/>
      <c r="B15" s="13" t="s">
        <v>18</v>
      </c>
      <c r="C15" s="22"/>
      <c r="D15" s="22" t="s">
        <v>10</v>
      </c>
      <c r="E15" s="22"/>
      <c r="F15" s="22">
        <f>C15*E15</f>
      </c>
    </row>
    <row r="16">
      <c r="A16" s="5"/>
      <c r="B16" s="13" t="s">
        <v>12</v>
      </c>
      <c r="C16" s="22"/>
      <c r="D16" s="22" t="s">
        <v>10</v>
      </c>
      <c r="E16" s="22"/>
      <c r="F16" s="22">
        <f>C16*E16</f>
      </c>
    </row>
    <row r="17">
      <c r="A17" s="3"/>
      <c r="B17" s="11" t="s">
        <v>19</v>
      </c>
      <c r="C17" s="20"/>
      <c r="D17" s="20"/>
      <c r="E17" s="20"/>
      <c r="F17" s="20"/>
    </row>
    <row r="18">
      <c r="A18" s="5"/>
      <c r="B18" s="14" t="s">
        <v>20</v>
      </c>
      <c r="C18" s="22"/>
      <c r="D18" s="22" t="s">
        <v>10</v>
      </c>
      <c r="E18" s="22"/>
      <c r="F18" s="22">
        <f>C18*E18</f>
      </c>
    </row>
    <row r="19">
      <c r="A19" s="3"/>
      <c r="B19" s="11" t="s">
        <v>21</v>
      </c>
      <c r="C19" s="20"/>
      <c r="D19" s="20"/>
      <c r="E19" s="20"/>
      <c r="F19" s="20"/>
    </row>
    <row r="20">
      <c r="A20" s="4"/>
      <c r="B20" s="12" t="s">
        <v>22</v>
      </c>
      <c r="C20" s="21"/>
      <c r="D20" s="21"/>
      <c r="E20" s="21"/>
      <c r="F20" s="21"/>
    </row>
    <row r="21">
      <c r="A21" s="5"/>
      <c r="B21" s="13" t="s">
        <v>23</v>
      </c>
      <c r="C21" s="22">
        <f>(1188)*(1)*(1)*(1)*(1 + (0))</f>
      </c>
      <c r="D21" s="22" t="s">
        <v>24</v>
      </c>
      <c r="E21" s="22"/>
      <c r="F21" s="22">
        <f>C21*E21</f>
      </c>
    </row>
    <row r="22">
      <c r="A22" s="5"/>
      <c r="B22" s="13" t="s">
        <v>25</v>
      </c>
      <c r="C22" s="22">
        <f>(1246)*(1)*(1)*(1)*(1 + (0))</f>
      </c>
      <c r="D22" s="22" t="s">
        <v>24</v>
      </c>
      <c r="E22" s="22"/>
      <c r="F22" s="22">
        <f>C22*E22</f>
      </c>
    </row>
    <row r="23">
      <c r="A23" s="4"/>
      <c r="B23" s="12" t="s">
        <v>26</v>
      </c>
      <c r="C23" s="21"/>
      <c r="D23" s="21"/>
      <c r="E23" s="21"/>
      <c r="F23" s="21"/>
    </row>
    <row r="24">
      <c r="A24" s="5"/>
      <c r="B24" s="13" t="s">
        <v>27</v>
      </c>
      <c r="C24" s="22">
        <f>(920)*(1)*(1)*(1)*(1 + (0))</f>
      </c>
      <c r="D24" s="22" t="s">
        <v>24</v>
      </c>
      <c r="E24" s="22"/>
      <c r="F24" s="22">
        <f>C24*E24</f>
      </c>
    </row>
    <row r="25">
      <c r="A25" s="5"/>
      <c r="B25" s="13" t="s">
        <v>28</v>
      </c>
      <c r="C25" s="22">
        <f>(844)*(1)*(1)*(1)*(1 + (0))</f>
      </c>
      <c r="D25" s="22" t="s">
        <v>24</v>
      </c>
      <c r="E25" s="22"/>
      <c r="F25" s="22">
        <f>C25*E25</f>
      </c>
    </row>
    <row r="26">
      <c r="A26" s="4"/>
      <c r="B26" s="12" t="s">
        <v>29</v>
      </c>
      <c r="C26" s="21"/>
      <c r="D26" s="21"/>
      <c r="E26" s="21"/>
      <c r="F26" s="21"/>
    </row>
    <row r="27">
      <c r="A27" s="5"/>
      <c r="B27" s="13" t="s">
        <v>30</v>
      </c>
      <c r="C27" s="22">
        <f>(689)*(1)*(1)*(1)*(1 + (0))</f>
      </c>
      <c r="D27" s="22" t="s">
        <v>24</v>
      </c>
      <c r="E27" s="22"/>
      <c r="F27" s="22">
        <f>C27*E27</f>
      </c>
    </row>
    <row r="28">
      <c r="A28" s="4"/>
      <c r="B28" s="12" t="s">
        <v>31</v>
      </c>
      <c r="C28" s="21"/>
      <c r="D28" s="21"/>
      <c r="E28" s="21"/>
      <c r="F28" s="21"/>
    </row>
    <row r="29">
      <c r="A29" s="5"/>
      <c r="B29" s="13" t="s">
        <v>32</v>
      </c>
      <c r="C29" s="22">
        <f>(458)*(1)*(1)*(1)*(1 + (0))</f>
      </c>
      <c r="D29" s="22" t="s">
        <v>24</v>
      </c>
      <c r="E29" s="22"/>
      <c r="F29" s="22">
        <f>C29*E29</f>
      </c>
    </row>
    <row r="30">
      <c r="A30" s="4"/>
      <c r="B30" s="12" t="s">
        <v>33</v>
      </c>
      <c r="C30" s="21"/>
      <c r="D30" s="21"/>
      <c r="E30" s="21"/>
      <c r="F30" s="21"/>
    </row>
    <row r="31">
      <c r="A31" s="5"/>
      <c r="B31" s="13" t="s">
        <v>34</v>
      </c>
      <c r="C31" s="22">
        <f>(40)*(1)*(1)*(1)*(1 + (0))</f>
      </c>
      <c r="D31" s="22" t="s">
        <v>24</v>
      </c>
      <c r="E31" s="22"/>
      <c r="F31" s="22">
        <f>C31*E31</f>
      </c>
    </row>
    <row r="32">
      <c r="A32" s="3"/>
      <c r="B32" s="11" t="s">
        <v>35</v>
      </c>
      <c r="C32" s="20"/>
      <c r="D32" s="20"/>
      <c r="E32" s="20"/>
      <c r="F32" s="20"/>
    </row>
    <row r="33">
      <c r="A33" s="4"/>
      <c r="B33" s="12" t="s">
        <v>22</v>
      </c>
      <c r="C33" s="21"/>
      <c r="D33" s="21"/>
      <c r="E33" s="21"/>
      <c r="F33" s="21"/>
    </row>
    <row r="34">
      <c r="A34" s="5"/>
      <c r="B34" s="13" t="s">
        <v>23</v>
      </c>
      <c r="C34" s="22">
        <f>(565)*(1)*(1)*(1)*(1 + (0))</f>
      </c>
      <c r="D34" s="22" t="s">
        <v>24</v>
      </c>
      <c r="E34" s="22"/>
      <c r="F34" s="22">
        <f>C34*E34</f>
      </c>
    </row>
    <row r="35">
      <c r="A35" s="5"/>
      <c r="B35" s="13" t="s">
        <v>25</v>
      </c>
      <c r="C35" s="22">
        <f>(563)*(1)*(1)*(1)*(1 + (0))</f>
      </c>
      <c r="D35" s="22" t="s">
        <v>24</v>
      </c>
      <c r="E35" s="22"/>
      <c r="F35" s="22">
        <f>C35*E35</f>
      </c>
    </row>
    <row r="36">
      <c r="A36" s="4"/>
      <c r="B36" s="12" t="s">
        <v>26</v>
      </c>
      <c r="C36" s="21"/>
      <c r="D36" s="21"/>
      <c r="E36" s="21"/>
      <c r="F36" s="21"/>
    </row>
    <row r="37">
      <c r="A37" s="5"/>
      <c r="B37" s="13" t="s">
        <v>27</v>
      </c>
      <c r="C37" s="22">
        <f>(304)*(1)*(1)*(1)*(1 + (0))</f>
      </c>
      <c r="D37" s="22" t="s">
        <v>24</v>
      </c>
      <c r="E37" s="22"/>
      <c r="F37" s="22">
        <f>C37*E37</f>
      </c>
    </row>
    <row r="38">
      <c r="A38" s="5"/>
      <c r="B38" s="13" t="s">
        <v>28</v>
      </c>
      <c r="C38" s="22">
        <f>(425)*(1)*(1)*(1)*(1 + (0))</f>
      </c>
      <c r="D38" s="22" t="s">
        <v>24</v>
      </c>
      <c r="E38" s="22"/>
      <c r="F38" s="22">
        <f>C38*E38</f>
      </c>
    </row>
    <row r="39">
      <c r="A39" s="4"/>
      <c r="B39" s="12" t="s">
        <v>29</v>
      </c>
      <c r="C39" s="21"/>
      <c r="D39" s="21"/>
      <c r="E39" s="21"/>
      <c r="F39" s="21"/>
    </row>
    <row r="40">
      <c r="A40" s="5"/>
      <c r="B40" s="13" t="s">
        <v>30</v>
      </c>
      <c r="C40" s="22">
        <f>(621)*(1)*(1)*(1)*(1 + (0))</f>
      </c>
      <c r="D40" s="22" t="s">
        <v>24</v>
      </c>
      <c r="E40" s="22"/>
      <c r="F40" s="22">
        <f>C40*E40</f>
      </c>
    </row>
    <row r="41">
      <c r="A41" s="4"/>
      <c r="B41" s="12" t="s">
        <v>31</v>
      </c>
      <c r="C41" s="21"/>
      <c r="D41" s="21"/>
      <c r="E41" s="21"/>
      <c r="F41" s="21"/>
    </row>
    <row r="42">
      <c r="A42" s="5"/>
      <c r="B42" s="13" t="s">
        <v>32</v>
      </c>
      <c r="C42" s="22">
        <f>(220)*(1)*(1)*(1)*(1 + (0))</f>
      </c>
      <c r="D42" s="22" t="s">
        <v>24</v>
      </c>
      <c r="E42" s="22"/>
      <c r="F42" s="22">
        <f>C42*E42</f>
      </c>
    </row>
    <row r="43">
      <c r="A43" s="5"/>
      <c r="B43" s="7" t="s">
        <v>22</v>
      </c>
      <c r="C43" s="22"/>
      <c r="D43" s="22"/>
      <c r="E43" s="22"/>
      <c r="F43" s="22">
        <f>C43*E43</f>
      </c>
    </row>
    <row r="44">
      <c r="A44" s="2"/>
      <c r="B44" s="10" t="s">
        <v>36</v>
      </c>
      <c r="C44" s="19"/>
      <c r="D44" s="19"/>
      <c r="E44" s="19"/>
      <c r="F44" s="19"/>
    </row>
    <row r="45">
      <c r="A45" s="3"/>
      <c r="B45" s="11" t="s">
        <v>37</v>
      </c>
      <c r="C45" s="20"/>
      <c r="D45" s="20"/>
      <c r="E45" s="20"/>
      <c r="F45" s="20"/>
    </row>
    <row r="46">
      <c r="A46" s="5" t="s">
        <v>38</v>
      </c>
      <c r="B46" s="14" t="s">
        <v>39</v>
      </c>
      <c r="C46" s="22"/>
      <c r="D46" s="22" t="s">
        <v>10</v>
      </c>
      <c r="E46" s="22"/>
      <c r="F46" s="22">
        <f>C46*E46</f>
      </c>
    </row>
    <row r="47">
      <c r="A47" s="5" t="s">
        <v>40</v>
      </c>
      <c r="B47" s="14" t="s">
        <v>41</v>
      </c>
      <c r="C47" s="22"/>
      <c r="D47" s="22" t="s">
        <v>10</v>
      </c>
      <c r="E47" s="22"/>
      <c r="F47" s="22">
        <f>C47*E47</f>
      </c>
    </row>
    <row r="48">
      <c r="A48" s="3"/>
      <c r="B48" s="11" t="s">
        <v>42</v>
      </c>
      <c r="C48" s="20"/>
      <c r="D48" s="20"/>
      <c r="E48" s="20"/>
      <c r="F48" s="20"/>
    </row>
    <row r="49">
      <c r="A49" s="5"/>
      <c r="B49" s="14" t="s">
        <v>43</v>
      </c>
      <c r="C49" s="22"/>
      <c r="D49" s="22" t="s">
        <v>10</v>
      </c>
      <c r="E49" s="22"/>
      <c r="F49" s="22">
        <f>C49*E49</f>
      </c>
    </row>
    <row r="50">
      <c r="A50" s="3"/>
      <c r="B50" s="11" t="s">
        <v>44</v>
      </c>
      <c r="C50" s="20"/>
      <c r="D50" s="20"/>
      <c r="E50" s="20"/>
      <c r="F50" s="20"/>
    </row>
    <row r="51">
      <c r="A51" s="4"/>
      <c r="B51" s="12" t="s">
        <v>45</v>
      </c>
      <c r="C51" s="21"/>
      <c r="D51" s="21"/>
      <c r="E51" s="21"/>
      <c r="F51" s="21"/>
    </row>
    <row r="52">
      <c r="A52" s="5" t="s">
        <v>46</v>
      </c>
      <c r="B52" s="13" t="s">
        <v>47</v>
      </c>
      <c r="C52" s="22"/>
      <c r="D52" s="22" t="s">
        <v>10</v>
      </c>
      <c r="E52" s="22"/>
      <c r="F52" s="22">
        <f>C52*E52</f>
      </c>
    </row>
    <row r="53">
      <c r="A53" s="5" t="s">
        <v>48</v>
      </c>
      <c r="B53" s="13" t="s">
        <v>49</v>
      </c>
      <c r="C53" s="22"/>
      <c r="D53" s="22" t="s">
        <v>10</v>
      </c>
      <c r="E53" s="22"/>
      <c r="F53" s="22">
        <f>C53*E53</f>
      </c>
    </row>
    <row r="54">
      <c r="A54" s="5" t="s">
        <v>50</v>
      </c>
      <c r="B54" s="13" t="s">
        <v>51</v>
      </c>
      <c r="C54" s="22"/>
      <c r="D54" s="22" t="s">
        <v>10</v>
      </c>
      <c r="E54" s="22"/>
      <c r="F54" s="22">
        <f>C54*E54</f>
      </c>
    </row>
    <row r="55">
      <c r="A55" s="5" t="s">
        <v>52</v>
      </c>
      <c r="B55" s="13" t="s">
        <v>53</v>
      </c>
      <c r="C55" s="22"/>
      <c r="D55" s="22" t="s">
        <v>10</v>
      </c>
      <c r="E55" s="22"/>
      <c r="F55" s="22">
        <f>C55*E55</f>
      </c>
    </row>
    <row r="56">
      <c r="A56" s="5" t="s">
        <v>54</v>
      </c>
      <c r="B56" s="13" t="s">
        <v>55</v>
      </c>
      <c r="C56" s="22"/>
      <c r="D56" s="22" t="s">
        <v>10</v>
      </c>
      <c r="E56" s="22"/>
      <c r="F56" s="22">
        <f>C56*E56</f>
      </c>
    </row>
    <row r="57">
      <c r="A57" s="5" t="s">
        <v>56</v>
      </c>
      <c r="B57" s="13" t="s">
        <v>57</v>
      </c>
      <c r="C57" s="22"/>
      <c r="D57" s="22" t="s">
        <v>10</v>
      </c>
      <c r="E57" s="22"/>
      <c r="F57" s="22">
        <f>C57*E57</f>
      </c>
    </row>
    <row r="58">
      <c r="A58" s="5" t="s">
        <v>58</v>
      </c>
      <c r="B58" s="13" t="s">
        <v>59</v>
      </c>
      <c r="C58" s="22"/>
      <c r="D58" s="22" t="s">
        <v>10</v>
      </c>
      <c r="E58" s="22"/>
      <c r="F58" s="22">
        <f>C58*E58</f>
      </c>
    </row>
    <row r="59">
      <c r="A59" s="5" t="s">
        <v>60</v>
      </c>
      <c r="B59" s="13" t="s">
        <v>61</v>
      </c>
      <c r="C59" s="22"/>
      <c r="D59" s="22" t="s">
        <v>10</v>
      </c>
      <c r="E59" s="22"/>
      <c r="F59" s="22">
        <f>C59*E59</f>
      </c>
    </row>
    <row r="60">
      <c r="A60" s="5" t="s">
        <v>62</v>
      </c>
      <c r="B60" s="13" t="s">
        <v>63</v>
      </c>
      <c r="C60" s="22"/>
      <c r="D60" s="22" t="s">
        <v>10</v>
      </c>
      <c r="E60" s="22"/>
      <c r="F60" s="22">
        <f>C60*E60</f>
      </c>
    </row>
    <row r="61">
      <c r="A61" s="5" t="s">
        <v>64</v>
      </c>
      <c r="B61" s="13" t="s">
        <v>65</v>
      </c>
      <c r="C61" s="22"/>
      <c r="D61" s="22" t="s">
        <v>10</v>
      </c>
      <c r="E61" s="22"/>
      <c r="F61" s="22">
        <f>C61*E61</f>
      </c>
    </row>
    <row r="62">
      <c r="A62" s="5" t="s">
        <v>66</v>
      </c>
      <c r="B62" s="13" t="s">
        <v>67</v>
      </c>
      <c r="C62" s="22"/>
      <c r="D62" s="22" t="s">
        <v>10</v>
      </c>
      <c r="E62" s="22"/>
      <c r="F62" s="22">
        <f>C62*E62</f>
      </c>
    </row>
    <row r="63">
      <c r="A63" s="3"/>
      <c r="B63" s="11" t="s">
        <v>68</v>
      </c>
      <c r="C63" s="20"/>
      <c r="D63" s="20"/>
      <c r="E63" s="20"/>
      <c r="F63" s="20"/>
    </row>
    <row r="64">
      <c r="A64" s="5" t="s">
        <v>69</v>
      </c>
      <c r="B64" s="14" t="s">
        <v>70</v>
      </c>
      <c r="C64" s="22">
        <f>(1)*(1)*(1)*(1)*(1 + (0))</f>
      </c>
      <c r="D64" s="22" t="s">
        <v>71</v>
      </c>
      <c r="E64" s="22"/>
      <c r="F64" s="22">
        <f>C64*E64</f>
      </c>
    </row>
    <row r="65">
      <c r="A65" s="5" t="s">
        <v>72</v>
      </c>
      <c r="B65" s="14" t="s">
        <v>73</v>
      </c>
      <c r="C65" s="22">
        <f>(1)*(1)*(1)*(1)*(1 + (0))</f>
      </c>
      <c r="D65" s="22" t="s">
        <v>71</v>
      </c>
      <c r="E65" s="22"/>
      <c r="F65" s="22">
        <f>C65*E65</f>
      </c>
    </row>
    <row r="66">
      <c r="A66" s="5" t="s">
        <v>74</v>
      </c>
      <c r="B66" s="14" t="s">
        <v>75</v>
      </c>
      <c r="C66" s="22">
        <f>(1)*(1)*(1)*(1)*(1 + (0))</f>
      </c>
      <c r="D66" s="22" t="s">
        <v>71</v>
      </c>
      <c r="E66" s="22"/>
      <c r="F66" s="22">
        <f>C66*E66</f>
      </c>
    </row>
    <row r="67">
      <c r="A67" s="5" t="s">
        <v>76</v>
      </c>
      <c r="B67" s="14" t="s">
        <v>77</v>
      </c>
      <c r="C67" s="22">
        <f>(1)*(1)*(1)*(1)*(1 + (0))</f>
      </c>
      <c r="D67" s="22" t="s">
        <v>71</v>
      </c>
      <c r="E67" s="22"/>
      <c r="F67" s="22">
        <f>C67*E67</f>
      </c>
    </row>
    <row r="68">
      <c r="A68" s="5" t="s">
        <v>78</v>
      </c>
      <c r="B68" s="14" t="s">
        <v>79</v>
      </c>
      <c r="C68" s="22">
        <f>(1)*(1)*(1)*(1)*(1 + (0))</f>
      </c>
      <c r="D68" s="22" t="s">
        <v>71</v>
      </c>
      <c r="E68" s="22"/>
      <c r="F68" s="22">
        <f>C68*E68</f>
      </c>
    </row>
    <row r="69">
      <c r="A69" s="5" t="s">
        <v>80</v>
      </c>
      <c r="B69" s="14" t="s">
        <v>81</v>
      </c>
      <c r="C69" s="22">
        <f>(1)*(1)*(1)*(1)*(1 + (0))</f>
      </c>
      <c r="D69" s="22" t="s">
        <v>71</v>
      </c>
      <c r="E69" s="22"/>
      <c r="F69" s="22">
        <f>C69*E69</f>
      </c>
    </row>
    <row r="70">
      <c r="A70" s="5" t="s">
        <v>82</v>
      </c>
      <c r="B70" s="14" t="s">
        <v>83</v>
      </c>
      <c r="C70" s="22">
        <f>(1)*(1)*(1)*(1)*(1 + (0))</f>
      </c>
      <c r="D70" s="22" t="s">
        <v>71</v>
      </c>
      <c r="E70" s="22"/>
      <c r="F70" s="22">
        <f>C70*E70</f>
      </c>
    </row>
    <row r="71">
      <c r="A71" s="5" t="s">
        <v>84</v>
      </c>
      <c r="B71" s="14" t="s">
        <v>85</v>
      </c>
      <c r="C71" s="22">
        <f>(1)*(1)*(1)*(1)*(1 + (0))</f>
      </c>
      <c r="D71" s="22" t="s">
        <v>71</v>
      </c>
      <c r="E71" s="22"/>
      <c r="F71" s="22">
        <f>C71*E71</f>
      </c>
    </row>
    <row r="72">
      <c r="A72" s="5" t="s">
        <v>86</v>
      </c>
      <c r="B72" s="14" t="s">
        <v>87</v>
      </c>
      <c r="C72" s="22">
        <f>(1)*(1)*(1)*(1)*(1 + (0))</f>
      </c>
      <c r="D72" s="22" t="s">
        <v>71</v>
      </c>
      <c r="E72" s="22"/>
      <c r="F72" s="22">
        <f>C72*E72</f>
      </c>
    </row>
    <row r="73">
      <c r="A73" s="5" t="s">
        <v>88</v>
      </c>
      <c r="B73" s="14" t="s">
        <v>89</v>
      </c>
      <c r="C73" s="22">
        <f>(1)*(1)*(1)*(1)*(1 + (0))</f>
      </c>
      <c r="D73" s="22" t="s">
        <v>71</v>
      </c>
      <c r="E73" s="22"/>
      <c r="F73" s="22">
        <f>C73*E73</f>
      </c>
    </row>
    <row r="74">
      <c r="A74" s="5" t="s">
        <v>90</v>
      </c>
      <c r="B74" s="14" t="s">
        <v>91</v>
      </c>
      <c r="C74" s="22">
        <f>(1)*(1)*(1)*(1)*(1 + (0))</f>
      </c>
      <c r="D74" s="22" t="s">
        <v>71</v>
      </c>
      <c r="E74" s="22"/>
      <c r="F74" s="22">
        <f>C74*E74</f>
      </c>
    </row>
    <row r="75">
      <c r="A75" s="5" t="s">
        <v>92</v>
      </c>
      <c r="B75" s="14" t="s">
        <v>93</v>
      </c>
      <c r="C75" s="22">
        <f>(1)*(1)*(1)*(1)*(1 + (0))</f>
      </c>
      <c r="D75" s="22" t="s">
        <v>71</v>
      </c>
      <c r="E75" s="22"/>
      <c r="F75" s="22">
        <f>C75*E75</f>
      </c>
    </row>
    <row r="76">
      <c r="A76" s="5" t="s">
        <v>94</v>
      </c>
      <c r="B76" s="14" t="s">
        <v>95</v>
      </c>
      <c r="C76" s="22">
        <f>(1)*(1)*(1)*(1)*(1 + (0))</f>
      </c>
      <c r="D76" s="22" t="s">
        <v>71</v>
      </c>
      <c r="E76" s="22"/>
      <c r="F76" s="22">
        <f>C76*E76</f>
      </c>
    </row>
    <row r="77">
      <c r="A77" s="5" t="s">
        <v>96</v>
      </c>
      <c r="B77" s="14" t="s">
        <v>97</v>
      </c>
      <c r="C77" s="22">
        <f>(1)*(1)*(1)*(1)*(1 + (0))</f>
      </c>
      <c r="D77" s="22" t="s">
        <v>71</v>
      </c>
      <c r="E77" s="22"/>
      <c r="F77" s="22">
        <f>C77*E77</f>
      </c>
    </row>
    <row r="78">
      <c r="A78" s="5" t="s">
        <v>98</v>
      </c>
      <c r="B78" s="14" t="s">
        <v>99</v>
      </c>
      <c r="C78" s="22">
        <f>(1)*(1)*(1)*(1)*(1 + (0))</f>
      </c>
      <c r="D78" s="22" t="s">
        <v>71</v>
      </c>
      <c r="E78" s="22"/>
      <c r="F78" s="22">
        <f>C78*E78</f>
      </c>
    </row>
    <row r="79">
      <c r="A79" s="5" t="s">
        <v>100</v>
      </c>
      <c r="B79" s="14" t="s">
        <v>101</v>
      </c>
      <c r="C79" s="22">
        <f>(1)*(1)*(1)*(1)*(1 + (0))</f>
      </c>
      <c r="D79" s="22" t="s">
        <v>71</v>
      </c>
      <c r="E79" s="22"/>
      <c r="F79" s="22">
        <f>C79*E79</f>
      </c>
    </row>
    <row r="80">
      <c r="A80" s="5" t="s">
        <v>102</v>
      </c>
      <c r="B80" s="14" t="s">
        <v>103</v>
      </c>
      <c r="C80" s="22">
        <f>(1)*(1)*(1)*(1)*(1 + (0))</f>
      </c>
      <c r="D80" s="22" t="s">
        <v>71</v>
      </c>
      <c r="E80" s="22"/>
      <c r="F80" s="22">
        <f>C80*E80</f>
      </c>
    </row>
    <row r="81">
      <c r="A81" s="5" t="s">
        <v>104</v>
      </c>
      <c r="B81" s="14" t="s">
        <v>105</v>
      </c>
      <c r="C81" s="22">
        <f>(1)*(1)*(1)*(1)*(1 + (0))</f>
      </c>
      <c r="D81" s="22" t="s">
        <v>71</v>
      </c>
      <c r="E81" s="22"/>
      <c r="F81" s="22">
        <f>C81*E81</f>
      </c>
    </row>
    <row r="82">
      <c r="A82" s="3"/>
      <c r="B82" s="11" t="s">
        <v>106</v>
      </c>
      <c r="C82" s="20"/>
      <c r="D82" s="20"/>
      <c r="E82" s="20"/>
      <c r="F82" s="20"/>
    </row>
    <row r="83">
      <c r="A83" s="5"/>
      <c r="B83" s="14" t="s">
        <v>107</v>
      </c>
      <c r="C83" s="22"/>
      <c r="D83" s="22" t="s">
        <v>10</v>
      </c>
      <c r="E83" s="22"/>
      <c r="F83" s="22">
        <f>C83*E83</f>
      </c>
    </row>
    <row r="84">
      <c r="A84" s="3"/>
      <c r="B84" s="11" t="s">
        <v>108</v>
      </c>
      <c r="C84" s="20"/>
      <c r="D84" s="20"/>
      <c r="E84" s="20"/>
      <c r="F84" s="20"/>
    </row>
    <row r="85">
      <c r="A85" s="4"/>
      <c r="B85" s="12" t="s">
        <v>109</v>
      </c>
      <c r="C85" s="21"/>
      <c r="D85" s="21"/>
      <c r="E85" s="21"/>
      <c r="F85" s="21"/>
    </row>
    <row r="86">
      <c r="A86" s="5"/>
      <c r="B86" s="13" t="s">
        <v>110</v>
      </c>
      <c r="C86" s="22">
        <f>(25)*(1)*(1)*(1)*(1 + (0))</f>
      </c>
      <c r="D86" s="22" t="s">
        <v>111</v>
      </c>
      <c r="E86" s="22"/>
      <c r="F86" s="22">
        <f>C86*E86</f>
      </c>
    </row>
    <row r="87">
      <c r="A87" s="5"/>
      <c r="B87" s="13" t="s">
        <v>112</v>
      </c>
      <c r="C87" s="22">
        <f>(13)*(1)*(1)*(1)*(1 + (0))</f>
      </c>
      <c r="D87" s="22" t="s">
        <v>111</v>
      </c>
      <c r="E87" s="22"/>
      <c r="F87" s="22">
        <f>C87*E87</f>
      </c>
    </row>
    <row r="88">
      <c r="A88" s="5"/>
      <c r="B88" s="13" t="s">
        <v>113</v>
      </c>
      <c r="C88" s="22">
        <f>(11)*(1)*(1)*(1)*(1 + (0))</f>
      </c>
      <c r="D88" s="22" t="s">
        <v>111</v>
      </c>
      <c r="E88" s="22"/>
      <c r="F88" s="22">
        <f>C88*E88</f>
      </c>
    </row>
    <row r="89">
      <c r="A89" s="5"/>
      <c r="B89" s="13" t="s">
        <v>114</v>
      </c>
      <c r="C89" s="22">
        <f>(61)*(1)*(1)*(1)*(1 + (0))</f>
      </c>
      <c r="D89" s="22" t="s">
        <v>111</v>
      </c>
      <c r="E89" s="22"/>
      <c r="F89" s="22">
        <f>C89*E89</f>
      </c>
    </row>
    <row r="90">
      <c r="A90" s="2"/>
      <c r="B90" s="10" t="s">
        <v>115</v>
      </c>
      <c r="C90" s="19"/>
      <c r="D90" s="19"/>
      <c r="E90" s="19"/>
      <c r="F90" s="19"/>
    </row>
    <row r="91">
      <c r="A91" s="3"/>
      <c r="B91" s="11" t="s">
        <v>37</v>
      </c>
      <c r="C91" s="20"/>
      <c r="D91" s="20"/>
      <c r="E91" s="20"/>
      <c r="F91" s="20"/>
    </row>
    <row r="92">
      <c r="A92" s="5" t="s">
        <v>116</v>
      </c>
      <c r="B92" s="14" t="s">
        <v>39</v>
      </c>
      <c r="C92" s="22"/>
      <c r="D92" s="22" t="s">
        <v>10</v>
      </c>
      <c r="E92" s="22"/>
      <c r="F92" s="22">
        <f>C92*E92</f>
      </c>
    </row>
    <row r="93">
      <c r="A93" s="5" t="s">
        <v>117</v>
      </c>
      <c r="B93" s="14" t="s">
        <v>41</v>
      </c>
      <c r="C93" s="22"/>
      <c r="D93" s="22" t="s">
        <v>10</v>
      </c>
      <c r="E93" s="22"/>
      <c r="F93" s="22">
        <f>C93*E93</f>
      </c>
    </row>
    <row r="94">
      <c r="A94" s="3"/>
      <c r="B94" s="11" t="s">
        <v>42</v>
      </c>
      <c r="C94" s="20"/>
      <c r="D94" s="20"/>
      <c r="E94" s="20"/>
      <c r="F94" s="20"/>
    </row>
    <row r="95">
      <c r="A95" s="5"/>
      <c r="B95" s="14" t="s">
        <v>118</v>
      </c>
      <c r="C95" s="22"/>
      <c r="D95" s="22" t="s">
        <v>10</v>
      </c>
      <c r="E95" s="22"/>
      <c r="F95" s="22">
        <f>C95*E95</f>
      </c>
    </row>
    <row r="96">
      <c r="A96" s="5"/>
      <c r="B96" s="14" t="s">
        <v>119</v>
      </c>
      <c r="C96" s="22"/>
      <c r="D96" s="22" t="s">
        <v>10</v>
      </c>
      <c r="E96" s="22"/>
      <c r="F96" s="22">
        <f>C96*E96</f>
      </c>
    </row>
    <row r="97">
      <c r="A97" s="3"/>
      <c r="B97" s="11" t="s">
        <v>44</v>
      </c>
      <c r="C97" s="20"/>
      <c r="D97" s="20"/>
      <c r="E97" s="20"/>
      <c r="F97" s="20"/>
    </row>
    <row r="98">
      <c r="A98" s="4"/>
      <c r="B98" s="12" t="s">
        <v>45</v>
      </c>
      <c r="C98" s="21"/>
      <c r="D98" s="21"/>
      <c r="E98" s="21"/>
      <c r="F98" s="21"/>
    </row>
    <row r="99">
      <c r="A99" s="5" t="s">
        <v>120</v>
      </c>
      <c r="B99" s="13" t="s">
        <v>121</v>
      </c>
      <c r="C99" s="22"/>
      <c r="D99" s="22" t="s">
        <v>10</v>
      </c>
      <c r="E99" s="22"/>
      <c r="F99" s="22">
        <f>C99*E99</f>
      </c>
    </row>
    <row r="100">
      <c r="A100" s="5" t="s">
        <v>122</v>
      </c>
      <c r="B100" s="13" t="s">
        <v>123</v>
      </c>
      <c r="C100" s="22"/>
      <c r="D100" s="22" t="s">
        <v>10</v>
      </c>
      <c r="E100" s="22"/>
      <c r="F100" s="22">
        <f>C100*E100</f>
      </c>
    </row>
    <row r="101">
      <c r="A101" s="5" t="s">
        <v>124</v>
      </c>
      <c r="B101" s="13" t="s">
        <v>125</v>
      </c>
      <c r="C101" s="22"/>
      <c r="D101" s="22" t="s">
        <v>10</v>
      </c>
      <c r="E101" s="22"/>
      <c r="F101" s="22">
        <f>C101*E101</f>
      </c>
    </row>
    <row r="102">
      <c r="A102" s="5" t="s">
        <v>126</v>
      </c>
      <c r="B102" s="13" t="s">
        <v>127</v>
      </c>
      <c r="C102" s="22"/>
      <c r="D102" s="22" t="s">
        <v>10</v>
      </c>
      <c r="E102" s="22"/>
      <c r="F102" s="22">
        <f>C102*E102</f>
      </c>
    </row>
    <row r="103">
      <c r="A103" s="3"/>
      <c r="B103" s="11" t="s">
        <v>68</v>
      </c>
      <c r="C103" s="20"/>
      <c r="D103" s="20"/>
      <c r="E103" s="20"/>
      <c r="F103" s="20"/>
    </row>
    <row r="104">
      <c r="A104" s="5" t="s">
        <v>128</v>
      </c>
      <c r="B104" s="14" t="s">
        <v>129</v>
      </c>
      <c r="C104" s="22">
        <f>(1)*(1)*(1)*(1)*(1 + (0))</f>
      </c>
      <c r="D104" s="22" t="s">
        <v>71</v>
      </c>
      <c r="E104" s="22"/>
      <c r="F104" s="22">
        <f>C104*E104</f>
      </c>
    </row>
    <row r="105">
      <c r="A105" s="5" t="s">
        <v>130</v>
      </c>
      <c r="B105" s="14" t="s">
        <v>131</v>
      </c>
      <c r="C105" s="22">
        <f>(1)*(1)*(1)*(1)*(1 + (0))</f>
      </c>
      <c r="D105" s="22" t="s">
        <v>71</v>
      </c>
      <c r="E105" s="22"/>
      <c r="F105" s="22">
        <f>C105*E105</f>
      </c>
    </row>
    <row r="106">
      <c r="A106" s="5" t="s">
        <v>132</v>
      </c>
      <c r="B106" s="14" t="s">
        <v>73</v>
      </c>
      <c r="C106" s="22">
        <f>(1)*(1)*(1)*(1)*(1 + (0))</f>
      </c>
      <c r="D106" s="22" t="s">
        <v>71</v>
      </c>
      <c r="E106" s="22"/>
      <c r="F106" s="22">
        <f>C106*E106</f>
      </c>
    </row>
    <row r="107">
      <c r="A107" s="5" t="s">
        <v>133</v>
      </c>
      <c r="B107" s="14" t="s">
        <v>134</v>
      </c>
      <c r="C107" s="22">
        <f>(1)*(1)*(1)*(1)*(1 + (0))</f>
      </c>
      <c r="D107" s="22" t="s">
        <v>71</v>
      </c>
      <c r="E107" s="22"/>
      <c r="F107" s="22">
        <f>C107*E107</f>
      </c>
    </row>
    <row r="108">
      <c r="A108" s="5" t="s">
        <v>135</v>
      </c>
      <c r="B108" s="14" t="s">
        <v>136</v>
      </c>
      <c r="C108" s="22">
        <f>(1)*(1)*(1)*(1)*(1 + (0))</f>
      </c>
      <c r="D108" s="22" t="s">
        <v>71</v>
      </c>
      <c r="E108" s="22"/>
      <c r="F108" s="22">
        <f>C108*E108</f>
      </c>
    </row>
    <row r="109">
      <c r="A109" s="5" t="s">
        <v>137</v>
      </c>
      <c r="B109" s="14" t="s">
        <v>138</v>
      </c>
      <c r="C109" s="22">
        <f>(1)*(1)*(1)*(1)*(1 + (0))</f>
      </c>
      <c r="D109" s="22" t="s">
        <v>71</v>
      </c>
      <c r="E109" s="22"/>
      <c r="F109" s="22">
        <f>C109*E109</f>
      </c>
    </row>
    <row r="110">
      <c r="A110" s="5" t="s">
        <v>139</v>
      </c>
      <c r="B110" s="14" t="s">
        <v>140</v>
      </c>
      <c r="C110" s="22">
        <f>(1)*(1)*(1)*(1)*(1 + (0))</f>
      </c>
      <c r="D110" s="22" t="s">
        <v>71</v>
      </c>
      <c r="E110" s="22"/>
      <c r="F110" s="22">
        <f>C110*E110</f>
      </c>
    </row>
    <row r="111">
      <c r="A111" s="5" t="s">
        <v>141</v>
      </c>
      <c r="B111" s="14" t="s">
        <v>142</v>
      </c>
      <c r="C111" s="22">
        <f>(1)*(1)*(1)*(1)*(1 + (0))</f>
      </c>
      <c r="D111" s="22" t="s">
        <v>71</v>
      </c>
      <c r="E111" s="22"/>
      <c r="F111" s="22">
        <f>C111*E111</f>
      </c>
    </row>
    <row r="112">
      <c r="A112" s="5" t="s">
        <v>143</v>
      </c>
      <c r="B112" s="14" t="s">
        <v>144</v>
      </c>
      <c r="C112" s="22">
        <f>(1)*(1)*(1)*(1)*(1 + (0))</f>
      </c>
      <c r="D112" s="22" t="s">
        <v>71</v>
      </c>
      <c r="E112" s="22"/>
      <c r="F112" s="22">
        <f>C112*E112</f>
      </c>
    </row>
    <row r="113">
      <c r="A113" s="5" t="s">
        <v>145</v>
      </c>
      <c r="B113" s="14" t="s">
        <v>146</v>
      </c>
      <c r="C113" s="22">
        <f>(1)*(1)*(1)*(1)*(1 + (0))</f>
      </c>
      <c r="D113" s="22" t="s">
        <v>71</v>
      </c>
      <c r="E113" s="22"/>
      <c r="F113" s="22">
        <f>C113*E113</f>
      </c>
    </row>
    <row r="114">
      <c r="A114" s="5" t="s">
        <v>147</v>
      </c>
      <c r="B114" s="14" t="s">
        <v>148</v>
      </c>
      <c r="C114" s="22">
        <f>(1)*(1)*(1)*(1)*(1 + (0))</f>
      </c>
      <c r="D114" s="22" t="s">
        <v>71</v>
      </c>
      <c r="E114" s="22"/>
      <c r="F114" s="22">
        <f>C114*E114</f>
      </c>
    </row>
    <row r="115">
      <c r="A115" s="5"/>
      <c r="B115" s="14" t="s">
        <v>149</v>
      </c>
      <c r="C115" s="22">
        <f>(1)*(1)*(1)*(1)*(1 + (0))</f>
      </c>
      <c r="D115" s="22" t="s">
        <v>71</v>
      </c>
      <c r="E115" s="22"/>
      <c r="F115" s="22">
        <f>C115*E115</f>
      </c>
    </row>
    <row r="116">
      <c r="A116" s="3"/>
      <c r="B116" s="11" t="s">
        <v>150</v>
      </c>
      <c r="C116" s="20"/>
      <c r="D116" s="20"/>
      <c r="E116" s="20"/>
      <c r="F116" s="20"/>
    </row>
    <row r="117">
      <c r="A117" s="4"/>
      <c r="B117" s="12" t="s">
        <v>151</v>
      </c>
      <c r="C117" s="21"/>
      <c r="D117" s="21"/>
      <c r="E117" s="21"/>
      <c r="F117" s="21"/>
    </row>
    <row r="118">
      <c r="A118" s="5"/>
      <c r="B118" s="13" t="s">
        <v>152</v>
      </c>
      <c r="C118" s="22">
        <f>(66)*(1)*(1)*(1)*(1 + (0))</f>
      </c>
      <c r="D118" s="22" t="s">
        <v>153</v>
      </c>
      <c r="E118" s="22"/>
      <c r="F118" s="22">
        <f>C118*E118</f>
      </c>
    </row>
    <row r="119">
      <c r="A119" s="5"/>
      <c r="B119" s="13" t="s">
        <v>154</v>
      </c>
      <c r="C119" s="22">
        <f>(231)*(1)*(1)*(1)*(1 + (0))</f>
      </c>
      <c r="D119" s="22" t="s">
        <v>153</v>
      </c>
      <c r="E119" s="22"/>
      <c r="F119" s="22">
        <f>C119*E119</f>
      </c>
    </row>
    <row r="120">
      <c r="A120" s="5"/>
      <c r="B120" s="13" t="s">
        <v>155</v>
      </c>
      <c r="C120" s="22">
        <f>(297)*(1)*(1)*(1)*(1 + (0))</f>
      </c>
      <c r="D120" s="22" t="s">
        <v>153</v>
      </c>
      <c r="E120" s="22"/>
      <c r="F120" s="22">
        <f>C120*E120</f>
      </c>
    </row>
    <row r="121">
      <c r="A121" s="5"/>
      <c r="B121" s="13" t="s">
        <v>156</v>
      </c>
      <c r="C121" s="22">
        <f>(210)*(1)*(1)*(1)*(1 + (0))</f>
      </c>
      <c r="D121" s="22" t="s">
        <v>153</v>
      </c>
      <c r="E121" s="22"/>
      <c r="F121" s="22">
        <f>C121*E121</f>
      </c>
    </row>
    <row r="122">
      <c r="A122" s="5"/>
      <c r="B122" s="13" t="s">
        <v>157</v>
      </c>
      <c r="C122" s="22">
        <f>(105)*(1)*(1)*(1)*(1 + (0))</f>
      </c>
      <c r="D122" s="22" t="s">
        <v>153</v>
      </c>
      <c r="E122" s="22"/>
      <c r="F122" s="22">
        <f>C122*E122</f>
      </c>
    </row>
    <row r="123">
      <c r="A123" s="5"/>
      <c r="B123" s="13" t="s">
        <v>158</v>
      </c>
      <c r="C123" s="22">
        <f>(330)*(1)*(1)*(1)*(1 + (0))</f>
      </c>
      <c r="D123" s="22" t="s">
        <v>153</v>
      </c>
      <c r="E123" s="22"/>
      <c r="F123" s="22">
        <f>C123*E123</f>
      </c>
    </row>
    <row r="124">
      <c r="A124" s="5"/>
      <c r="B124" s="13" t="s">
        <v>159</v>
      </c>
      <c r="C124" s="22">
        <f>(64)*(1)*(1)*(1)*(1 + (0))</f>
      </c>
      <c r="D124" s="22" t="s">
        <v>153</v>
      </c>
      <c r="E124" s="22"/>
      <c r="F124" s="22">
        <f>C124*E124</f>
      </c>
    </row>
    <row r="125">
      <c r="A125" s="4"/>
      <c r="B125" s="12" t="s">
        <v>160</v>
      </c>
      <c r="C125" s="21"/>
      <c r="D125" s="21"/>
      <c r="E125" s="21"/>
      <c r="F125" s="21"/>
    </row>
    <row r="126">
      <c r="A126" s="5"/>
      <c r="B126" s="13" t="s">
        <v>161</v>
      </c>
      <c r="C126" s="22">
        <f>(4)*(1)*(1)*(1)*(1 + (0))</f>
      </c>
      <c r="D126" s="22" t="s">
        <v>162</v>
      </c>
      <c r="E126" s="22"/>
      <c r="F126" s="22">
        <f>C126*E126</f>
      </c>
    </row>
    <row r="127">
      <c r="A127" s="5"/>
      <c r="B127" s="13" t="s">
        <v>163</v>
      </c>
      <c r="C127" s="22">
        <f>(14)*(1)*(1)*(1)*(1 + (0))</f>
      </c>
      <c r="D127" s="22" t="s">
        <v>162</v>
      </c>
      <c r="E127" s="22"/>
      <c r="F127" s="22">
        <f>C127*E127</f>
      </c>
    </row>
    <row r="128">
      <c r="A128" s="5"/>
      <c r="B128" s="13" t="s">
        <v>164</v>
      </c>
      <c r="C128" s="22">
        <f>(18)*(1)*(1)*(1)*(1 + (0))</f>
      </c>
      <c r="D128" s="22" t="s">
        <v>162</v>
      </c>
      <c r="E128" s="22"/>
      <c r="F128" s="22">
        <f>C128*E128</f>
      </c>
    </row>
    <row r="129">
      <c r="A129" s="5"/>
      <c r="B129" s="13" t="s">
        <v>165</v>
      </c>
      <c r="C129" s="22">
        <f>(12)*(1)*(1)*(1)*(1 + (0))</f>
      </c>
      <c r="D129" s="22" t="s">
        <v>162</v>
      </c>
      <c r="E129" s="22"/>
      <c r="F129" s="22">
        <f>C129*E129</f>
      </c>
    </row>
    <row r="130">
      <c r="A130" s="5"/>
      <c r="B130" s="13" t="s">
        <v>166</v>
      </c>
      <c r="C130" s="22">
        <f>(6)*(1)*(1)*(1)*(1 + (0))</f>
      </c>
      <c r="D130" s="22" t="s">
        <v>162</v>
      </c>
      <c r="E130" s="22"/>
      <c r="F130" s="22">
        <f>C130*E130</f>
      </c>
    </row>
    <row r="131">
      <c r="A131" s="5"/>
      <c r="B131" s="13" t="s">
        <v>167</v>
      </c>
      <c r="C131" s="22">
        <f>(20)*(1)*(1)*(1)*(1 + (0))</f>
      </c>
      <c r="D131" s="22" t="s">
        <v>162</v>
      </c>
      <c r="E131" s="22"/>
      <c r="F131" s="22">
        <f>C131*E131</f>
      </c>
    </row>
    <row r="132">
      <c r="A132" s="5"/>
      <c r="B132" s="13" t="s">
        <v>168</v>
      </c>
      <c r="C132" s="22">
        <f>(4)*(1)*(1)*(1)*(1 + (0))</f>
      </c>
      <c r="D132" s="22" t="s">
        <v>162</v>
      </c>
      <c r="E132" s="22"/>
      <c r="F132" s="22">
        <f>C132*E132</f>
      </c>
    </row>
    <row r="133">
      <c r="A133" s="4"/>
      <c r="B133" s="12" t="s">
        <v>169</v>
      </c>
      <c r="C133" s="21"/>
      <c r="D133" s="21"/>
      <c r="E133" s="21"/>
      <c r="F133" s="21"/>
    </row>
    <row r="134">
      <c r="A134" s="6"/>
      <c r="B134" s="15" t="s">
        <v>170</v>
      </c>
      <c r="C134" s="23"/>
      <c r="D134" s="23"/>
      <c r="E134" s="23"/>
      <c r="F134" s="23"/>
    </row>
    <row r="135">
      <c r="A135" s="5"/>
      <c r="B135" s="16" t="s">
        <v>171</v>
      </c>
      <c r="C135" s="22">
        <f>(19)*(1)*(1)*(1)*(1 + (0))</f>
      </c>
      <c r="D135" s="22" t="s">
        <v>111</v>
      </c>
      <c r="E135" s="22"/>
      <c r="F135" s="22">
        <f>C135*E135</f>
      </c>
    </row>
    <row r="136">
      <c r="A136" s="5"/>
      <c r="B136" s="16" t="s">
        <v>172</v>
      </c>
      <c r="C136" s="22">
        <f>(66)*(1)*(1)*(1)*(1 + (0))</f>
      </c>
      <c r="D136" s="22" t="s">
        <v>111</v>
      </c>
      <c r="E136" s="22"/>
      <c r="F136" s="22">
        <f>C136*E136</f>
      </c>
    </row>
    <row r="137">
      <c r="A137" s="5"/>
      <c r="B137" s="16" t="s">
        <v>173</v>
      </c>
      <c r="C137" s="22">
        <f>(189)*(1)*(1)*(1)*(1 + (0))</f>
      </c>
      <c r="D137" s="22" t="s">
        <v>111</v>
      </c>
      <c r="E137" s="22"/>
      <c r="F137" s="22">
        <f>C137*E137</f>
      </c>
    </row>
    <row r="138">
      <c r="A138" s="5"/>
      <c r="B138" s="16" t="s">
        <v>174</v>
      </c>
      <c r="C138" s="22">
        <f>(134)*(1)*(1)*(1)*(1 + (0))</f>
      </c>
      <c r="D138" s="22" t="s">
        <v>111</v>
      </c>
      <c r="E138" s="22"/>
      <c r="F138" s="22">
        <f>C138*E138</f>
      </c>
    </row>
    <row r="139">
      <c r="A139" s="5"/>
      <c r="B139" s="16" t="s">
        <v>175</v>
      </c>
      <c r="C139" s="22">
        <f>(67)*(1)*(1)*(1)*(1 + (0))</f>
      </c>
      <c r="D139" s="22" t="s">
        <v>111</v>
      </c>
      <c r="E139" s="22"/>
      <c r="F139" s="22">
        <f>C139*E139</f>
      </c>
    </row>
    <row r="140">
      <c r="A140" s="5"/>
      <c r="B140" s="16" t="s">
        <v>176</v>
      </c>
      <c r="C140" s="22">
        <f>(53)*(1)*(1)*(1)*(1 + (0))</f>
      </c>
      <c r="D140" s="22" t="s">
        <v>111</v>
      </c>
      <c r="E140" s="22"/>
      <c r="F140" s="22">
        <f>C140*E140</f>
      </c>
    </row>
    <row r="141">
      <c r="A141" s="5"/>
      <c r="B141" s="16" t="s">
        <v>177</v>
      </c>
      <c r="C141" s="22">
        <f>(41)*(1)*(1)*(1)*(1 + (0))</f>
      </c>
      <c r="D141" s="22" t="s">
        <v>111</v>
      </c>
      <c r="E141" s="22"/>
      <c r="F141" s="22">
        <f>C141*E141</f>
      </c>
    </row>
    <row r="142">
      <c r="A142" s="4"/>
      <c r="B142" s="12" t="s">
        <v>178</v>
      </c>
      <c r="C142" s="21"/>
      <c r="D142" s="21"/>
      <c r="E142" s="21"/>
      <c r="F142" s="21"/>
    </row>
    <row r="143">
      <c r="A143" s="6"/>
      <c r="B143" s="15" t="s">
        <v>179</v>
      </c>
      <c r="C143" s="23"/>
      <c r="D143" s="23"/>
      <c r="E143" s="23"/>
      <c r="F143" s="23"/>
    </row>
    <row r="144">
      <c r="A144" s="5"/>
      <c r="B144" s="16" t="s">
        <v>180</v>
      </c>
      <c r="C144" s="22"/>
      <c r="D144" s="22"/>
      <c r="E144" s="22"/>
      <c r="F144" s="22"/>
    </row>
    <row r="145">
      <c r="A145" s="5"/>
      <c r="B145" s="17" t="s">
        <v>181</v>
      </c>
      <c r="C145" s="22">
        <f>(1.86516)*(1)*(1)*(1)*(1 + (0))</f>
      </c>
      <c r="D145" s="22" t="s">
        <v>182</v>
      </c>
      <c r="E145" s="22"/>
      <c r="F145" s="22">
        <f>C145*E145</f>
      </c>
    </row>
    <row r="146">
      <c r="A146" s="5"/>
      <c r="B146" s="17" t="s">
        <v>183</v>
      </c>
      <c r="C146" s="22">
        <f>(6.52806)*(1)*(1)*(1)*(1 + (0))</f>
      </c>
      <c r="D146" s="22" t="s">
        <v>182</v>
      </c>
      <c r="E146" s="22"/>
      <c r="F146" s="22">
        <f>C146*E146</f>
      </c>
    </row>
    <row r="147">
      <c r="A147" s="5"/>
      <c r="B147" s="17" t="s">
        <v>184</v>
      </c>
      <c r="C147" s="22">
        <f>(18.884745)*(1)*(1)*(1)*(1 + (0))</f>
      </c>
      <c r="D147" s="22" t="s">
        <v>182</v>
      </c>
      <c r="E147" s="22"/>
      <c r="F147" s="22">
        <f>C147*E147</f>
      </c>
    </row>
    <row r="148">
      <c r="A148" s="5"/>
      <c r="B148" s="17" t="s">
        <v>185</v>
      </c>
      <c r="C148" s="22">
        <f>(37.38798)*(1)*(1)*(1)*(1 + (0))</f>
      </c>
      <c r="D148" s="22" t="s">
        <v>182</v>
      </c>
      <c r="E148" s="22"/>
      <c r="F148" s="22">
        <f>C148*E148</f>
      </c>
    </row>
    <row r="149">
      <c r="A149" s="5"/>
      <c r="B149" s="17" t="s">
        <v>186</v>
      </c>
      <c r="C149" s="22">
        <f>(18.69399)*(1)*(1)*(1)*(1 + (0))</f>
      </c>
      <c r="D149" s="22" t="s">
        <v>182</v>
      </c>
      <c r="E149" s="22"/>
      <c r="F149" s="22">
        <f>C149*E149</f>
      </c>
    </row>
    <row r="150">
      <c r="A150" s="5"/>
      <c r="B150" s="17" t="s">
        <v>187</v>
      </c>
      <c r="C150" s="22">
        <f>(5.2457625)*(1)*(1)*(1)*(1 + (0))</f>
      </c>
      <c r="D150" s="22" t="s">
        <v>182</v>
      </c>
      <c r="E150" s="22"/>
      <c r="F150" s="22">
        <f>C150*E150</f>
      </c>
    </row>
    <row r="151">
      <c r="A151" s="5"/>
      <c r="B151" s="17" t="s">
        <v>188</v>
      </c>
      <c r="C151" s="22">
        <f>(11.394432)*(1)*(1)*(1)*(1 + (0))</f>
      </c>
      <c r="D151" s="22" t="s">
        <v>182</v>
      </c>
      <c r="E151" s="22"/>
      <c r="F151" s="22">
        <f>C151*E151</f>
      </c>
    </row>
    <row r="152">
      <c r="A152" s="4"/>
      <c r="B152" s="12" t="s">
        <v>189</v>
      </c>
      <c r="C152" s="21"/>
      <c r="D152" s="21"/>
      <c r="E152" s="21"/>
      <c r="F152" s="21"/>
    </row>
    <row r="153">
      <c r="A153" s="5"/>
      <c r="B153" s="13" t="s">
        <v>190</v>
      </c>
      <c r="C153" s="22">
        <f>(19)*(1)*(1)*(1)*(1 + (0))</f>
      </c>
      <c r="D153" s="22" t="s">
        <v>111</v>
      </c>
      <c r="E153" s="22"/>
      <c r="F153" s="22">
        <f>C153*E153</f>
      </c>
    </row>
    <row r="154">
      <c r="A154" s="5"/>
      <c r="B154" s="13" t="s">
        <v>191</v>
      </c>
      <c r="C154" s="22">
        <f>(66)*(1)*(1)*(1)*(1 + (0))</f>
      </c>
      <c r="D154" s="22" t="s">
        <v>111</v>
      </c>
      <c r="E154" s="22"/>
      <c r="F154" s="22">
        <f>C154*E154</f>
      </c>
    </row>
    <row r="155">
      <c r="A155" s="5"/>
      <c r="B155" s="13" t="s">
        <v>192</v>
      </c>
      <c r="C155" s="22">
        <f>(189)*(1)*(1)*(1)*(1 + (0))</f>
      </c>
      <c r="D155" s="22" t="s">
        <v>111</v>
      </c>
      <c r="E155" s="22"/>
      <c r="F155" s="22">
        <f>C155*E155</f>
      </c>
    </row>
    <row r="156">
      <c r="A156" s="5"/>
      <c r="B156" s="13" t="s">
        <v>193</v>
      </c>
      <c r="C156" s="22">
        <f>(134)*(1)*(1)*(1)*(1 + (0))</f>
      </c>
      <c r="D156" s="22" t="s">
        <v>111</v>
      </c>
      <c r="E156" s="22"/>
      <c r="F156" s="22">
        <f>C156*E156</f>
      </c>
    </row>
    <row r="157">
      <c r="A157" s="5"/>
      <c r="B157" s="13" t="s">
        <v>194</v>
      </c>
      <c r="C157" s="22">
        <f>(67)*(1)*(1)*(1)*(1 + (0))</f>
      </c>
      <c r="D157" s="22" t="s">
        <v>111</v>
      </c>
      <c r="E157" s="22"/>
      <c r="F157" s="22">
        <f>C157*E157</f>
      </c>
    </row>
    <row r="158">
      <c r="A158" s="5"/>
      <c r="B158" s="13" t="s">
        <v>195</v>
      </c>
      <c r="C158" s="22">
        <f>(53)*(1)*(1)*(1)*(1 + (0))</f>
      </c>
      <c r="D158" s="22" t="s">
        <v>111</v>
      </c>
      <c r="E158" s="22"/>
      <c r="F158" s="22">
        <f>C158*E158</f>
      </c>
    </row>
    <row r="159">
      <c r="A159" s="5"/>
      <c r="B159" s="13" t="s">
        <v>196</v>
      </c>
      <c r="C159" s="22">
        <f>(41)*(1)*(1)*(1)*(1 + (0))</f>
      </c>
      <c r="D159" s="22" t="s">
        <v>111</v>
      </c>
      <c r="E159" s="22"/>
      <c r="F159" s="22">
        <f>C159*E159</f>
      </c>
    </row>
    <row r="160">
      <c r="A160" s="4"/>
      <c r="B160" s="12" t="s">
        <v>197</v>
      </c>
      <c r="C160" s="21"/>
      <c r="D160" s="21"/>
      <c r="E160" s="21"/>
      <c r="F160" s="21"/>
    </row>
    <row r="161">
      <c r="A161" s="6"/>
      <c r="B161" s="15" t="s">
        <v>198</v>
      </c>
      <c r="C161" s="23"/>
      <c r="D161" s="23"/>
      <c r="E161" s="23"/>
      <c r="F161" s="23"/>
    </row>
    <row r="162">
      <c r="A162" s="5"/>
      <c r="B162" s="16" t="s">
        <v>199</v>
      </c>
      <c r="C162" s="22">
        <f>(4)*(1)*(1)*(1)*(1 + (0))</f>
      </c>
      <c r="D162" s="22" t="s">
        <v>162</v>
      </c>
      <c r="E162" s="22"/>
      <c r="F162" s="22">
        <f>C162*E162</f>
      </c>
    </row>
    <row r="163">
      <c r="A163" s="5"/>
      <c r="B163" s="16" t="s">
        <v>200</v>
      </c>
      <c r="C163" s="22">
        <f>(14)*(1)*(1)*(1)*(1 + (0))</f>
      </c>
      <c r="D163" s="22" t="s">
        <v>162</v>
      </c>
      <c r="E163" s="22"/>
      <c r="F163" s="22">
        <f>C163*E163</f>
      </c>
    </row>
    <row r="164">
      <c r="A164" s="5"/>
      <c r="B164" s="16" t="s">
        <v>201</v>
      </c>
      <c r="C164" s="22">
        <f>(18)*(1)*(1)*(1)*(1 + (0))</f>
      </c>
      <c r="D164" s="22" t="s">
        <v>162</v>
      </c>
      <c r="E164" s="22"/>
      <c r="F164" s="22">
        <f>C164*E164</f>
      </c>
    </row>
    <row r="165">
      <c r="A165" s="5"/>
      <c r="B165" s="16" t="s">
        <v>202</v>
      </c>
      <c r="C165" s="22">
        <f>(12)*(1)*(1)*(1)*(1 + (0))</f>
      </c>
      <c r="D165" s="22" t="s">
        <v>162</v>
      </c>
      <c r="E165" s="22"/>
      <c r="F165" s="22">
        <f>C165*E165</f>
      </c>
    </row>
    <row r="166">
      <c r="A166" s="5"/>
      <c r="B166" s="16" t="s">
        <v>203</v>
      </c>
      <c r="C166" s="22">
        <f>(6)*(1)*(1)*(1)*(1 + (0))</f>
      </c>
      <c r="D166" s="22" t="s">
        <v>162</v>
      </c>
      <c r="E166" s="22"/>
      <c r="F166" s="22">
        <f>C166*E166</f>
      </c>
    </row>
    <row r="167">
      <c r="A167" s="5"/>
      <c r="B167" s="16" t="s">
        <v>204</v>
      </c>
      <c r="C167" s="22">
        <f>(20)*(1)*(1)*(1)*(1 + (0))</f>
      </c>
      <c r="D167" s="22" t="s">
        <v>162</v>
      </c>
      <c r="E167" s="22"/>
      <c r="F167" s="22">
        <f>C167*E167</f>
      </c>
    </row>
    <row r="168">
      <c r="A168" s="5"/>
      <c r="B168" s="16" t="s">
        <v>205</v>
      </c>
      <c r="C168" s="22">
        <f>(4)*(1)*(1)*(1)*(1 + (0))</f>
      </c>
      <c r="D168" s="22" t="s">
        <v>162</v>
      </c>
      <c r="E168" s="22"/>
      <c r="F168" s="22">
        <f>C168*E168</f>
      </c>
    </row>
    <row r="169">
      <c r="A169" s="6"/>
      <c r="B169" s="15" t="s">
        <v>206</v>
      </c>
      <c r="C169" s="23"/>
      <c r="D169" s="23"/>
      <c r="E169" s="23"/>
      <c r="F169" s="23"/>
    </row>
    <row r="170">
      <c r="A170" s="5"/>
      <c r="B170" s="16" t="s">
        <v>199</v>
      </c>
      <c r="C170" s="22">
        <f>(4)*(1)*(1)*(1)*(1 + (0))</f>
      </c>
      <c r="D170" s="22" t="s">
        <v>162</v>
      </c>
      <c r="E170" s="22"/>
      <c r="F170" s="22">
        <f>C170*E170</f>
      </c>
    </row>
    <row r="171">
      <c r="A171" s="5"/>
      <c r="B171" s="16" t="s">
        <v>200</v>
      </c>
      <c r="C171" s="22">
        <f>(14)*(1)*(1)*(1)*(1 + (0))</f>
      </c>
      <c r="D171" s="22" t="s">
        <v>162</v>
      </c>
      <c r="E171" s="22"/>
      <c r="F171" s="22">
        <f>C171*E171</f>
      </c>
    </row>
    <row r="172">
      <c r="A172" s="5"/>
      <c r="B172" s="16" t="s">
        <v>201</v>
      </c>
      <c r="C172" s="22">
        <f>(18)*(1)*(1)*(1)*(1 + (0))</f>
      </c>
      <c r="D172" s="22" t="s">
        <v>162</v>
      </c>
      <c r="E172" s="22"/>
      <c r="F172" s="22">
        <f>C172*E172</f>
      </c>
    </row>
    <row r="173">
      <c r="A173" s="5"/>
      <c r="B173" s="16" t="s">
        <v>202</v>
      </c>
      <c r="C173" s="22">
        <f>(12)*(1)*(1)*(1)*(1 + (0))</f>
      </c>
      <c r="D173" s="22" t="s">
        <v>162</v>
      </c>
      <c r="E173" s="22"/>
      <c r="F173" s="22">
        <f>C173*E173</f>
      </c>
    </row>
    <row r="174">
      <c r="A174" s="5"/>
      <c r="B174" s="16" t="s">
        <v>203</v>
      </c>
      <c r="C174" s="22">
        <f>(6)*(1)*(1)*(1)*(1 + (0))</f>
      </c>
      <c r="D174" s="22" t="s">
        <v>162</v>
      </c>
      <c r="E174" s="22"/>
      <c r="F174" s="22">
        <f>C174*E174</f>
      </c>
    </row>
    <row r="175">
      <c r="A175" s="5"/>
      <c r="B175" s="16" t="s">
        <v>204</v>
      </c>
      <c r="C175" s="22">
        <f>(20)*(1)*(1)*(1)*(1 + (0))</f>
      </c>
      <c r="D175" s="22" t="s">
        <v>162</v>
      </c>
      <c r="E175" s="22"/>
      <c r="F175" s="22">
        <f>C175*E175</f>
      </c>
    </row>
    <row r="176">
      <c r="A176" s="5"/>
      <c r="B176" s="16" t="s">
        <v>205</v>
      </c>
      <c r="C176" s="22">
        <f>(4)*(1)*(1)*(1)*(1 + (0))</f>
      </c>
      <c r="D176" s="22" t="s">
        <v>162</v>
      </c>
      <c r="E176" s="22"/>
      <c r="F176" s="22">
        <f>C176*E176</f>
      </c>
    </row>
    <row r="177">
      <c r="A177" s="2"/>
      <c r="B177" s="10" t="s">
        <v>207</v>
      </c>
      <c r="C177" s="19"/>
      <c r="D177" s="19"/>
      <c r="E177" s="19"/>
      <c r="F177" s="19"/>
    </row>
    <row r="178">
      <c r="A178" s="3"/>
      <c r="B178" s="11" t="s">
        <v>37</v>
      </c>
      <c r="C178" s="20"/>
      <c r="D178" s="20"/>
      <c r="E178" s="20"/>
      <c r="F178" s="20"/>
    </row>
    <row r="179">
      <c r="A179" s="5" t="s">
        <v>208</v>
      </c>
      <c r="B179" s="14" t="s">
        <v>39</v>
      </c>
      <c r="C179" s="22"/>
      <c r="D179" s="22" t="s">
        <v>10</v>
      </c>
      <c r="E179" s="22"/>
      <c r="F179" s="22">
        <f>C179*E179</f>
      </c>
    </row>
    <row r="180">
      <c r="A180" s="5" t="s">
        <v>209</v>
      </c>
      <c r="B180" s="14" t="s">
        <v>41</v>
      </c>
      <c r="C180" s="22"/>
      <c r="D180" s="22" t="s">
        <v>10</v>
      </c>
      <c r="E180" s="22"/>
      <c r="F180" s="22">
        <f>C180*E180</f>
      </c>
    </row>
    <row r="181">
      <c r="A181" s="3"/>
      <c r="B181" s="11" t="s">
        <v>42</v>
      </c>
      <c r="C181" s="20"/>
      <c r="D181" s="20"/>
      <c r="E181" s="20"/>
      <c r="F181" s="20"/>
    </row>
    <row r="182">
      <c r="A182" s="5"/>
      <c r="B182" s="14" t="s">
        <v>118</v>
      </c>
      <c r="C182" s="22"/>
      <c r="D182" s="22" t="s">
        <v>10</v>
      </c>
      <c r="E182" s="22"/>
      <c r="F182" s="22">
        <f>C182*E182</f>
      </c>
    </row>
    <row r="183">
      <c r="A183" s="5"/>
      <c r="B183" s="14" t="s">
        <v>43</v>
      </c>
      <c r="C183" s="22"/>
      <c r="D183" s="22" t="s">
        <v>10</v>
      </c>
      <c r="E183" s="22"/>
      <c r="F183" s="22">
        <f>C183*E183</f>
      </c>
    </row>
    <row r="184">
      <c r="A184" s="5"/>
      <c r="B184" s="14" t="s">
        <v>210</v>
      </c>
      <c r="C184" s="22"/>
      <c r="D184" s="22" t="s">
        <v>10</v>
      </c>
      <c r="E184" s="22"/>
      <c r="F184" s="22">
        <f>C184*E184</f>
      </c>
    </row>
    <row r="185">
      <c r="A185" s="3"/>
      <c r="B185" s="11" t="s">
        <v>44</v>
      </c>
      <c r="C185" s="20"/>
      <c r="D185" s="20"/>
      <c r="E185" s="20"/>
      <c r="F185" s="20"/>
    </row>
    <row r="186">
      <c r="A186" s="4"/>
      <c r="B186" s="12" t="s">
        <v>45</v>
      </c>
      <c r="C186" s="21"/>
      <c r="D186" s="21"/>
      <c r="E186" s="21"/>
      <c r="F186" s="21"/>
    </row>
    <row r="187">
      <c r="A187" s="5" t="s">
        <v>211</v>
      </c>
      <c r="B187" s="13" t="s">
        <v>212</v>
      </c>
      <c r="C187" s="22"/>
      <c r="D187" s="22" t="s">
        <v>10</v>
      </c>
      <c r="E187" s="22"/>
      <c r="F187" s="22">
        <f>C187*E187</f>
      </c>
    </row>
    <row r="188">
      <c r="A188" s="5" t="s">
        <v>213</v>
      </c>
      <c r="B188" s="13" t="s">
        <v>214</v>
      </c>
      <c r="C188" s="22"/>
      <c r="D188" s="22" t="s">
        <v>10</v>
      </c>
      <c r="E188" s="22"/>
      <c r="F188" s="22">
        <f>C188*E188</f>
      </c>
    </row>
    <row r="189">
      <c r="A189" s="5" t="s">
        <v>215</v>
      </c>
      <c r="B189" s="13" t="s">
        <v>216</v>
      </c>
      <c r="C189" s="22"/>
      <c r="D189" s="22" t="s">
        <v>10</v>
      </c>
      <c r="E189" s="22"/>
      <c r="F189" s="22">
        <f>C189*E189</f>
      </c>
    </row>
    <row r="190">
      <c r="A190" s="5" t="s">
        <v>217</v>
      </c>
      <c r="B190" s="13" t="s">
        <v>218</v>
      </c>
      <c r="C190" s="22"/>
      <c r="D190" s="22" t="s">
        <v>10</v>
      </c>
      <c r="E190" s="22"/>
      <c r="F190" s="22">
        <f>C190*E190</f>
      </c>
    </row>
    <row r="191">
      <c r="A191" s="5" t="s">
        <v>219</v>
      </c>
      <c r="B191" s="13" t="s">
        <v>220</v>
      </c>
      <c r="C191" s="22"/>
      <c r="D191" s="22" t="s">
        <v>10</v>
      </c>
      <c r="E191" s="22"/>
      <c r="F191" s="22">
        <f>C191*E191</f>
      </c>
    </row>
    <row r="192">
      <c r="A192" s="5" t="s">
        <v>221</v>
      </c>
      <c r="B192" s="13" t="s">
        <v>123</v>
      </c>
      <c r="C192" s="22"/>
      <c r="D192" s="22" t="s">
        <v>10</v>
      </c>
      <c r="E192" s="22"/>
      <c r="F192" s="22">
        <f>C192*E192</f>
      </c>
    </row>
    <row r="193">
      <c r="A193" s="3"/>
      <c r="B193" s="11" t="s">
        <v>68</v>
      </c>
      <c r="C193" s="20"/>
      <c r="D193" s="20"/>
      <c r="E193" s="20"/>
      <c r="F193" s="20"/>
    </row>
    <row r="194">
      <c r="A194" s="5" t="s">
        <v>222</v>
      </c>
      <c r="B194" s="14" t="s">
        <v>223</v>
      </c>
      <c r="C194" s="22">
        <f>(1)*(1)*(1)*(1)*(1 + (0))</f>
      </c>
      <c r="D194" s="22" t="s">
        <v>71</v>
      </c>
      <c r="E194" s="22"/>
      <c r="F194" s="22">
        <f>C194*E194</f>
      </c>
    </row>
    <row r="195">
      <c r="A195" s="5" t="s">
        <v>224</v>
      </c>
      <c r="B195" s="14" t="s">
        <v>70</v>
      </c>
      <c r="C195" s="22">
        <f>(1)*(1)*(1)*(1)*(1 + (0))</f>
      </c>
      <c r="D195" s="22" t="s">
        <v>71</v>
      </c>
      <c r="E195" s="22"/>
      <c r="F195" s="22">
        <f>C195*E195</f>
      </c>
    </row>
    <row r="196">
      <c r="A196" s="5" t="s">
        <v>225</v>
      </c>
      <c r="B196" s="14" t="s">
        <v>73</v>
      </c>
      <c r="C196" s="22">
        <f>(1)*(1)*(1)*(1)*(1 + (0))</f>
      </c>
      <c r="D196" s="22" t="s">
        <v>71</v>
      </c>
      <c r="E196" s="22"/>
      <c r="F196" s="22">
        <f>C196*E196</f>
      </c>
    </row>
    <row r="197">
      <c r="A197" s="5" t="s">
        <v>226</v>
      </c>
      <c r="B197" s="14" t="s">
        <v>134</v>
      </c>
      <c r="C197" s="22">
        <f>(1)*(1)*(1)*(1)*(1 + (0))</f>
      </c>
      <c r="D197" s="22" t="s">
        <v>71</v>
      </c>
      <c r="E197" s="22"/>
      <c r="F197" s="22">
        <f>C197*E197</f>
      </c>
    </row>
    <row r="198">
      <c r="A198" s="5" t="s">
        <v>227</v>
      </c>
      <c r="B198" s="14" t="s">
        <v>228</v>
      </c>
      <c r="C198" s="22">
        <f>(1)*(1)*(1)*(1)*(1 + (0))</f>
      </c>
      <c r="D198" s="22" t="s">
        <v>71</v>
      </c>
      <c r="E198" s="22"/>
      <c r="F198" s="22">
        <f>C198*E198</f>
      </c>
    </row>
    <row r="199">
      <c r="A199" s="5" t="s">
        <v>229</v>
      </c>
      <c r="B199" s="14" t="s">
        <v>230</v>
      </c>
      <c r="C199" s="22">
        <f>(1)*(1)*(1)*(1)*(1 + (0))</f>
      </c>
      <c r="D199" s="22" t="s">
        <v>71</v>
      </c>
      <c r="E199" s="22"/>
      <c r="F199" s="22">
        <f>C199*E199</f>
      </c>
    </row>
    <row r="200">
      <c r="A200" s="5" t="s">
        <v>231</v>
      </c>
      <c r="B200" s="14" t="s">
        <v>232</v>
      </c>
      <c r="C200" s="22">
        <f>(1)*(1)*(1)*(1)*(1 + (0))</f>
      </c>
      <c r="D200" s="22" t="s">
        <v>71</v>
      </c>
      <c r="E200" s="22"/>
      <c r="F200" s="22">
        <f>C200*E200</f>
      </c>
    </row>
    <row r="201">
      <c r="A201" s="5" t="s">
        <v>233</v>
      </c>
      <c r="B201" s="14" t="s">
        <v>234</v>
      </c>
      <c r="C201" s="22">
        <f>(1)*(1)*(1)*(1)*(1 + (0))</f>
      </c>
      <c r="D201" s="22" t="s">
        <v>71</v>
      </c>
      <c r="E201" s="22"/>
      <c r="F201" s="22">
        <f>C201*E201</f>
      </c>
    </row>
    <row r="202">
      <c r="A202" s="5" t="s">
        <v>235</v>
      </c>
      <c r="B202" s="14" t="s">
        <v>236</v>
      </c>
      <c r="C202" s="22">
        <f>(1)*(1)*(1)*(1)*(1 + (0))</f>
      </c>
      <c r="D202" s="22" t="s">
        <v>71</v>
      </c>
      <c r="E202" s="22"/>
      <c r="F202" s="22">
        <f>C202*E202</f>
      </c>
    </row>
    <row r="203">
      <c r="A203" s="5" t="s">
        <v>237</v>
      </c>
      <c r="B203" s="14" t="s">
        <v>238</v>
      </c>
      <c r="C203" s="22">
        <f>(1)*(1)*(1)*(1)*(1 + (0))</f>
      </c>
      <c r="D203" s="22" t="s">
        <v>71</v>
      </c>
      <c r="E203" s="22"/>
      <c r="F203" s="22">
        <f>C203*E203</f>
      </c>
    </row>
    <row r="204">
      <c r="A204" s="5" t="s">
        <v>239</v>
      </c>
      <c r="B204" s="14" t="s">
        <v>240</v>
      </c>
      <c r="C204" s="22">
        <f>(1)*(1)*(1)*(1)*(1 + (0))</f>
      </c>
      <c r="D204" s="22" t="s">
        <v>71</v>
      </c>
      <c r="E204" s="22"/>
      <c r="F204" s="22">
        <f>C204*E204</f>
      </c>
    </row>
    <row r="205">
      <c r="A205" s="3"/>
      <c r="B205" s="11" t="s">
        <v>106</v>
      </c>
      <c r="C205" s="20"/>
      <c r="D205" s="20"/>
      <c r="E205" s="20"/>
      <c r="F205" s="20"/>
    </row>
    <row r="206">
      <c r="A206" s="5"/>
      <c r="B206" s="14" t="s">
        <v>241</v>
      </c>
      <c r="C206" s="22"/>
      <c r="D206" s="22" t="s">
        <v>10</v>
      </c>
      <c r="E206" s="22"/>
      <c r="F206" s="22">
        <f>C206*E206</f>
      </c>
    </row>
    <row r="207">
      <c r="A207" s="3"/>
      <c r="B207" s="11" t="s">
        <v>242</v>
      </c>
      <c r="C207" s="20"/>
      <c r="D207" s="20"/>
      <c r="E207" s="20"/>
      <c r="F207" s="20"/>
    </row>
    <row r="208">
      <c r="A208" s="5"/>
      <c r="B208" s="14" t="s">
        <v>243</v>
      </c>
      <c r="C208" s="22">
        <f>(882)*(1)*(1)*(1)*(1 + (0))</f>
      </c>
      <c r="D208" s="22" t="s">
        <v>111</v>
      </c>
      <c r="E208" s="22"/>
      <c r="F208" s="22">
        <f>C208*E208</f>
      </c>
    </row>
    <row r="209">
      <c r="A209" s="5"/>
      <c r="B209" s="14" t="s">
        <v>244</v>
      </c>
      <c r="C209" s="22">
        <f>(113)*(1)*(1)*(1)*(1 + (0))</f>
      </c>
      <c r="D209" s="22" t="s">
        <v>111</v>
      </c>
      <c r="E209" s="22"/>
      <c r="F209" s="22">
        <f>C209*E209</f>
      </c>
    </row>
    <row r="210">
      <c r="A210" s="3"/>
      <c r="B210" s="11" t="s">
        <v>245</v>
      </c>
      <c r="C210" s="20"/>
      <c r="D210" s="20"/>
      <c r="E210" s="20"/>
      <c r="F210" s="20"/>
    </row>
    <row r="211">
      <c r="A211" s="4"/>
      <c r="B211" s="12" t="s">
        <v>246</v>
      </c>
      <c r="C211" s="21"/>
      <c r="D211" s="21"/>
      <c r="E211" s="21"/>
      <c r="F211" s="21"/>
    </row>
    <row r="212">
      <c r="A212" s="6"/>
      <c r="B212" s="15" t="s">
        <v>247</v>
      </c>
      <c r="C212" s="23"/>
      <c r="D212" s="23"/>
      <c r="E212" s="23"/>
      <c r="F212" s="23"/>
    </row>
    <row r="213">
      <c r="A213" s="5"/>
      <c r="B213" s="16" t="s">
        <v>248</v>
      </c>
      <c r="C213" s="22">
        <f>(9)*(1)*(1)*(1)*(1 + (0))</f>
      </c>
      <c r="D213" s="22" t="s">
        <v>111</v>
      </c>
      <c r="E213" s="22"/>
      <c r="F213" s="22">
        <f>C213*E213</f>
      </c>
    </row>
    <row r="214">
      <c r="A214" s="5"/>
      <c r="B214" s="16" t="s">
        <v>249</v>
      </c>
      <c r="C214" s="22">
        <f>(15)*(1)*(1)*(1)*(1 + (0))</f>
      </c>
      <c r="D214" s="22" t="s">
        <v>111</v>
      </c>
      <c r="E214" s="22"/>
      <c r="F214" s="22">
        <f>C214*E214</f>
      </c>
    </row>
    <row r="215">
      <c r="A215" s="5"/>
      <c r="B215" s="16" t="s">
        <v>250</v>
      </c>
      <c r="C215" s="22">
        <f>(2)*(1)*(1)*(1)*(1 + (0))</f>
      </c>
      <c r="D215" s="22" t="s">
        <v>111</v>
      </c>
      <c r="E215" s="22"/>
      <c r="F215" s="22">
        <f>C215*E215</f>
      </c>
    </row>
    <row r="216">
      <c r="A216" s="4"/>
      <c r="B216" s="12" t="s">
        <v>251</v>
      </c>
      <c r="C216" s="21"/>
      <c r="D216" s="21"/>
      <c r="E216" s="21"/>
      <c r="F216" s="21"/>
    </row>
    <row r="217">
      <c r="A217" s="6"/>
      <c r="B217" s="15" t="s">
        <v>252</v>
      </c>
      <c r="C217" s="23"/>
      <c r="D217" s="23"/>
      <c r="E217" s="23"/>
      <c r="F217" s="23"/>
    </row>
    <row r="218">
      <c r="A218" s="5"/>
      <c r="B218" s="16" t="s">
        <v>253</v>
      </c>
      <c r="C218" s="22">
        <f>(13)*(1)*(1)*(1)*(1 + (0))</f>
      </c>
      <c r="D218" s="22" t="s">
        <v>111</v>
      </c>
      <c r="E218" s="22"/>
      <c r="F218" s="22">
        <f>C218*E218</f>
      </c>
    </row>
    <row r="219">
      <c r="A219" s="4"/>
      <c r="B219" s="12" t="s">
        <v>254</v>
      </c>
      <c r="C219" s="21"/>
      <c r="D219" s="21"/>
      <c r="E219" s="21"/>
      <c r="F219" s="21"/>
    </row>
    <row r="220">
      <c r="A220" s="6"/>
      <c r="B220" s="15" t="s">
        <v>252</v>
      </c>
      <c r="C220" s="23"/>
      <c r="D220" s="23"/>
      <c r="E220" s="23"/>
      <c r="F220" s="23"/>
    </row>
    <row r="221">
      <c r="A221" s="5"/>
      <c r="B221" s="16" t="s">
        <v>255</v>
      </c>
      <c r="C221" s="22">
        <f>(11)*(1)*(1)*(1)*(1 + (0))</f>
      </c>
      <c r="D221" s="22" t="s">
        <v>111</v>
      </c>
      <c r="E221" s="22"/>
      <c r="F221" s="22">
        <f>C221*E221</f>
      </c>
    </row>
    <row r="222">
      <c r="A222" s="4"/>
      <c r="B222" s="12" t="s">
        <v>256</v>
      </c>
      <c r="C222" s="21"/>
      <c r="D222" s="21"/>
      <c r="E222" s="21"/>
      <c r="F222" s="21"/>
    </row>
    <row r="223">
      <c r="A223" s="6"/>
      <c r="B223" s="15" t="s">
        <v>247</v>
      </c>
      <c r="C223" s="23"/>
      <c r="D223" s="23"/>
      <c r="E223" s="23"/>
      <c r="F223" s="23"/>
    </row>
    <row r="224">
      <c r="A224" s="5"/>
      <c r="B224" s="16" t="s">
        <v>257</v>
      </c>
      <c r="C224" s="22">
        <f>(4)*(1)*(1)*(1)*(1 + (0))</f>
      </c>
      <c r="D224" s="22" t="s">
        <v>111</v>
      </c>
      <c r="E224" s="22"/>
      <c r="F224" s="22">
        <f>C224*E224</f>
      </c>
    </row>
    <row r="225">
      <c r="A225" s="5"/>
      <c r="B225" s="16" t="s">
        <v>258</v>
      </c>
      <c r="C225" s="22">
        <f>(1)*(1)*(1)*(1)*(1 + (0))</f>
      </c>
      <c r="D225" s="22" t="s">
        <v>111</v>
      </c>
      <c r="E225" s="22"/>
      <c r="F225" s="22">
        <f>C225*E225</f>
      </c>
    </row>
    <row r="226">
      <c r="A226" s="5"/>
      <c r="B226" s="16" t="s">
        <v>259</v>
      </c>
      <c r="C226" s="22">
        <f>(28)*(1)*(1)*(1)*(1 + (0))</f>
      </c>
      <c r="D226" s="22" t="s">
        <v>111</v>
      </c>
      <c r="E226" s="22"/>
      <c r="F226" s="22">
        <f>C226*E226</f>
      </c>
    </row>
    <row r="227">
      <c r="A227" s="5"/>
      <c r="B227" s="16" t="s">
        <v>260</v>
      </c>
      <c r="C227" s="22">
        <f>(29)*(1)*(1)*(1)*(1 + (0))</f>
      </c>
      <c r="D227" s="22" t="s">
        <v>111</v>
      </c>
      <c r="E227" s="22"/>
      <c r="F227" s="22">
        <f>C227*E227</f>
      </c>
    </row>
    <row r="228">
      <c r="A228" s="4"/>
      <c r="B228" s="12" t="s">
        <v>261</v>
      </c>
      <c r="C228" s="21"/>
      <c r="D228" s="21"/>
      <c r="E228" s="21"/>
      <c r="F228" s="21"/>
    </row>
    <row r="229">
      <c r="A229" s="6"/>
      <c r="B229" s="15" t="s">
        <v>247</v>
      </c>
      <c r="C229" s="23"/>
      <c r="D229" s="23"/>
      <c r="E229" s="23"/>
      <c r="F229" s="23"/>
    </row>
    <row r="230">
      <c r="A230" s="5"/>
      <c r="B230" s="16" t="s">
        <v>262</v>
      </c>
      <c r="C230" s="22">
        <f>(3)*(1)*(1)*(1)*(1 + (0))</f>
      </c>
      <c r="D230" s="22" t="s">
        <v>111</v>
      </c>
      <c r="E230" s="22"/>
      <c r="F230" s="22">
        <f>C230*E230</f>
      </c>
    </row>
    <row r="231">
      <c r="A231" s="5"/>
      <c r="B231" s="16" t="s">
        <v>263</v>
      </c>
      <c r="C231" s="22">
        <f>(6)*(1)*(1)*(1)*(1 + (0))</f>
      </c>
      <c r="D231" s="22" t="s">
        <v>111</v>
      </c>
      <c r="E231" s="22"/>
      <c r="F231" s="22">
        <f>C231*E231</f>
      </c>
    </row>
    <row r="232">
      <c r="A232" s="5"/>
      <c r="B232" s="16" t="s">
        <v>264</v>
      </c>
      <c r="C232" s="22">
        <f>(284)*(1)*(1)*(1)*(1 + (0))</f>
      </c>
      <c r="D232" s="22" t="s">
        <v>111</v>
      </c>
      <c r="E232" s="22"/>
      <c r="F232" s="22">
        <f>C232*E232</f>
      </c>
    </row>
    <row r="233">
      <c r="A233" s="5"/>
      <c r="B233" s="16" t="s">
        <v>265</v>
      </c>
      <c r="C233" s="22">
        <f>(38)*(1)*(1)*(1)*(1 + (0))</f>
      </c>
      <c r="D233" s="22" t="s">
        <v>111</v>
      </c>
      <c r="E233" s="22"/>
      <c r="F233" s="22">
        <f>C233*E233</f>
      </c>
    </row>
    <row r="234">
      <c r="A234" s="5"/>
      <c r="B234" s="16" t="s">
        <v>266</v>
      </c>
      <c r="C234" s="22">
        <f>(1)*(1)*(1)*(1)*(1 + (0))</f>
      </c>
      <c r="D234" s="22" t="s">
        <v>111</v>
      </c>
      <c r="E234" s="22"/>
      <c r="F234" s="22">
        <f>C234*E234</f>
      </c>
    </row>
    <row r="235">
      <c r="A235" s="5"/>
      <c r="B235" s="16" t="s">
        <v>267</v>
      </c>
      <c r="C235" s="22">
        <f>(6)*(1)*(1)*(1)*(1 + (0))</f>
      </c>
      <c r="D235" s="22" t="s">
        <v>111</v>
      </c>
      <c r="E235" s="22"/>
      <c r="F235" s="22">
        <f>C235*E235</f>
      </c>
    </row>
    <row r="236">
      <c r="A236" s="5"/>
      <c r="B236" s="16" t="s">
        <v>268</v>
      </c>
      <c r="C236" s="22">
        <f>(5)*(1)*(1)*(1)*(1 + (0))</f>
      </c>
      <c r="D236" s="22" t="s">
        <v>111</v>
      </c>
      <c r="E236" s="22"/>
      <c r="F236" s="22">
        <f>C236*E236</f>
      </c>
    </row>
    <row r="237">
      <c r="A237" s="5"/>
      <c r="B237" s="16" t="s">
        <v>269</v>
      </c>
      <c r="C237" s="22">
        <f>(1)*(1)*(1)*(1)*(1 + (0))</f>
      </c>
      <c r="D237" s="22" t="s">
        <v>111</v>
      </c>
      <c r="E237" s="22"/>
      <c r="F237" s="22">
        <f>C237*E237</f>
      </c>
    </row>
    <row r="238">
      <c r="A238" s="5"/>
      <c r="B238" s="16" t="s">
        <v>270</v>
      </c>
      <c r="C238" s="22">
        <f>(122)*(1)*(1)*(1)*(1 + (0))</f>
      </c>
      <c r="D238" s="22" t="s">
        <v>24</v>
      </c>
      <c r="E238" s="22"/>
      <c r="F238" s="22">
        <f>C238*E238</f>
      </c>
    </row>
    <row r="239">
      <c r="A239" s="4"/>
      <c r="B239" s="12" t="s">
        <v>271</v>
      </c>
      <c r="C239" s="21"/>
      <c r="D239" s="21"/>
      <c r="E239" s="21"/>
      <c r="F239" s="21"/>
    </row>
    <row r="240">
      <c r="A240" s="6"/>
      <c r="B240" s="15" t="s">
        <v>272</v>
      </c>
      <c r="C240" s="23"/>
      <c r="D240" s="23"/>
      <c r="E240" s="23"/>
      <c r="F240" s="23"/>
    </row>
    <row r="241">
      <c r="A241" s="5"/>
      <c r="B241" s="16" t="s">
        <v>273</v>
      </c>
      <c r="C241" s="22">
        <f>(36)*(1)*(1)*(1)*(1 + (0))</f>
      </c>
      <c r="D241" s="22" t="s">
        <v>111</v>
      </c>
      <c r="E241" s="22"/>
      <c r="F241" s="22">
        <f>C241*E241</f>
      </c>
    </row>
    <row r="242">
      <c r="A242" s="5"/>
      <c r="B242" s="16" t="s">
        <v>274</v>
      </c>
      <c r="C242" s="22">
        <f>(289)*(1)*(1)*(1)*(1 + (0))</f>
      </c>
      <c r="D242" s="22" t="s">
        <v>111</v>
      </c>
      <c r="E242" s="22"/>
      <c r="F242" s="22">
        <f>C242*E242</f>
      </c>
    </row>
    <row r="243">
      <c r="A243" s="5"/>
      <c r="B243" s="16" t="s">
        <v>275</v>
      </c>
      <c r="C243" s="22">
        <f>(19)*(1)*(1)*(1)*(1 + (0))</f>
      </c>
      <c r="D243" s="22" t="s">
        <v>111</v>
      </c>
      <c r="E243" s="22"/>
      <c r="F243" s="22">
        <f>C243*E243</f>
      </c>
    </row>
    <row r="244">
      <c r="A244" s="5"/>
      <c r="B244" s="16" t="s">
        <v>276</v>
      </c>
      <c r="C244" s="22">
        <f>(2)*(1)*(1)*(1)*(1 + (0))</f>
      </c>
      <c r="D244" s="22" t="s">
        <v>111</v>
      </c>
      <c r="E244" s="22"/>
      <c r="F244" s="22">
        <f>C244*E244</f>
      </c>
    </row>
    <row r="245">
      <c r="A245" s="5"/>
      <c r="B245" s="16" t="s">
        <v>277</v>
      </c>
      <c r="C245" s="22">
        <f>(6)*(1)*(1)*(1)*(1 + (0))</f>
      </c>
      <c r="D245" s="22" t="s">
        <v>111</v>
      </c>
      <c r="E245" s="22"/>
      <c r="F245" s="22">
        <f>C245*E245</f>
      </c>
    </row>
    <row r="246">
      <c r="A246" s="5"/>
      <c r="B246" s="16" t="s">
        <v>278</v>
      </c>
      <c r="C246" s="22">
        <f>(5)*(1)*(1)*(1)*(1 + (0))</f>
      </c>
      <c r="D246" s="22" t="s">
        <v>111</v>
      </c>
      <c r="E246" s="22"/>
      <c r="F246" s="22">
        <f>C246*E246</f>
      </c>
    </row>
    <row r="247">
      <c r="A247" s="5"/>
      <c r="B247" s="16" t="s">
        <v>279</v>
      </c>
      <c r="C247" s="22">
        <f>(1)*(1)*(1)*(1)*(1 + (0))</f>
      </c>
      <c r="D247" s="22" t="s">
        <v>111</v>
      </c>
      <c r="E247" s="22"/>
      <c r="F247" s="22">
        <f>C247*E247</f>
      </c>
    </row>
    <row r="248">
      <c r="A248" s="5"/>
      <c r="B248" s="16" t="s">
        <v>280</v>
      </c>
      <c r="C248" s="22">
        <f>(1)*(1)*(1)*(1)*(1 + (0))</f>
      </c>
      <c r="D248" s="22" t="s">
        <v>111</v>
      </c>
      <c r="E248" s="22"/>
      <c r="F248" s="22">
        <f>C248*E248</f>
      </c>
    </row>
    <row r="249">
      <c r="A249" s="5"/>
      <c r="B249" s="16" t="s">
        <v>281</v>
      </c>
      <c r="C249" s="22">
        <f>(6)*(1)*(1)*(1)*(1 + (0))</f>
      </c>
      <c r="D249" s="22" t="s">
        <v>111</v>
      </c>
      <c r="E249" s="22"/>
      <c r="F249" s="22">
        <f>C249*E249</f>
      </c>
    </row>
    <row r="250">
      <c r="A250" s="5"/>
      <c r="B250" s="16" t="s">
        <v>282</v>
      </c>
      <c r="C250" s="22">
        <f>(7)*(1)*(1)*(1)*(1 + (0))</f>
      </c>
      <c r="D250" s="22" t="s">
        <v>111</v>
      </c>
      <c r="E250" s="22"/>
      <c r="F250" s="22">
        <f>C250*E250</f>
      </c>
    </row>
    <row r="251">
      <c r="A251" s="5"/>
      <c r="B251" s="16" t="s">
        <v>283</v>
      </c>
      <c r="C251" s="22">
        <f>(4)*(1)*(1)*(1)*(1 + (0))</f>
      </c>
      <c r="D251" s="22" t="s">
        <v>111</v>
      </c>
      <c r="E251" s="22"/>
      <c r="F251" s="22">
        <f>C251*E251</f>
      </c>
    </row>
    <row r="252">
      <c r="A252" s="5"/>
      <c r="B252" s="16" t="s">
        <v>284</v>
      </c>
      <c r="C252" s="22">
        <f>(6)*(1)*(1)*(1)*(1 + (0))</f>
      </c>
      <c r="D252" s="22" t="s">
        <v>111</v>
      </c>
      <c r="E252" s="22"/>
      <c r="F252" s="22">
        <f>C252*E252</f>
      </c>
    </row>
    <row r="253">
      <c r="A253" s="5"/>
      <c r="B253" s="16" t="s">
        <v>285</v>
      </c>
      <c r="C253" s="22">
        <f>(98)*(1)*(1)*(1)*(1 + (0))</f>
      </c>
      <c r="D253" s="22" t="s">
        <v>24</v>
      </c>
      <c r="E253" s="22"/>
      <c r="F253" s="22">
        <f>C253*E253</f>
      </c>
    </row>
    <row r="254">
      <c r="A254" s="5"/>
      <c r="B254" s="16" t="s">
        <v>286</v>
      </c>
      <c r="C254" s="22">
        <f>(76)*(1)*(1)*(1)*(1 + (0))</f>
      </c>
      <c r="D254" s="22" t="s">
        <v>153</v>
      </c>
      <c r="E254" s="22"/>
      <c r="F254" s="22">
        <f>C254*E254</f>
      </c>
    </row>
    <row r="255">
      <c r="A255" s="6"/>
      <c r="B255" s="15" t="s">
        <v>287</v>
      </c>
      <c r="C255" s="23"/>
      <c r="D255" s="23"/>
      <c r="E255" s="23"/>
      <c r="F255" s="23"/>
    </row>
    <row r="256">
      <c r="A256" s="5"/>
      <c r="B256" s="16" t="s">
        <v>288</v>
      </c>
      <c r="C256" s="22">
        <f>(5)*(1)*(1)*(1)*(1 + (0))</f>
      </c>
      <c r="D256" s="22" t="s">
        <v>111</v>
      </c>
      <c r="E256" s="22"/>
      <c r="F256" s="22">
        <f>C256*E256</f>
      </c>
    </row>
    <row r="257">
      <c r="A257" s="5"/>
      <c r="B257" s="16" t="s">
        <v>289</v>
      </c>
      <c r="C257" s="22">
        <f>(1)*(1)*(1)*(1)*(1 + (0))</f>
      </c>
      <c r="D257" s="22" t="s">
        <v>111</v>
      </c>
      <c r="E257" s="22"/>
      <c r="F257" s="22">
        <f>C257*E257</f>
      </c>
    </row>
    <row r="258">
      <c r="A258" s="4"/>
      <c r="B258" s="12" t="s">
        <v>290</v>
      </c>
      <c r="C258" s="21"/>
      <c r="D258" s="21"/>
      <c r="E258" s="21"/>
      <c r="F258" s="21"/>
    </row>
    <row r="259">
      <c r="A259" s="6"/>
      <c r="B259" s="15" t="s">
        <v>272</v>
      </c>
      <c r="C259" s="23"/>
      <c r="D259" s="23"/>
      <c r="E259" s="23"/>
      <c r="F259" s="23"/>
    </row>
    <row r="260">
      <c r="A260" s="5"/>
      <c r="B260" s="16" t="s">
        <v>291</v>
      </c>
      <c r="C260" s="22">
        <f>(4)*(1)*(1)*(1)*(1 + (0))</f>
      </c>
      <c r="D260" s="22" t="s">
        <v>111</v>
      </c>
      <c r="E260" s="22"/>
      <c r="F260" s="22">
        <f>C260*E260</f>
      </c>
    </row>
    <row r="261">
      <c r="A261" s="4"/>
      <c r="B261" s="12" t="s">
        <v>292</v>
      </c>
      <c r="C261" s="21"/>
      <c r="D261" s="21"/>
      <c r="E261" s="21"/>
      <c r="F261" s="21"/>
    </row>
    <row r="262">
      <c r="A262" s="6"/>
      <c r="B262" s="15" t="s">
        <v>293</v>
      </c>
      <c r="C262" s="23"/>
      <c r="D262" s="23"/>
      <c r="E262" s="23"/>
      <c r="F262" s="23"/>
    </row>
    <row r="263">
      <c r="A263" s="5"/>
      <c r="B263" s="16" t="s">
        <v>294</v>
      </c>
      <c r="C263" s="22">
        <f>(1)*(1)*(1)*(1)*(1 + (0))</f>
      </c>
      <c r="D263" s="22" t="s">
        <v>111</v>
      </c>
      <c r="E263" s="22"/>
      <c r="F263" s="22">
        <f>C263*E263</f>
      </c>
    </row>
    <row r="264">
      <c r="A264" s="5"/>
      <c r="B264" s="16" t="s">
        <v>295</v>
      </c>
      <c r="C264" s="22">
        <f>(23)*(1)*(1)*(1)*(1 + (0))</f>
      </c>
      <c r="D264" s="22" t="s">
        <v>111</v>
      </c>
      <c r="E264" s="22"/>
      <c r="F264" s="22">
        <f>C264*E264</f>
      </c>
    </row>
    <row r="265">
      <c r="A265" s="5"/>
      <c r="B265" s="16" t="s">
        <v>296</v>
      </c>
      <c r="C265" s="22">
        <f>(5)*(1)*(1)*(1)*(1 + (0))</f>
      </c>
      <c r="D265" s="22" t="s">
        <v>111</v>
      </c>
      <c r="E265" s="22"/>
      <c r="F265" s="22">
        <f>C265*E265</f>
      </c>
    </row>
    <row r="266">
      <c r="A266" s="5"/>
      <c r="B266" s="16" t="s">
        <v>297</v>
      </c>
      <c r="C266" s="22">
        <f>(2)*(1)*(1)*(1)*(1 + (0))</f>
      </c>
      <c r="D266" s="22" t="s">
        <v>111</v>
      </c>
      <c r="E266" s="22"/>
      <c r="F266" s="22">
        <f>C266*E266</f>
      </c>
    </row>
    <row r="267">
      <c r="A267" s="6"/>
      <c r="B267" s="15" t="s">
        <v>298</v>
      </c>
      <c r="C267" s="23"/>
      <c r="D267" s="23"/>
      <c r="E267" s="23"/>
      <c r="F267" s="23"/>
    </row>
    <row r="268">
      <c r="A268" s="5"/>
      <c r="B268" s="16" t="s">
        <v>299</v>
      </c>
      <c r="C268" s="22">
        <f>(1)*(1)*(1)*(1)*(1 + (0))</f>
      </c>
      <c r="D268" s="22" t="s">
        <v>111</v>
      </c>
      <c r="E268" s="22"/>
      <c r="F268" s="22">
        <f>C268*E268</f>
      </c>
    </row>
    <row r="269">
      <c r="A269" s="5"/>
      <c r="B269" s="16" t="s">
        <v>300</v>
      </c>
      <c r="C269" s="22">
        <f>(2)*(1)*(1)*(1)*(1 + (0))</f>
      </c>
      <c r="D269" s="22" t="s">
        <v>111</v>
      </c>
      <c r="E269" s="22"/>
      <c r="F269" s="22">
        <f>C269*E269</f>
      </c>
    </row>
    <row r="270">
      <c r="A270" s="5"/>
      <c r="B270" s="16" t="s">
        <v>301</v>
      </c>
      <c r="C270" s="22">
        <f>(2)*(1)*(1)*(1)*(1 + (0))</f>
      </c>
      <c r="D270" s="22" t="s">
        <v>111</v>
      </c>
      <c r="E270" s="22"/>
      <c r="F270" s="22">
        <f>C270*E270</f>
      </c>
    </row>
    <row r="271">
      <c r="A271" s="5"/>
      <c r="B271" s="16" t="s">
        <v>302</v>
      </c>
      <c r="C271" s="22">
        <f>(26)*(1)*(1)*(1)*(1 + (0))</f>
      </c>
      <c r="D271" s="22" t="s">
        <v>111</v>
      </c>
      <c r="E271" s="22"/>
      <c r="F271" s="22">
        <f>C271*E271</f>
      </c>
    </row>
    <row r="272">
      <c r="A272" s="5"/>
      <c r="B272" s="16" t="s">
        <v>294</v>
      </c>
      <c r="C272" s="22">
        <f>(1)*(1)*(1)*(1)*(1 + (0))</f>
      </c>
      <c r="D272" s="22" t="s">
        <v>111</v>
      </c>
      <c r="E272" s="22"/>
      <c r="F272" s="22">
        <f>C272*E272</f>
      </c>
    </row>
    <row r="273">
      <c r="A273" s="4"/>
      <c r="B273" s="12" t="s">
        <v>303</v>
      </c>
      <c r="C273" s="21"/>
      <c r="D273" s="21"/>
      <c r="E273" s="21"/>
      <c r="F273" s="21"/>
    </row>
    <row r="274">
      <c r="A274" s="6"/>
      <c r="B274" s="15" t="s">
        <v>304</v>
      </c>
      <c r="C274" s="23"/>
      <c r="D274" s="23"/>
      <c r="E274" s="23"/>
      <c r="F274" s="23"/>
    </row>
    <row r="275">
      <c r="A275" s="5"/>
      <c r="B275" s="16" t="s">
        <v>293</v>
      </c>
      <c r="C275" s="22"/>
      <c r="D275" s="22"/>
      <c r="E275" s="22"/>
      <c r="F275" s="22"/>
    </row>
    <row r="276">
      <c r="A276" s="5"/>
      <c r="B276" s="17" t="s">
        <v>305</v>
      </c>
      <c r="C276" s="22">
        <f>(7)*(1)*(1)*(1)*(1 + (0))</f>
      </c>
      <c r="D276" s="22" t="s">
        <v>111</v>
      </c>
      <c r="E276" s="22"/>
      <c r="F276" s="22">
        <f>C276*E276</f>
      </c>
    </row>
    <row r="277">
      <c r="A277" s="5"/>
      <c r="B277" s="17" t="s">
        <v>306</v>
      </c>
      <c r="C277" s="22">
        <f>(6)*(1)*(1)*(1)*(1 + (0))</f>
      </c>
      <c r="D277" s="22" t="s">
        <v>111</v>
      </c>
      <c r="E277" s="22"/>
      <c r="F277" s="22">
        <f>C277*E277</f>
      </c>
    </row>
    <row r="278">
      <c r="A278" s="6"/>
      <c r="B278" s="15" t="s">
        <v>307</v>
      </c>
      <c r="C278" s="23"/>
      <c r="D278" s="23"/>
      <c r="E278" s="23"/>
      <c r="F278" s="23"/>
    </row>
    <row r="279">
      <c r="A279" s="5"/>
      <c r="B279" s="16" t="s">
        <v>308</v>
      </c>
      <c r="C279" s="22"/>
      <c r="D279" s="22"/>
      <c r="E279" s="22"/>
      <c r="F279" s="22"/>
    </row>
    <row r="280">
      <c r="A280" s="5"/>
      <c r="B280" s="17" t="s">
        <v>309</v>
      </c>
      <c r="C280" s="22">
        <f>(4)*(1)*(1)*(1)*(1 + (0))</f>
      </c>
      <c r="D280" s="22" t="s">
        <v>111</v>
      </c>
      <c r="E280" s="22"/>
      <c r="F280" s="22">
        <f>C280*E280</f>
      </c>
    </row>
    <row r="281">
      <c r="A281" s="5"/>
      <c r="B281" s="16" t="s">
        <v>293</v>
      </c>
      <c r="C281" s="22"/>
      <c r="D281" s="22"/>
      <c r="E281" s="22"/>
      <c r="F281" s="22"/>
    </row>
    <row r="282">
      <c r="A282" s="5"/>
      <c r="B282" s="17" t="s">
        <v>309</v>
      </c>
      <c r="C282" s="22">
        <f>(8)*(1)*(1)*(1)*(1 + (0))</f>
      </c>
      <c r="D282" s="22" t="s">
        <v>111</v>
      </c>
      <c r="E282" s="22"/>
      <c r="F282" s="22">
        <f>C282*E282</f>
      </c>
    </row>
    <row r="283">
      <c r="A283" s="5"/>
      <c r="B283" s="17" t="s">
        <v>310</v>
      </c>
      <c r="C283" s="22">
        <f>(16)*(1)*(1)*(1)*(1 + (0))</f>
      </c>
      <c r="D283" s="22" t="s">
        <v>111</v>
      </c>
      <c r="E283" s="22"/>
      <c r="F283" s="22">
        <f>C283*E283</f>
      </c>
    </row>
    <row r="284">
      <c r="A284" s="5"/>
      <c r="B284" s="16" t="s">
        <v>311</v>
      </c>
      <c r="C284" s="22"/>
      <c r="D284" s="22"/>
      <c r="E284" s="22"/>
      <c r="F284" s="22"/>
    </row>
    <row r="285">
      <c r="A285" s="5"/>
      <c r="B285" s="17" t="s">
        <v>309</v>
      </c>
      <c r="C285" s="22">
        <f>(9)*(1)*(1)*(1)*(1 + (0))</f>
      </c>
      <c r="D285" s="22" t="s">
        <v>111</v>
      </c>
      <c r="E285" s="22"/>
      <c r="F285" s="22">
        <f>C285*E285</f>
      </c>
    </row>
    <row r="286">
      <c r="A286" s="4"/>
      <c r="B286" s="12" t="s">
        <v>312</v>
      </c>
      <c r="C286" s="21"/>
      <c r="D286" s="21"/>
      <c r="E286" s="21"/>
      <c r="F286" s="21"/>
    </row>
    <row r="287">
      <c r="A287" s="6"/>
      <c r="B287" s="15" t="s">
        <v>313</v>
      </c>
      <c r="C287" s="23"/>
      <c r="D287" s="23"/>
      <c r="E287" s="23"/>
      <c r="F287" s="23"/>
    </row>
    <row r="288">
      <c r="A288" s="5"/>
      <c r="B288" s="16" t="s">
        <v>314</v>
      </c>
      <c r="C288" s="22">
        <f>(1)*(1)*(1)*(1)*(1 + (0))</f>
      </c>
      <c r="D288" s="22" t="s">
        <v>111</v>
      </c>
      <c r="E288" s="22"/>
      <c r="F288" s="22">
        <f>C288*E288</f>
      </c>
    </row>
    <row r="289">
      <c r="A289" s="5"/>
      <c r="B289" s="16" t="s">
        <v>315</v>
      </c>
      <c r="C289" s="22">
        <f>(4)*(1)*(1)*(1)*(1 + (0))</f>
      </c>
      <c r="D289" s="22" t="s">
        <v>111</v>
      </c>
      <c r="E289" s="22"/>
      <c r="F289" s="22">
        <f>C289*E289</f>
      </c>
    </row>
    <row r="290">
      <c r="A290" s="6"/>
      <c r="B290" s="15" t="s">
        <v>316</v>
      </c>
      <c r="C290" s="23"/>
      <c r="D290" s="23"/>
      <c r="E290" s="23"/>
      <c r="F290" s="23"/>
    </row>
    <row r="291">
      <c r="A291" s="5"/>
      <c r="B291" s="16" t="s">
        <v>317</v>
      </c>
      <c r="C291" s="22">
        <f>(1)*(1)*(1)*(1)*(1 + (0))</f>
      </c>
      <c r="D291" s="22" t="s">
        <v>111</v>
      </c>
      <c r="E291" s="22"/>
      <c r="F291" s="22">
        <f>C291*E291</f>
      </c>
    </row>
    <row r="292">
      <c r="A292" s="5"/>
      <c r="B292" s="16" t="s">
        <v>318</v>
      </c>
      <c r="C292" s="22">
        <f>(1)*(1)*(1)*(1)*(1 + (0))</f>
      </c>
      <c r="D292" s="22" t="s">
        <v>111</v>
      </c>
      <c r="E292" s="22"/>
      <c r="F292" s="22">
        <f>C292*E292</f>
      </c>
    </row>
    <row r="293">
      <c r="A293" s="5"/>
      <c r="B293" s="16" t="s">
        <v>319</v>
      </c>
      <c r="C293" s="22">
        <f>(1)*(1)*(1)*(1)*(1 + (0))</f>
      </c>
      <c r="D293" s="22" t="s">
        <v>111</v>
      </c>
      <c r="E293" s="22"/>
      <c r="F293" s="22">
        <f>C293*E293</f>
      </c>
    </row>
    <row r="294">
      <c r="A294" s="5"/>
      <c r="B294" s="16" t="s">
        <v>320</v>
      </c>
      <c r="C294" s="22">
        <f>(1)*(1)*(1)*(1)*(1 + (0))</f>
      </c>
      <c r="D294" s="22" t="s">
        <v>111</v>
      </c>
      <c r="E294" s="22"/>
      <c r="F294" s="22">
        <f>C294*E294</f>
      </c>
    </row>
    <row r="295">
      <c r="A295" s="5"/>
      <c r="B295" s="16" t="s">
        <v>321</v>
      </c>
      <c r="C295" s="22">
        <f>(1)*(1)*(1)*(1)*(1 + (0))</f>
      </c>
      <c r="D295" s="22" t="s">
        <v>111</v>
      </c>
      <c r="E295" s="22"/>
      <c r="F295" s="22">
        <f>C295*E295</f>
      </c>
    </row>
    <row r="296">
      <c r="A296" s="4"/>
      <c r="B296" s="12" t="s">
        <v>322</v>
      </c>
      <c r="C296" s="21"/>
      <c r="D296" s="21"/>
      <c r="E296" s="21"/>
      <c r="F296" s="21"/>
    </row>
    <row r="297">
      <c r="A297" s="5"/>
      <c r="B297" s="13" t="s">
        <v>323</v>
      </c>
      <c r="C297" s="22">
        <f>(11)*(1)*(1)*(1)*(1 + (0))</f>
      </c>
      <c r="D297" s="22" t="s">
        <v>111</v>
      </c>
      <c r="E297" s="22"/>
      <c r="F297" s="22">
        <f>C297*E297</f>
      </c>
    </row>
    <row r="298">
      <c r="A298" s="5"/>
      <c r="B298" s="13" t="s">
        <v>324</v>
      </c>
      <c r="C298" s="22">
        <f>(13)*(1)*(1)*(1)*(1 + (0))</f>
      </c>
      <c r="D298" s="22" t="s">
        <v>111</v>
      </c>
      <c r="E298" s="22"/>
      <c r="F298" s="22">
        <f>C298*E298</f>
      </c>
    </row>
    <row r="299">
      <c r="A299" s="3"/>
      <c r="B299" s="11" t="s">
        <v>325</v>
      </c>
      <c r="C299" s="20"/>
      <c r="D299" s="20"/>
      <c r="E299" s="20"/>
      <c r="F299" s="20"/>
    </row>
    <row r="300">
      <c r="A300" s="4"/>
      <c r="B300" s="12" t="s">
        <v>326</v>
      </c>
      <c r="C300" s="21"/>
      <c r="D300" s="21"/>
      <c r="E300" s="21"/>
      <c r="F300" s="21"/>
    </row>
    <row r="301">
      <c r="A301" s="5"/>
      <c r="B301" s="13" t="s">
        <v>327</v>
      </c>
      <c r="C301" s="22">
        <f>(1302)*(1)*(1)*(1)*(1 + (0))</f>
      </c>
      <c r="D301" s="22" t="s">
        <v>24</v>
      </c>
      <c r="E301" s="22"/>
      <c r="F301" s="22">
        <f>C301*E301</f>
      </c>
    </row>
    <row r="302">
      <c r="A302" s="5"/>
      <c r="B302" s="13" t="s">
        <v>328</v>
      </c>
      <c r="C302" s="22">
        <f>(1557)*(1)*(1)*(1)*(1 + (0))</f>
      </c>
      <c r="D302" s="22" t="s">
        <v>24</v>
      </c>
      <c r="E302" s="22"/>
      <c r="F302" s="22">
        <f>C302*E302</f>
      </c>
    </row>
    <row r="303">
      <c r="A303" s="5"/>
      <c r="B303" s="13" t="s">
        <v>329</v>
      </c>
      <c r="C303" s="22">
        <f>(88)*(1)*(1)*(1)*(1 + (0))</f>
      </c>
      <c r="D303" s="22" t="s">
        <v>24</v>
      </c>
      <c r="E303" s="22"/>
      <c r="F303" s="22">
        <f>C303*E303</f>
      </c>
    </row>
    <row r="304">
      <c r="A304" s="4"/>
      <c r="B304" s="12" t="s">
        <v>330</v>
      </c>
      <c r="C304" s="21"/>
      <c r="D304" s="21"/>
      <c r="E304" s="21"/>
      <c r="F304" s="21"/>
    </row>
    <row r="305">
      <c r="A305" s="5"/>
      <c r="B305" s="13" t="s">
        <v>331</v>
      </c>
      <c r="C305" s="22">
        <f>(2519)*(1)*(1)*(1)*(1 + (0))</f>
      </c>
      <c r="D305" s="22" t="s">
        <v>24</v>
      </c>
      <c r="E305" s="22"/>
      <c r="F305" s="22">
        <f>C305*E305</f>
      </c>
    </row>
    <row r="306">
      <c r="A306" s="5"/>
      <c r="B306" s="13" t="s">
        <v>332</v>
      </c>
      <c r="C306" s="22">
        <f>(340)*(1)*(1)*(1)*(1 + (0))</f>
      </c>
      <c r="D306" s="22" t="s">
        <v>24</v>
      </c>
      <c r="E306" s="22"/>
      <c r="F306" s="22">
        <f>C306*E306</f>
      </c>
    </row>
    <row r="307">
      <c r="A307" s="5"/>
      <c r="B307" s="13" t="s">
        <v>333</v>
      </c>
      <c r="C307" s="22">
        <f>(143)*(1)*(1)*(1)*(1 + (0))</f>
      </c>
      <c r="D307" s="22" t="s">
        <v>24</v>
      </c>
      <c r="E307" s="22"/>
      <c r="F307" s="22">
        <f>C307*E307</f>
      </c>
    </row>
    <row r="308">
      <c r="A308" s="6"/>
      <c r="B308" s="15" t="s">
        <v>334</v>
      </c>
      <c r="C308" s="23"/>
      <c r="D308" s="23"/>
      <c r="E308" s="23"/>
      <c r="F308" s="23"/>
    </row>
    <row r="309">
      <c r="A309" s="5"/>
      <c r="B309" s="16" t="s">
        <v>335</v>
      </c>
      <c r="C309" s="22">
        <f>(102)*(1)*(1)*(1)*(1 + (0))</f>
      </c>
      <c r="D309" s="22" t="s">
        <v>153</v>
      </c>
      <c r="E309" s="22"/>
      <c r="F309" s="22">
        <f>C309*E309</f>
      </c>
    </row>
    <row r="310">
      <c r="A310" s="5"/>
      <c r="B310" s="16" t="s">
        <v>336</v>
      </c>
      <c r="C310" s="22">
        <f>(59)*(1)*(1)*(1)*(1 + (0))</f>
      </c>
      <c r="D310" s="22" t="s">
        <v>24</v>
      </c>
      <c r="E310" s="22"/>
      <c r="F310" s="22">
        <f>C310*E310</f>
      </c>
    </row>
    <row r="311">
      <c r="A311" s="4"/>
      <c r="B311" s="12" t="s">
        <v>337</v>
      </c>
      <c r="C311" s="21"/>
      <c r="D311" s="21"/>
      <c r="E311" s="21"/>
      <c r="F311" s="21"/>
    </row>
    <row r="312">
      <c r="A312" s="5"/>
      <c r="B312" s="13" t="s">
        <v>338</v>
      </c>
      <c r="C312" s="22">
        <f>(11)*(1)*(1)*(1)*(1 + (0))</f>
      </c>
      <c r="D312" s="22" t="s">
        <v>153</v>
      </c>
      <c r="E312" s="22"/>
      <c r="F312" s="22">
        <f>C312*E312</f>
      </c>
    </row>
    <row r="313">
      <c r="A313" s="5"/>
      <c r="B313" s="13" t="s">
        <v>339</v>
      </c>
      <c r="C313" s="22">
        <f>(11)*(1)*(1)*(1)*(1 + (0))</f>
      </c>
      <c r="D313" s="22" t="s">
        <v>153</v>
      </c>
      <c r="E313" s="22"/>
      <c r="F313" s="22">
        <f>C313*E313</f>
      </c>
    </row>
    <row r="314">
      <c r="A314" s="5"/>
      <c r="B314" s="13" t="s">
        <v>340</v>
      </c>
      <c r="C314" s="22">
        <f>(6)*(1)*(1)*(1)*(1 + (0))</f>
      </c>
      <c r="D314" s="22" t="s">
        <v>24</v>
      </c>
      <c r="E314" s="22"/>
      <c r="F314" s="22">
        <f>C314*E314</f>
      </c>
    </row>
    <row r="315">
      <c r="A315" s="5"/>
      <c r="B315" s="13" t="s">
        <v>341</v>
      </c>
      <c r="C315" s="22">
        <f>(5)*(1)*(1)*(1)*(1 + (0))</f>
      </c>
      <c r="D315" s="22" t="s">
        <v>111</v>
      </c>
      <c r="E315" s="22"/>
      <c r="F315" s="22">
        <f>C315*E315</f>
      </c>
    </row>
    <row r="316">
      <c r="A316" s="5"/>
      <c r="B316" s="13" t="s">
        <v>342</v>
      </c>
      <c r="C316" s="22">
        <f>(1)*(1)*(1)*(1)*(1 + (0))</f>
      </c>
      <c r="D316" s="22" t="s">
        <v>111</v>
      </c>
      <c r="E316" s="22"/>
      <c r="F316" s="22">
        <f>C316*E316</f>
      </c>
    </row>
    <row r="317">
      <c r="A317" s="5"/>
      <c r="B317" s="13" t="s">
        <v>343</v>
      </c>
      <c r="C317" s="22">
        <f>(1)*(1)*(1)*(1)*(1 + (0))</f>
      </c>
      <c r="D317" s="22" t="s">
        <v>162</v>
      </c>
      <c r="E317" s="22"/>
      <c r="F317" s="22">
        <f>C317*E317</f>
      </c>
    </row>
    <row r="318">
      <c r="A318" s="3"/>
      <c r="B318" s="11" t="s">
        <v>344</v>
      </c>
      <c r="C318" s="20"/>
      <c r="D318" s="20"/>
      <c r="E318" s="20"/>
      <c r="F318" s="20"/>
    </row>
    <row r="319">
      <c r="A319" s="5"/>
      <c r="B319" s="14" t="s">
        <v>345</v>
      </c>
      <c r="C319" s="22">
        <f>(104)*(1)*(1)*(1)*(1 + (0))</f>
      </c>
      <c r="D319" s="22" t="s">
        <v>153</v>
      </c>
      <c r="E319" s="22"/>
      <c r="F319" s="22">
        <f>C319*E319</f>
      </c>
    </row>
    <row r="320">
      <c r="A320" s="5"/>
      <c r="B320" s="14" t="s">
        <v>346</v>
      </c>
      <c r="C320" s="22">
        <f>(5)*(1)*(1)*(1)*(1 + (0))</f>
      </c>
      <c r="D320" s="22" t="s">
        <v>153</v>
      </c>
      <c r="E320" s="22"/>
      <c r="F320" s="22">
        <f>C320*E320</f>
      </c>
    </row>
    <row r="321">
      <c r="A321" s="3"/>
      <c r="B321" s="11" t="s">
        <v>347</v>
      </c>
      <c r="C321" s="20"/>
      <c r="D321" s="20"/>
      <c r="E321" s="20"/>
      <c r="F321" s="20"/>
    </row>
    <row r="322">
      <c r="A322" s="5"/>
      <c r="B322" s="14" t="s">
        <v>348</v>
      </c>
      <c r="C322" s="22">
        <f>(1302)*(1)*(1)*(1)*(1 + (0))</f>
      </c>
      <c r="D322" s="22" t="s">
        <v>24</v>
      </c>
      <c r="E322" s="22"/>
      <c r="F322" s="22">
        <f>C322*E322</f>
      </c>
    </row>
    <row r="323">
      <c r="A323" s="5"/>
      <c r="B323" s="14" t="s">
        <v>349</v>
      </c>
      <c r="C323" s="22">
        <f>(1302)*(1)*(1)*(1)*(1 + (0))</f>
      </c>
      <c r="D323" s="22" t="s">
        <v>24</v>
      </c>
      <c r="E323" s="22"/>
      <c r="F323" s="22">
        <f>C323*E323</f>
      </c>
    </row>
    <row r="324">
      <c r="A324" s="2"/>
      <c r="B324" s="10" t="s">
        <v>350</v>
      </c>
      <c r="C324" s="19"/>
      <c r="D324" s="19"/>
      <c r="E324" s="19"/>
      <c r="F324" s="19"/>
    </row>
    <row r="325">
      <c r="A325" s="3"/>
      <c r="B325" s="11" t="s">
        <v>37</v>
      </c>
      <c r="C325" s="20"/>
      <c r="D325" s="20"/>
      <c r="E325" s="20"/>
      <c r="F325" s="20"/>
    </row>
    <row r="326">
      <c r="A326" s="5" t="s">
        <v>351</v>
      </c>
      <c r="B326" s="14" t="s">
        <v>39</v>
      </c>
      <c r="C326" s="22"/>
      <c r="D326" s="22" t="s">
        <v>10</v>
      </c>
      <c r="E326" s="22"/>
      <c r="F326" s="22">
        <f>C326*E326</f>
      </c>
    </row>
    <row r="327">
      <c r="A327" s="5" t="s">
        <v>352</v>
      </c>
      <c r="B327" s="14" t="s">
        <v>41</v>
      </c>
      <c r="C327" s="22"/>
      <c r="D327" s="22" t="s">
        <v>10</v>
      </c>
      <c r="E327" s="22"/>
      <c r="F327" s="22">
        <f>C327*E327</f>
      </c>
    </row>
    <row r="328">
      <c r="A328" s="3"/>
      <c r="B328" s="11" t="s">
        <v>42</v>
      </c>
      <c r="C328" s="20"/>
      <c r="D328" s="20"/>
      <c r="E328" s="20"/>
      <c r="F328" s="20"/>
    </row>
    <row r="329">
      <c r="A329" s="5"/>
      <c r="B329" s="14" t="s">
        <v>118</v>
      </c>
      <c r="C329" s="22"/>
      <c r="D329" s="22" t="s">
        <v>10</v>
      </c>
      <c r="E329" s="22"/>
      <c r="F329" s="22">
        <f>C329*E329</f>
      </c>
    </row>
    <row r="330">
      <c r="A330" s="5"/>
      <c r="B330" s="14" t="s">
        <v>43</v>
      </c>
      <c r="C330" s="22"/>
      <c r="D330" s="22" t="s">
        <v>10</v>
      </c>
      <c r="E330" s="22"/>
      <c r="F330" s="22">
        <f>C330*E330</f>
      </c>
    </row>
    <row r="331">
      <c r="A331" s="5"/>
      <c r="B331" s="14" t="s">
        <v>210</v>
      </c>
      <c r="C331" s="22"/>
      <c r="D331" s="22" t="s">
        <v>10</v>
      </c>
      <c r="E331" s="22"/>
      <c r="F331" s="22">
        <f>C331*E331</f>
      </c>
    </row>
    <row r="332">
      <c r="A332" s="3"/>
      <c r="B332" s="11" t="s">
        <v>44</v>
      </c>
      <c r="C332" s="20"/>
      <c r="D332" s="20"/>
      <c r="E332" s="20"/>
      <c r="F332" s="20"/>
    </row>
    <row r="333">
      <c r="A333" s="4"/>
      <c r="B333" s="12" t="s">
        <v>45</v>
      </c>
      <c r="C333" s="21"/>
      <c r="D333" s="21"/>
      <c r="E333" s="21"/>
      <c r="F333" s="21"/>
    </row>
    <row r="334">
      <c r="A334" s="5" t="s">
        <v>353</v>
      </c>
      <c r="B334" s="13" t="s">
        <v>354</v>
      </c>
      <c r="C334" s="22"/>
      <c r="D334" s="22" t="s">
        <v>10</v>
      </c>
      <c r="E334" s="22"/>
      <c r="F334" s="22">
        <f>C334*E334</f>
      </c>
    </row>
    <row r="335">
      <c r="A335" s="5" t="s">
        <v>355</v>
      </c>
      <c r="B335" s="13" t="s">
        <v>356</v>
      </c>
      <c r="C335" s="22"/>
      <c r="D335" s="22" t="s">
        <v>10</v>
      </c>
      <c r="E335" s="22"/>
      <c r="F335" s="22">
        <f>C335*E335</f>
      </c>
    </row>
    <row r="336">
      <c r="A336" s="5" t="s">
        <v>357</v>
      </c>
      <c r="B336" s="13" t="s">
        <v>358</v>
      </c>
      <c r="C336" s="22"/>
      <c r="D336" s="22" t="s">
        <v>10</v>
      </c>
      <c r="E336" s="22"/>
      <c r="F336" s="22">
        <f>C336*E336</f>
      </c>
    </row>
    <row r="337">
      <c r="A337" s="5" t="s">
        <v>359</v>
      </c>
      <c r="B337" s="13" t="s">
        <v>360</v>
      </c>
      <c r="C337" s="22"/>
      <c r="D337" s="22" t="s">
        <v>10</v>
      </c>
      <c r="E337" s="22"/>
      <c r="F337" s="22">
        <f>C337*E337</f>
      </c>
    </row>
    <row r="338">
      <c r="A338" s="5" t="s">
        <v>361</v>
      </c>
      <c r="B338" s="13" t="s">
        <v>362</v>
      </c>
      <c r="C338" s="22"/>
      <c r="D338" s="22" t="s">
        <v>10</v>
      </c>
      <c r="E338" s="22"/>
      <c r="F338" s="22">
        <f>C338*E338</f>
      </c>
    </row>
    <row r="339">
      <c r="A339" s="5" t="s">
        <v>363</v>
      </c>
      <c r="B339" s="13" t="s">
        <v>364</v>
      </c>
      <c r="C339" s="22"/>
      <c r="D339" s="22" t="s">
        <v>10</v>
      </c>
      <c r="E339" s="22"/>
      <c r="F339" s="22">
        <f>C339*E339</f>
      </c>
    </row>
    <row r="340">
      <c r="A340" s="5" t="s">
        <v>365</v>
      </c>
      <c r="B340" s="13" t="s">
        <v>366</v>
      </c>
      <c r="C340" s="22"/>
      <c r="D340" s="22" t="s">
        <v>10</v>
      </c>
      <c r="E340" s="22"/>
      <c r="F340" s="22">
        <f>C340*E340</f>
      </c>
    </row>
    <row r="341">
      <c r="A341" s="5" t="s">
        <v>367</v>
      </c>
      <c r="B341" s="13" t="s">
        <v>368</v>
      </c>
      <c r="C341" s="22"/>
      <c r="D341" s="22" t="s">
        <v>10</v>
      </c>
      <c r="E341" s="22"/>
      <c r="F341" s="22">
        <f>C341*E341</f>
      </c>
    </row>
    <row r="342">
      <c r="A342" s="5" t="s">
        <v>369</v>
      </c>
      <c r="B342" s="13" t="s">
        <v>370</v>
      </c>
      <c r="C342" s="22"/>
      <c r="D342" s="22" t="s">
        <v>10</v>
      </c>
      <c r="E342" s="22"/>
      <c r="F342" s="22">
        <f>C342*E342</f>
      </c>
    </row>
    <row r="343">
      <c r="A343" s="5" t="s">
        <v>371</v>
      </c>
      <c r="B343" s="13" t="s">
        <v>123</v>
      </c>
      <c r="C343" s="22"/>
      <c r="D343" s="22" t="s">
        <v>10</v>
      </c>
      <c r="E343" s="22"/>
      <c r="F343" s="22">
        <f>C343*E343</f>
      </c>
    </row>
    <row r="344">
      <c r="A344" s="3"/>
      <c r="B344" s="11" t="s">
        <v>68</v>
      </c>
      <c r="C344" s="20"/>
      <c r="D344" s="20"/>
      <c r="E344" s="20"/>
      <c r="F344" s="20"/>
    </row>
    <row r="345">
      <c r="A345" s="5" t="s">
        <v>372</v>
      </c>
      <c r="B345" s="14" t="s">
        <v>70</v>
      </c>
      <c r="C345" s="22">
        <f>(1)*(1)*(1)*(1)*(1 + (0))</f>
      </c>
      <c r="D345" s="22" t="s">
        <v>71</v>
      </c>
      <c r="E345" s="22"/>
      <c r="F345" s="22">
        <f>C345*E345</f>
      </c>
    </row>
    <row r="346">
      <c r="A346" s="5" t="s">
        <v>373</v>
      </c>
      <c r="B346" s="14" t="s">
        <v>73</v>
      </c>
      <c r="C346" s="22">
        <f>(1)*(1)*(1)*(1)*(1 + (0))</f>
      </c>
      <c r="D346" s="22" t="s">
        <v>71</v>
      </c>
      <c r="E346" s="22"/>
      <c r="F346" s="22">
        <f>C346*E346</f>
      </c>
    </row>
    <row r="347">
      <c r="A347" s="5" t="s">
        <v>374</v>
      </c>
      <c r="B347" s="14" t="s">
        <v>79</v>
      </c>
      <c r="C347" s="22">
        <f>(1)*(1)*(1)*(1)*(1 + (0))</f>
      </c>
      <c r="D347" s="22" t="s">
        <v>71</v>
      </c>
      <c r="E347" s="22"/>
      <c r="F347" s="22">
        <f>C347*E347</f>
      </c>
    </row>
    <row r="348">
      <c r="A348" s="5" t="s">
        <v>375</v>
      </c>
      <c r="B348" s="14" t="s">
        <v>376</v>
      </c>
      <c r="C348" s="22">
        <f>(1)*(1)*(1)*(1)*(1 + (0))</f>
      </c>
      <c r="D348" s="22" t="s">
        <v>71</v>
      </c>
      <c r="E348" s="22"/>
      <c r="F348" s="22">
        <f>C348*E348</f>
      </c>
    </row>
    <row r="349">
      <c r="A349" s="5" t="s">
        <v>377</v>
      </c>
      <c r="B349" s="14" t="s">
        <v>378</v>
      </c>
      <c r="C349" s="22">
        <f>(1)*(1)*(1)*(1)*(1 + (0))</f>
      </c>
      <c r="D349" s="22" t="s">
        <v>71</v>
      </c>
      <c r="E349" s="22"/>
      <c r="F349" s="22">
        <f>C349*E349</f>
      </c>
    </row>
    <row r="350">
      <c r="A350" s="3"/>
      <c r="B350" s="11" t="s">
        <v>106</v>
      </c>
      <c r="C350" s="20"/>
      <c r="D350" s="20"/>
      <c r="E350" s="20"/>
      <c r="F350" s="20"/>
    </row>
    <row r="351">
      <c r="A351" s="5"/>
      <c r="B351" s="14" t="s">
        <v>379</v>
      </c>
      <c r="C351" s="22"/>
      <c r="D351" s="22" t="s">
        <v>10</v>
      </c>
      <c r="E351" s="22"/>
      <c r="F351" s="22">
        <f>C351*E351</f>
      </c>
    </row>
    <row r="352">
      <c r="A352" s="5"/>
      <c r="B352" s="14" t="s">
        <v>380</v>
      </c>
      <c r="C352" s="22"/>
      <c r="D352" s="22" t="s">
        <v>10</v>
      </c>
      <c r="E352" s="22"/>
      <c r="F352" s="22">
        <f>C352*E352</f>
      </c>
    </row>
    <row r="353">
      <c r="A353" s="3"/>
      <c r="B353" s="11" t="s">
        <v>381</v>
      </c>
      <c r="C353" s="20"/>
      <c r="D353" s="20"/>
      <c r="E353" s="20"/>
      <c r="F353" s="20"/>
    </row>
    <row r="354">
      <c r="A354" s="4"/>
      <c r="B354" s="12" t="s">
        <v>382</v>
      </c>
      <c r="C354" s="21"/>
      <c r="D354" s="21"/>
      <c r="E354" s="21"/>
      <c r="F354" s="21"/>
    </row>
    <row r="355">
      <c r="A355" s="6"/>
      <c r="B355" s="15" t="s">
        <v>272</v>
      </c>
      <c r="C355" s="23"/>
      <c r="D355" s="23"/>
      <c r="E355" s="23"/>
      <c r="F355" s="23"/>
    </row>
    <row r="356">
      <c r="A356" s="5"/>
      <c r="B356" s="16" t="s">
        <v>383</v>
      </c>
      <c r="C356" s="22">
        <f>(1540)*(1)*(1)*(1)*(1 + (0))</f>
      </c>
      <c r="D356" s="22" t="s">
        <v>24</v>
      </c>
      <c r="E356" s="22"/>
      <c r="F356" s="22">
        <f>C356*E356</f>
      </c>
    </row>
    <row r="357">
      <c r="A357" s="5"/>
      <c r="B357" s="16" t="s">
        <v>384</v>
      </c>
      <c r="C357" s="22">
        <f>(192)*(1)*(1)*(1)*(1 + (0))</f>
      </c>
      <c r="D357" s="22" t="s">
        <v>153</v>
      </c>
      <c r="E357" s="22"/>
      <c r="F357" s="22">
        <f>C357*E357</f>
      </c>
    </row>
    <row r="358">
      <c r="A358" s="5"/>
      <c r="B358" s="16" t="s">
        <v>385</v>
      </c>
      <c r="C358" s="22">
        <f>(2)*(1)*(1)*(1)*(1 + (0))</f>
      </c>
      <c r="D358" s="22" t="s">
        <v>24</v>
      </c>
      <c r="E358" s="22"/>
      <c r="F358" s="22">
        <f>C358*E358</f>
      </c>
    </row>
    <row r="359">
      <c r="A359" s="5"/>
      <c r="B359" s="16" t="s">
        <v>386</v>
      </c>
      <c r="C359" s="22">
        <f>(62)*(1)*(1)*(1)*(1 + (0))</f>
      </c>
      <c r="D359" s="22" t="s">
        <v>153</v>
      </c>
      <c r="E359" s="22"/>
      <c r="F359" s="22">
        <f>C359*E359</f>
      </c>
    </row>
    <row r="360">
      <c r="A360" s="5"/>
      <c r="B360" s="16" t="s">
        <v>387</v>
      </c>
      <c r="C360" s="22">
        <f>(188)*(1)*(1)*(1)*(1 + (0))</f>
      </c>
      <c r="D360" s="22" t="s">
        <v>153</v>
      </c>
      <c r="E360" s="22"/>
      <c r="F360" s="22">
        <f>C360*E360</f>
      </c>
    </row>
    <row r="361">
      <c r="A361" s="6"/>
      <c r="B361" s="15" t="s">
        <v>287</v>
      </c>
      <c r="C361" s="23"/>
      <c r="D361" s="23"/>
      <c r="E361" s="23"/>
      <c r="F361" s="23"/>
    </row>
    <row r="362">
      <c r="A362" s="5"/>
      <c r="B362" s="16" t="s">
        <v>388</v>
      </c>
      <c r="C362" s="22">
        <f>(17)*(1)*(1)*(1)*(1 + (0))</f>
      </c>
      <c r="D362" s="22" t="s">
        <v>24</v>
      </c>
      <c r="E362" s="22"/>
      <c r="F362" s="22">
        <f>C362*E362</f>
      </c>
    </row>
    <row r="363">
      <c r="A363" s="5"/>
      <c r="B363" s="16" t="s">
        <v>384</v>
      </c>
      <c r="C363" s="22">
        <f>(17)*(1)*(1)*(1)*(1 + (0))</f>
      </c>
      <c r="D363" s="22" t="s">
        <v>153</v>
      </c>
      <c r="E363" s="22"/>
      <c r="F363" s="22">
        <f>C363*E363</f>
      </c>
    </row>
    <row r="364">
      <c r="A364" s="4"/>
      <c r="B364" s="12" t="s">
        <v>389</v>
      </c>
      <c r="C364" s="21"/>
      <c r="D364" s="21"/>
      <c r="E364" s="21"/>
      <c r="F364" s="21"/>
    </row>
    <row r="365">
      <c r="A365" s="6"/>
      <c r="B365" s="15" t="s">
        <v>272</v>
      </c>
      <c r="C365" s="23"/>
      <c r="D365" s="23"/>
      <c r="E365" s="23"/>
      <c r="F365" s="23"/>
    </row>
    <row r="366">
      <c r="A366" s="5"/>
      <c r="B366" s="16" t="s">
        <v>390</v>
      </c>
      <c r="C366" s="22">
        <f>(31)*(1)*(1)*(1)*(1 + (0))</f>
      </c>
      <c r="D366" s="22" t="s">
        <v>153</v>
      </c>
      <c r="E366" s="22"/>
      <c r="F366" s="22">
        <f>C366*E366</f>
      </c>
    </row>
    <row r="367">
      <c r="A367" s="5"/>
      <c r="B367" s="16" t="s">
        <v>391</v>
      </c>
      <c r="C367" s="22">
        <f>(2)*(1)*(1)*(1)*(1 + (0))</f>
      </c>
      <c r="D367" s="22" t="s">
        <v>24</v>
      </c>
      <c r="E367" s="22"/>
      <c r="F367" s="22">
        <f>C367*E367</f>
      </c>
    </row>
    <row r="368">
      <c r="A368" s="4"/>
      <c r="B368" s="12" t="s">
        <v>392</v>
      </c>
      <c r="C368" s="21"/>
      <c r="D368" s="21"/>
      <c r="E368" s="21"/>
      <c r="F368" s="21"/>
    </row>
    <row r="369">
      <c r="A369" s="6"/>
      <c r="B369" s="15" t="s">
        <v>293</v>
      </c>
      <c r="C369" s="23"/>
      <c r="D369" s="23"/>
      <c r="E369" s="23"/>
      <c r="F369" s="23"/>
    </row>
    <row r="370">
      <c r="A370" s="5"/>
      <c r="B370" s="16" t="s">
        <v>393</v>
      </c>
      <c r="C370" s="22">
        <f>(178)*(1)*(1)*(1)*(1 + (0))</f>
      </c>
      <c r="D370" s="22" t="s">
        <v>24</v>
      </c>
      <c r="E370" s="22"/>
      <c r="F370" s="22">
        <f>C370*E370</f>
      </c>
    </row>
    <row r="371">
      <c r="A371" s="5"/>
      <c r="B371" s="16" t="s">
        <v>394</v>
      </c>
      <c r="C371" s="22">
        <f>(16)*(1)*(1)*(1)*(1 + (0))</f>
      </c>
      <c r="D371" s="22" t="s">
        <v>24</v>
      </c>
      <c r="E371" s="22"/>
      <c r="F371" s="22">
        <f>C371*E371</f>
      </c>
    </row>
    <row r="372">
      <c r="A372" s="6"/>
      <c r="B372" s="15" t="s">
        <v>298</v>
      </c>
      <c r="C372" s="23"/>
      <c r="D372" s="23"/>
      <c r="E372" s="23"/>
      <c r="F372" s="23"/>
    </row>
    <row r="373">
      <c r="A373" s="5"/>
      <c r="B373" s="16" t="s">
        <v>394</v>
      </c>
      <c r="C373" s="22">
        <f>(10)*(1)*(1)*(1)*(1 + (0))</f>
      </c>
      <c r="D373" s="22" t="s">
        <v>24</v>
      </c>
      <c r="E373" s="22"/>
      <c r="F373" s="22">
        <f>C373*E373</f>
      </c>
    </row>
    <row r="374">
      <c r="A374" s="5"/>
      <c r="B374" s="16" t="s">
        <v>393</v>
      </c>
      <c r="C374" s="22">
        <f>(227)*(1)*(1)*(1)*(1 + (0))</f>
      </c>
      <c r="D374" s="22" t="s">
        <v>24</v>
      </c>
      <c r="E374" s="22"/>
      <c r="F374" s="22">
        <f>C374*E374</f>
      </c>
    </row>
    <row r="375">
      <c r="A375" s="4"/>
      <c r="B375" s="12" t="s">
        <v>395</v>
      </c>
      <c r="C375" s="21"/>
      <c r="D375" s="21"/>
      <c r="E375" s="21"/>
      <c r="F375" s="21"/>
    </row>
    <row r="376">
      <c r="A376" s="6"/>
      <c r="B376" s="15" t="s">
        <v>304</v>
      </c>
      <c r="C376" s="23"/>
      <c r="D376" s="23"/>
      <c r="E376" s="23"/>
      <c r="F376" s="23"/>
    </row>
    <row r="377">
      <c r="A377" s="5"/>
      <c r="B377" s="16" t="s">
        <v>293</v>
      </c>
      <c r="C377" s="22"/>
      <c r="D377" s="22"/>
      <c r="E377" s="22"/>
      <c r="F377" s="22"/>
    </row>
    <row r="378">
      <c r="A378" s="5"/>
      <c r="B378" s="17" t="s">
        <v>396</v>
      </c>
      <c r="C378" s="22">
        <f>(56)*(1)*(1)*(1)*(1 + (0))</f>
      </c>
      <c r="D378" s="22" t="s">
        <v>24</v>
      </c>
      <c r="E378" s="22"/>
      <c r="F378" s="22">
        <f>C378*E378</f>
      </c>
    </row>
    <row r="379">
      <c r="A379" s="6"/>
      <c r="B379" s="15" t="s">
        <v>307</v>
      </c>
      <c r="C379" s="23"/>
      <c r="D379" s="23"/>
      <c r="E379" s="23"/>
      <c r="F379" s="23"/>
    </row>
    <row r="380">
      <c r="A380" s="5"/>
      <c r="B380" s="16" t="s">
        <v>293</v>
      </c>
      <c r="C380" s="22"/>
      <c r="D380" s="22"/>
      <c r="E380" s="22"/>
      <c r="F380" s="22"/>
    </row>
    <row r="381">
      <c r="A381" s="5"/>
      <c r="B381" s="17" t="s">
        <v>396</v>
      </c>
      <c r="C381" s="22">
        <f>(158)*(1)*(1)*(1)*(1 + (0))</f>
      </c>
      <c r="D381" s="22" t="s">
        <v>24</v>
      </c>
      <c r="E381" s="22"/>
      <c r="F381" s="22">
        <f>C381*E381</f>
      </c>
    </row>
    <row r="382">
      <c r="A382" s="4"/>
      <c r="B382" s="12" t="s">
        <v>397</v>
      </c>
      <c r="C382" s="21"/>
      <c r="D382" s="21"/>
      <c r="E382" s="21"/>
      <c r="F382" s="21"/>
    </row>
    <row r="383">
      <c r="A383" s="6"/>
      <c r="B383" s="15" t="s">
        <v>313</v>
      </c>
      <c r="C383" s="23"/>
      <c r="D383" s="23"/>
      <c r="E383" s="23"/>
      <c r="F383" s="23"/>
    </row>
    <row r="384">
      <c r="A384" s="5"/>
      <c r="B384" s="16" t="s">
        <v>398</v>
      </c>
      <c r="C384" s="22">
        <f>(355)*(1)*(1)*(1)*(1 + (0))</f>
      </c>
      <c r="D384" s="22" t="s">
        <v>153</v>
      </c>
      <c r="E384" s="22"/>
      <c r="F384" s="22">
        <f>C384*E384</f>
      </c>
    </row>
    <row r="385">
      <c r="A385" s="6"/>
      <c r="B385" s="15" t="s">
        <v>316</v>
      </c>
      <c r="C385" s="23"/>
      <c r="D385" s="23"/>
      <c r="E385" s="23"/>
      <c r="F385" s="23"/>
    </row>
    <row r="386">
      <c r="A386" s="5"/>
      <c r="B386" s="16" t="s">
        <v>398</v>
      </c>
      <c r="C386" s="22">
        <f>(77)*(1)*(1)*(1)*(1 + (0))</f>
      </c>
      <c r="D386" s="22" t="s">
        <v>153</v>
      </c>
      <c r="E386" s="22"/>
      <c r="F386" s="22">
        <f>C386*E386</f>
      </c>
    </row>
    <row r="387">
      <c r="A387" s="3"/>
      <c r="B387" s="11" t="s">
        <v>399</v>
      </c>
      <c r="C387" s="20"/>
      <c r="D387" s="20"/>
      <c r="E387" s="20"/>
      <c r="F387" s="20"/>
    </row>
    <row r="388">
      <c r="A388" s="4"/>
      <c r="B388" s="12" t="s">
        <v>400</v>
      </c>
      <c r="C388" s="21"/>
      <c r="D388" s="21"/>
      <c r="E388" s="21"/>
      <c r="F388" s="21"/>
    </row>
    <row r="389">
      <c r="A389" s="6"/>
      <c r="B389" s="15" t="s">
        <v>247</v>
      </c>
      <c r="C389" s="23"/>
      <c r="D389" s="23"/>
      <c r="E389" s="23"/>
      <c r="F389" s="23"/>
    </row>
    <row r="390">
      <c r="A390" s="5"/>
      <c r="B390" s="16" t="s">
        <v>401</v>
      </c>
      <c r="C390" s="22">
        <f>(39)*(1)*(1)*(1)*(1 + (0))</f>
      </c>
      <c r="D390" s="22" t="s">
        <v>24</v>
      </c>
      <c r="E390" s="22"/>
      <c r="F390" s="22">
        <f>C390*E390</f>
      </c>
    </row>
    <row r="391">
      <c r="A391" s="5"/>
      <c r="B391" s="16" t="s">
        <v>402</v>
      </c>
      <c r="C391" s="22">
        <f>(49)*(1)*(1)*(1)*(1 + (0))</f>
      </c>
      <c r="D391" s="22" t="s">
        <v>24</v>
      </c>
      <c r="E391" s="22"/>
      <c r="F391" s="22">
        <f>C391*E391</f>
      </c>
    </row>
    <row r="392">
      <c r="A392" s="5"/>
      <c r="B392" s="16" t="s">
        <v>403</v>
      </c>
      <c r="C392" s="22">
        <f>(4)*(1)*(1)*(1)*(1 + (0))</f>
      </c>
      <c r="D392" s="22" t="s">
        <v>24</v>
      </c>
      <c r="E392" s="22"/>
      <c r="F392" s="22">
        <f>C392*E392</f>
      </c>
    </row>
    <row r="393">
      <c r="A393" s="4"/>
      <c r="B393" s="12" t="s">
        <v>404</v>
      </c>
      <c r="C393" s="21"/>
      <c r="D393" s="21"/>
      <c r="E393" s="21"/>
      <c r="F393" s="21"/>
    </row>
    <row r="394">
      <c r="A394" s="6"/>
      <c r="B394" s="15" t="s">
        <v>252</v>
      </c>
      <c r="C394" s="23"/>
      <c r="D394" s="23"/>
      <c r="E394" s="23"/>
      <c r="F394" s="23"/>
    </row>
    <row r="395">
      <c r="A395" s="5"/>
      <c r="B395" s="16" t="s">
        <v>405</v>
      </c>
      <c r="C395" s="22">
        <f>(13)*(1)*(1)*(1)*(1 + (0))</f>
      </c>
      <c r="D395" s="22" t="s">
        <v>24</v>
      </c>
      <c r="E395" s="22"/>
      <c r="F395" s="22">
        <f>C395*E395</f>
      </c>
    </row>
    <row r="396">
      <c r="A396" s="4"/>
      <c r="B396" s="12" t="s">
        <v>406</v>
      </c>
      <c r="C396" s="21"/>
      <c r="D396" s="21"/>
      <c r="E396" s="21"/>
      <c r="F396" s="21"/>
    </row>
    <row r="397">
      <c r="A397" s="6"/>
      <c r="B397" s="15" t="s">
        <v>252</v>
      </c>
      <c r="C397" s="23"/>
      <c r="D397" s="23"/>
      <c r="E397" s="23"/>
      <c r="F397" s="23"/>
    </row>
    <row r="398">
      <c r="A398" s="5"/>
      <c r="B398" s="16" t="s">
        <v>407</v>
      </c>
      <c r="C398" s="22">
        <f>(23)*(1)*(1)*(1)*(1 + (0))</f>
      </c>
      <c r="D398" s="22" t="s">
        <v>24</v>
      </c>
      <c r="E398" s="22"/>
      <c r="F398" s="22">
        <f>C398*E398</f>
      </c>
    </row>
    <row r="399">
      <c r="A399" s="4"/>
      <c r="B399" s="12" t="s">
        <v>408</v>
      </c>
      <c r="C399" s="21"/>
      <c r="D399" s="21"/>
      <c r="E399" s="21"/>
      <c r="F399" s="21"/>
    </row>
    <row r="400">
      <c r="A400" s="6"/>
      <c r="B400" s="15" t="s">
        <v>247</v>
      </c>
      <c r="C400" s="23"/>
      <c r="D400" s="23"/>
      <c r="E400" s="23"/>
      <c r="F400" s="23"/>
    </row>
    <row r="401">
      <c r="A401" s="5"/>
      <c r="B401" s="16" t="s">
        <v>409</v>
      </c>
      <c r="C401" s="22">
        <f>(473)*(1)*(1)*(1)*(1 + (0))</f>
      </c>
      <c r="D401" s="22" t="s">
        <v>153</v>
      </c>
      <c r="E401" s="22"/>
      <c r="F401" s="22">
        <f>C401*E401</f>
      </c>
    </row>
    <row r="402">
      <c r="A402" s="5"/>
      <c r="B402" s="16" t="s">
        <v>410</v>
      </c>
      <c r="C402" s="22">
        <f>(64)*(1)*(1)*(1)*(1 + (0))</f>
      </c>
      <c r="D402" s="22" t="s">
        <v>24</v>
      </c>
      <c r="E402" s="22"/>
      <c r="F402" s="22">
        <f>C402*E402</f>
      </c>
    </row>
    <row r="403">
      <c r="A403" s="4"/>
      <c r="B403" s="12" t="s">
        <v>411</v>
      </c>
      <c r="C403" s="21"/>
      <c r="D403" s="21"/>
      <c r="E403" s="21"/>
      <c r="F403" s="21"/>
    </row>
    <row r="404">
      <c r="A404" s="6"/>
      <c r="B404" s="15" t="s">
        <v>247</v>
      </c>
      <c r="C404" s="23"/>
      <c r="D404" s="23"/>
      <c r="E404" s="23"/>
      <c r="F404" s="23"/>
    </row>
    <row r="405">
      <c r="A405" s="5"/>
      <c r="B405" s="16" t="s">
        <v>412</v>
      </c>
      <c r="C405" s="22">
        <f>(7)*(1)*(1)*(1)*(1 + (0))</f>
      </c>
      <c r="D405" s="22" t="s">
        <v>24</v>
      </c>
      <c r="E405" s="22"/>
      <c r="F405" s="22">
        <f>C405*E405</f>
      </c>
    </row>
    <row r="406">
      <c r="A406" s="5"/>
      <c r="B406" s="16" t="s">
        <v>413</v>
      </c>
      <c r="C406" s="22">
        <f>(229)*(1)*(1)*(1)*(1 + (0))</f>
      </c>
      <c r="D406" s="22" t="s">
        <v>153</v>
      </c>
      <c r="E406" s="22"/>
      <c r="F406" s="22">
        <f>C406*E406</f>
      </c>
    </row>
    <row r="407">
      <c r="A407" s="5"/>
      <c r="B407" s="16" t="s">
        <v>414</v>
      </c>
      <c r="C407" s="22">
        <f>(96)*(1)*(1)*(1)*(1 + (0))</f>
      </c>
      <c r="D407" s="22" t="s">
        <v>153</v>
      </c>
      <c r="E407" s="22"/>
      <c r="F407" s="22">
        <f>C407*E407</f>
      </c>
    </row>
    <row r="408">
      <c r="A408" s="5"/>
      <c r="B408" s="16" t="s">
        <v>415</v>
      </c>
      <c r="C408" s="22">
        <f>(88)*(1)*(1)*(1)*(1 + (0))</f>
      </c>
      <c r="D408" s="22" t="s">
        <v>153</v>
      </c>
      <c r="E408" s="22"/>
      <c r="F408" s="22">
        <f>C408*E408</f>
      </c>
    </row>
    <row r="409">
      <c r="A409" s="5"/>
      <c r="B409" s="16" t="s">
        <v>416</v>
      </c>
      <c r="C409" s="22">
        <f>(1302)*(1)*(1)*(1)*(1 + (0))</f>
      </c>
      <c r="D409" s="22" t="s">
        <v>24</v>
      </c>
      <c r="E409" s="22"/>
      <c r="F409" s="22">
        <f>C409*E409</f>
      </c>
    </row>
    <row r="410">
      <c r="A410" s="4"/>
      <c r="B410" s="12" t="s">
        <v>392</v>
      </c>
      <c r="C410" s="21"/>
      <c r="D410" s="21"/>
      <c r="E410" s="21"/>
      <c r="F410" s="21"/>
    </row>
    <row r="411">
      <c r="A411" s="6"/>
      <c r="B411" s="15" t="s">
        <v>293</v>
      </c>
      <c r="C411" s="23"/>
      <c r="D411" s="23"/>
      <c r="E411" s="23"/>
      <c r="F411" s="23"/>
    </row>
    <row r="412">
      <c r="A412" s="5"/>
      <c r="B412" s="16" t="s">
        <v>417</v>
      </c>
      <c r="C412" s="22">
        <f>(12)*(1)*(1)*(1)*(1 + (0))</f>
      </c>
      <c r="D412" s="22" t="s">
        <v>24</v>
      </c>
      <c r="E412" s="22"/>
      <c r="F412" s="22">
        <f>C412*E412</f>
      </c>
    </row>
    <row r="413">
      <c r="A413" s="5"/>
      <c r="B413" s="16" t="s">
        <v>418</v>
      </c>
      <c r="C413" s="22">
        <f>(36)*(1)*(1)*(1)*(1 + (0))</f>
      </c>
      <c r="D413" s="22" t="s">
        <v>24</v>
      </c>
      <c r="E413" s="22"/>
      <c r="F413" s="22">
        <f>C413*E413</f>
      </c>
    </row>
    <row r="414">
      <c r="A414" s="5"/>
      <c r="B414" s="16" t="s">
        <v>393</v>
      </c>
      <c r="C414" s="22">
        <f>(22)*(1)*(1)*(1)*(1 + (0))</f>
      </c>
      <c r="D414" s="22" t="s">
        <v>24</v>
      </c>
      <c r="E414" s="22"/>
      <c r="F414" s="22">
        <f>C414*E414</f>
      </c>
    </row>
    <row r="415">
      <c r="A415" s="6"/>
      <c r="B415" s="15" t="s">
        <v>298</v>
      </c>
      <c r="C415" s="23"/>
      <c r="D415" s="23"/>
      <c r="E415" s="23"/>
      <c r="F415" s="23"/>
    </row>
    <row r="416">
      <c r="A416" s="5"/>
      <c r="B416" s="16" t="s">
        <v>417</v>
      </c>
      <c r="C416" s="22">
        <f>(9)*(1)*(1)*(1)*(1 + (0))</f>
      </c>
      <c r="D416" s="22" t="s">
        <v>24</v>
      </c>
      <c r="E416" s="22"/>
      <c r="F416" s="22">
        <f>C416*E416</f>
      </c>
    </row>
    <row r="417">
      <c r="A417" s="5"/>
      <c r="B417" s="16" t="s">
        <v>418</v>
      </c>
      <c r="C417" s="22">
        <f>(10)*(1)*(1)*(1)*(1 + (0))</f>
      </c>
      <c r="D417" s="22" t="s">
        <v>24</v>
      </c>
      <c r="E417" s="22"/>
      <c r="F417" s="22">
        <f>C417*E417</f>
      </c>
    </row>
    <row r="418">
      <c r="A418" s="5"/>
      <c r="B418" s="16" t="s">
        <v>419</v>
      </c>
      <c r="C418" s="22">
        <f>(11)*(1)*(1)*(1)*(1 + (0))</f>
      </c>
      <c r="D418" s="22" t="s">
        <v>24</v>
      </c>
      <c r="E418" s="22"/>
      <c r="F418" s="22">
        <f>C418*E418</f>
      </c>
    </row>
    <row r="419">
      <c r="A419" s="4"/>
      <c r="B419" s="12" t="s">
        <v>395</v>
      </c>
      <c r="C419" s="21"/>
      <c r="D419" s="21"/>
      <c r="E419" s="21"/>
      <c r="F419" s="21"/>
    </row>
    <row r="420">
      <c r="A420" s="6"/>
      <c r="B420" s="15" t="s">
        <v>304</v>
      </c>
      <c r="C420" s="23"/>
      <c r="D420" s="23"/>
      <c r="E420" s="23"/>
      <c r="F420" s="23"/>
    </row>
    <row r="421">
      <c r="A421" s="5"/>
      <c r="B421" s="16" t="s">
        <v>252</v>
      </c>
      <c r="C421" s="22"/>
      <c r="D421" s="22"/>
      <c r="E421" s="22"/>
      <c r="F421" s="22"/>
    </row>
    <row r="422">
      <c r="A422" s="5"/>
      <c r="B422" s="17" t="s">
        <v>420</v>
      </c>
      <c r="C422" s="22">
        <f>(63)*(1)*(1)*(1)*(1 + (0))</f>
      </c>
      <c r="D422" s="22" t="s">
        <v>24</v>
      </c>
      <c r="E422" s="22"/>
      <c r="F422" s="22">
        <f>C422*E422</f>
      </c>
    </row>
    <row r="423">
      <c r="A423" s="6"/>
      <c r="B423" s="15" t="s">
        <v>307</v>
      </c>
      <c r="C423" s="23"/>
      <c r="D423" s="23"/>
      <c r="E423" s="23"/>
      <c r="F423" s="23"/>
    </row>
    <row r="424">
      <c r="A424" s="5"/>
      <c r="B424" s="16" t="s">
        <v>308</v>
      </c>
      <c r="C424" s="22"/>
      <c r="D424" s="22"/>
      <c r="E424" s="22"/>
      <c r="F424" s="22"/>
    </row>
    <row r="425">
      <c r="A425" s="5"/>
      <c r="B425" s="17" t="s">
        <v>421</v>
      </c>
      <c r="C425" s="22">
        <f>(33)*(1)*(1)*(1)*(1 + (0))</f>
      </c>
      <c r="D425" s="22" t="s">
        <v>24</v>
      </c>
      <c r="E425" s="22"/>
      <c r="F425" s="22">
        <f>C425*E425</f>
      </c>
    </row>
    <row r="426">
      <c r="A426" s="5"/>
      <c r="B426" s="16" t="s">
        <v>293</v>
      </c>
      <c r="C426" s="22"/>
      <c r="D426" s="22"/>
      <c r="E426" s="22"/>
      <c r="F426" s="22"/>
    </row>
    <row r="427">
      <c r="A427" s="5"/>
      <c r="B427" s="17" t="s">
        <v>422</v>
      </c>
      <c r="C427" s="22">
        <f>(78)*(1)*(1)*(1)*(1 + (0))</f>
      </c>
      <c r="D427" s="22" t="s">
        <v>24</v>
      </c>
      <c r="E427" s="22"/>
      <c r="F427" s="22">
        <f>C427*E427</f>
      </c>
    </row>
    <row r="428">
      <c r="A428" s="5"/>
      <c r="B428" s="16" t="s">
        <v>311</v>
      </c>
      <c r="C428" s="22"/>
      <c r="D428" s="22"/>
      <c r="E428" s="22"/>
      <c r="F428" s="22"/>
    </row>
    <row r="429">
      <c r="A429" s="5"/>
      <c r="B429" s="17" t="s">
        <v>423</v>
      </c>
      <c r="C429" s="22">
        <f>(83)*(1)*(1)*(1)*(1 + (0))</f>
      </c>
      <c r="D429" s="22" t="s">
        <v>24</v>
      </c>
      <c r="E429" s="22"/>
      <c r="F429" s="22">
        <f>C429*E429</f>
      </c>
    </row>
    <row r="430">
      <c r="A430" s="4"/>
      <c r="B430" s="12" t="s">
        <v>424</v>
      </c>
      <c r="C430" s="21"/>
      <c r="D430" s="21"/>
      <c r="E430" s="21"/>
      <c r="F430" s="21"/>
    </row>
    <row r="431">
      <c r="A431" s="6"/>
      <c r="B431" s="15" t="s">
        <v>323</v>
      </c>
      <c r="C431" s="23"/>
      <c r="D431" s="23"/>
      <c r="E431" s="23"/>
      <c r="F431" s="23"/>
    </row>
    <row r="432">
      <c r="A432" s="5"/>
      <c r="B432" s="16" t="s">
        <v>425</v>
      </c>
      <c r="C432" s="22">
        <f>(16)*(1)*(1)*(1)*(1 + (0))</f>
      </c>
      <c r="D432" s="22" t="s">
        <v>24</v>
      </c>
      <c r="E432" s="22"/>
      <c r="F432" s="22">
        <f>C432*E432</f>
      </c>
    </row>
    <row r="433">
      <c r="A433" s="5"/>
      <c r="B433" s="16" t="s">
        <v>426</v>
      </c>
      <c r="C433" s="22">
        <f>(14)*(1)*(1)*(1)*(1 + (0))</f>
      </c>
      <c r="D433" s="22" t="s">
        <v>153</v>
      </c>
      <c r="E433" s="22"/>
      <c r="F433" s="22">
        <f>C433*E433</f>
      </c>
    </row>
    <row r="434">
      <c r="A434" s="5"/>
      <c r="B434" s="16" t="s">
        <v>427</v>
      </c>
      <c r="C434" s="22">
        <f>(51)*(1)*(1)*(1)*(1 + (0))</f>
      </c>
      <c r="D434" s="22" t="s">
        <v>153</v>
      </c>
      <c r="E434" s="22"/>
      <c r="F434" s="22">
        <f>C434*E434</f>
      </c>
    </row>
    <row r="435">
      <c r="A435" s="5"/>
      <c r="B435" s="16" t="s">
        <v>428</v>
      </c>
      <c r="C435" s="22">
        <f>(27)*(1)*(1)*(1)*(1 + (0))</f>
      </c>
      <c r="D435" s="22" t="s">
        <v>24</v>
      </c>
      <c r="E435" s="22"/>
      <c r="F435" s="22">
        <f>C435*E435</f>
      </c>
    </row>
    <row r="436">
      <c r="A436" s="5"/>
      <c r="B436" s="16" t="s">
        <v>429</v>
      </c>
      <c r="C436" s="22">
        <f>(31)*(1)*(1)*(1)*(1 + (0))</f>
      </c>
      <c r="D436" s="22" t="s">
        <v>153</v>
      </c>
      <c r="E436" s="22"/>
      <c r="F436" s="22">
        <f>C436*E436</f>
      </c>
    </row>
    <row r="437">
      <c r="A437" s="5"/>
      <c r="B437" s="16" t="s">
        <v>430</v>
      </c>
      <c r="C437" s="22">
        <f>(8)*(1)*(1)*(1)*(1 + (0))</f>
      </c>
      <c r="D437" s="22" t="s">
        <v>153</v>
      </c>
      <c r="E437" s="22"/>
      <c r="F437" s="22">
        <f>C437*E437</f>
      </c>
    </row>
    <row r="438">
      <c r="A438" s="6"/>
      <c r="B438" s="15" t="s">
        <v>324</v>
      </c>
      <c r="C438" s="23"/>
      <c r="D438" s="23"/>
      <c r="E438" s="23"/>
      <c r="F438" s="23"/>
    </row>
    <row r="439">
      <c r="A439" s="5"/>
      <c r="B439" s="16" t="s">
        <v>425</v>
      </c>
      <c r="C439" s="22">
        <f>(16)*(1)*(1)*(1)*(1 + (0))</f>
      </c>
      <c r="D439" s="22" t="s">
        <v>24</v>
      </c>
      <c r="E439" s="22"/>
      <c r="F439" s="22">
        <f>C439*E439</f>
      </c>
    </row>
    <row r="440">
      <c r="A440" s="5"/>
      <c r="B440" s="16" t="s">
        <v>426</v>
      </c>
      <c r="C440" s="22">
        <f>(14)*(1)*(1)*(1)*(1 + (0))</f>
      </c>
      <c r="D440" s="22" t="s">
        <v>153</v>
      </c>
      <c r="E440" s="22"/>
      <c r="F440" s="22">
        <f>C440*E440</f>
      </c>
    </row>
    <row r="441">
      <c r="A441" s="5"/>
      <c r="B441" s="16" t="s">
        <v>427</v>
      </c>
      <c r="C441" s="22">
        <f>(51)*(1)*(1)*(1)*(1 + (0))</f>
      </c>
      <c r="D441" s="22" t="s">
        <v>153</v>
      </c>
      <c r="E441" s="22"/>
      <c r="F441" s="22">
        <f>C441*E441</f>
      </c>
    </row>
    <row r="442">
      <c r="A442" s="5"/>
      <c r="B442" s="16" t="s">
        <v>428</v>
      </c>
      <c r="C442" s="22">
        <f>(32)*(1)*(1)*(1)*(1 + (0))</f>
      </c>
      <c r="D442" s="22" t="s">
        <v>24</v>
      </c>
      <c r="E442" s="22"/>
      <c r="F442" s="22">
        <f>C442*E442</f>
      </c>
    </row>
    <row r="443">
      <c r="A443" s="5"/>
      <c r="B443" s="16" t="s">
        <v>429</v>
      </c>
      <c r="C443" s="22">
        <f>(32)*(1)*(1)*(1)*(1 + (0))</f>
      </c>
      <c r="D443" s="22" t="s">
        <v>153</v>
      </c>
      <c r="E443" s="22"/>
      <c r="F443" s="22">
        <f>C443*E443</f>
      </c>
    </row>
    <row r="444">
      <c r="A444" s="5"/>
      <c r="B444" s="16" t="s">
        <v>430</v>
      </c>
      <c r="C444" s="22">
        <f>(12)*(1)*(1)*(1)*(1 + (0))</f>
      </c>
      <c r="D444" s="22" t="s">
        <v>153</v>
      </c>
      <c r="E444" s="22"/>
      <c r="F444" s="22">
        <f>C444*E444</f>
      </c>
    </row>
    <row r="445">
      <c r="A445" s="2"/>
      <c r="B445" s="10" t="s">
        <v>178</v>
      </c>
      <c r="C445" s="19"/>
      <c r="D445" s="19"/>
      <c r="E445" s="19"/>
      <c r="F445" s="19"/>
    </row>
    <row r="446">
      <c r="A446" s="3"/>
      <c r="B446" s="11" t="s">
        <v>37</v>
      </c>
      <c r="C446" s="20"/>
      <c r="D446" s="20"/>
      <c r="E446" s="20"/>
      <c r="F446" s="20"/>
    </row>
    <row r="447">
      <c r="A447" s="5" t="s">
        <v>431</v>
      </c>
      <c r="B447" s="14" t="s">
        <v>39</v>
      </c>
      <c r="C447" s="22"/>
      <c r="D447" s="22" t="s">
        <v>10</v>
      </c>
      <c r="E447" s="22"/>
      <c r="F447" s="22">
        <f>C447*E447</f>
      </c>
    </row>
    <row r="448">
      <c r="A448" s="5" t="s">
        <v>432</v>
      </c>
      <c r="B448" s="14" t="s">
        <v>41</v>
      </c>
      <c r="C448" s="22"/>
      <c r="D448" s="22" t="s">
        <v>10</v>
      </c>
      <c r="E448" s="22"/>
      <c r="F448" s="22">
        <f>C448*E448</f>
      </c>
    </row>
    <row r="449">
      <c r="A449" s="3"/>
      <c r="B449" s="11" t="s">
        <v>42</v>
      </c>
      <c r="C449" s="20"/>
      <c r="D449" s="20"/>
      <c r="E449" s="20"/>
      <c r="F449" s="20"/>
    </row>
    <row r="450">
      <c r="A450" s="5"/>
      <c r="B450" s="14" t="s">
        <v>118</v>
      </c>
      <c r="C450" s="22"/>
      <c r="D450" s="22" t="s">
        <v>10</v>
      </c>
      <c r="E450" s="22"/>
      <c r="F450" s="22">
        <f>C450*E450</f>
      </c>
    </row>
    <row r="451">
      <c r="A451" s="5"/>
      <c r="B451" s="14" t="s">
        <v>43</v>
      </c>
      <c r="C451" s="22"/>
      <c r="D451" s="22" t="s">
        <v>10</v>
      </c>
      <c r="E451" s="22"/>
      <c r="F451" s="22">
        <f>C451*E451</f>
      </c>
    </row>
    <row r="452">
      <c r="A452" s="5"/>
      <c r="B452" s="14" t="s">
        <v>210</v>
      </c>
      <c r="C452" s="22"/>
      <c r="D452" s="22" t="s">
        <v>10</v>
      </c>
      <c r="E452" s="22"/>
      <c r="F452" s="22">
        <f>C452*E452</f>
      </c>
    </row>
    <row r="453">
      <c r="A453" s="3"/>
      <c r="B453" s="11" t="s">
        <v>44</v>
      </c>
      <c r="C453" s="20"/>
      <c r="D453" s="20"/>
      <c r="E453" s="20"/>
      <c r="F453" s="20"/>
    </row>
    <row r="454">
      <c r="A454" s="4"/>
      <c r="B454" s="12" t="s">
        <v>45</v>
      </c>
      <c r="C454" s="21"/>
      <c r="D454" s="21"/>
      <c r="E454" s="21"/>
      <c r="F454" s="21"/>
    </row>
    <row r="455">
      <c r="A455" s="5" t="s">
        <v>433</v>
      </c>
      <c r="B455" s="13" t="s">
        <v>434</v>
      </c>
      <c r="C455" s="22"/>
      <c r="D455" s="22" t="s">
        <v>10</v>
      </c>
      <c r="E455" s="22"/>
      <c r="F455" s="22">
        <f>C455*E455</f>
      </c>
    </row>
    <row r="456">
      <c r="A456" s="5" t="s">
        <v>435</v>
      </c>
      <c r="B456" s="13" t="s">
        <v>436</v>
      </c>
      <c r="C456" s="22"/>
      <c r="D456" s="22" t="s">
        <v>10</v>
      </c>
      <c r="E456" s="22"/>
      <c r="F456" s="22">
        <f>C456*E456</f>
      </c>
    </row>
    <row r="457">
      <c r="A457" s="5" t="s">
        <v>437</v>
      </c>
      <c r="B457" s="13" t="s">
        <v>438</v>
      </c>
      <c r="C457" s="22"/>
      <c r="D457" s="22" t="s">
        <v>10</v>
      </c>
      <c r="E457" s="22"/>
      <c r="F457" s="22">
        <f>C457*E457</f>
      </c>
    </row>
    <row r="458">
      <c r="A458" s="5" t="s">
        <v>439</v>
      </c>
      <c r="B458" s="13" t="s">
        <v>440</v>
      </c>
      <c r="C458" s="22"/>
      <c r="D458" s="22" t="s">
        <v>10</v>
      </c>
      <c r="E458" s="22"/>
      <c r="F458" s="22">
        <f>C458*E458</f>
      </c>
    </row>
    <row r="459">
      <c r="A459" s="5" t="s">
        <v>441</v>
      </c>
      <c r="B459" s="13" t="s">
        <v>123</v>
      </c>
      <c r="C459" s="22"/>
      <c r="D459" s="22" t="s">
        <v>10</v>
      </c>
      <c r="E459" s="22"/>
      <c r="F459" s="22">
        <f>C459*E459</f>
      </c>
    </row>
    <row r="460">
      <c r="A460" s="3"/>
      <c r="B460" s="11" t="s">
        <v>68</v>
      </c>
      <c r="C460" s="20"/>
      <c r="D460" s="20"/>
      <c r="E460" s="20"/>
      <c r="F460" s="20"/>
    </row>
    <row r="461">
      <c r="A461" s="5" t="s">
        <v>442</v>
      </c>
      <c r="B461" s="14" t="s">
        <v>70</v>
      </c>
      <c r="C461" s="22">
        <f>(1)*(1)*(1)*(1)*(1 + (0))</f>
      </c>
      <c r="D461" s="22" t="s">
        <v>71</v>
      </c>
      <c r="E461" s="22"/>
      <c r="F461" s="22">
        <f>C461*E461</f>
      </c>
    </row>
    <row r="462">
      <c r="A462" s="5" t="s">
        <v>443</v>
      </c>
      <c r="B462" s="14" t="s">
        <v>73</v>
      </c>
      <c r="C462" s="22">
        <f>(1)*(1)*(1)*(1)*(1 + (0))</f>
      </c>
      <c r="D462" s="22" t="s">
        <v>71</v>
      </c>
      <c r="E462" s="22"/>
      <c r="F462" s="22">
        <f>C462*E462</f>
      </c>
    </row>
    <row r="463">
      <c r="A463" s="5" t="s">
        <v>444</v>
      </c>
      <c r="B463" s="14" t="s">
        <v>445</v>
      </c>
      <c r="C463" s="22">
        <f>(1)*(1)*(1)*(1)*(1 + (0))</f>
      </c>
      <c r="D463" s="22" t="s">
        <v>71</v>
      </c>
      <c r="E463" s="22"/>
      <c r="F463" s="22">
        <f>C463*E463</f>
      </c>
    </row>
    <row r="464">
      <c r="A464" s="5" t="s">
        <v>446</v>
      </c>
      <c r="B464" s="14" t="s">
        <v>447</v>
      </c>
      <c r="C464" s="22">
        <f>(1)*(1)*(1)*(1)*(1 + (0))</f>
      </c>
      <c r="D464" s="22" t="s">
        <v>71</v>
      </c>
      <c r="E464" s="22"/>
      <c r="F464" s="22">
        <f>C464*E464</f>
      </c>
    </row>
    <row r="465">
      <c r="A465" s="5" t="s">
        <v>448</v>
      </c>
      <c r="B465" s="14" t="s">
        <v>449</v>
      </c>
      <c r="C465" s="22">
        <f>(1)*(1)*(1)*(1)*(1 + (0))</f>
      </c>
      <c r="D465" s="22" t="s">
        <v>71</v>
      </c>
      <c r="E465" s="22"/>
      <c r="F465" s="22">
        <f>C465*E465</f>
      </c>
    </row>
    <row r="466">
      <c r="A466" s="5" t="s">
        <v>450</v>
      </c>
      <c r="B466" s="14" t="s">
        <v>451</v>
      </c>
      <c r="C466" s="22">
        <f>(1)*(1)*(1)*(1)*(1 + (0))</f>
      </c>
      <c r="D466" s="22" t="s">
        <v>71</v>
      </c>
      <c r="E466" s="22"/>
      <c r="F466" s="22">
        <f>C466*E466</f>
      </c>
    </row>
    <row r="467">
      <c r="A467" s="3"/>
      <c r="B467" s="11" t="s">
        <v>106</v>
      </c>
      <c r="C467" s="20"/>
      <c r="D467" s="20"/>
      <c r="E467" s="20"/>
      <c r="F467" s="20"/>
    </row>
    <row r="468">
      <c r="A468" s="5"/>
      <c r="B468" s="14" t="s">
        <v>452</v>
      </c>
      <c r="C468" s="22"/>
      <c r="D468" s="22" t="s">
        <v>10</v>
      </c>
      <c r="E468" s="22"/>
      <c r="F468" s="22">
        <f>C468*E468</f>
      </c>
    </row>
    <row r="469">
      <c r="A469" s="3"/>
      <c r="B469" s="11" t="s">
        <v>453</v>
      </c>
      <c r="C469" s="20"/>
      <c r="D469" s="20"/>
      <c r="E469" s="20"/>
      <c r="F469" s="20"/>
    </row>
    <row r="470">
      <c r="A470" s="5"/>
      <c r="B470" s="14" t="s">
        <v>454</v>
      </c>
      <c r="C470" s="22">
        <f>(1.25)*(1)*(1)*(1)*(1 + (0))</f>
      </c>
      <c r="D470" s="22" t="s">
        <v>182</v>
      </c>
      <c r="E470" s="22"/>
      <c r="F470" s="22">
        <f>C470*E470</f>
      </c>
    </row>
    <row r="471">
      <c r="A471" s="5"/>
      <c r="B471" s="14" t="s">
        <v>455</v>
      </c>
      <c r="C471" s="22">
        <f>(98.63)*(1)*(1)*(1)*(1 + (0))</f>
      </c>
      <c r="D471" s="22" t="s">
        <v>182</v>
      </c>
      <c r="E471" s="22"/>
      <c r="F471" s="22">
        <f>C471*E471</f>
      </c>
    </row>
    <row r="472">
      <c r="A472" s="5"/>
      <c r="B472" s="14" t="s">
        <v>456</v>
      </c>
      <c r="C472" s="22">
        <f>(31)*(1)*(1)*(1)*(1 + (0))</f>
      </c>
      <c r="D472" s="22" t="s">
        <v>24</v>
      </c>
      <c r="E472" s="22"/>
      <c r="F472" s="22">
        <f>C472*E472</f>
      </c>
    </row>
    <row r="473">
      <c r="A473" s="3"/>
      <c r="B473" s="11" t="s">
        <v>457</v>
      </c>
      <c r="C473" s="20"/>
      <c r="D473" s="20"/>
      <c r="E473" s="20"/>
      <c r="F473" s="20"/>
    </row>
    <row r="474">
      <c r="A474" s="4"/>
      <c r="B474" s="12" t="s">
        <v>397</v>
      </c>
      <c r="C474" s="21"/>
      <c r="D474" s="21"/>
      <c r="E474" s="21"/>
      <c r="F474" s="21"/>
    </row>
    <row r="475">
      <c r="A475" s="6"/>
      <c r="B475" s="15" t="s">
        <v>313</v>
      </c>
      <c r="C475" s="23"/>
      <c r="D475" s="23"/>
      <c r="E475" s="23"/>
      <c r="F475" s="23"/>
    </row>
    <row r="476">
      <c r="A476" s="5"/>
      <c r="B476" s="16" t="s">
        <v>458</v>
      </c>
      <c r="C476" s="22">
        <f>(1.020775822)*(1)*(1)*(1)*(1 + (0))</f>
      </c>
      <c r="D476" s="22" t="s">
        <v>182</v>
      </c>
      <c r="E476" s="22"/>
      <c r="F476" s="22">
        <f>C476*E476</f>
      </c>
    </row>
    <row r="477">
      <c r="A477" s="6"/>
      <c r="B477" s="15" t="s">
        <v>316</v>
      </c>
      <c r="C477" s="23"/>
      <c r="D477" s="23"/>
      <c r="E477" s="23"/>
      <c r="F477" s="23"/>
    </row>
    <row r="478">
      <c r="A478" s="5"/>
      <c r="B478" s="16" t="s">
        <v>458</v>
      </c>
      <c r="C478" s="22">
        <f>(0.23256705)*(1)*(1)*(1)*(1 + (0))</f>
      </c>
      <c r="D478" s="22" t="s">
        <v>182</v>
      </c>
      <c r="E478" s="22"/>
      <c r="F478" s="22">
        <f>C478*E478</f>
      </c>
    </row>
    <row r="479">
      <c r="A479" s="3"/>
      <c r="B479" s="11" t="s">
        <v>459</v>
      </c>
      <c r="C479" s="20"/>
      <c r="D479" s="20"/>
      <c r="E479" s="20"/>
      <c r="F479" s="20"/>
    </row>
    <row r="480">
      <c r="A480" s="4"/>
      <c r="B480" s="12" t="s">
        <v>400</v>
      </c>
      <c r="C480" s="21"/>
      <c r="D480" s="21"/>
      <c r="E480" s="21"/>
      <c r="F480" s="21"/>
    </row>
    <row r="481">
      <c r="A481" s="6"/>
      <c r="B481" s="15" t="s">
        <v>247</v>
      </c>
      <c r="C481" s="23"/>
      <c r="D481" s="23"/>
      <c r="E481" s="23"/>
      <c r="F481" s="23"/>
    </row>
    <row r="482">
      <c r="A482" s="5"/>
      <c r="B482" s="16" t="s">
        <v>460</v>
      </c>
      <c r="C482" s="22">
        <f>(3.7179)*(1)*(1)*(1)*(1 + (0))</f>
      </c>
      <c r="D482" s="22" t="s">
        <v>182</v>
      </c>
      <c r="E482" s="22"/>
      <c r="F482" s="22">
        <f>C482*E482</f>
      </c>
    </row>
    <row r="483">
      <c r="A483" s="4"/>
      <c r="B483" s="12" t="s">
        <v>404</v>
      </c>
      <c r="C483" s="21"/>
      <c r="D483" s="21"/>
      <c r="E483" s="21"/>
      <c r="F483" s="21"/>
    </row>
    <row r="484">
      <c r="A484" s="6"/>
      <c r="B484" s="15" t="s">
        <v>252</v>
      </c>
      <c r="C484" s="23"/>
      <c r="D484" s="23"/>
      <c r="E484" s="23"/>
      <c r="F484" s="23"/>
    </row>
    <row r="485">
      <c r="A485" s="5"/>
      <c r="B485" s="16" t="s">
        <v>461</v>
      </c>
      <c r="C485" s="22">
        <f>(3.19979360675)*(1)*(1)*(1)*(1 + (0))</f>
      </c>
      <c r="D485" s="22" t="s">
        <v>182</v>
      </c>
      <c r="E485" s="22"/>
      <c r="F485" s="22">
        <f>C485*E485</f>
      </c>
    </row>
    <row r="486">
      <c r="A486" s="4"/>
      <c r="B486" s="12" t="s">
        <v>406</v>
      </c>
      <c r="C486" s="21"/>
      <c r="D486" s="21"/>
      <c r="E486" s="21"/>
      <c r="F486" s="21"/>
    </row>
    <row r="487">
      <c r="A487" s="6"/>
      <c r="B487" s="15" t="s">
        <v>252</v>
      </c>
      <c r="C487" s="23"/>
      <c r="D487" s="23"/>
      <c r="E487" s="23"/>
      <c r="F487" s="23"/>
    </row>
    <row r="488">
      <c r="A488" s="5"/>
      <c r="B488" s="16" t="s">
        <v>462</v>
      </c>
      <c r="C488" s="22">
        <f>(1.54184159815368)*(1)*(1)*(1)*(1 + (0))</f>
      </c>
      <c r="D488" s="22" t="s">
        <v>182</v>
      </c>
      <c r="E488" s="22"/>
      <c r="F488" s="22">
        <f>C488*E488</f>
      </c>
    </row>
    <row r="489">
      <c r="A489" s="4"/>
      <c r="B489" s="12" t="s">
        <v>408</v>
      </c>
      <c r="C489" s="21"/>
      <c r="D489" s="21"/>
      <c r="E489" s="21"/>
      <c r="F489" s="21"/>
    </row>
    <row r="490">
      <c r="A490" s="6"/>
      <c r="B490" s="15" t="s">
        <v>247</v>
      </c>
      <c r="C490" s="23"/>
      <c r="D490" s="23"/>
      <c r="E490" s="23"/>
      <c r="F490" s="23"/>
    </row>
    <row r="491">
      <c r="A491" s="5"/>
      <c r="B491" s="16" t="s">
        <v>463</v>
      </c>
      <c r="C491" s="22">
        <f>(19.4151045507172)*(1)*(1)*(1)*(1 + (0))</f>
      </c>
      <c r="D491" s="22" t="s">
        <v>182</v>
      </c>
      <c r="E491" s="22"/>
      <c r="F491" s="22">
        <f>C491*E491</f>
      </c>
    </row>
    <row r="492">
      <c r="A492" s="4"/>
      <c r="B492" s="12" t="s">
        <v>411</v>
      </c>
      <c r="C492" s="21"/>
      <c r="D492" s="21"/>
      <c r="E492" s="21"/>
      <c r="F492" s="21"/>
    </row>
    <row r="493">
      <c r="A493" s="6"/>
      <c r="B493" s="15" t="s">
        <v>247</v>
      </c>
      <c r="C493" s="23"/>
      <c r="D493" s="23"/>
      <c r="E493" s="23"/>
      <c r="F493" s="23"/>
    </row>
    <row r="494">
      <c r="A494" s="5"/>
      <c r="B494" s="16" t="s">
        <v>464</v>
      </c>
      <c r="C494" s="22">
        <f>(19.5885274923284)*(1)*(1)*(1)*(1 + (0))</f>
      </c>
      <c r="D494" s="22" t="s">
        <v>182</v>
      </c>
      <c r="E494" s="22"/>
      <c r="F494" s="22">
        <f>C494*E494</f>
      </c>
    </row>
    <row r="495">
      <c r="A495" s="5"/>
      <c r="B495" s="16" t="s">
        <v>465</v>
      </c>
      <c r="C495" s="22">
        <f>(0.358027848908734)*(1)*(1)*(1)*(1 + (0))</f>
      </c>
      <c r="D495" s="22" t="s">
        <v>182</v>
      </c>
      <c r="E495" s="22"/>
      <c r="F495" s="22">
        <f>C495*E495</f>
      </c>
    </row>
    <row r="496">
      <c r="A496" s="4"/>
      <c r="B496" s="12" t="s">
        <v>382</v>
      </c>
      <c r="C496" s="21"/>
      <c r="D496" s="21"/>
      <c r="E496" s="21"/>
      <c r="F496" s="21"/>
    </row>
    <row r="497">
      <c r="A497" s="6"/>
      <c r="B497" s="15" t="s">
        <v>272</v>
      </c>
      <c r="C497" s="23"/>
      <c r="D497" s="23"/>
      <c r="E497" s="23"/>
      <c r="F497" s="23"/>
    </row>
    <row r="498">
      <c r="A498" s="5"/>
      <c r="B498" s="16" t="s">
        <v>466</v>
      </c>
      <c r="C498" s="22">
        <f>(17.6655491338234)*(1)*(1)*(1)*(1 + (0))</f>
      </c>
      <c r="D498" s="22" t="s">
        <v>182</v>
      </c>
      <c r="E498" s="22"/>
      <c r="F498" s="22">
        <f>C498*E498</f>
      </c>
    </row>
    <row r="499">
      <c r="A499" s="5"/>
      <c r="B499" s="16" t="s">
        <v>467</v>
      </c>
      <c r="C499" s="22">
        <f>(0.299058458538398)*(1)*(1)*(1)*(1 + (0))</f>
      </c>
      <c r="D499" s="22" t="s">
        <v>182</v>
      </c>
      <c r="E499" s="22"/>
      <c r="F499" s="22">
        <f>C499*E499</f>
      </c>
    </row>
    <row r="500">
      <c r="A500" s="5"/>
      <c r="B500" s="16" t="s">
        <v>468</v>
      </c>
      <c r="C500" s="22">
        <f>(0.183678759488453)*(1)*(1)*(1)*(1 + (0))</f>
      </c>
      <c r="D500" s="22" t="s">
        <v>182</v>
      </c>
      <c r="E500" s="22"/>
      <c r="F500" s="22">
        <f>C500*E500</f>
      </c>
    </row>
    <row r="501">
      <c r="A501" s="6"/>
      <c r="B501" s="15" t="s">
        <v>287</v>
      </c>
      <c r="C501" s="23"/>
      <c r="D501" s="23"/>
      <c r="E501" s="23"/>
      <c r="F501" s="23"/>
    </row>
    <row r="502">
      <c r="A502" s="5"/>
      <c r="B502" s="16" t="s">
        <v>468</v>
      </c>
      <c r="C502" s="22">
        <f>(0.6995470629721)*(1)*(1)*(1)*(1 + (0))</f>
      </c>
      <c r="D502" s="22" t="s">
        <v>182</v>
      </c>
      <c r="E502" s="22"/>
      <c r="F502" s="22">
        <f>C502*E502</f>
      </c>
    </row>
    <row r="503">
      <c r="A503" s="4"/>
      <c r="B503" s="12" t="s">
        <v>389</v>
      </c>
      <c r="C503" s="21"/>
      <c r="D503" s="21"/>
      <c r="E503" s="21"/>
      <c r="F503" s="21"/>
    </row>
    <row r="504">
      <c r="A504" s="6"/>
      <c r="B504" s="15" t="s">
        <v>272</v>
      </c>
      <c r="C504" s="23"/>
      <c r="D504" s="23"/>
      <c r="E504" s="23"/>
      <c r="F504" s="23"/>
    </row>
    <row r="505">
      <c r="A505" s="5"/>
      <c r="B505" s="16" t="s">
        <v>469</v>
      </c>
      <c r="C505" s="22">
        <f>(0.0451686478869637)*(1)*(1)*(1)*(1 + (0))</f>
      </c>
      <c r="D505" s="22" t="s">
        <v>182</v>
      </c>
      <c r="E505" s="22"/>
      <c r="F505" s="22">
        <f>C505*E505</f>
      </c>
    </row>
    <row r="506">
      <c r="A506" s="5"/>
      <c r="B506" s="16" t="s">
        <v>470</v>
      </c>
      <c r="C506" s="22">
        <f>(1.22773583105604)*(1)*(1)*(1)*(1 + (0))</f>
      </c>
      <c r="D506" s="22" t="s">
        <v>182</v>
      </c>
      <c r="E506" s="22"/>
      <c r="F506" s="22">
        <f>C506*E506</f>
      </c>
    </row>
    <row r="507">
      <c r="A507" s="4"/>
      <c r="B507" s="12" t="s">
        <v>392</v>
      </c>
      <c r="C507" s="21"/>
      <c r="D507" s="21"/>
      <c r="E507" s="21"/>
      <c r="F507" s="21"/>
    </row>
    <row r="508">
      <c r="A508" s="6"/>
      <c r="B508" s="15" t="s">
        <v>293</v>
      </c>
      <c r="C508" s="23"/>
      <c r="D508" s="23"/>
      <c r="E508" s="23"/>
      <c r="F508" s="23"/>
    </row>
    <row r="509">
      <c r="A509" s="5"/>
      <c r="B509" s="16" t="s">
        <v>471</v>
      </c>
      <c r="C509" s="22">
        <f>(0.2419375)*(1)*(1)*(1)*(1 + (0))</f>
      </c>
      <c r="D509" s="22" t="s">
        <v>182</v>
      </c>
      <c r="E509" s="22"/>
      <c r="F509" s="22">
        <f>C509*E509</f>
      </c>
    </row>
    <row r="510">
      <c r="A510" s="5"/>
      <c r="B510" s="16" t="s">
        <v>472</v>
      </c>
      <c r="C510" s="22">
        <f>(5.589)*(1)*(1)*(1)*(1 + (0))</f>
      </c>
      <c r="D510" s="22" t="s">
        <v>182</v>
      </c>
      <c r="E510" s="22"/>
      <c r="F510" s="22">
        <f>C510*E510</f>
      </c>
    </row>
    <row r="511">
      <c r="A511" s="5"/>
      <c r="B511" s="16" t="s">
        <v>473</v>
      </c>
      <c r="C511" s="22">
        <f>(1.172)*(1)*(1)*(1)*(1 + (0))</f>
      </c>
      <c r="D511" s="22" t="s">
        <v>182</v>
      </c>
      <c r="E511" s="22"/>
      <c r="F511" s="22">
        <f>C511*E511</f>
      </c>
    </row>
    <row r="512">
      <c r="A512" s="5"/>
      <c r="B512" s="16" t="s">
        <v>474</v>
      </c>
      <c r="C512" s="22">
        <f>(0.3156)*(1)*(1)*(1)*(1 + (0))</f>
      </c>
      <c r="D512" s="22" t="s">
        <v>182</v>
      </c>
      <c r="E512" s="22"/>
      <c r="F512" s="22">
        <f>C512*E512</f>
      </c>
    </row>
    <row r="513">
      <c r="A513" s="6"/>
      <c r="B513" s="15" t="s">
        <v>298</v>
      </c>
      <c r="C513" s="23"/>
      <c r="D513" s="23"/>
      <c r="E513" s="23"/>
      <c r="F513" s="23"/>
    </row>
    <row r="514">
      <c r="A514" s="5"/>
      <c r="B514" s="16" t="s">
        <v>474</v>
      </c>
      <c r="C514" s="22">
        <f>(0.192)*(1)*(1)*(1)*(1 + (0))</f>
      </c>
      <c r="D514" s="22" t="s">
        <v>182</v>
      </c>
      <c r="E514" s="22"/>
      <c r="F514" s="22">
        <f>C514*E514</f>
      </c>
    </row>
    <row r="515">
      <c r="A515" s="5"/>
      <c r="B515" s="16" t="s">
        <v>475</v>
      </c>
      <c r="C515" s="22">
        <f>(0.4)*(1)*(1)*(1)*(1 + (0))</f>
      </c>
      <c r="D515" s="22" t="s">
        <v>182</v>
      </c>
      <c r="E515" s="22"/>
      <c r="F515" s="22">
        <f>C515*E515</f>
      </c>
    </row>
    <row r="516">
      <c r="A516" s="5"/>
      <c r="B516" s="16" t="s">
        <v>473</v>
      </c>
      <c r="C516" s="22">
        <f>(0.32)*(1)*(1)*(1)*(1 + (0))</f>
      </c>
      <c r="D516" s="22" t="s">
        <v>182</v>
      </c>
      <c r="E516" s="22"/>
      <c r="F516" s="22">
        <f>C516*E516</f>
      </c>
    </row>
    <row r="517">
      <c r="A517" s="5"/>
      <c r="B517" s="16" t="s">
        <v>472</v>
      </c>
      <c r="C517" s="22">
        <f>(6.37875)*(1)*(1)*(1)*(1 + (0))</f>
      </c>
      <c r="D517" s="22" t="s">
        <v>182</v>
      </c>
      <c r="E517" s="22"/>
      <c r="F517" s="22">
        <f>C517*E517</f>
      </c>
    </row>
    <row r="518">
      <c r="A518" s="5"/>
      <c r="B518" s="16" t="s">
        <v>471</v>
      </c>
      <c r="C518" s="22">
        <f>(0.189875)*(1)*(1)*(1)*(1 + (0))</f>
      </c>
      <c r="D518" s="22" t="s">
        <v>182</v>
      </c>
      <c r="E518" s="22"/>
      <c r="F518" s="22">
        <f>C518*E518</f>
      </c>
    </row>
    <row r="519">
      <c r="A519" s="4"/>
      <c r="B519" s="12" t="s">
        <v>395</v>
      </c>
      <c r="C519" s="21"/>
      <c r="D519" s="21"/>
      <c r="E519" s="21"/>
      <c r="F519" s="21"/>
    </row>
    <row r="520">
      <c r="A520" s="6"/>
      <c r="B520" s="15" t="s">
        <v>304</v>
      </c>
      <c r="C520" s="23"/>
      <c r="D520" s="23"/>
      <c r="E520" s="23"/>
      <c r="F520" s="23"/>
    </row>
    <row r="521">
      <c r="A521" s="5"/>
      <c r="B521" s="16" t="s">
        <v>293</v>
      </c>
      <c r="C521" s="22"/>
      <c r="D521" s="22"/>
      <c r="E521" s="22"/>
      <c r="F521" s="22"/>
    </row>
    <row r="522">
      <c r="A522" s="5"/>
      <c r="B522" s="17" t="s">
        <v>476</v>
      </c>
      <c r="C522" s="22">
        <f>(1.66563417153819)*(1)*(1)*(1)*(1 + (0))</f>
      </c>
      <c r="D522" s="22" t="s">
        <v>182</v>
      </c>
      <c r="E522" s="22"/>
      <c r="F522" s="22">
        <f>C522*E522</f>
      </c>
    </row>
    <row r="523">
      <c r="A523" s="5"/>
      <c r="B523" s="17" t="s">
        <v>477</v>
      </c>
      <c r="C523" s="22">
        <f>(1.48832269083085)*(1)*(1)*(1)*(1 + (0))</f>
      </c>
      <c r="D523" s="22" t="s">
        <v>182</v>
      </c>
      <c r="E523" s="22"/>
      <c r="F523" s="22">
        <f>C523*E523</f>
      </c>
    </row>
    <row r="524">
      <c r="A524" s="6"/>
      <c r="B524" s="15" t="s">
        <v>307</v>
      </c>
      <c r="C524" s="23"/>
      <c r="D524" s="23"/>
      <c r="E524" s="23"/>
      <c r="F524" s="23"/>
    </row>
    <row r="525">
      <c r="A525" s="5"/>
      <c r="B525" s="16" t="s">
        <v>478</v>
      </c>
      <c r="C525" s="22"/>
      <c r="D525" s="22"/>
      <c r="E525" s="22"/>
      <c r="F525" s="22"/>
    </row>
    <row r="526">
      <c r="A526" s="5"/>
      <c r="B526" s="17" t="s">
        <v>479</v>
      </c>
      <c r="C526" s="22">
        <f>(0.851709723998937)*(1)*(1)*(1)*(1 + (0))</f>
      </c>
      <c r="D526" s="22" t="s">
        <v>182</v>
      </c>
      <c r="E526" s="22"/>
      <c r="F526" s="22">
        <f>C526*E526</f>
      </c>
    </row>
    <row r="527">
      <c r="A527" s="5"/>
      <c r="B527" s="16" t="s">
        <v>293</v>
      </c>
      <c r="C527" s="22"/>
      <c r="D527" s="22"/>
      <c r="E527" s="22"/>
      <c r="F527" s="22"/>
    </row>
    <row r="528">
      <c r="A528" s="5"/>
      <c r="B528" s="17" t="s">
        <v>479</v>
      </c>
      <c r="C528" s="22">
        <f>(2.04592587642436)*(1)*(1)*(1)*(1 + (0))</f>
      </c>
      <c r="D528" s="22" t="s">
        <v>182</v>
      </c>
      <c r="E528" s="22"/>
      <c r="F528" s="22">
        <f>C528*E528</f>
      </c>
    </row>
    <row r="529">
      <c r="A529" s="5"/>
      <c r="B529" s="17" t="s">
        <v>477</v>
      </c>
      <c r="C529" s="22">
        <f>(4.19598568849543)*(1)*(1)*(1)*(1 + (0))</f>
      </c>
      <c r="D529" s="22" t="s">
        <v>182</v>
      </c>
      <c r="E529" s="22"/>
      <c r="F529" s="22">
        <f>C529*E529</f>
      </c>
    </row>
    <row r="530">
      <c r="A530" s="5"/>
      <c r="B530" s="16" t="s">
        <v>311</v>
      </c>
      <c r="C530" s="22"/>
      <c r="D530" s="22"/>
      <c r="E530" s="22"/>
      <c r="F530" s="22"/>
    </row>
    <row r="531">
      <c r="A531" s="5"/>
      <c r="B531" s="17" t="s">
        <v>479</v>
      </c>
      <c r="C531" s="22">
        <f>(2.1875985034986)*(1)*(1)*(1)*(1 + (0))</f>
      </c>
      <c r="D531" s="22" t="s">
        <v>182</v>
      </c>
      <c r="E531" s="22"/>
      <c r="F531" s="22">
        <f>C531*E531</f>
      </c>
    </row>
    <row r="532">
      <c r="A532" s="4"/>
      <c r="B532" s="12" t="s">
        <v>424</v>
      </c>
      <c r="C532" s="21"/>
      <c r="D532" s="21"/>
      <c r="E532" s="21"/>
      <c r="F532" s="21"/>
    </row>
    <row r="533">
      <c r="A533" s="5"/>
      <c r="B533" s="13" t="s">
        <v>480</v>
      </c>
      <c r="C533" s="22">
        <f>(1.63407766643645)*(1)*(1)*(1)*(1 + (0))</f>
      </c>
      <c r="D533" s="22" t="s">
        <v>182</v>
      </c>
      <c r="E533" s="22"/>
      <c r="F533" s="22">
        <f>C533*E533</f>
      </c>
    </row>
    <row r="534">
      <c r="A534" s="5"/>
      <c r="B534" s="13" t="s">
        <v>481</v>
      </c>
      <c r="C534" s="22">
        <f>(1.81026470018505)*(1)*(1)*(1)*(1 + (0))</f>
      </c>
      <c r="D534" s="22" t="s">
        <v>182</v>
      </c>
      <c r="E534" s="22"/>
      <c r="F534" s="22">
        <f>C534*E534</f>
      </c>
    </row>
    <row r="535">
      <c r="A535" s="3"/>
      <c r="B535" s="11" t="s">
        <v>482</v>
      </c>
      <c r="C535" s="20"/>
      <c r="D535" s="20"/>
      <c r="E535" s="20"/>
      <c r="F535" s="20"/>
    </row>
    <row r="536">
      <c r="A536" s="4"/>
      <c r="B536" s="12" t="s">
        <v>411</v>
      </c>
      <c r="C536" s="21"/>
      <c r="D536" s="21"/>
      <c r="E536" s="21"/>
      <c r="F536" s="21"/>
    </row>
    <row r="537">
      <c r="A537" s="6"/>
      <c r="B537" s="15" t="s">
        <v>252</v>
      </c>
      <c r="C537" s="23"/>
      <c r="D537" s="23"/>
      <c r="E537" s="23"/>
      <c r="F537" s="23"/>
    </row>
    <row r="538">
      <c r="A538" s="5"/>
      <c r="B538" s="16" t="s">
        <v>483</v>
      </c>
      <c r="C538" s="22">
        <f>(31)*(1)*(1)*(1)*(1 + (0))</f>
      </c>
      <c r="D538" s="22" t="s">
        <v>24</v>
      </c>
      <c r="E538" s="22"/>
      <c r="F538" s="22">
        <f>C538*E538</f>
      </c>
    </row>
    <row r="539">
      <c r="A539" s="2"/>
      <c r="B539" s="10" t="s">
        <v>484</v>
      </c>
      <c r="C539" s="19"/>
      <c r="D539" s="19"/>
      <c r="E539" s="19"/>
      <c r="F539" s="19"/>
    </row>
    <row r="540">
      <c r="A540" s="3"/>
      <c r="B540" s="11" t="s">
        <v>37</v>
      </c>
      <c r="C540" s="20"/>
      <c r="D540" s="20"/>
      <c r="E540" s="20"/>
      <c r="F540" s="20"/>
    </row>
    <row r="541">
      <c r="A541" s="5" t="s">
        <v>485</v>
      </c>
      <c r="B541" s="14" t="s">
        <v>39</v>
      </c>
      <c r="C541" s="22"/>
      <c r="D541" s="22" t="s">
        <v>10</v>
      </c>
      <c r="E541" s="22"/>
      <c r="F541" s="22">
        <f>C541*E541</f>
      </c>
    </row>
    <row r="542">
      <c r="A542" s="5" t="s">
        <v>486</v>
      </c>
      <c r="B542" s="14" t="s">
        <v>41</v>
      </c>
      <c r="C542" s="22"/>
      <c r="D542" s="22" t="s">
        <v>10</v>
      </c>
      <c r="E542" s="22"/>
      <c r="F542" s="22">
        <f>C542*E542</f>
      </c>
    </row>
    <row r="543">
      <c r="A543" s="3"/>
      <c r="B543" s="11" t="s">
        <v>42</v>
      </c>
      <c r="C543" s="20"/>
      <c r="D543" s="20"/>
      <c r="E543" s="20"/>
      <c r="F543" s="20"/>
    </row>
    <row r="544">
      <c r="A544" s="5"/>
      <c r="B544" s="14" t="s">
        <v>118</v>
      </c>
      <c r="C544" s="22"/>
      <c r="D544" s="22" t="s">
        <v>10</v>
      </c>
      <c r="E544" s="22"/>
      <c r="F544" s="22">
        <f>C544*E544</f>
      </c>
    </row>
    <row r="545">
      <c r="A545" s="5"/>
      <c r="B545" s="14" t="s">
        <v>43</v>
      </c>
      <c r="C545" s="22"/>
      <c r="D545" s="22" t="s">
        <v>10</v>
      </c>
      <c r="E545" s="22"/>
      <c r="F545" s="22">
        <f>C545*E545</f>
      </c>
    </row>
    <row r="546">
      <c r="A546" s="3"/>
      <c r="B546" s="11" t="s">
        <v>44</v>
      </c>
      <c r="C546" s="20"/>
      <c r="D546" s="20"/>
      <c r="E546" s="20"/>
      <c r="F546" s="20"/>
    </row>
    <row r="547">
      <c r="A547" s="4"/>
      <c r="B547" s="12" t="s">
        <v>45</v>
      </c>
      <c r="C547" s="21"/>
      <c r="D547" s="21"/>
      <c r="E547" s="21"/>
      <c r="F547" s="21"/>
    </row>
    <row r="548">
      <c r="A548" s="5" t="s">
        <v>487</v>
      </c>
      <c r="B548" s="13" t="s">
        <v>488</v>
      </c>
      <c r="C548" s="22"/>
      <c r="D548" s="22" t="s">
        <v>10</v>
      </c>
      <c r="E548" s="22"/>
      <c r="F548" s="22">
        <f>C548*E548</f>
      </c>
    </row>
    <row r="549">
      <c r="A549" s="5" t="s">
        <v>489</v>
      </c>
      <c r="B549" s="13" t="s">
        <v>123</v>
      </c>
      <c r="C549" s="22"/>
      <c r="D549" s="22" t="s">
        <v>10</v>
      </c>
      <c r="E549" s="22"/>
      <c r="F549" s="22">
        <f>C549*E549</f>
      </c>
    </row>
    <row r="550">
      <c r="A550" s="3"/>
      <c r="B550" s="11" t="s">
        <v>68</v>
      </c>
      <c r="C550" s="20"/>
      <c r="D550" s="20"/>
      <c r="E550" s="20"/>
      <c r="F550" s="20"/>
    </row>
    <row r="551">
      <c r="A551" s="5" t="s">
        <v>490</v>
      </c>
      <c r="B551" s="14" t="s">
        <v>70</v>
      </c>
      <c r="C551" s="22">
        <f>(1)*(1)*(1)*(1)*(1 + (0))</f>
      </c>
      <c r="D551" s="22" t="s">
        <v>71</v>
      </c>
      <c r="E551" s="22"/>
      <c r="F551" s="22">
        <f>C551*E551</f>
      </c>
    </row>
    <row r="552">
      <c r="A552" s="5" t="s">
        <v>491</v>
      </c>
      <c r="B552" s="14" t="s">
        <v>492</v>
      </c>
      <c r="C552" s="22">
        <f>(1)*(1)*(1)*(1)*(1 + (0))</f>
      </c>
      <c r="D552" s="22" t="s">
        <v>71</v>
      </c>
      <c r="E552" s="22"/>
      <c r="F552" s="22">
        <f>C552*E552</f>
      </c>
    </row>
    <row r="553">
      <c r="A553" s="5" t="s">
        <v>493</v>
      </c>
      <c r="B553" s="14" t="s">
        <v>73</v>
      </c>
      <c r="C553" s="22">
        <f>(1)*(1)*(1)*(1)*(1 + (0))</f>
      </c>
      <c r="D553" s="22" t="s">
        <v>71</v>
      </c>
      <c r="E553" s="22"/>
      <c r="F553" s="22">
        <f>C553*E553</f>
      </c>
    </row>
    <row r="554">
      <c r="A554" s="5" t="s">
        <v>494</v>
      </c>
      <c r="B554" s="14" t="s">
        <v>495</v>
      </c>
      <c r="C554" s="22">
        <f>(1)*(1)*(1)*(1)*(1 + (0))</f>
      </c>
      <c r="D554" s="22" t="s">
        <v>71</v>
      </c>
      <c r="E554" s="22"/>
      <c r="F554" s="22">
        <f>C554*E554</f>
      </c>
    </row>
    <row r="555">
      <c r="A555" s="5" t="s">
        <v>496</v>
      </c>
      <c r="B555" s="14" t="s">
        <v>497</v>
      </c>
      <c r="C555" s="22">
        <f>(1)*(1)*(1)*(1)*(1 + (0))</f>
      </c>
      <c r="D555" s="22" t="s">
        <v>71</v>
      </c>
      <c r="E555" s="22"/>
      <c r="F555" s="22">
        <f>C555*E555</f>
      </c>
    </row>
    <row r="556">
      <c r="A556" s="5" t="s">
        <v>498</v>
      </c>
      <c r="B556" s="14" t="s">
        <v>499</v>
      </c>
      <c r="C556" s="22">
        <f>(1)*(1)*(1)*(1)*(1 + (0))</f>
      </c>
      <c r="D556" s="22" t="s">
        <v>71</v>
      </c>
      <c r="E556" s="22"/>
      <c r="F556" s="22">
        <f>C556*E556</f>
      </c>
    </row>
    <row r="557">
      <c r="A557" s="5" t="s">
        <v>500</v>
      </c>
      <c r="B557" s="14" t="s">
        <v>501</v>
      </c>
      <c r="C557" s="22">
        <f>(1)*(1)*(1)*(1)*(1 + (0))</f>
      </c>
      <c r="D557" s="22" t="s">
        <v>71</v>
      </c>
      <c r="E557" s="22"/>
      <c r="F557" s="22">
        <f>C557*E557</f>
      </c>
    </row>
    <row r="558">
      <c r="A558" s="5" t="s">
        <v>502</v>
      </c>
      <c r="B558" s="14" t="s">
        <v>503</v>
      </c>
      <c r="C558" s="22">
        <f>(1)*(1)*(1)*(1)*(1 + (0))</f>
      </c>
      <c r="D558" s="22" t="s">
        <v>71</v>
      </c>
      <c r="E558" s="22"/>
      <c r="F558" s="22">
        <f>C558*E558</f>
      </c>
    </row>
    <row r="559">
      <c r="A559" s="5" t="s">
        <v>504</v>
      </c>
      <c r="B559" s="14" t="s">
        <v>505</v>
      </c>
      <c r="C559" s="22">
        <f>(1)*(1)*(1)*(1)*(1 + (0))</f>
      </c>
      <c r="D559" s="22" t="s">
        <v>71</v>
      </c>
      <c r="E559" s="22"/>
      <c r="F559" s="22">
        <f>C559*E559</f>
      </c>
    </row>
    <row r="560">
      <c r="A560" s="5" t="s">
        <v>506</v>
      </c>
      <c r="B560" s="14" t="s">
        <v>507</v>
      </c>
      <c r="C560" s="22">
        <f>(1)*(1)*(1)*(1)*(1 + (0))</f>
      </c>
      <c r="D560" s="22" t="s">
        <v>71</v>
      </c>
      <c r="E560" s="22"/>
      <c r="F560" s="22">
        <f>C560*E560</f>
      </c>
    </row>
    <row r="561">
      <c r="A561" s="5" t="s">
        <v>508</v>
      </c>
      <c r="B561" s="14" t="s">
        <v>509</v>
      </c>
      <c r="C561" s="22">
        <f>(1)*(1)*(1)*(1)*(1 + (0))</f>
      </c>
      <c r="D561" s="22" t="s">
        <v>71</v>
      </c>
      <c r="E561" s="22"/>
      <c r="F561" s="22">
        <f>C561*E561</f>
      </c>
    </row>
    <row r="562">
      <c r="A562" s="5" t="s">
        <v>510</v>
      </c>
      <c r="B562" s="14" t="s">
        <v>511</v>
      </c>
      <c r="C562" s="22">
        <f>(1)*(1)*(1)*(1)*(1 + (0))</f>
      </c>
      <c r="D562" s="22" t="s">
        <v>71</v>
      </c>
      <c r="E562" s="22"/>
      <c r="F562" s="22">
        <f>C562*E562</f>
      </c>
    </row>
    <row r="563">
      <c r="A563" s="5" t="s">
        <v>512</v>
      </c>
      <c r="B563" s="14" t="s">
        <v>513</v>
      </c>
      <c r="C563" s="22">
        <f>(1)*(1)*(1)*(1)*(1 + (0))</f>
      </c>
      <c r="D563" s="22" t="s">
        <v>71</v>
      </c>
      <c r="E563" s="22"/>
      <c r="F563" s="22">
        <f>C563*E563</f>
      </c>
    </row>
    <row r="564">
      <c r="A564" s="3"/>
      <c r="B564" s="11" t="s">
        <v>514</v>
      </c>
      <c r="C564" s="20"/>
      <c r="D564" s="20"/>
      <c r="E564" s="20"/>
      <c r="F564" s="20"/>
    </row>
    <row r="565">
      <c r="A565" s="5"/>
      <c r="B565" s="14" t="s">
        <v>515</v>
      </c>
      <c r="C565" s="22">
        <f>(9.56)*(1)*(1)*(1)*(1 + (0))</f>
      </c>
      <c r="D565" s="22" t="s">
        <v>182</v>
      </c>
      <c r="E565" s="22"/>
      <c r="F565" s="22">
        <f>C565*E565</f>
      </c>
    </row>
    <row r="566">
      <c r="A566" s="3"/>
      <c r="B566" s="11" t="s">
        <v>516</v>
      </c>
      <c r="C566" s="20"/>
      <c r="D566" s="20"/>
      <c r="E566" s="20"/>
      <c r="F566" s="20"/>
    </row>
    <row r="567">
      <c r="A567" s="4"/>
      <c r="B567" s="12" t="s">
        <v>382</v>
      </c>
      <c r="C567" s="21"/>
      <c r="D567" s="21"/>
      <c r="E567" s="21"/>
      <c r="F567" s="21"/>
    </row>
    <row r="568">
      <c r="A568" s="6"/>
      <c r="B568" s="15" t="s">
        <v>272</v>
      </c>
      <c r="C568" s="23"/>
      <c r="D568" s="23"/>
      <c r="E568" s="23"/>
      <c r="F568" s="23"/>
    </row>
    <row r="569">
      <c r="A569" s="5"/>
      <c r="B569" s="16" t="s">
        <v>517</v>
      </c>
      <c r="C569" s="22">
        <f>(9.53939653226463)*(1)*(1)*(1)*(1 + (0))</f>
      </c>
      <c r="D569" s="22" t="s">
        <v>182</v>
      </c>
      <c r="E569" s="22"/>
      <c r="F569" s="22">
        <f>C569*E569</f>
      </c>
    </row>
    <row r="570">
      <c r="A570" s="4"/>
      <c r="B570" s="12" t="s">
        <v>389</v>
      </c>
      <c r="C570" s="21"/>
      <c r="D570" s="21"/>
      <c r="E570" s="21"/>
      <c r="F570" s="21"/>
    </row>
    <row r="571">
      <c r="A571" s="6"/>
      <c r="B571" s="15" t="s">
        <v>272</v>
      </c>
      <c r="C571" s="23"/>
      <c r="D571" s="23"/>
      <c r="E571" s="23"/>
      <c r="F571" s="23"/>
    </row>
    <row r="572">
      <c r="A572" s="5"/>
      <c r="B572" s="16" t="s">
        <v>518</v>
      </c>
      <c r="C572" s="22">
        <f>(0.0162607132393069)*(1)*(1)*(1)*(1 + (0))</f>
      </c>
      <c r="D572" s="22" t="s">
        <v>182</v>
      </c>
      <c r="E572" s="22"/>
      <c r="F572" s="22">
        <f>C572*E572</f>
      </c>
    </row>
    <row r="573">
      <c r="A573" s="5"/>
      <c r="B573" s="7" t="s">
        <v>519</v>
      </c>
      <c r="C573" s="22"/>
      <c r="D573" s="22"/>
      <c r="E573" s="22"/>
      <c r="F573" s="22">
        <f>C573*E573</f>
      </c>
    </row>
    <row r="574">
      <c r="A574" s="2"/>
      <c r="B574" s="10" t="s">
        <v>520</v>
      </c>
      <c r="C574" s="19"/>
      <c r="D574" s="19"/>
      <c r="E574" s="19"/>
      <c r="F574" s="19"/>
    </row>
    <row r="575">
      <c r="A575" s="3"/>
      <c r="B575" s="11" t="s">
        <v>37</v>
      </c>
      <c r="C575" s="20"/>
      <c r="D575" s="20"/>
      <c r="E575" s="20"/>
      <c r="F575" s="20"/>
    </row>
    <row r="576">
      <c r="A576" s="5" t="s">
        <v>521</v>
      </c>
      <c r="B576" s="14" t="s">
        <v>39</v>
      </c>
      <c r="C576" s="22"/>
      <c r="D576" s="22" t="s">
        <v>10</v>
      </c>
      <c r="E576" s="22"/>
      <c r="F576" s="22">
        <f>C576*E576</f>
      </c>
    </row>
    <row r="577">
      <c r="A577" s="5" t="s">
        <v>522</v>
      </c>
      <c r="B577" s="14" t="s">
        <v>41</v>
      </c>
      <c r="C577" s="22"/>
      <c r="D577" s="22" t="s">
        <v>10</v>
      </c>
      <c r="E577" s="22"/>
      <c r="F577" s="22">
        <f>C577*E577</f>
      </c>
    </row>
    <row r="578">
      <c r="A578" s="3"/>
      <c r="B578" s="11" t="s">
        <v>523</v>
      </c>
      <c r="C578" s="20"/>
      <c r="D578" s="20"/>
      <c r="E578" s="20"/>
      <c r="F578" s="20"/>
    </row>
    <row r="579">
      <c r="A579" s="5"/>
      <c r="B579" s="14" t="s">
        <v>524</v>
      </c>
      <c r="C579" s="22"/>
      <c r="D579" s="22" t="s">
        <v>10</v>
      </c>
      <c r="E579" s="22"/>
      <c r="F579" s="22">
        <f>C579*E579</f>
      </c>
    </row>
    <row r="580">
      <c r="A580" s="5"/>
      <c r="B580" s="14" t="s">
        <v>525</v>
      </c>
      <c r="C580" s="22"/>
      <c r="D580" s="22" t="s">
        <v>10</v>
      </c>
      <c r="E580" s="22"/>
      <c r="F580" s="22">
        <f>C580*E580</f>
      </c>
    </row>
    <row r="581">
      <c r="A581" s="5"/>
      <c r="B581" s="14" t="s">
        <v>526</v>
      </c>
      <c r="C581" s="22"/>
      <c r="D581" s="22" t="s">
        <v>10</v>
      </c>
      <c r="E581" s="22"/>
      <c r="F581" s="22">
        <f>C581*E581</f>
      </c>
    </row>
    <row r="582">
      <c r="A582" s="3"/>
      <c r="B582" s="11" t="s">
        <v>44</v>
      </c>
      <c r="C582" s="20"/>
      <c r="D582" s="20"/>
      <c r="E582" s="20"/>
      <c r="F582" s="20"/>
    </row>
    <row r="583">
      <c r="A583" s="4"/>
      <c r="B583" s="12" t="s">
        <v>45</v>
      </c>
      <c r="C583" s="21"/>
      <c r="D583" s="21"/>
      <c r="E583" s="21"/>
      <c r="F583" s="21"/>
    </row>
    <row r="584">
      <c r="A584" s="5" t="s">
        <v>527</v>
      </c>
      <c r="B584" s="13" t="s">
        <v>528</v>
      </c>
      <c r="C584" s="22"/>
      <c r="D584" s="22" t="s">
        <v>10</v>
      </c>
      <c r="E584" s="22"/>
      <c r="F584" s="22">
        <f>C584*E584</f>
      </c>
    </row>
    <row r="585">
      <c r="A585" s="5" t="s">
        <v>529</v>
      </c>
      <c r="B585" s="13" t="s">
        <v>530</v>
      </c>
      <c r="C585" s="22"/>
      <c r="D585" s="22" t="s">
        <v>10</v>
      </c>
      <c r="E585" s="22"/>
      <c r="F585" s="22">
        <f>C585*E585</f>
      </c>
    </row>
    <row r="586">
      <c r="A586" s="5" t="s">
        <v>531</v>
      </c>
      <c r="B586" s="13" t="s">
        <v>532</v>
      </c>
      <c r="C586" s="22"/>
      <c r="D586" s="22" t="s">
        <v>10</v>
      </c>
      <c r="E586" s="22"/>
      <c r="F586" s="22">
        <f>C586*E586</f>
      </c>
    </row>
    <row r="587">
      <c r="A587" s="5" t="s">
        <v>533</v>
      </c>
      <c r="B587" s="13" t="s">
        <v>534</v>
      </c>
      <c r="C587" s="22"/>
      <c r="D587" s="22" t="s">
        <v>10</v>
      </c>
      <c r="E587" s="22"/>
      <c r="F587" s="22">
        <f>C587*E587</f>
      </c>
    </row>
    <row r="588">
      <c r="A588" s="5" t="s">
        <v>535</v>
      </c>
      <c r="B588" s="13" t="s">
        <v>536</v>
      </c>
      <c r="C588" s="22"/>
      <c r="D588" s="22" t="s">
        <v>10</v>
      </c>
      <c r="E588" s="22"/>
      <c r="F588" s="22">
        <f>C588*E588</f>
      </c>
    </row>
    <row r="589">
      <c r="A589" s="5" t="s">
        <v>537</v>
      </c>
      <c r="B589" s="13" t="s">
        <v>538</v>
      </c>
      <c r="C589" s="22"/>
      <c r="D589" s="22" t="s">
        <v>10</v>
      </c>
      <c r="E589" s="22"/>
      <c r="F589" s="22">
        <f>C589*E589</f>
      </c>
    </row>
    <row r="590">
      <c r="A590" s="5" t="s">
        <v>539</v>
      </c>
      <c r="B590" s="13" t="s">
        <v>123</v>
      </c>
      <c r="C590" s="22"/>
      <c r="D590" s="22" t="s">
        <v>10</v>
      </c>
      <c r="E590" s="22"/>
      <c r="F590" s="22">
        <f>C590*E590</f>
      </c>
    </row>
    <row r="591">
      <c r="A591" s="3"/>
      <c r="B591" s="11" t="s">
        <v>68</v>
      </c>
      <c r="C591" s="20"/>
      <c r="D591" s="20"/>
      <c r="E591" s="20"/>
      <c r="F591" s="20"/>
    </row>
    <row r="592">
      <c r="A592" s="5" t="s">
        <v>540</v>
      </c>
      <c r="B592" s="14" t="s">
        <v>70</v>
      </c>
      <c r="C592" s="22">
        <f>(1)*(1)*(1)*(1)*(1 + (0))</f>
      </c>
      <c r="D592" s="22" t="s">
        <v>71</v>
      </c>
      <c r="E592" s="22"/>
      <c r="F592" s="22">
        <f>C592*E592</f>
      </c>
    </row>
    <row r="593">
      <c r="A593" s="5" t="s">
        <v>541</v>
      </c>
      <c r="B593" s="14" t="s">
        <v>73</v>
      </c>
      <c r="C593" s="22">
        <f>(1)*(1)*(1)*(1)*(1 + (0))</f>
      </c>
      <c r="D593" s="22" t="s">
        <v>71</v>
      </c>
      <c r="E593" s="22"/>
      <c r="F593" s="22">
        <f>C593*E593</f>
      </c>
    </row>
    <row r="594">
      <c r="A594" s="5" t="s">
        <v>542</v>
      </c>
      <c r="B594" s="14" t="s">
        <v>543</v>
      </c>
      <c r="C594" s="22">
        <f>(1)*(1)*(1)*(1)*(1 + (0))</f>
      </c>
      <c r="D594" s="22" t="s">
        <v>71</v>
      </c>
      <c r="E594" s="22"/>
      <c r="F594" s="22">
        <f>C594*E594</f>
      </c>
    </row>
    <row r="595">
      <c r="A595" s="5" t="s">
        <v>544</v>
      </c>
      <c r="B595" s="14" t="s">
        <v>545</v>
      </c>
      <c r="C595" s="22">
        <f>(1)*(1)*(1)*(1)*(1 + (0))</f>
      </c>
      <c r="D595" s="22" t="s">
        <v>71</v>
      </c>
      <c r="E595" s="22"/>
      <c r="F595" s="22">
        <f>C595*E595</f>
      </c>
    </row>
    <row r="596">
      <c r="A596" s="5" t="s">
        <v>546</v>
      </c>
      <c r="B596" s="14" t="s">
        <v>547</v>
      </c>
      <c r="C596" s="22">
        <f>(1)*(1)*(1)*(1)*(1 + (0))</f>
      </c>
      <c r="D596" s="22" t="s">
        <v>71</v>
      </c>
      <c r="E596" s="22"/>
      <c r="F596" s="22">
        <f>C596*E596</f>
      </c>
    </row>
    <row r="597">
      <c r="A597" s="5" t="s">
        <v>548</v>
      </c>
      <c r="B597" s="14" t="s">
        <v>549</v>
      </c>
      <c r="C597" s="22">
        <f>(1)*(1)*(1)*(1)*(1 + (0))</f>
      </c>
      <c r="D597" s="22" t="s">
        <v>71</v>
      </c>
      <c r="E597" s="22"/>
      <c r="F597" s="22">
        <f>C597*E597</f>
      </c>
    </row>
    <row r="598">
      <c r="A598" s="5" t="s">
        <v>550</v>
      </c>
      <c r="B598" s="14" t="s">
        <v>551</v>
      </c>
      <c r="C598" s="22">
        <f>(1)*(1)*(1)*(1)*(1 + (0))</f>
      </c>
      <c r="D598" s="22" t="s">
        <v>71</v>
      </c>
      <c r="E598" s="22"/>
      <c r="F598" s="22">
        <f>C598*E598</f>
      </c>
    </row>
    <row r="599">
      <c r="A599" s="5" t="s">
        <v>552</v>
      </c>
      <c r="B599" s="14" t="s">
        <v>553</v>
      </c>
      <c r="C599" s="22">
        <f>(1)*(1)*(1)*(1)*(1 + (0))</f>
      </c>
      <c r="D599" s="22" t="s">
        <v>71</v>
      </c>
      <c r="E599" s="22"/>
      <c r="F599" s="22">
        <f>C599*E599</f>
      </c>
    </row>
    <row r="600">
      <c r="A600" s="5" t="s">
        <v>554</v>
      </c>
      <c r="B600" s="14" t="s">
        <v>555</v>
      </c>
      <c r="C600" s="22">
        <f>(1)*(1)*(1)*(1)*(1 + (0))</f>
      </c>
      <c r="D600" s="22" t="s">
        <v>71</v>
      </c>
      <c r="E600" s="22"/>
      <c r="F600" s="22">
        <f>C600*E600</f>
      </c>
    </row>
    <row r="601">
      <c r="A601" s="5" t="s">
        <v>556</v>
      </c>
      <c r="B601" s="14" t="s">
        <v>447</v>
      </c>
      <c r="C601" s="22">
        <f>(1)*(1)*(1)*(1)*(1 + (0))</f>
      </c>
      <c r="D601" s="22" t="s">
        <v>71</v>
      </c>
      <c r="E601" s="22"/>
      <c r="F601" s="22">
        <f>C601*E601</f>
      </c>
    </row>
    <row r="602">
      <c r="A602" s="5" t="s">
        <v>557</v>
      </c>
      <c r="B602" s="14" t="s">
        <v>558</v>
      </c>
      <c r="C602" s="22">
        <f>(1)*(1)*(1)*(1)*(1 + (0))</f>
      </c>
      <c r="D602" s="22" t="s">
        <v>71</v>
      </c>
      <c r="E602" s="22"/>
      <c r="F602" s="22">
        <f>C602*E602</f>
      </c>
    </row>
    <row r="603">
      <c r="A603" s="3"/>
      <c r="B603" s="11" t="s">
        <v>106</v>
      </c>
      <c r="C603" s="20"/>
      <c r="D603" s="20"/>
      <c r="E603" s="20"/>
      <c r="F603" s="20"/>
    </row>
    <row r="604">
      <c r="A604" s="5"/>
      <c r="B604" s="14" t="s">
        <v>559</v>
      </c>
      <c r="C604" s="22"/>
      <c r="D604" s="22" t="s">
        <v>10</v>
      </c>
      <c r="E604" s="22"/>
      <c r="F604" s="22">
        <f>C604*E604</f>
      </c>
    </row>
    <row r="605">
      <c r="A605" s="3"/>
      <c r="B605" s="11" t="s">
        <v>560</v>
      </c>
      <c r="C605" s="20"/>
      <c r="D605" s="20"/>
      <c r="E605" s="20"/>
      <c r="F605" s="20"/>
    </row>
    <row r="606">
      <c r="A606" s="4"/>
      <c r="B606" s="12" t="s">
        <v>392</v>
      </c>
      <c r="C606" s="21"/>
      <c r="D606" s="21"/>
      <c r="E606" s="21"/>
      <c r="F606" s="21"/>
    </row>
    <row r="607">
      <c r="A607" s="6"/>
      <c r="B607" s="15" t="s">
        <v>561</v>
      </c>
      <c r="C607" s="23"/>
      <c r="D607" s="23"/>
      <c r="E607" s="23"/>
      <c r="F607" s="23"/>
    </row>
    <row r="608">
      <c r="A608" s="5"/>
      <c r="B608" s="16" t="s">
        <v>562</v>
      </c>
      <c r="C608" s="22">
        <f>(0.42804)*(1)*(1)*(1)*(1 + (0))</f>
      </c>
      <c r="D608" s="22" t="s">
        <v>182</v>
      </c>
      <c r="E608" s="22"/>
      <c r="F608" s="22">
        <f>C608*E608</f>
      </c>
    </row>
    <row r="609">
      <c r="A609" s="5"/>
      <c r="B609" s="16" t="s">
        <v>563</v>
      </c>
      <c r="C609" s="22">
        <f>(0.0645)*(1)*(1)*(1)*(1 + (0))</f>
      </c>
      <c r="D609" s="22" t="s">
        <v>182</v>
      </c>
      <c r="E609" s="22"/>
      <c r="F609" s="22">
        <f>C609*E609</f>
      </c>
    </row>
    <row r="610">
      <c r="A610" s="5"/>
      <c r="B610" s="16" t="s">
        <v>564</v>
      </c>
      <c r="C610" s="22">
        <f>(3)*(1)*(1)*(1)*(1 + (0))</f>
      </c>
      <c r="D610" s="22" t="s">
        <v>162</v>
      </c>
      <c r="E610" s="22"/>
      <c r="F610" s="22">
        <f>C610*E610</f>
      </c>
    </row>
    <row r="611">
      <c r="A611" s="4"/>
      <c r="B611" s="12" t="s">
        <v>565</v>
      </c>
      <c r="C611" s="21"/>
      <c r="D611" s="21"/>
      <c r="E611" s="21"/>
      <c r="F611" s="21"/>
    </row>
    <row r="612">
      <c r="A612" s="6"/>
      <c r="B612" s="15" t="s">
        <v>566</v>
      </c>
      <c r="C612" s="23"/>
      <c r="D612" s="23"/>
      <c r="E612" s="23"/>
      <c r="F612" s="23"/>
    </row>
    <row r="613">
      <c r="A613" s="5"/>
      <c r="B613" s="16" t="s">
        <v>567</v>
      </c>
      <c r="C613" s="22">
        <f>(0.595035253327095)*(1)*(1)*(1)*(1 + (0))</f>
      </c>
      <c r="D613" s="22" t="s">
        <v>182</v>
      </c>
      <c r="E613" s="22"/>
      <c r="F613" s="22">
        <f>C613*E613</f>
      </c>
    </row>
    <row r="614">
      <c r="A614" s="5"/>
      <c r="B614" s="16" t="s">
        <v>568</v>
      </c>
      <c r="C614" s="22">
        <f>(0.290912777149301)*(1)*(1)*(1)*(1 + (0))</f>
      </c>
      <c r="D614" s="22" t="s">
        <v>182</v>
      </c>
      <c r="E614" s="22"/>
      <c r="F614" s="22">
        <f>C614*E614</f>
      </c>
    </row>
    <row r="615">
      <c r="A615" s="5"/>
      <c r="B615" s="16" t="s">
        <v>569</v>
      </c>
      <c r="C615" s="22">
        <f>(0.13164506873791)*(1)*(1)*(1)*(1 + (0))</f>
      </c>
      <c r="D615" s="22" t="s">
        <v>182</v>
      </c>
      <c r="E615" s="22"/>
      <c r="F615" s="22">
        <f>C615*E615</f>
      </c>
    </row>
    <row r="616">
      <c r="A616" s="5"/>
      <c r="B616" s="16" t="s">
        <v>570</v>
      </c>
      <c r="C616" s="22">
        <f>(0.792869113122414)*(1)*(1)*(1)*(1 + (0))</f>
      </c>
      <c r="D616" s="22" t="s">
        <v>182</v>
      </c>
      <c r="E616" s="22"/>
      <c r="F616" s="22">
        <f>C616*E616</f>
      </c>
    </row>
    <row r="617">
      <c r="A617" s="5"/>
      <c r="B617" s="16" t="s">
        <v>571</v>
      </c>
      <c r="C617" s="22">
        <f>(1)*(1)*(1)*(1)*(1 + (0))</f>
      </c>
      <c r="D617" s="22" t="s">
        <v>162</v>
      </c>
      <c r="E617" s="22"/>
      <c r="F617" s="22">
        <f>C617*E617</f>
      </c>
    </row>
    <row r="618">
      <c r="A618" s="5"/>
      <c r="B618" s="16" t="s">
        <v>572</v>
      </c>
      <c r="C618" s="22">
        <f>(1)*(1)*(1)*(1)*(1 + (0))</f>
      </c>
      <c r="D618" s="22" t="s">
        <v>162</v>
      </c>
      <c r="E618" s="22"/>
      <c r="F618" s="22">
        <f>C618*E618</f>
      </c>
    </row>
    <row r="619">
      <c r="A619" s="5"/>
      <c r="B619" s="16" t="s">
        <v>563</v>
      </c>
      <c r="C619" s="22">
        <f>(0.2715)*(1)*(1)*(1)*(1 + (0))</f>
      </c>
      <c r="D619" s="22" t="s">
        <v>182</v>
      </c>
      <c r="E619" s="22"/>
      <c r="F619" s="22">
        <f>C619*E619</f>
      </c>
    </row>
    <row r="620">
      <c r="A620" s="6"/>
      <c r="B620" s="15" t="s">
        <v>561</v>
      </c>
      <c r="C620" s="23"/>
      <c r="D620" s="23"/>
      <c r="E620" s="23"/>
      <c r="F620" s="23"/>
    </row>
    <row r="621">
      <c r="A621" s="5"/>
      <c r="B621" s="16" t="s">
        <v>573</v>
      </c>
      <c r="C621" s="22">
        <f>(0.612877277085539)*(1)*(1)*(1)*(1 + (0))</f>
      </c>
      <c r="D621" s="22" t="s">
        <v>182</v>
      </c>
      <c r="E621" s="22"/>
      <c r="F621" s="22">
        <f>C621*E621</f>
      </c>
    </row>
    <row r="622">
      <c r="A622" s="5"/>
      <c r="B622" s="16" t="s">
        <v>574</v>
      </c>
      <c r="C622" s="22">
        <f>(0.526346035527528)*(1)*(1)*(1)*(1 + (0))</f>
      </c>
      <c r="D622" s="22" t="s">
        <v>182</v>
      </c>
      <c r="E622" s="22"/>
      <c r="F622" s="22">
        <f>C622*E622</f>
      </c>
    </row>
    <row r="623">
      <c r="A623" s="5"/>
      <c r="B623" s="16" t="s">
        <v>575</v>
      </c>
      <c r="C623" s="22">
        <f>(0.409986251821393)*(1)*(1)*(1)*(1 + (0))</f>
      </c>
      <c r="D623" s="22" t="s">
        <v>182</v>
      </c>
      <c r="E623" s="22"/>
      <c r="F623" s="22">
        <f>C623*E623</f>
      </c>
    </row>
    <row r="624">
      <c r="A624" s="5"/>
      <c r="B624" s="16" t="s">
        <v>576</v>
      </c>
      <c r="C624" s="22">
        <f>(0.564060083687712)*(1)*(1)*(1)*(1 + (0))</f>
      </c>
      <c r="D624" s="22" t="s">
        <v>182</v>
      </c>
      <c r="E624" s="22"/>
      <c r="F624" s="22">
        <f>C624*E624</f>
      </c>
    </row>
    <row r="625">
      <c r="A625" s="5"/>
      <c r="B625" s="16" t="s">
        <v>577</v>
      </c>
      <c r="C625" s="22">
        <f>(0.844376355215986)*(1)*(1)*(1)*(1 + (0))</f>
      </c>
      <c r="D625" s="22" t="s">
        <v>182</v>
      </c>
      <c r="E625" s="22"/>
      <c r="F625" s="22">
        <f>C625*E625</f>
      </c>
    </row>
    <row r="626">
      <c r="A626" s="5"/>
      <c r="B626" s="16" t="s">
        <v>578</v>
      </c>
      <c r="C626" s="22">
        <f>(0.416116702726785)*(1)*(1)*(1)*(1 + (0))</f>
      </c>
      <c r="D626" s="22" t="s">
        <v>182</v>
      </c>
      <c r="E626" s="22"/>
      <c r="F626" s="22">
        <f>C626*E626</f>
      </c>
    </row>
    <row r="627">
      <c r="A627" s="5"/>
      <c r="B627" s="16" t="s">
        <v>571</v>
      </c>
      <c r="C627" s="22">
        <f>(1)*(1)*(1)*(1)*(1 + (0))</f>
      </c>
      <c r="D627" s="22" t="s">
        <v>162</v>
      </c>
      <c r="E627" s="22"/>
      <c r="F627" s="22">
        <f>C627*E627</f>
      </c>
    </row>
    <row r="628">
      <c r="A628" s="5"/>
      <c r="B628" s="16" t="s">
        <v>563</v>
      </c>
      <c r="C628" s="22">
        <f>(0.5055)*(1)*(1)*(1)*(1 + (0))</f>
      </c>
      <c r="D628" s="22" t="s">
        <v>182</v>
      </c>
      <c r="E628" s="22"/>
      <c r="F628" s="22">
        <f>C628*E628</f>
      </c>
    </row>
    <row r="629">
      <c r="A629" s="6"/>
      <c r="B629" s="15" t="s">
        <v>579</v>
      </c>
      <c r="C629" s="23"/>
      <c r="D629" s="23"/>
      <c r="E629" s="23"/>
      <c r="F629" s="23"/>
    </row>
    <row r="630">
      <c r="A630" s="5"/>
      <c r="B630" s="16" t="s">
        <v>580</v>
      </c>
      <c r="C630" s="22">
        <f>(4.80810957925541)*(1)*(1)*(1)*(1 + (0))</f>
      </c>
      <c r="D630" s="22" t="s">
        <v>182</v>
      </c>
      <c r="E630" s="22"/>
      <c r="F630" s="22">
        <f>C630*E630</f>
      </c>
    </row>
    <row r="631">
      <c r="A631" s="5"/>
      <c r="B631" s="16" t="s">
        <v>581</v>
      </c>
      <c r="C631" s="22">
        <f>(0.751678667729279)*(1)*(1)*(1)*(1 + (0))</f>
      </c>
      <c r="D631" s="22" t="s">
        <v>182</v>
      </c>
      <c r="E631" s="22"/>
      <c r="F631" s="22">
        <f>C631*E631</f>
      </c>
    </row>
    <row r="632">
      <c r="A632" s="5"/>
      <c r="B632" s="16" t="s">
        <v>582</v>
      </c>
      <c r="C632" s="22">
        <f>(0.537223361898717)*(1)*(1)*(1)*(1 + (0))</f>
      </c>
      <c r="D632" s="22" t="s">
        <v>182</v>
      </c>
      <c r="E632" s="22"/>
      <c r="F632" s="22">
        <f>C632*E632</f>
      </c>
    </row>
    <row r="633">
      <c r="A633" s="5"/>
      <c r="B633" s="16" t="s">
        <v>578</v>
      </c>
      <c r="C633" s="22">
        <f>(13.0185138211359)*(1)*(1)*(1)*(1 + (0))</f>
      </c>
      <c r="D633" s="22" t="s">
        <v>182</v>
      </c>
      <c r="E633" s="22"/>
      <c r="F633" s="22">
        <f>C633*E633</f>
      </c>
    </row>
    <row r="634">
      <c r="A634" s="5"/>
      <c r="B634" s="16" t="s">
        <v>563</v>
      </c>
      <c r="C634" s="22">
        <f>(2.868)*(1)*(1)*(1)*(1 + (0))</f>
      </c>
      <c r="D634" s="22" t="s">
        <v>182</v>
      </c>
      <c r="E634" s="22"/>
      <c r="F634" s="22">
        <f>C634*E634</f>
      </c>
    </row>
    <row r="635">
      <c r="A635" s="4"/>
      <c r="B635" s="12" t="s">
        <v>583</v>
      </c>
      <c r="C635" s="21"/>
      <c r="D635" s="21"/>
      <c r="E635" s="21"/>
      <c r="F635" s="21"/>
    </row>
    <row r="636">
      <c r="A636" s="6"/>
      <c r="B636" s="15" t="s">
        <v>566</v>
      </c>
      <c r="C636" s="23"/>
      <c r="D636" s="23"/>
      <c r="E636" s="23"/>
      <c r="F636" s="23"/>
    </row>
    <row r="637">
      <c r="A637" s="5"/>
      <c r="B637" s="16" t="s">
        <v>584</v>
      </c>
      <c r="C637" s="22">
        <f>(26)*(1)*(1)*(1)*(1 + (0))</f>
      </c>
      <c r="D637" s="22" t="s">
        <v>153</v>
      </c>
      <c r="E637" s="22"/>
      <c r="F637" s="22">
        <f>C637*E637</f>
      </c>
    </row>
    <row r="638">
      <c r="A638" s="5"/>
      <c r="B638" s="16" t="s">
        <v>585</v>
      </c>
      <c r="C638" s="22">
        <f>(0.02856)*(1)*(1)*(1)*(1 + (0))</f>
      </c>
      <c r="D638" s="22" t="s">
        <v>182</v>
      </c>
      <c r="E638" s="22"/>
      <c r="F638" s="22">
        <f>C638*E638</f>
      </c>
    </row>
    <row r="639">
      <c r="A639" s="6"/>
      <c r="B639" s="15" t="s">
        <v>561</v>
      </c>
      <c r="C639" s="23"/>
      <c r="D639" s="23"/>
      <c r="E639" s="23"/>
      <c r="F639" s="23"/>
    </row>
    <row r="640">
      <c r="A640" s="5"/>
      <c r="B640" s="16" t="s">
        <v>584</v>
      </c>
      <c r="C640" s="22">
        <f>(55)*(1)*(1)*(1)*(1 + (0))</f>
      </c>
      <c r="D640" s="22" t="s">
        <v>153</v>
      </c>
      <c r="E640" s="22"/>
      <c r="F640" s="22">
        <f>C640*E640</f>
      </c>
    </row>
    <row r="641">
      <c r="A641" s="5"/>
      <c r="B641" s="16" t="s">
        <v>585</v>
      </c>
      <c r="C641" s="22">
        <f>(0.03808)*(1)*(1)*(1)*(1 + (0))</f>
      </c>
      <c r="D641" s="22" t="s">
        <v>182</v>
      </c>
      <c r="E641" s="22"/>
      <c r="F641" s="22">
        <f>C641*E641</f>
      </c>
    </row>
    <row r="642">
      <c r="A642" s="6"/>
      <c r="B642" s="15" t="s">
        <v>579</v>
      </c>
      <c r="C642" s="23"/>
      <c r="D642" s="23"/>
      <c r="E642" s="23"/>
      <c r="F642" s="23"/>
    </row>
    <row r="643">
      <c r="A643" s="5"/>
      <c r="B643" s="16" t="s">
        <v>584</v>
      </c>
      <c r="C643" s="22">
        <f>(206)*(1)*(1)*(1)*(1 + (0))</f>
      </c>
      <c r="D643" s="22" t="s">
        <v>153</v>
      </c>
      <c r="E643" s="22"/>
      <c r="F643" s="22">
        <f>C643*E643</f>
      </c>
    </row>
    <row r="644">
      <c r="A644" s="5"/>
      <c r="B644" s="16" t="s">
        <v>585</v>
      </c>
      <c r="C644" s="22">
        <f>(0.3808)*(1)*(1)*(1)*(1 + (0))</f>
      </c>
      <c r="D644" s="22" t="s">
        <v>182</v>
      </c>
      <c r="E644" s="22"/>
      <c r="F644" s="22">
        <f>C644*E644</f>
      </c>
    </row>
    <row r="645">
      <c r="A645" s="4"/>
      <c r="B645" s="12" t="s">
        <v>586</v>
      </c>
      <c r="C645" s="21"/>
      <c r="D645" s="21"/>
      <c r="E645" s="21"/>
      <c r="F645" s="21"/>
    </row>
    <row r="646">
      <c r="A646" s="6"/>
      <c r="B646" s="15" t="s">
        <v>566</v>
      </c>
      <c r="C646" s="23"/>
      <c r="D646" s="23"/>
      <c r="E646" s="23"/>
      <c r="F646" s="23"/>
    </row>
    <row r="647">
      <c r="A647" s="5"/>
      <c r="B647" s="16" t="s">
        <v>587</v>
      </c>
      <c r="C647" s="22">
        <f>(15)*(1)*(1)*(1)*(1 + (0))</f>
      </c>
      <c r="D647" s="22" t="s">
        <v>153</v>
      </c>
      <c r="E647" s="22"/>
      <c r="F647" s="22">
        <f>C647*E647</f>
      </c>
    </row>
    <row r="648">
      <c r="A648" s="5"/>
      <c r="B648" s="16" t="s">
        <v>588</v>
      </c>
      <c r="C648" s="22">
        <f>(40)*(1)*(1)*(1)*(1 + (0))</f>
      </c>
      <c r="D648" s="22" t="s">
        <v>153</v>
      </c>
      <c r="E648" s="22"/>
      <c r="F648" s="22">
        <f>C648*E648</f>
      </c>
    </row>
    <row r="649">
      <c r="A649" s="5"/>
      <c r="B649" s="16" t="s">
        <v>589</v>
      </c>
      <c r="C649" s="22">
        <f>(10)*(1)*(1)*(1)*(1 + (0))</f>
      </c>
      <c r="D649" s="22" t="s">
        <v>153</v>
      </c>
      <c r="E649" s="22"/>
      <c r="F649" s="22">
        <f>C649*E649</f>
      </c>
    </row>
    <row r="650">
      <c r="A650" s="6"/>
      <c r="B650" s="15" t="s">
        <v>561</v>
      </c>
      <c r="C650" s="23"/>
      <c r="D650" s="23"/>
      <c r="E650" s="23"/>
      <c r="F650" s="23"/>
    </row>
    <row r="651">
      <c r="A651" s="5"/>
      <c r="B651" s="16" t="s">
        <v>590</v>
      </c>
      <c r="C651" s="22">
        <f>(8)*(1)*(1)*(1)*(1 + (0))</f>
      </c>
      <c r="D651" s="22" t="s">
        <v>153</v>
      </c>
      <c r="E651" s="22"/>
      <c r="F651" s="22">
        <f>C651*E651</f>
      </c>
    </row>
    <row r="652">
      <c r="A652" s="5"/>
      <c r="B652" s="16" t="s">
        <v>591</v>
      </c>
      <c r="C652" s="22">
        <f>(11)*(1)*(1)*(1)*(1 + (0))</f>
      </c>
      <c r="D652" s="22" t="s">
        <v>153</v>
      </c>
      <c r="E652" s="22"/>
      <c r="F652" s="22">
        <f>C652*E652</f>
      </c>
    </row>
    <row r="653">
      <c r="A653" s="5"/>
      <c r="B653" s="16" t="s">
        <v>587</v>
      </c>
      <c r="C653" s="22">
        <f>(21)*(1)*(1)*(1)*(1 + (0))</f>
      </c>
      <c r="D653" s="22" t="s">
        <v>153</v>
      </c>
      <c r="E653" s="22"/>
      <c r="F653" s="22">
        <f>C653*E653</f>
      </c>
    </row>
    <row r="654">
      <c r="A654" s="5"/>
      <c r="B654" s="16" t="s">
        <v>588</v>
      </c>
      <c r="C654" s="22">
        <f>(15)*(1)*(1)*(1)*(1 + (0))</f>
      </c>
      <c r="D654" s="22" t="s">
        <v>153</v>
      </c>
      <c r="E654" s="22"/>
      <c r="F654" s="22">
        <f>C654*E654</f>
      </c>
    </row>
    <row r="655">
      <c r="A655" s="5"/>
      <c r="B655" s="16" t="s">
        <v>592</v>
      </c>
      <c r="C655" s="22">
        <f>(22)*(1)*(1)*(1)*(1 + (0))</f>
      </c>
      <c r="D655" s="22" t="s">
        <v>153</v>
      </c>
      <c r="E655" s="22"/>
      <c r="F655" s="22">
        <f>C655*E655</f>
      </c>
    </row>
    <row r="656">
      <c r="A656" s="5"/>
      <c r="B656" s="16" t="s">
        <v>593</v>
      </c>
      <c r="C656" s="22">
        <f>(22)*(1)*(1)*(1)*(1 + (0))</f>
      </c>
      <c r="D656" s="22" t="s">
        <v>153</v>
      </c>
      <c r="E656" s="22"/>
      <c r="F656" s="22">
        <f>C656*E656</f>
      </c>
    </row>
    <row r="657">
      <c r="A657" s="6"/>
      <c r="B657" s="15" t="s">
        <v>579</v>
      </c>
      <c r="C657" s="23"/>
      <c r="D657" s="23"/>
      <c r="E657" s="23"/>
      <c r="F657" s="23"/>
    </row>
    <row r="658">
      <c r="A658" s="5"/>
      <c r="B658" s="16" t="s">
        <v>594</v>
      </c>
      <c r="C658" s="22">
        <f>(670)*(1)*(1)*(1)*(1 + (0))</f>
      </c>
      <c r="D658" s="22" t="s">
        <v>153</v>
      </c>
      <c r="E658" s="22"/>
      <c r="F658" s="22">
        <f>C658*E658</f>
      </c>
    </row>
    <row r="659">
      <c r="A659" s="5"/>
      <c r="B659" s="16" t="s">
        <v>595</v>
      </c>
      <c r="C659" s="22">
        <f>(48)*(1)*(1)*(1)*(1 + (0))</f>
      </c>
      <c r="D659" s="22" t="s">
        <v>153</v>
      </c>
      <c r="E659" s="22"/>
      <c r="F659" s="22">
        <f>C659*E659</f>
      </c>
    </row>
    <row r="660">
      <c r="A660" s="5"/>
      <c r="B660" s="16" t="s">
        <v>596</v>
      </c>
      <c r="C660" s="22">
        <f>(862)*(1)*(1)*(1)*(1 + (0))</f>
      </c>
      <c r="D660" s="22" t="s">
        <v>153</v>
      </c>
      <c r="E660" s="22"/>
      <c r="F660" s="22">
        <f>C660*E660</f>
      </c>
    </row>
    <row r="661">
      <c r="A661" s="5"/>
      <c r="B661" s="16" t="s">
        <v>597</v>
      </c>
      <c r="C661" s="22">
        <f>(1329)*(1)*(1)*(1)*(1 + (0))</f>
      </c>
      <c r="D661" s="22" t="s">
        <v>153</v>
      </c>
      <c r="E661" s="22"/>
      <c r="F661" s="22">
        <f>C661*E661</f>
      </c>
    </row>
    <row r="662">
      <c r="A662" s="4"/>
      <c r="B662" s="12" t="s">
        <v>598</v>
      </c>
      <c r="C662" s="21"/>
      <c r="D662" s="21"/>
      <c r="E662" s="21"/>
      <c r="F662" s="21"/>
    </row>
    <row r="663">
      <c r="A663" s="6"/>
      <c r="B663" s="15" t="s">
        <v>599</v>
      </c>
      <c r="C663" s="23"/>
      <c r="D663" s="23"/>
      <c r="E663" s="23"/>
      <c r="F663" s="23"/>
    </row>
    <row r="664">
      <c r="A664" s="5"/>
      <c r="B664" s="16" t="s">
        <v>600</v>
      </c>
      <c r="C664" s="22">
        <f>(2.16265)*(1)*(1)*(1)*(1 + (0))</f>
      </c>
      <c r="D664" s="22" t="s">
        <v>182</v>
      </c>
      <c r="E664" s="22"/>
      <c r="F664" s="22">
        <f>C664*E664</f>
      </c>
    </row>
    <row r="665">
      <c r="A665" s="5"/>
      <c r="B665" s="16" t="s">
        <v>576</v>
      </c>
      <c r="C665" s="22">
        <f>(0.4585)*(1)*(1)*(1)*(1 + (0))</f>
      </c>
      <c r="D665" s="22" t="s">
        <v>182</v>
      </c>
      <c r="E665" s="22"/>
      <c r="F665" s="22">
        <f>C665*E665</f>
      </c>
    </row>
    <row r="666">
      <c r="A666" s="5"/>
      <c r="B666" s="16" t="s">
        <v>601</v>
      </c>
      <c r="C666" s="22">
        <f>(0.06664)*(1)*(1)*(1)*(1 + (0))</f>
      </c>
      <c r="D666" s="22" t="s">
        <v>182</v>
      </c>
      <c r="E666" s="22"/>
      <c r="F666" s="22">
        <f>C666*E666</f>
      </c>
    </row>
    <row r="667">
      <c r="A667" s="5"/>
      <c r="B667" s="16" t="s">
        <v>577</v>
      </c>
      <c r="C667" s="22">
        <f>(0.799317210056494)*(1)*(1)*(1)*(1 + (0))</f>
      </c>
      <c r="D667" s="22" t="s">
        <v>182</v>
      </c>
      <c r="E667" s="22"/>
      <c r="F667" s="22">
        <f>C667*E667</f>
      </c>
    </row>
    <row r="668">
      <c r="A668" s="5"/>
      <c r="B668" s="16" t="s">
        <v>563</v>
      </c>
      <c r="C668" s="22">
        <f>(0.5235)*(1)*(1)*(1)*(1 + (0))</f>
      </c>
      <c r="D668" s="22" t="s">
        <v>182</v>
      </c>
      <c r="E668" s="22"/>
      <c r="F668" s="22">
        <f>C668*E668</f>
      </c>
    </row>
    <row r="669">
      <c r="A669" s="5"/>
      <c r="B669" s="16" t="s">
        <v>602</v>
      </c>
      <c r="C669" s="22">
        <f>(37)*(1)*(1)*(1)*(1 + (0))</f>
      </c>
      <c r="D669" s="22" t="s">
        <v>162</v>
      </c>
      <c r="E669" s="22"/>
      <c r="F669" s="22">
        <f>C669*E669</f>
      </c>
    </row>
    <row r="670">
      <c r="A670" s="5"/>
      <c r="B670" s="16" t="s">
        <v>603</v>
      </c>
      <c r="C670" s="22">
        <f>(5)*(1)*(1)*(1)*(1 + (0))</f>
      </c>
      <c r="D670" s="22" t="s">
        <v>162</v>
      </c>
      <c r="E670" s="22"/>
      <c r="F670" s="22">
        <f>C670*E670</f>
      </c>
    </row>
    <row r="671">
      <c r="A671" s="5"/>
      <c r="B671" s="16" t="s">
        <v>604</v>
      </c>
      <c r="C671" s="22">
        <f>(2)*(1)*(1)*(1)*(1 + (0))</f>
      </c>
      <c r="D671" s="22" t="s">
        <v>162</v>
      </c>
      <c r="E671" s="22"/>
      <c r="F671" s="22">
        <f>C671*E671</f>
      </c>
    </row>
    <row r="672">
      <c r="A672" s="5"/>
      <c r="B672" s="16" t="s">
        <v>605</v>
      </c>
      <c r="C672" s="22">
        <f>(1)*(1)*(1)*(1)*(1 + (0))</f>
      </c>
      <c r="D672" s="22" t="s">
        <v>606</v>
      </c>
      <c r="E672" s="22"/>
      <c r="F672" s="22">
        <f>C672*E672</f>
      </c>
    </row>
    <row r="673">
      <c r="A673" s="6"/>
      <c r="B673" s="15" t="s">
        <v>607</v>
      </c>
      <c r="C673" s="23"/>
      <c r="D673" s="23"/>
      <c r="E673" s="23"/>
      <c r="F673" s="23"/>
    </row>
    <row r="674">
      <c r="A674" s="5"/>
      <c r="B674" s="16" t="s">
        <v>600</v>
      </c>
      <c r="C674" s="22">
        <f>(1.62324)*(1)*(1)*(1)*(1 + (0))</f>
      </c>
      <c r="D674" s="22" t="s">
        <v>182</v>
      </c>
      <c r="E674" s="22"/>
      <c r="F674" s="22">
        <f>C674*E674</f>
      </c>
    </row>
    <row r="675">
      <c r="A675" s="5"/>
      <c r="B675" s="16" t="s">
        <v>608</v>
      </c>
      <c r="C675" s="22">
        <f>(3.0456)*(1)*(1)*(1)*(1 + (0))</f>
      </c>
      <c r="D675" s="22" t="s">
        <v>182</v>
      </c>
      <c r="E675" s="22"/>
      <c r="F675" s="22">
        <f>C675*E675</f>
      </c>
    </row>
    <row r="676">
      <c r="A676" s="5"/>
      <c r="B676" s="16" t="s">
        <v>563</v>
      </c>
      <c r="C676" s="22">
        <f>(0.7005)*(1)*(1)*(1)*(1 + (0))</f>
      </c>
      <c r="D676" s="22" t="s">
        <v>182</v>
      </c>
      <c r="E676" s="22"/>
      <c r="F676" s="22">
        <f>C676*E676</f>
      </c>
    </row>
    <row r="677">
      <c r="A677" s="5"/>
      <c r="B677" s="16" t="s">
        <v>602</v>
      </c>
      <c r="C677" s="22">
        <f>(27)*(1)*(1)*(1)*(1 + (0))</f>
      </c>
      <c r="D677" s="22" t="s">
        <v>162</v>
      </c>
      <c r="E677" s="22"/>
      <c r="F677" s="22">
        <f>C677*E677</f>
      </c>
    </row>
    <row r="678">
      <c r="A678" s="5"/>
      <c r="B678" s="16" t="s">
        <v>609</v>
      </c>
      <c r="C678" s="22">
        <f>(27)*(1)*(1)*(1)*(1 + (0))</f>
      </c>
      <c r="D678" s="22" t="s">
        <v>162</v>
      </c>
      <c r="E678" s="22"/>
      <c r="F678" s="22">
        <f>C678*E678</f>
      </c>
    </row>
    <row r="679">
      <c r="A679" s="4"/>
      <c r="B679" s="12" t="s">
        <v>610</v>
      </c>
      <c r="C679" s="21"/>
      <c r="D679" s="21"/>
      <c r="E679" s="21"/>
      <c r="F679" s="21"/>
    </row>
    <row r="680">
      <c r="A680" s="6"/>
      <c r="B680" s="15" t="s">
        <v>298</v>
      </c>
      <c r="C680" s="23"/>
      <c r="D680" s="23"/>
      <c r="E680" s="23"/>
      <c r="F680" s="23"/>
    </row>
    <row r="681">
      <c r="A681" s="5"/>
      <c r="B681" s="16" t="s">
        <v>611</v>
      </c>
      <c r="C681" s="22">
        <f>(67)*(1)*(1)*(1)*(1 + (0))</f>
      </c>
      <c r="D681" s="22" t="s">
        <v>24</v>
      </c>
      <c r="E681" s="22"/>
      <c r="F681" s="22">
        <f>C681*E681</f>
      </c>
    </row>
    <row r="682">
      <c r="A682" s="6"/>
      <c r="B682" s="15" t="s">
        <v>566</v>
      </c>
      <c r="C682" s="23"/>
      <c r="D682" s="23"/>
      <c r="E682" s="23"/>
      <c r="F682" s="23"/>
    </row>
    <row r="683">
      <c r="A683" s="5"/>
      <c r="B683" s="16" t="s">
        <v>611</v>
      </c>
      <c r="C683" s="22">
        <f>(80)*(1)*(1)*(1)*(1 + (0))</f>
      </c>
      <c r="D683" s="22" t="s">
        <v>24</v>
      </c>
      <c r="E683" s="22"/>
      <c r="F683" s="22">
        <f>C683*E683</f>
      </c>
    </row>
    <row r="684">
      <c r="A684" s="6"/>
      <c r="B684" s="15" t="s">
        <v>561</v>
      </c>
      <c r="C684" s="23"/>
      <c r="D684" s="23"/>
      <c r="E684" s="23"/>
      <c r="F684" s="23"/>
    </row>
    <row r="685">
      <c r="A685" s="5"/>
      <c r="B685" s="16" t="s">
        <v>611</v>
      </c>
      <c r="C685" s="22">
        <f>(90)*(1)*(1)*(1)*(1 + (0))</f>
      </c>
      <c r="D685" s="22" t="s">
        <v>24</v>
      </c>
      <c r="E685" s="22"/>
      <c r="F685" s="22">
        <f>C685*E685</f>
      </c>
    </row>
    <row r="686">
      <c r="A686" s="4"/>
      <c r="B686" s="12" t="s">
        <v>612</v>
      </c>
      <c r="C686" s="21"/>
      <c r="D686" s="21"/>
      <c r="E686" s="21"/>
      <c r="F686" s="21"/>
    </row>
    <row r="687">
      <c r="A687" s="6"/>
      <c r="B687" s="15" t="s">
        <v>613</v>
      </c>
      <c r="C687" s="23"/>
      <c r="D687" s="23"/>
      <c r="E687" s="23"/>
      <c r="F687" s="23"/>
    </row>
    <row r="688">
      <c r="A688" s="5"/>
      <c r="B688" s="16" t="s">
        <v>614</v>
      </c>
      <c r="C688" s="22">
        <f>(2.85696)*(1)*(1)*(1)*(1 + (0))</f>
      </c>
      <c r="D688" s="22" t="s">
        <v>182</v>
      </c>
      <c r="E688" s="22"/>
      <c r="F688" s="22">
        <f>C688*E688</f>
      </c>
    </row>
    <row r="689">
      <c r="A689" s="5"/>
      <c r="B689" s="16" t="s">
        <v>615</v>
      </c>
      <c r="C689" s="22">
        <f>(1.47719933161092)*(1)*(1)*(1)*(1 + (0))</f>
      </c>
      <c r="D689" s="22" t="s">
        <v>182</v>
      </c>
      <c r="E689" s="22"/>
      <c r="F689" s="22">
        <f>C689*E689</f>
      </c>
    </row>
    <row r="690">
      <c r="A690" s="5"/>
      <c r="B690" s="16" t="s">
        <v>616</v>
      </c>
      <c r="C690" s="22">
        <f>(1.27659659635212)*(1)*(1)*(1)*(1 + (0))</f>
      </c>
      <c r="D690" s="22" t="s">
        <v>182</v>
      </c>
      <c r="E690" s="22"/>
      <c r="F690" s="22">
        <f>C690*E690</f>
      </c>
    </row>
    <row r="691">
      <c r="A691" s="5"/>
      <c r="B691" s="16" t="s">
        <v>617</v>
      </c>
      <c r="C691" s="22">
        <f>(18)*(1)*(1)*(1)*(1 + (0))</f>
      </c>
      <c r="D691" s="22" t="s">
        <v>162</v>
      </c>
      <c r="E691" s="22"/>
      <c r="F691" s="22">
        <f>C691*E691</f>
      </c>
    </row>
    <row r="692">
      <c r="A692" s="5"/>
      <c r="B692" s="16" t="s">
        <v>618</v>
      </c>
      <c r="C692" s="22">
        <f>(18)*(1)*(1)*(1)*(1 + (0))</f>
      </c>
      <c r="D692" s="22" t="s">
        <v>162</v>
      </c>
      <c r="E692" s="22"/>
      <c r="F692" s="22">
        <f>C692*E692</f>
      </c>
    </row>
    <row r="693">
      <c r="A693" s="5"/>
      <c r="B693" s="16" t="s">
        <v>563</v>
      </c>
      <c r="C693" s="22">
        <f>(0.843)*(1)*(1)*(1)*(1 + (0))</f>
      </c>
      <c r="D693" s="22" t="s">
        <v>182</v>
      </c>
      <c r="E693" s="22"/>
      <c r="F693" s="22">
        <f>C693*E693</f>
      </c>
    </row>
    <row r="694">
      <c r="A694" s="3"/>
      <c r="B694" s="11" t="s">
        <v>619</v>
      </c>
      <c r="C694" s="20"/>
      <c r="D694" s="20"/>
      <c r="E694" s="20"/>
      <c r="F694" s="20"/>
    </row>
    <row r="695">
      <c r="A695" s="4"/>
      <c r="B695" s="12" t="s">
        <v>620</v>
      </c>
      <c r="C695" s="21"/>
      <c r="D695" s="21"/>
      <c r="E695" s="21"/>
      <c r="F695" s="21"/>
    </row>
    <row r="696">
      <c r="A696" s="5"/>
      <c r="B696" s="13" t="s">
        <v>621</v>
      </c>
      <c r="C696" s="22">
        <f>(0.49)*(1)*(1)*(1)*(1 + (0))</f>
      </c>
      <c r="D696" s="22" t="s">
        <v>182</v>
      </c>
      <c r="E696" s="22"/>
      <c r="F696" s="22">
        <f>C696*E696</f>
      </c>
    </row>
    <row r="697">
      <c r="A697" s="5"/>
      <c r="B697" s="13" t="s">
        <v>622</v>
      </c>
      <c r="C697" s="22">
        <f>(9.38)*(1)*(1)*(1)*(1 + (0))</f>
      </c>
      <c r="D697" s="22" t="s">
        <v>182</v>
      </c>
      <c r="E697" s="22"/>
      <c r="F697" s="22">
        <f>C697*E697</f>
      </c>
    </row>
    <row r="698">
      <c r="A698" s="5"/>
      <c r="B698" s="13" t="s">
        <v>623</v>
      </c>
      <c r="C698" s="22">
        <f>(27.95)*(1)*(1)*(1)*(1 + (0))</f>
      </c>
      <c r="D698" s="22" t="s">
        <v>182</v>
      </c>
      <c r="E698" s="22"/>
      <c r="F698" s="22">
        <f>C698*E698</f>
      </c>
    </row>
    <row r="699">
      <c r="A699" s="5"/>
      <c r="B699" s="13" t="s">
        <v>624</v>
      </c>
      <c r="C699" s="22">
        <f>(6.46)*(1)*(1)*(1)*(1 + (0))</f>
      </c>
      <c r="D699" s="22" t="s">
        <v>182</v>
      </c>
      <c r="E699" s="22"/>
      <c r="F699" s="22">
        <f>C699*E699</f>
      </c>
    </row>
    <row r="700">
      <c r="A700" s="4"/>
      <c r="B700" s="12" t="s">
        <v>625</v>
      </c>
      <c r="C700" s="21"/>
      <c r="D700" s="21"/>
      <c r="E700" s="21"/>
      <c r="F700" s="21"/>
    </row>
    <row r="701">
      <c r="A701" s="5"/>
      <c r="B701" s="13" t="s">
        <v>626</v>
      </c>
      <c r="C701" s="22">
        <f>(0.49)*(1)*(1)*(1)*(1 + (0))</f>
      </c>
      <c r="D701" s="22" t="s">
        <v>182</v>
      </c>
      <c r="E701" s="22"/>
      <c r="F701" s="22">
        <f>C701*E701</f>
      </c>
    </row>
    <row r="702">
      <c r="A702" s="5"/>
      <c r="B702" s="13" t="s">
        <v>627</v>
      </c>
      <c r="C702" s="22">
        <f>(9.38)*(1)*(1)*(1)*(1 + (0))</f>
      </c>
      <c r="D702" s="22" t="s">
        <v>182</v>
      </c>
      <c r="E702" s="22"/>
      <c r="F702" s="22">
        <f>C702*E702</f>
      </c>
    </row>
    <row r="703">
      <c r="A703" s="5"/>
      <c r="B703" s="13" t="s">
        <v>628</v>
      </c>
      <c r="C703" s="22">
        <f>(27.95)*(1)*(1)*(1)*(1 + (0))</f>
      </c>
      <c r="D703" s="22" t="s">
        <v>182</v>
      </c>
      <c r="E703" s="22"/>
      <c r="F703" s="22">
        <f>C703*E703</f>
      </c>
    </row>
    <row r="704">
      <c r="A704" s="4"/>
      <c r="B704" s="12" t="s">
        <v>629</v>
      </c>
      <c r="C704" s="21"/>
      <c r="D704" s="21"/>
      <c r="E704" s="21"/>
      <c r="F704" s="21"/>
    </row>
    <row r="705">
      <c r="A705" s="5"/>
      <c r="B705" s="13" t="s">
        <v>630</v>
      </c>
      <c r="C705" s="22">
        <f>(6.46)*(1)*(1)*(1)*(1 + (0))</f>
      </c>
      <c r="D705" s="22" t="s">
        <v>182</v>
      </c>
      <c r="E705" s="22"/>
      <c r="F705" s="22">
        <f>C705*E705</f>
      </c>
    </row>
    <row r="706">
      <c r="A706" s="2"/>
      <c r="B706" s="10" t="s">
        <v>631</v>
      </c>
      <c r="C706" s="19"/>
      <c r="D706" s="19"/>
      <c r="E706" s="19"/>
      <c r="F706" s="19"/>
    </row>
    <row r="707">
      <c r="A707" s="3"/>
      <c r="B707" s="11" t="s">
        <v>37</v>
      </c>
      <c r="C707" s="20"/>
      <c r="D707" s="20"/>
      <c r="E707" s="20"/>
      <c r="F707" s="20"/>
    </row>
    <row r="708">
      <c r="A708" s="5" t="s">
        <v>632</v>
      </c>
      <c r="B708" s="14" t="s">
        <v>39</v>
      </c>
      <c r="C708" s="22"/>
      <c r="D708" s="22" t="s">
        <v>10</v>
      </c>
      <c r="E708" s="22"/>
      <c r="F708" s="22">
        <f>C708*E708</f>
      </c>
    </row>
    <row r="709">
      <c r="A709" s="5" t="s">
        <v>633</v>
      </c>
      <c r="B709" s="14" t="s">
        <v>41</v>
      </c>
      <c r="C709" s="22"/>
      <c r="D709" s="22" t="s">
        <v>10</v>
      </c>
      <c r="E709" s="22"/>
      <c r="F709" s="22">
        <f>C709*E709</f>
      </c>
    </row>
    <row r="710">
      <c r="A710" s="3"/>
      <c r="B710" s="11" t="s">
        <v>523</v>
      </c>
      <c r="C710" s="20"/>
      <c r="D710" s="20"/>
      <c r="E710" s="20"/>
      <c r="F710" s="20"/>
    </row>
    <row r="711">
      <c r="A711" s="5"/>
      <c r="B711" s="14" t="s">
        <v>634</v>
      </c>
      <c r="C711" s="22"/>
      <c r="D711" s="22" t="s">
        <v>10</v>
      </c>
      <c r="E711" s="22"/>
      <c r="F711" s="22">
        <f>C711*E711</f>
      </c>
    </row>
    <row r="712">
      <c r="A712" s="5"/>
      <c r="B712" s="14" t="s">
        <v>635</v>
      </c>
      <c r="C712" s="22"/>
      <c r="D712" s="22" t="s">
        <v>10</v>
      </c>
      <c r="E712" s="22"/>
      <c r="F712" s="22">
        <f>C712*E712</f>
      </c>
    </row>
    <row r="713">
      <c r="A713" s="5"/>
      <c r="B713" s="14" t="s">
        <v>636</v>
      </c>
      <c r="C713" s="22"/>
      <c r="D713" s="22" t="s">
        <v>10</v>
      </c>
      <c r="E713" s="22"/>
      <c r="F713" s="22">
        <f>C713*E713</f>
      </c>
    </row>
    <row r="714">
      <c r="A714" s="3"/>
      <c r="B714" s="11" t="s">
        <v>44</v>
      </c>
      <c r="C714" s="20"/>
      <c r="D714" s="20"/>
      <c r="E714" s="20"/>
      <c r="F714" s="20"/>
    </row>
    <row r="715">
      <c r="A715" s="4"/>
      <c r="B715" s="12" t="s">
        <v>45</v>
      </c>
      <c r="C715" s="21"/>
      <c r="D715" s="21"/>
      <c r="E715" s="21"/>
      <c r="F715" s="21"/>
    </row>
    <row r="716">
      <c r="A716" s="5" t="s">
        <v>637</v>
      </c>
      <c r="B716" s="13" t="s">
        <v>638</v>
      </c>
      <c r="C716" s="22"/>
      <c r="D716" s="22" t="s">
        <v>10</v>
      </c>
      <c r="E716" s="22"/>
      <c r="F716" s="22">
        <f>C716*E716</f>
      </c>
    </row>
    <row r="717">
      <c r="A717" s="5" t="s">
        <v>639</v>
      </c>
      <c r="B717" s="13" t="s">
        <v>640</v>
      </c>
      <c r="C717" s="22"/>
      <c r="D717" s="22" t="s">
        <v>10</v>
      </c>
      <c r="E717" s="22"/>
      <c r="F717" s="22">
        <f>C717*E717</f>
      </c>
    </row>
    <row r="718">
      <c r="A718" s="5" t="s">
        <v>641</v>
      </c>
      <c r="B718" s="13" t="s">
        <v>642</v>
      </c>
      <c r="C718" s="22"/>
      <c r="D718" s="22" t="s">
        <v>10</v>
      </c>
      <c r="E718" s="22"/>
      <c r="F718" s="22">
        <f>C718*E718</f>
      </c>
    </row>
    <row r="719">
      <c r="A719" s="5" t="s">
        <v>643</v>
      </c>
      <c r="B719" s="13" t="s">
        <v>644</v>
      </c>
      <c r="C719" s="22"/>
      <c r="D719" s="22" t="s">
        <v>10</v>
      </c>
      <c r="E719" s="22"/>
      <c r="F719" s="22">
        <f>C719*E719</f>
      </c>
    </row>
    <row r="720">
      <c r="A720" s="5" t="s">
        <v>645</v>
      </c>
      <c r="B720" s="13" t="s">
        <v>646</v>
      </c>
      <c r="C720" s="22"/>
      <c r="D720" s="22" t="s">
        <v>10</v>
      </c>
      <c r="E720" s="22"/>
      <c r="F720" s="22">
        <f>C720*E720</f>
      </c>
    </row>
    <row r="721">
      <c r="A721" s="5" t="s">
        <v>647</v>
      </c>
      <c r="B721" s="13" t="s">
        <v>648</v>
      </c>
      <c r="C721" s="22"/>
      <c r="D721" s="22" t="s">
        <v>10</v>
      </c>
      <c r="E721" s="22"/>
      <c r="F721" s="22">
        <f>C721*E721</f>
      </c>
    </row>
    <row r="722">
      <c r="A722" s="5" t="s">
        <v>649</v>
      </c>
      <c r="B722" s="13" t="s">
        <v>650</v>
      </c>
      <c r="C722" s="22"/>
      <c r="D722" s="22" t="s">
        <v>10</v>
      </c>
      <c r="E722" s="22"/>
      <c r="F722" s="22">
        <f>C722*E722</f>
      </c>
    </row>
    <row r="723">
      <c r="A723" s="5" t="s">
        <v>651</v>
      </c>
      <c r="B723" s="13" t="s">
        <v>652</v>
      </c>
      <c r="C723" s="22"/>
      <c r="D723" s="22" t="s">
        <v>10</v>
      </c>
      <c r="E723" s="22"/>
      <c r="F723" s="22">
        <f>C723*E723</f>
      </c>
    </row>
    <row r="724">
      <c r="A724" s="5" t="s">
        <v>653</v>
      </c>
      <c r="B724" s="13" t="s">
        <v>654</v>
      </c>
      <c r="C724" s="22"/>
      <c r="D724" s="22" t="s">
        <v>10</v>
      </c>
      <c r="E724" s="22"/>
      <c r="F724" s="22">
        <f>C724*E724</f>
      </c>
    </row>
    <row r="725">
      <c r="A725" s="3"/>
      <c r="B725" s="11" t="s">
        <v>68</v>
      </c>
      <c r="C725" s="20"/>
      <c r="D725" s="20"/>
      <c r="E725" s="20"/>
      <c r="F725" s="20"/>
    </row>
    <row r="726">
      <c r="A726" s="5" t="s">
        <v>655</v>
      </c>
      <c r="B726" s="14" t="s">
        <v>656</v>
      </c>
      <c r="C726" s="22">
        <f>(1)*(1)*(1)*(1)*(1 + (0))</f>
      </c>
      <c r="D726" s="22" t="s">
        <v>71</v>
      </c>
      <c r="E726" s="22"/>
      <c r="F726" s="22">
        <f>C726*E726</f>
      </c>
    </row>
    <row r="727">
      <c r="A727" s="5" t="s">
        <v>657</v>
      </c>
      <c r="B727" s="14" t="s">
        <v>658</v>
      </c>
      <c r="C727" s="22">
        <f>(1)*(1)*(1)*(1)*(1 + (0))</f>
      </c>
      <c r="D727" s="22" t="s">
        <v>71</v>
      </c>
      <c r="E727" s="22"/>
      <c r="F727" s="22">
        <f>C727*E727</f>
      </c>
    </row>
    <row r="728">
      <c r="A728" s="5" t="s">
        <v>659</v>
      </c>
      <c r="B728" s="14" t="s">
        <v>660</v>
      </c>
      <c r="C728" s="22">
        <f>(1)*(1)*(1)*(1)*(1 + (0))</f>
      </c>
      <c r="D728" s="22" t="s">
        <v>71</v>
      </c>
      <c r="E728" s="22"/>
      <c r="F728" s="22">
        <f>C728*E728</f>
      </c>
    </row>
    <row r="729">
      <c r="A729" s="5" t="s">
        <v>661</v>
      </c>
      <c r="B729" s="14" t="s">
        <v>77</v>
      </c>
      <c r="C729" s="22">
        <f>(1)*(1)*(1)*(1)*(1 + (0))</f>
      </c>
      <c r="D729" s="22" t="s">
        <v>71</v>
      </c>
      <c r="E729" s="22"/>
      <c r="F729" s="22">
        <f>C729*E729</f>
      </c>
    </row>
    <row r="730">
      <c r="A730" s="5" t="s">
        <v>662</v>
      </c>
      <c r="B730" s="14" t="s">
        <v>663</v>
      </c>
      <c r="C730" s="22">
        <f>(1)*(1)*(1)*(1)*(1 + (0))</f>
      </c>
      <c r="D730" s="22" t="s">
        <v>71</v>
      </c>
      <c r="E730" s="22"/>
      <c r="F730" s="22">
        <f>C730*E730</f>
      </c>
    </row>
    <row r="731">
      <c r="A731" s="5" t="s">
        <v>664</v>
      </c>
      <c r="B731" s="14" t="s">
        <v>665</v>
      </c>
      <c r="C731" s="22">
        <f>(1)*(1)*(1)*(1)*(1 + (0))</f>
      </c>
      <c r="D731" s="22" t="s">
        <v>71</v>
      </c>
      <c r="E731" s="22"/>
      <c r="F731" s="22">
        <f>C731*E731</f>
      </c>
    </row>
    <row r="732">
      <c r="A732" s="5" t="s">
        <v>666</v>
      </c>
      <c r="B732" s="14" t="s">
        <v>667</v>
      </c>
      <c r="C732" s="22">
        <f>(1)*(1)*(1)*(1)*(1 + (0))</f>
      </c>
      <c r="D732" s="22" t="s">
        <v>71</v>
      </c>
      <c r="E732" s="22"/>
      <c r="F732" s="22">
        <f>C732*E732</f>
      </c>
    </row>
    <row r="733">
      <c r="A733" s="5" t="s">
        <v>668</v>
      </c>
      <c r="B733" s="14" t="s">
        <v>669</v>
      </c>
      <c r="C733" s="22">
        <f>(1)*(1)*(1)*(1)*(1 + (0))</f>
      </c>
      <c r="D733" s="22" t="s">
        <v>71</v>
      </c>
      <c r="E733" s="22"/>
      <c r="F733" s="22">
        <f>C733*E733</f>
      </c>
    </row>
    <row r="734">
      <c r="A734" s="3"/>
      <c r="B734" s="11" t="s">
        <v>106</v>
      </c>
      <c r="C734" s="20"/>
      <c r="D734" s="20"/>
      <c r="E734" s="20"/>
      <c r="F734" s="20"/>
    </row>
    <row r="735">
      <c r="A735" s="5"/>
      <c r="B735" s="14" t="s">
        <v>670</v>
      </c>
      <c r="C735" s="22"/>
      <c r="D735" s="22" t="s">
        <v>10</v>
      </c>
      <c r="E735" s="22"/>
      <c r="F735" s="22">
        <f>C735*E735</f>
      </c>
    </row>
    <row r="736">
      <c r="A736" s="5"/>
      <c r="B736" s="14" t="s">
        <v>671</v>
      </c>
      <c r="C736" s="22"/>
      <c r="D736" s="22" t="s">
        <v>10</v>
      </c>
      <c r="E736" s="22"/>
      <c r="F736" s="22">
        <f>C736*E736</f>
      </c>
    </row>
    <row r="737">
      <c r="A737" s="3"/>
      <c r="B737" s="11" t="s">
        <v>672</v>
      </c>
      <c r="C737" s="20"/>
      <c r="D737" s="20"/>
      <c r="E737" s="20"/>
      <c r="F737" s="20"/>
    </row>
    <row r="738">
      <c r="A738" s="4"/>
      <c r="B738" s="12" t="s">
        <v>673</v>
      </c>
      <c r="C738" s="21"/>
      <c r="D738" s="21"/>
      <c r="E738" s="21"/>
      <c r="F738" s="21"/>
    </row>
    <row r="739">
      <c r="A739" s="6"/>
      <c r="B739" s="15" t="s">
        <v>674</v>
      </c>
      <c r="C739" s="23"/>
      <c r="D739" s="23"/>
      <c r="E739" s="23"/>
      <c r="F739" s="23"/>
    </row>
    <row r="740">
      <c r="A740" s="5"/>
      <c r="B740" s="16" t="s">
        <v>675</v>
      </c>
      <c r="C740" s="22"/>
      <c r="D740" s="22"/>
      <c r="E740" s="22"/>
      <c r="F740" s="22"/>
    </row>
    <row r="741">
      <c r="A741" s="5"/>
      <c r="B741" s="17" t="s">
        <v>676</v>
      </c>
      <c r="C741" s="22">
        <f>(108)*(1)*(1)*(1)*(1 + (0))</f>
      </c>
      <c r="D741" s="22" t="s">
        <v>24</v>
      </c>
      <c r="E741" s="22"/>
      <c r="F741" s="22">
        <f>C741*E741</f>
      </c>
    </row>
    <row r="742">
      <c r="A742" s="5"/>
      <c r="B742" s="17" t="s">
        <v>613</v>
      </c>
      <c r="C742" s="22">
        <f>(13)*(1)*(1)*(1)*(1 + (0))</f>
      </c>
      <c r="D742" s="22" t="s">
        <v>24</v>
      </c>
      <c r="E742" s="22"/>
      <c r="F742" s="22">
        <f>C742*E742</f>
      </c>
    </row>
    <row r="743">
      <c r="A743" s="5"/>
      <c r="B743" s="16" t="s">
        <v>677</v>
      </c>
      <c r="C743" s="22"/>
      <c r="D743" s="22"/>
      <c r="E743" s="22"/>
      <c r="F743" s="22"/>
    </row>
    <row r="744">
      <c r="A744" s="5"/>
      <c r="B744" s="17" t="s">
        <v>676</v>
      </c>
      <c r="C744" s="22">
        <f>(29)*(1)*(1)*(1)*(1 + (0))</f>
      </c>
      <c r="D744" s="22" t="s">
        <v>24</v>
      </c>
      <c r="E744" s="22"/>
      <c r="F744" s="22">
        <f>C744*E744</f>
      </c>
    </row>
    <row r="745">
      <c r="A745" s="5"/>
      <c r="B745" s="16" t="s">
        <v>678</v>
      </c>
      <c r="C745" s="22"/>
      <c r="D745" s="22"/>
      <c r="E745" s="22"/>
      <c r="F745" s="22"/>
    </row>
    <row r="746">
      <c r="A746" s="5"/>
      <c r="B746" s="17" t="s">
        <v>676</v>
      </c>
      <c r="C746" s="22">
        <f>(129)*(1)*(1)*(1)*(1 + (0))</f>
      </c>
      <c r="D746" s="22" t="s">
        <v>153</v>
      </c>
      <c r="E746" s="22"/>
      <c r="F746" s="22">
        <f>C746*E746</f>
      </c>
    </row>
    <row r="747">
      <c r="A747" s="5"/>
      <c r="B747" s="17" t="s">
        <v>613</v>
      </c>
      <c r="C747" s="22">
        <f>(24)*(1)*(1)*(1)*(1 + (0))</f>
      </c>
      <c r="D747" s="22" t="s">
        <v>153</v>
      </c>
      <c r="E747" s="22"/>
      <c r="F747" s="22">
        <f>C747*E747</f>
      </c>
    </row>
    <row r="748">
      <c r="A748" s="4"/>
      <c r="B748" s="12" t="s">
        <v>679</v>
      </c>
      <c r="C748" s="21"/>
      <c r="D748" s="21"/>
      <c r="E748" s="21"/>
      <c r="F748" s="21"/>
    </row>
    <row r="749">
      <c r="A749" s="6"/>
      <c r="B749" s="15" t="s">
        <v>680</v>
      </c>
      <c r="C749" s="23"/>
      <c r="D749" s="23"/>
      <c r="E749" s="23"/>
      <c r="F749" s="23"/>
    </row>
    <row r="750">
      <c r="A750" s="5"/>
      <c r="B750" s="16" t="s">
        <v>681</v>
      </c>
      <c r="C750" s="22"/>
      <c r="D750" s="22"/>
      <c r="E750" s="22"/>
      <c r="F750" s="22"/>
    </row>
    <row r="751">
      <c r="A751" s="5"/>
      <c r="B751" s="17" t="s">
        <v>613</v>
      </c>
      <c r="C751" s="22">
        <f>(220)*(1)*(1)*(1)*(1 + (0))</f>
      </c>
      <c r="D751" s="22" t="s">
        <v>24</v>
      </c>
      <c r="E751" s="22"/>
      <c r="F751" s="22">
        <f>C751*E751</f>
      </c>
    </row>
    <row r="752">
      <c r="A752" s="5"/>
      <c r="B752" s="16" t="s">
        <v>678</v>
      </c>
      <c r="C752" s="22"/>
      <c r="D752" s="22"/>
      <c r="E752" s="22"/>
      <c r="F752" s="22"/>
    </row>
    <row r="753">
      <c r="A753" s="5"/>
      <c r="B753" s="17" t="s">
        <v>613</v>
      </c>
      <c r="C753" s="22">
        <f>(51)*(1)*(1)*(1)*(1 + (0))</f>
      </c>
      <c r="D753" s="22" t="s">
        <v>153</v>
      </c>
      <c r="E753" s="22"/>
      <c r="F753" s="22">
        <f>C753*E753</f>
      </c>
    </row>
    <row r="754">
      <c r="A754" s="4"/>
      <c r="B754" s="12" t="s">
        <v>682</v>
      </c>
      <c r="C754" s="21"/>
      <c r="D754" s="21"/>
      <c r="E754" s="21"/>
      <c r="F754" s="21"/>
    </row>
    <row r="755">
      <c r="A755" s="6"/>
      <c r="B755" s="15" t="s">
        <v>680</v>
      </c>
      <c r="C755" s="23"/>
      <c r="D755" s="23"/>
      <c r="E755" s="23"/>
      <c r="F755" s="23"/>
    </row>
    <row r="756">
      <c r="A756" s="5"/>
      <c r="B756" s="16" t="s">
        <v>683</v>
      </c>
      <c r="C756" s="22"/>
      <c r="D756" s="22"/>
      <c r="E756" s="22"/>
      <c r="F756" s="22"/>
    </row>
    <row r="757">
      <c r="A757" s="5"/>
      <c r="B757" s="17" t="s">
        <v>684</v>
      </c>
      <c r="C757" s="22">
        <f>(76)*(1)*(1)*(1)*(1 + (0))</f>
      </c>
      <c r="D757" s="22" t="s">
        <v>24</v>
      </c>
      <c r="E757" s="22"/>
      <c r="F757" s="22">
        <f>C757*E757</f>
      </c>
    </row>
    <row r="758">
      <c r="A758" s="5"/>
      <c r="B758" s="16" t="s">
        <v>685</v>
      </c>
      <c r="C758" s="22"/>
      <c r="D758" s="22"/>
      <c r="E758" s="22"/>
      <c r="F758" s="22"/>
    </row>
    <row r="759">
      <c r="A759" s="5"/>
      <c r="B759" s="17" t="s">
        <v>684</v>
      </c>
      <c r="C759" s="22">
        <f>(10)*(1)*(1)*(1)*(1 + (0))</f>
      </c>
      <c r="D759" s="22" t="s">
        <v>24</v>
      </c>
      <c r="E759" s="22"/>
      <c r="F759" s="22">
        <f>C759*E759</f>
      </c>
    </row>
    <row r="760">
      <c r="A760" s="3"/>
      <c r="B760" s="11" t="s">
        <v>686</v>
      </c>
      <c r="C760" s="20"/>
      <c r="D760" s="20"/>
      <c r="E760" s="20"/>
      <c r="F760" s="20"/>
    </row>
    <row r="761">
      <c r="A761" s="4"/>
      <c r="B761" s="12" t="s">
        <v>687</v>
      </c>
      <c r="C761" s="21"/>
      <c r="D761" s="21"/>
      <c r="E761" s="21"/>
      <c r="F761" s="21"/>
    </row>
    <row r="762">
      <c r="A762" s="6"/>
      <c r="B762" s="15" t="s">
        <v>308</v>
      </c>
      <c r="C762" s="23"/>
      <c r="D762" s="23"/>
      <c r="E762" s="23"/>
      <c r="F762" s="23"/>
    </row>
    <row r="763">
      <c r="A763" s="5"/>
      <c r="B763" s="16" t="s">
        <v>688</v>
      </c>
      <c r="C763" s="22">
        <f>(17)*(1)*(1)*(1)*(1 + (0))</f>
      </c>
      <c r="D763" s="22" t="s">
        <v>24</v>
      </c>
      <c r="E763" s="22"/>
      <c r="F763" s="22">
        <f>C763*E763</f>
      </c>
    </row>
    <row r="764">
      <c r="A764" s="2"/>
      <c r="B764" s="10" t="s">
        <v>689</v>
      </c>
      <c r="C764" s="19"/>
      <c r="D764" s="19"/>
      <c r="E764" s="19"/>
      <c r="F764" s="19"/>
    </row>
    <row r="765">
      <c r="A765" s="3"/>
      <c r="B765" s="11" t="s">
        <v>37</v>
      </c>
      <c r="C765" s="20"/>
      <c r="D765" s="20"/>
      <c r="E765" s="20"/>
      <c r="F765" s="20"/>
    </row>
    <row r="766">
      <c r="A766" s="5" t="s">
        <v>690</v>
      </c>
      <c r="B766" s="14" t="s">
        <v>39</v>
      </c>
      <c r="C766" s="22"/>
      <c r="D766" s="22" t="s">
        <v>10</v>
      </c>
      <c r="E766" s="22"/>
      <c r="F766" s="22">
        <f>C766*E766</f>
      </c>
    </row>
    <row r="767">
      <c r="A767" s="5" t="s">
        <v>691</v>
      </c>
      <c r="B767" s="14" t="s">
        <v>41</v>
      </c>
      <c r="C767" s="22"/>
      <c r="D767" s="22" t="s">
        <v>10</v>
      </c>
      <c r="E767" s="22"/>
      <c r="F767" s="22">
        <f>C767*E767</f>
      </c>
    </row>
    <row r="768">
      <c r="A768" s="3"/>
      <c r="B768" s="11" t="s">
        <v>42</v>
      </c>
      <c r="C768" s="20"/>
      <c r="D768" s="20"/>
      <c r="E768" s="20"/>
      <c r="F768" s="20"/>
    </row>
    <row r="769">
      <c r="A769" s="5"/>
      <c r="B769" s="14" t="s">
        <v>692</v>
      </c>
      <c r="C769" s="22"/>
      <c r="D769" s="22" t="s">
        <v>10</v>
      </c>
      <c r="E769" s="22"/>
      <c r="F769" s="22">
        <f>C769*E769</f>
      </c>
    </row>
    <row r="770">
      <c r="A770" s="5"/>
      <c r="B770" s="14" t="s">
        <v>693</v>
      </c>
      <c r="C770" s="22"/>
      <c r="D770" s="22" t="s">
        <v>10</v>
      </c>
      <c r="E770" s="22"/>
      <c r="F770" s="22">
        <f>C770*E770</f>
      </c>
    </row>
    <row r="771">
      <c r="A771" s="5"/>
      <c r="B771" s="14" t="s">
        <v>694</v>
      </c>
      <c r="C771" s="22"/>
      <c r="D771" s="22" t="s">
        <v>10</v>
      </c>
      <c r="E771" s="22"/>
      <c r="F771" s="22">
        <f>C771*E771</f>
      </c>
    </row>
    <row r="772">
      <c r="A772" s="3"/>
      <c r="B772" s="11" t="s">
        <v>44</v>
      </c>
      <c r="C772" s="20"/>
      <c r="D772" s="20"/>
      <c r="E772" s="20"/>
      <c r="F772" s="20"/>
    </row>
    <row r="773">
      <c r="A773" s="4"/>
      <c r="B773" s="12" t="s">
        <v>45</v>
      </c>
      <c r="C773" s="21"/>
      <c r="D773" s="21"/>
      <c r="E773" s="21"/>
      <c r="F773" s="21"/>
    </row>
    <row r="774">
      <c r="A774" s="5" t="s">
        <v>695</v>
      </c>
      <c r="B774" s="13" t="s">
        <v>696</v>
      </c>
      <c r="C774" s="22"/>
      <c r="D774" s="22" t="s">
        <v>10</v>
      </c>
      <c r="E774" s="22"/>
      <c r="F774" s="22">
        <f>C774*E774</f>
      </c>
    </row>
    <row r="775">
      <c r="A775" s="5" t="s">
        <v>697</v>
      </c>
      <c r="B775" s="13" t="s">
        <v>698</v>
      </c>
      <c r="C775" s="22"/>
      <c r="D775" s="22" t="s">
        <v>10</v>
      </c>
      <c r="E775" s="22"/>
      <c r="F775" s="22">
        <f>C775*E775</f>
      </c>
    </row>
    <row r="776">
      <c r="A776" s="5" t="s">
        <v>699</v>
      </c>
      <c r="B776" s="13" t="s">
        <v>700</v>
      </c>
      <c r="C776" s="22"/>
      <c r="D776" s="22" t="s">
        <v>10</v>
      </c>
      <c r="E776" s="22"/>
      <c r="F776" s="22">
        <f>C776*E776</f>
      </c>
    </row>
    <row r="777">
      <c r="A777" s="5" t="s">
        <v>701</v>
      </c>
      <c r="B777" s="13" t="s">
        <v>646</v>
      </c>
      <c r="C777" s="22"/>
      <c r="D777" s="22" t="s">
        <v>10</v>
      </c>
      <c r="E777" s="22"/>
      <c r="F777" s="22">
        <f>C777*E777</f>
      </c>
    </row>
    <row r="778">
      <c r="A778" s="5" t="s">
        <v>702</v>
      </c>
      <c r="B778" s="13" t="s">
        <v>648</v>
      </c>
      <c r="C778" s="22"/>
      <c r="D778" s="22" t="s">
        <v>10</v>
      </c>
      <c r="E778" s="22"/>
      <c r="F778" s="22">
        <f>C778*E778</f>
      </c>
    </row>
    <row r="779">
      <c r="A779" s="5" t="s">
        <v>703</v>
      </c>
      <c r="B779" s="13" t="s">
        <v>704</v>
      </c>
      <c r="C779" s="22"/>
      <c r="D779" s="22" t="s">
        <v>10</v>
      </c>
      <c r="E779" s="22"/>
      <c r="F779" s="22">
        <f>C779*E779</f>
      </c>
    </row>
    <row r="780">
      <c r="A780" s="5" t="s">
        <v>705</v>
      </c>
      <c r="B780" s="13" t="s">
        <v>123</v>
      </c>
      <c r="C780" s="22"/>
      <c r="D780" s="22" t="s">
        <v>10</v>
      </c>
      <c r="E780" s="22"/>
      <c r="F780" s="22">
        <f>C780*E780</f>
      </c>
    </row>
    <row r="781">
      <c r="A781" s="3"/>
      <c r="B781" s="11" t="s">
        <v>68</v>
      </c>
      <c r="C781" s="20"/>
      <c r="D781" s="20"/>
      <c r="E781" s="20"/>
      <c r="F781" s="20"/>
    </row>
    <row r="782">
      <c r="A782" s="5" t="s">
        <v>706</v>
      </c>
      <c r="B782" s="14" t="s">
        <v>707</v>
      </c>
      <c r="C782" s="22">
        <f>(1)*(1)*(1)*(1)*(1 + (0))</f>
      </c>
      <c r="D782" s="22" t="s">
        <v>71</v>
      </c>
      <c r="E782" s="22"/>
      <c r="F782" s="22">
        <f>C782*E782</f>
      </c>
    </row>
    <row r="783">
      <c r="A783" s="5" t="s">
        <v>708</v>
      </c>
      <c r="B783" s="14" t="s">
        <v>709</v>
      </c>
      <c r="C783" s="22">
        <f>(1)*(1)*(1)*(1)*(1 + (0))</f>
      </c>
      <c r="D783" s="22" t="s">
        <v>71</v>
      </c>
      <c r="E783" s="22"/>
      <c r="F783" s="22">
        <f>C783*E783</f>
      </c>
    </row>
    <row r="784">
      <c r="A784" s="5" t="s">
        <v>710</v>
      </c>
      <c r="B784" s="14" t="s">
        <v>711</v>
      </c>
      <c r="C784" s="22">
        <f>(1)*(1)*(1)*(1)*(1 + (0))</f>
      </c>
      <c r="D784" s="22" t="s">
        <v>71</v>
      </c>
      <c r="E784" s="22"/>
      <c r="F784" s="22">
        <f>C784*E784</f>
      </c>
    </row>
    <row r="785">
      <c r="A785" s="5" t="s">
        <v>712</v>
      </c>
      <c r="B785" s="14" t="s">
        <v>79</v>
      </c>
      <c r="C785" s="22">
        <f>(1)*(1)*(1)*(1)*(1 + (0))</f>
      </c>
      <c r="D785" s="22" t="s">
        <v>71</v>
      </c>
      <c r="E785" s="22"/>
      <c r="F785" s="22">
        <f>C785*E785</f>
      </c>
    </row>
    <row r="786">
      <c r="A786" s="5" t="s">
        <v>713</v>
      </c>
      <c r="B786" s="14" t="s">
        <v>714</v>
      </c>
      <c r="C786" s="22">
        <f>(1)*(1)*(1)*(1)*(1 + (0))</f>
      </c>
      <c r="D786" s="22" t="s">
        <v>71</v>
      </c>
      <c r="E786" s="22"/>
      <c r="F786" s="22">
        <f>C786*E786</f>
      </c>
    </row>
    <row r="787">
      <c r="A787" s="5" t="s">
        <v>715</v>
      </c>
      <c r="B787" s="14" t="s">
        <v>716</v>
      </c>
      <c r="C787" s="22">
        <f>(1)*(1)*(1)*(1)*(1 + (0))</f>
      </c>
      <c r="D787" s="22" t="s">
        <v>71</v>
      </c>
      <c r="E787" s="22"/>
      <c r="F787" s="22">
        <f>C787*E787</f>
      </c>
    </row>
    <row r="788">
      <c r="A788" s="5" t="s">
        <v>717</v>
      </c>
      <c r="B788" s="14" t="s">
        <v>718</v>
      </c>
      <c r="C788" s="22">
        <f>(1)*(1)*(1)*(1)*(1 + (0))</f>
      </c>
      <c r="D788" s="22" t="s">
        <v>71</v>
      </c>
      <c r="E788" s="22"/>
      <c r="F788" s="22">
        <f>C788*E788</f>
      </c>
    </row>
    <row r="789">
      <c r="A789" s="5" t="s">
        <v>719</v>
      </c>
      <c r="B789" s="14" t="s">
        <v>720</v>
      </c>
      <c r="C789" s="22">
        <f>(1)*(1)*(1)*(1)*(1 + (0))</f>
      </c>
      <c r="D789" s="22" t="s">
        <v>71</v>
      </c>
      <c r="E789" s="22"/>
      <c r="F789" s="22">
        <f>C789*E789</f>
      </c>
    </row>
    <row r="790">
      <c r="A790" s="3"/>
      <c r="B790" s="11" t="s">
        <v>721</v>
      </c>
      <c r="C790" s="20"/>
      <c r="D790" s="20"/>
      <c r="E790" s="20"/>
      <c r="F790" s="20"/>
    </row>
    <row r="791">
      <c r="A791" s="5"/>
      <c r="B791" s="14" t="s">
        <v>722</v>
      </c>
      <c r="C791" s="22">
        <f>(1902)*(1)*(1)*(1)*(1 + (0))</f>
      </c>
      <c r="D791" s="22" t="s">
        <v>24</v>
      </c>
      <c r="E791" s="22"/>
      <c r="F791" s="22">
        <f>C791*E791</f>
      </c>
    </row>
    <row r="792">
      <c r="A792" s="3"/>
      <c r="B792" s="11" t="s">
        <v>723</v>
      </c>
      <c r="C792" s="20"/>
      <c r="D792" s="20"/>
      <c r="E792" s="20"/>
      <c r="F792" s="20"/>
    </row>
    <row r="793">
      <c r="A793" s="5"/>
      <c r="B793" s="14" t="s">
        <v>724</v>
      </c>
      <c r="C793" s="22">
        <f>(1902)*(1)*(1)*(1)*(1 + (0))</f>
      </c>
      <c r="D793" s="22" t="s">
        <v>24</v>
      </c>
      <c r="E793" s="22"/>
      <c r="F793" s="22">
        <f>C793*E793</f>
      </c>
    </row>
    <row r="794">
      <c r="A794" s="5"/>
      <c r="B794" s="14" t="s">
        <v>725</v>
      </c>
      <c r="C794" s="22">
        <f>(127)*(1)*(1)*(1)*(1 + (0))</f>
      </c>
      <c r="D794" s="22" t="s">
        <v>24</v>
      </c>
      <c r="E794" s="22"/>
      <c r="F794" s="22">
        <f>C794*E794</f>
      </c>
    </row>
    <row r="795">
      <c r="A795" s="5"/>
      <c r="B795" s="14" t="s">
        <v>726</v>
      </c>
      <c r="C795" s="22">
        <f>(593)*(1)*(1)*(1)*(1 + (0))</f>
      </c>
      <c r="D795" s="22" t="s">
        <v>24</v>
      </c>
      <c r="E795" s="22"/>
      <c r="F795" s="22">
        <f>C795*E795</f>
      </c>
    </row>
    <row r="796">
      <c r="A796" s="5"/>
      <c r="B796" s="14" t="s">
        <v>727</v>
      </c>
      <c r="C796" s="22">
        <f>(1902)*(1)*(1)*(1)*(1 + (0))</f>
      </c>
      <c r="D796" s="22" t="s">
        <v>24</v>
      </c>
      <c r="E796" s="22"/>
      <c r="F796" s="22">
        <f>C796*E796</f>
      </c>
    </row>
    <row r="797">
      <c r="A797" s="3"/>
      <c r="B797" s="11" t="s">
        <v>728</v>
      </c>
      <c r="C797" s="20"/>
      <c r="D797" s="20"/>
      <c r="E797" s="20"/>
      <c r="F797" s="20"/>
    </row>
    <row r="798">
      <c r="A798" s="5"/>
      <c r="B798" s="14" t="s">
        <v>729</v>
      </c>
      <c r="C798" s="22">
        <f>(1902)*(1)*(1)*(1)*(1 + (0))</f>
      </c>
      <c r="D798" s="22" t="s">
        <v>24</v>
      </c>
      <c r="E798" s="22"/>
      <c r="F798" s="22">
        <f>C798*E798</f>
      </c>
    </row>
    <row r="799">
      <c r="A799" s="3"/>
      <c r="B799" s="11" t="s">
        <v>730</v>
      </c>
      <c r="C799" s="20"/>
      <c r="D799" s="20"/>
      <c r="E799" s="20"/>
      <c r="F799" s="20"/>
    </row>
    <row r="800">
      <c r="A800" s="4"/>
      <c r="B800" s="12" t="s">
        <v>731</v>
      </c>
      <c r="C800" s="21"/>
      <c r="D800" s="21"/>
      <c r="E800" s="21"/>
      <c r="F800" s="21"/>
    </row>
    <row r="801">
      <c r="A801" s="5"/>
      <c r="B801" s="13" t="s">
        <v>732</v>
      </c>
      <c r="C801" s="22">
        <f>(6)*(1)*(1)*(1)*(1 + (0))</f>
      </c>
      <c r="D801" s="22" t="s">
        <v>153</v>
      </c>
      <c r="E801" s="22"/>
      <c r="F801" s="22">
        <f>C801*E801</f>
      </c>
    </row>
    <row r="802">
      <c r="A802" s="5"/>
      <c r="B802" s="13" t="s">
        <v>733</v>
      </c>
      <c r="C802" s="22">
        <f>(71)*(1)*(1)*(1)*(1 + (0))</f>
      </c>
      <c r="D802" s="22" t="s">
        <v>153</v>
      </c>
      <c r="E802" s="22"/>
      <c r="F802" s="22">
        <f>C802*E802</f>
      </c>
    </row>
    <row r="803">
      <c r="A803" s="4"/>
      <c r="B803" s="12" t="s">
        <v>734</v>
      </c>
      <c r="C803" s="21"/>
      <c r="D803" s="21"/>
      <c r="E803" s="21"/>
      <c r="F803" s="21"/>
    </row>
    <row r="804">
      <c r="A804" s="5"/>
      <c r="B804" s="13" t="s">
        <v>735</v>
      </c>
      <c r="C804" s="22">
        <f>(11)*(1)*(1)*(1)*(1 + (0))</f>
      </c>
      <c r="D804" s="22" t="s">
        <v>153</v>
      </c>
      <c r="E804" s="22"/>
      <c r="F804" s="22">
        <f>C804*E804</f>
      </c>
    </row>
    <row r="805">
      <c r="A805" s="5"/>
      <c r="B805" s="13" t="s">
        <v>736</v>
      </c>
      <c r="C805" s="22">
        <f>(17)*(1)*(1)*(1)*(1 + (0))</f>
      </c>
      <c r="D805" s="22" t="s">
        <v>153</v>
      </c>
      <c r="E805" s="22"/>
      <c r="F805" s="22">
        <f>C805*E805</f>
      </c>
    </row>
    <row r="806">
      <c r="A806" s="5"/>
      <c r="B806" s="13" t="s">
        <v>737</v>
      </c>
      <c r="C806" s="22">
        <f>(228)*(1)*(1)*(1)*(1 + (0))</f>
      </c>
      <c r="D806" s="22" t="s">
        <v>153</v>
      </c>
      <c r="E806" s="22"/>
      <c r="F806" s="22">
        <f>C806*E806</f>
      </c>
    </row>
    <row r="807">
      <c r="A807" s="4"/>
      <c r="B807" s="12" t="s">
        <v>738</v>
      </c>
      <c r="C807" s="21"/>
      <c r="D807" s="21"/>
      <c r="E807" s="21"/>
      <c r="F807" s="21"/>
    </row>
    <row r="808">
      <c r="A808" s="5"/>
      <c r="B808" s="13" t="s">
        <v>739</v>
      </c>
      <c r="C808" s="22">
        <f>(99)*(1)*(1)*(1)*(1 + (0))</f>
      </c>
      <c r="D808" s="22" t="s">
        <v>24</v>
      </c>
      <c r="E808" s="22"/>
      <c r="F808" s="22">
        <f>C808*E808</f>
      </c>
    </row>
    <row r="809">
      <c r="A809" s="3"/>
      <c r="B809" s="11" t="s">
        <v>740</v>
      </c>
      <c r="C809" s="20"/>
      <c r="D809" s="20"/>
      <c r="E809" s="20"/>
      <c r="F809" s="20"/>
    </row>
    <row r="810">
      <c r="A810" s="5"/>
      <c r="B810" s="14" t="s">
        <v>741</v>
      </c>
      <c r="C810" s="22">
        <f>(95)*(1)*(1)*(1)*(1 + (0))</f>
      </c>
      <c r="D810" s="22" t="s">
        <v>153</v>
      </c>
      <c r="E810" s="22"/>
      <c r="F810" s="22">
        <f>C810*E810</f>
      </c>
    </row>
    <row r="811">
      <c r="A811" s="5"/>
      <c r="B811" s="14" t="s">
        <v>742</v>
      </c>
      <c r="C811" s="22">
        <f>(11)*(1)*(1)*(1)*(1 + (0))</f>
      </c>
      <c r="D811" s="22" t="s">
        <v>153</v>
      </c>
      <c r="E811" s="22"/>
      <c r="F811" s="22">
        <f>C811*E811</f>
      </c>
    </row>
    <row r="812">
      <c r="A812" s="5"/>
      <c r="B812" s="14" t="s">
        <v>743</v>
      </c>
      <c r="C812" s="22">
        <f>(2)*(1)*(1)*(1)*(1 + (0))</f>
      </c>
      <c r="D812" s="22" t="s">
        <v>162</v>
      </c>
      <c r="E812" s="22"/>
      <c r="F812" s="22">
        <f>C812*E812</f>
      </c>
    </row>
    <row r="813">
      <c r="A813" s="5"/>
      <c r="B813" s="14" t="s">
        <v>744</v>
      </c>
      <c r="C813" s="22">
        <f>(10)*(1)*(1)*(1)*(1 + (0))</f>
      </c>
      <c r="D813" s="22" t="s">
        <v>153</v>
      </c>
      <c r="E813" s="22"/>
      <c r="F813" s="22">
        <f>C813*E813</f>
      </c>
    </row>
    <row r="814">
      <c r="A814" s="5"/>
      <c r="B814" s="14" t="s">
        <v>745</v>
      </c>
      <c r="C814" s="22">
        <f>(1)*(1)*(1)*(1)*(1 + (0))</f>
      </c>
      <c r="D814" s="22" t="s">
        <v>162</v>
      </c>
      <c r="E814" s="22"/>
      <c r="F814" s="22">
        <f>C814*E814</f>
      </c>
    </row>
    <row r="815">
      <c r="A815" s="5"/>
      <c r="B815" s="14" t="s">
        <v>746</v>
      </c>
      <c r="C815" s="22">
        <f>(1)*(1)*(1)*(1)*(1 + (0))</f>
      </c>
      <c r="D815" s="22" t="s">
        <v>162</v>
      </c>
      <c r="E815" s="22"/>
      <c r="F815" s="22">
        <f>C815*E815</f>
      </c>
    </row>
    <row r="816">
      <c r="A816" s="5"/>
      <c r="B816" s="14" t="s">
        <v>747</v>
      </c>
      <c r="C816" s="22">
        <f>(2)*(1)*(1)*(1)*(1 + (0))</f>
      </c>
      <c r="D816" s="22" t="s">
        <v>162</v>
      </c>
      <c r="E816" s="22"/>
      <c r="F816" s="22">
        <f>C816*E816</f>
      </c>
    </row>
    <row r="817">
      <c r="A817" s="5"/>
      <c r="B817" s="14" t="s">
        <v>748</v>
      </c>
      <c r="C817" s="22">
        <f>(13)*(1)*(1)*(1)*(1 + (0))</f>
      </c>
      <c r="D817" s="22" t="s">
        <v>162</v>
      </c>
      <c r="E817" s="22"/>
      <c r="F817" s="22">
        <f>C817*E817</f>
      </c>
    </row>
    <row r="818">
      <c r="A818" s="5"/>
      <c r="B818" s="14" t="s">
        <v>749</v>
      </c>
      <c r="C818" s="22">
        <f>(103)*(1)*(1)*(1)*(1 + (0))</f>
      </c>
      <c r="D818" s="22" t="s">
        <v>153</v>
      </c>
      <c r="E818" s="22"/>
      <c r="F818" s="22">
        <f>C818*E818</f>
      </c>
    </row>
    <row r="819">
      <c r="A819" s="5"/>
      <c r="B819" s="14" t="s">
        <v>750</v>
      </c>
      <c r="C819" s="22">
        <f>(2)*(1)*(1)*(1)*(1 + (0))</f>
      </c>
      <c r="D819" s="22" t="s">
        <v>162</v>
      </c>
      <c r="E819" s="22"/>
      <c r="F819" s="22">
        <f>C819*E819</f>
      </c>
    </row>
    <row r="820">
      <c r="A820" s="5"/>
      <c r="B820" s="14" t="s">
        <v>751</v>
      </c>
      <c r="C820" s="22">
        <f>(12)*(1)*(1)*(1)*(1 + (0))</f>
      </c>
      <c r="D820" s="22" t="s">
        <v>162</v>
      </c>
      <c r="E820" s="22"/>
      <c r="F820" s="22">
        <f>C820*E820</f>
      </c>
    </row>
    <row r="821">
      <c r="A821" s="5"/>
      <c r="B821" s="14" t="s">
        <v>752</v>
      </c>
      <c r="C821" s="22">
        <f>(2)*(1)*(1)*(1)*(1 + (0))</f>
      </c>
      <c r="D821" s="22" t="s">
        <v>162</v>
      </c>
      <c r="E821" s="22"/>
      <c r="F821" s="22">
        <f>C821*E821</f>
      </c>
    </row>
    <row r="822">
      <c r="A822" s="3"/>
      <c r="B822" s="11" t="s">
        <v>753</v>
      </c>
      <c r="C822" s="20"/>
      <c r="D822" s="20"/>
      <c r="E822" s="20"/>
      <c r="F822" s="20"/>
    </row>
    <row r="823">
      <c r="A823" s="5"/>
      <c r="B823" s="14" t="s">
        <v>754</v>
      </c>
      <c r="C823" s="22">
        <f>(1)*(1)*(1)*(1)*(1 + (0))</f>
      </c>
      <c r="D823" s="22" t="s">
        <v>162</v>
      </c>
      <c r="E823" s="22"/>
      <c r="F823" s="22">
        <f>C823*E823</f>
      </c>
    </row>
    <row r="824">
      <c r="A824" s="5"/>
      <c r="B824" s="14" t="s">
        <v>755</v>
      </c>
      <c r="C824" s="22">
        <f>(1)*(1)*(1)*(1)*(1 + (0))</f>
      </c>
      <c r="D824" s="22" t="s">
        <v>162</v>
      </c>
      <c r="E824" s="22"/>
      <c r="F824" s="22">
        <f>C824*E824</f>
      </c>
    </row>
    <row r="825">
      <c r="A825" s="5"/>
      <c r="B825" s="14" t="s">
        <v>756</v>
      </c>
      <c r="C825" s="22">
        <f>(1)*(1)*(1)*(1)*(1 + (0))</f>
      </c>
      <c r="D825" s="22" t="s">
        <v>71</v>
      </c>
      <c r="E825" s="22"/>
      <c r="F825" s="22">
        <f>C825*E825</f>
      </c>
    </row>
    <row r="826">
      <c r="A826" s="2"/>
      <c r="B826" s="10" t="s">
        <v>757</v>
      </c>
      <c r="C826" s="19"/>
      <c r="D826" s="19"/>
      <c r="E826" s="19"/>
      <c r="F826" s="19"/>
    </row>
    <row r="827">
      <c r="A827" s="3"/>
      <c r="B827" s="11" t="s">
        <v>37</v>
      </c>
      <c r="C827" s="20"/>
      <c r="D827" s="20"/>
      <c r="E827" s="20"/>
      <c r="F827" s="20"/>
    </row>
    <row r="828">
      <c r="A828" s="5" t="s">
        <v>758</v>
      </c>
      <c r="B828" s="14" t="s">
        <v>759</v>
      </c>
      <c r="C828" s="22"/>
      <c r="D828" s="22" t="s">
        <v>10</v>
      </c>
      <c r="E828" s="22"/>
      <c r="F828" s="22">
        <f>C828*E828</f>
      </c>
    </row>
    <row r="829">
      <c r="A829" s="5" t="s">
        <v>760</v>
      </c>
      <c r="B829" s="14" t="s">
        <v>41</v>
      </c>
      <c r="C829" s="22"/>
      <c r="D829" s="22" t="s">
        <v>10</v>
      </c>
      <c r="E829" s="22"/>
      <c r="F829" s="22">
        <f>C829*E829</f>
      </c>
    </row>
    <row r="830">
      <c r="A830" s="3"/>
      <c r="B830" s="11" t="s">
        <v>42</v>
      </c>
      <c r="C830" s="20"/>
      <c r="D830" s="20"/>
      <c r="E830" s="20"/>
      <c r="F830" s="20"/>
    </row>
    <row r="831">
      <c r="A831" s="5"/>
      <c r="B831" s="14" t="s">
        <v>761</v>
      </c>
      <c r="C831" s="22"/>
      <c r="D831" s="22" t="s">
        <v>10</v>
      </c>
      <c r="E831" s="22"/>
      <c r="F831" s="22">
        <f>C831*E831</f>
      </c>
    </row>
    <row r="832">
      <c r="A832" s="5"/>
      <c r="B832" s="14" t="s">
        <v>762</v>
      </c>
      <c r="C832" s="22"/>
      <c r="D832" s="22" t="s">
        <v>10</v>
      </c>
      <c r="E832" s="22"/>
      <c r="F832" s="22">
        <f>C832*E832</f>
      </c>
    </row>
    <row r="833">
      <c r="A833" s="5"/>
      <c r="B833" s="14" t="s">
        <v>763</v>
      </c>
      <c r="C833" s="22"/>
      <c r="D833" s="22" t="s">
        <v>10</v>
      </c>
      <c r="E833" s="22"/>
      <c r="F833" s="22">
        <f>C833*E833</f>
      </c>
    </row>
    <row r="834">
      <c r="A834" s="5"/>
      <c r="B834" s="14" t="s">
        <v>764</v>
      </c>
      <c r="C834" s="22"/>
      <c r="D834" s="22" t="s">
        <v>10</v>
      </c>
      <c r="E834" s="22"/>
      <c r="F834" s="22">
        <f>C834*E834</f>
      </c>
    </row>
    <row r="835">
      <c r="A835" s="3"/>
      <c r="B835" s="11" t="s">
        <v>44</v>
      </c>
      <c r="C835" s="20"/>
      <c r="D835" s="20"/>
      <c r="E835" s="20"/>
      <c r="F835" s="20"/>
    </row>
    <row r="836">
      <c r="A836" s="4"/>
      <c r="B836" s="12" t="s">
        <v>45</v>
      </c>
      <c r="C836" s="21"/>
      <c r="D836" s="21"/>
      <c r="E836" s="21"/>
      <c r="F836" s="21"/>
    </row>
    <row r="837">
      <c r="A837" s="5" t="s">
        <v>765</v>
      </c>
      <c r="B837" s="13" t="s">
        <v>696</v>
      </c>
      <c r="C837" s="22"/>
      <c r="D837" s="22" t="s">
        <v>10</v>
      </c>
      <c r="E837" s="22"/>
      <c r="F837" s="22">
        <f>C837*E837</f>
      </c>
    </row>
    <row r="838">
      <c r="A838" s="5" t="s">
        <v>766</v>
      </c>
      <c r="B838" s="13" t="s">
        <v>767</v>
      </c>
      <c r="C838" s="22"/>
      <c r="D838" s="22" t="s">
        <v>10</v>
      </c>
      <c r="E838" s="22"/>
      <c r="F838" s="22">
        <f>C838*E838</f>
      </c>
    </row>
    <row r="839">
      <c r="A839" s="5" t="s">
        <v>768</v>
      </c>
      <c r="B839" s="13" t="s">
        <v>769</v>
      </c>
      <c r="C839" s="22"/>
      <c r="D839" s="22" t="s">
        <v>10</v>
      </c>
      <c r="E839" s="22"/>
      <c r="F839" s="22">
        <f>C839*E839</f>
      </c>
    </row>
    <row r="840">
      <c r="A840" s="5" t="s">
        <v>770</v>
      </c>
      <c r="B840" s="13" t="s">
        <v>654</v>
      </c>
      <c r="C840" s="22"/>
      <c r="D840" s="22" t="s">
        <v>10</v>
      </c>
      <c r="E840" s="22"/>
      <c r="F840" s="22">
        <f>C840*E840</f>
      </c>
    </row>
    <row r="841">
      <c r="A841" s="6"/>
      <c r="B841" s="15" t="s">
        <v>771</v>
      </c>
      <c r="C841" s="23"/>
      <c r="D841" s="23"/>
      <c r="E841" s="23"/>
      <c r="F841" s="23"/>
    </row>
    <row r="842">
      <c r="A842" s="5" t="s">
        <v>772</v>
      </c>
      <c r="B842" s="16" t="s">
        <v>528</v>
      </c>
      <c r="C842" s="22"/>
      <c r="D842" s="22" t="s">
        <v>10</v>
      </c>
      <c r="E842" s="22"/>
      <c r="F842" s="22">
        <f>C842*E842</f>
      </c>
    </row>
    <row r="843">
      <c r="A843" s="5" t="s">
        <v>773</v>
      </c>
      <c r="B843" s="16" t="s">
        <v>530</v>
      </c>
      <c r="C843" s="22"/>
      <c r="D843" s="22" t="s">
        <v>10</v>
      </c>
      <c r="E843" s="22"/>
      <c r="F843" s="22">
        <f>C843*E843</f>
      </c>
    </row>
    <row r="844">
      <c r="A844" s="5" t="s">
        <v>774</v>
      </c>
      <c r="B844" s="16" t="s">
        <v>532</v>
      </c>
      <c r="C844" s="22"/>
      <c r="D844" s="22" t="s">
        <v>10</v>
      </c>
      <c r="E844" s="22"/>
      <c r="F844" s="22">
        <f>C844*E844</f>
      </c>
    </row>
    <row r="845">
      <c r="A845" s="5" t="s">
        <v>775</v>
      </c>
      <c r="B845" s="16" t="s">
        <v>536</v>
      </c>
      <c r="C845" s="22"/>
      <c r="D845" s="22" t="s">
        <v>10</v>
      </c>
      <c r="E845" s="22"/>
      <c r="F845" s="22">
        <f>C845*E845</f>
      </c>
    </row>
    <row r="846">
      <c r="A846" s="5" t="s">
        <v>776</v>
      </c>
      <c r="B846" s="16" t="s">
        <v>777</v>
      </c>
      <c r="C846" s="22"/>
      <c r="D846" s="22" t="s">
        <v>10</v>
      </c>
      <c r="E846" s="22"/>
      <c r="F846" s="22">
        <f>C846*E846</f>
      </c>
    </row>
    <row r="847">
      <c r="A847" s="6"/>
      <c r="B847" s="15" t="s">
        <v>778</v>
      </c>
      <c r="C847" s="23"/>
      <c r="D847" s="23"/>
      <c r="E847" s="23"/>
      <c r="F847" s="23"/>
    </row>
    <row r="848">
      <c r="A848" s="5" t="s">
        <v>779</v>
      </c>
      <c r="B848" s="16" t="s">
        <v>780</v>
      </c>
      <c r="C848" s="22"/>
      <c r="D848" s="22" t="s">
        <v>10</v>
      </c>
      <c r="E848" s="22"/>
      <c r="F848" s="22">
        <f>C848*E848</f>
      </c>
    </row>
    <row r="849">
      <c r="A849" s="5" t="s">
        <v>781</v>
      </c>
      <c r="B849" s="16" t="s">
        <v>782</v>
      </c>
      <c r="C849" s="22"/>
      <c r="D849" s="22" t="s">
        <v>10</v>
      </c>
      <c r="E849" s="22"/>
      <c r="F849" s="22">
        <f>C849*E849</f>
      </c>
    </row>
    <row r="850">
      <c r="A850" s="5" t="s">
        <v>783</v>
      </c>
      <c r="B850" s="16" t="s">
        <v>784</v>
      </c>
      <c r="C850" s="22"/>
      <c r="D850" s="22" t="s">
        <v>10</v>
      </c>
      <c r="E850" s="22"/>
      <c r="F850" s="22">
        <f>C850*E850</f>
      </c>
    </row>
    <row r="851">
      <c r="A851" s="5" t="s">
        <v>785</v>
      </c>
      <c r="B851" s="16" t="s">
        <v>786</v>
      </c>
      <c r="C851" s="22"/>
      <c r="D851" s="22" t="s">
        <v>10</v>
      </c>
      <c r="E851" s="22"/>
      <c r="F851" s="22">
        <f>C851*E851</f>
      </c>
    </row>
    <row r="852">
      <c r="A852" s="5" t="s">
        <v>787</v>
      </c>
      <c r="B852" s="16" t="s">
        <v>788</v>
      </c>
      <c r="C852" s="22"/>
      <c r="D852" s="22" t="s">
        <v>10</v>
      </c>
      <c r="E852" s="22"/>
      <c r="F852" s="22">
        <f>C852*E852</f>
      </c>
    </row>
    <row r="853">
      <c r="A853" s="5" t="s">
        <v>789</v>
      </c>
      <c r="B853" s="16" t="s">
        <v>769</v>
      </c>
      <c r="C853" s="22"/>
      <c r="D853" s="22" t="s">
        <v>10</v>
      </c>
      <c r="E853" s="22"/>
      <c r="F853" s="22">
        <f>C853*E853</f>
      </c>
    </row>
    <row r="854">
      <c r="A854" s="6"/>
      <c r="B854" s="15" t="s">
        <v>790</v>
      </c>
      <c r="C854" s="23"/>
      <c r="D854" s="23"/>
      <c r="E854" s="23"/>
      <c r="F854" s="23"/>
    </row>
    <row r="855">
      <c r="A855" s="5" t="s">
        <v>791</v>
      </c>
      <c r="B855" s="16" t="s">
        <v>652</v>
      </c>
      <c r="C855" s="22"/>
      <c r="D855" s="22" t="s">
        <v>10</v>
      </c>
      <c r="E855" s="22"/>
      <c r="F855" s="22">
        <f>C855*E855</f>
      </c>
    </row>
    <row r="856">
      <c r="A856" s="5" t="s">
        <v>792</v>
      </c>
      <c r="B856" s="16" t="s">
        <v>700</v>
      </c>
      <c r="C856" s="22"/>
      <c r="D856" s="22" t="s">
        <v>10</v>
      </c>
      <c r="E856" s="22"/>
      <c r="F856" s="22">
        <f>C856*E856</f>
      </c>
    </row>
    <row r="857">
      <c r="A857" s="5" t="s">
        <v>793</v>
      </c>
      <c r="B857" s="16" t="s">
        <v>650</v>
      </c>
      <c r="C857" s="22"/>
      <c r="D857" s="22" t="s">
        <v>10</v>
      </c>
      <c r="E857" s="22"/>
      <c r="F857" s="22">
        <f>C857*E857</f>
      </c>
    </row>
    <row r="858">
      <c r="A858" s="3"/>
      <c r="B858" s="11" t="s">
        <v>68</v>
      </c>
      <c r="C858" s="20"/>
      <c r="D858" s="20"/>
      <c r="E858" s="20"/>
      <c r="F858" s="20"/>
    </row>
    <row r="859">
      <c r="A859" s="5" t="s">
        <v>794</v>
      </c>
      <c r="B859" s="14" t="s">
        <v>70</v>
      </c>
      <c r="C859" s="22">
        <f>(1)*(1)*(1)*(1)*(1 + (0))</f>
      </c>
      <c r="D859" s="22" t="s">
        <v>71</v>
      </c>
      <c r="E859" s="22"/>
      <c r="F859" s="22">
        <f>C859*E859</f>
      </c>
    </row>
    <row r="860">
      <c r="A860" s="5" t="s">
        <v>795</v>
      </c>
      <c r="B860" s="14" t="s">
        <v>796</v>
      </c>
      <c r="C860" s="22">
        <f>(1)*(1)*(1)*(1)*(1 + (0))</f>
      </c>
      <c r="D860" s="22" t="s">
        <v>71</v>
      </c>
      <c r="E860" s="22"/>
      <c r="F860" s="22">
        <f>C860*E860</f>
      </c>
    </row>
    <row r="861">
      <c r="A861" s="5" t="s">
        <v>797</v>
      </c>
      <c r="B861" s="14" t="s">
        <v>798</v>
      </c>
      <c r="C861" s="22">
        <f>(1)*(1)*(1)*(1)*(1 + (0))</f>
      </c>
      <c r="D861" s="22" t="s">
        <v>71</v>
      </c>
      <c r="E861" s="22"/>
      <c r="F861" s="22">
        <f>C861*E861</f>
      </c>
    </row>
    <row r="862">
      <c r="A862" s="5" t="s">
        <v>799</v>
      </c>
      <c r="B862" s="14" t="s">
        <v>800</v>
      </c>
      <c r="C862" s="22">
        <f>(1)*(1)*(1)*(1)*(1 + (0))</f>
      </c>
      <c r="D862" s="22" t="s">
        <v>71</v>
      </c>
      <c r="E862" s="22"/>
      <c r="F862" s="22">
        <f>C862*E862</f>
      </c>
    </row>
    <row r="863">
      <c r="A863" s="5" t="s">
        <v>801</v>
      </c>
      <c r="B863" s="14" t="s">
        <v>73</v>
      </c>
      <c r="C863" s="22">
        <f>(1)*(1)*(1)*(1)*(1 + (0))</f>
      </c>
      <c r="D863" s="22" t="s">
        <v>71</v>
      </c>
      <c r="E863" s="22"/>
      <c r="F863" s="22">
        <f>C863*E863</f>
      </c>
    </row>
    <row r="864">
      <c r="A864" s="5" t="s">
        <v>802</v>
      </c>
      <c r="B864" s="14" t="s">
        <v>803</v>
      </c>
      <c r="C864" s="22">
        <f>(1)*(1)*(1)*(1)*(1 + (0))</f>
      </c>
      <c r="D864" s="22" t="s">
        <v>71</v>
      </c>
      <c r="E864" s="22"/>
      <c r="F864" s="22">
        <f>C864*E864</f>
      </c>
    </row>
    <row r="865">
      <c r="A865" s="5" t="s">
        <v>804</v>
      </c>
      <c r="B865" s="14" t="s">
        <v>805</v>
      </c>
      <c r="C865" s="22">
        <f>(1)*(1)*(1)*(1)*(1 + (0))</f>
      </c>
      <c r="D865" s="22" t="s">
        <v>71</v>
      </c>
      <c r="E865" s="22"/>
      <c r="F865" s="22">
        <f>C865*E865</f>
      </c>
    </row>
    <row r="866">
      <c r="A866" s="5" t="s">
        <v>806</v>
      </c>
      <c r="B866" s="14" t="s">
        <v>230</v>
      </c>
      <c r="C866" s="22">
        <f>(1)*(1)*(1)*(1)*(1 + (0))</f>
      </c>
      <c r="D866" s="22" t="s">
        <v>71</v>
      </c>
      <c r="E866" s="22"/>
      <c r="F866" s="22">
        <f>C866*E866</f>
      </c>
    </row>
    <row r="867">
      <c r="A867" s="5" t="s">
        <v>807</v>
      </c>
      <c r="B867" s="14" t="s">
        <v>808</v>
      </c>
      <c r="C867" s="22">
        <f>(1)*(1)*(1)*(1)*(1 + (0))</f>
      </c>
      <c r="D867" s="22" t="s">
        <v>71</v>
      </c>
      <c r="E867" s="22"/>
      <c r="F867" s="22">
        <f>C867*E867</f>
      </c>
    </row>
    <row r="868">
      <c r="A868" s="5" t="s">
        <v>809</v>
      </c>
      <c r="B868" s="14" t="s">
        <v>810</v>
      </c>
      <c r="C868" s="22">
        <f>(1)*(1)*(1)*(1)*(1 + (0))</f>
      </c>
      <c r="D868" s="22" t="s">
        <v>71</v>
      </c>
      <c r="E868" s="22"/>
      <c r="F868" s="22">
        <f>C868*E868</f>
      </c>
    </row>
    <row r="869">
      <c r="A869" s="5" t="s">
        <v>811</v>
      </c>
      <c r="B869" s="14" t="s">
        <v>812</v>
      </c>
      <c r="C869" s="22">
        <f>(1)*(1)*(1)*(1)*(1 + (0))</f>
      </c>
      <c r="D869" s="22" t="s">
        <v>71</v>
      </c>
      <c r="E869" s="22"/>
      <c r="F869" s="22">
        <f>C869*E869</f>
      </c>
    </row>
    <row r="870">
      <c r="A870" s="5" t="s">
        <v>813</v>
      </c>
      <c r="B870" s="14" t="s">
        <v>814</v>
      </c>
      <c r="C870" s="22">
        <f>(1)*(1)*(1)*(1)*(1 + (0))</f>
      </c>
      <c r="D870" s="22" t="s">
        <v>71</v>
      </c>
      <c r="E870" s="22"/>
      <c r="F870" s="22">
        <f>C870*E870</f>
      </c>
    </row>
    <row r="871">
      <c r="A871" s="5" t="s">
        <v>815</v>
      </c>
      <c r="B871" s="14" t="s">
        <v>816</v>
      </c>
      <c r="C871" s="22">
        <f>(1)*(1)*(1)*(1)*(1 + (0))</f>
      </c>
      <c r="D871" s="22" t="s">
        <v>71</v>
      </c>
      <c r="E871" s="22"/>
      <c r="F871" s="22">
        <f>C871*E871</f>
      </c>
    </row>
    <row r="872">
      <c r="A872" s="5" t="s">
        <v>817</v>
      </c>
      <c r="B872" s="14" t="s">
        <v>667</v>
      </c>
      <c r="C872" s="22">
        <f>(1)*(1)*(1)*(1)*(1 + (0))</f>
      </c>
      <c r="D872" s="22" t="s">
        <v>71</v>
      </c>
      <c r="E872" s="22"/>
      <c r="F872" s="22">
        <f>C872*E872</f>
      </c>
    </row>
    <row r="873">
      <c r="A873" s="3"/>
      <c r="B873" s="11" t="s">
        <v>106</v>
      </c>
      <c r="C873" s="20"/>
      <c r="D873" s="20"/>
      <c r="E873" s="20"/>
      <c r="F873" s="20"/>
    </row>
    <row r="874">
      <c r="A874" s="5"/>
      <c r="B874" s="14" t="s">
        <v>818</v>
      </c>
      <c r="C874" s="22"/>
      <c r="D874" s="22" t="s">
        <v>10</v>
      </c>
      <c r="E874" s="22"/>
      <c r="F874" s="22">
        <f>C874*E874</f>
      </c>
    </row>
    <row r="875">
      <c r="A875" s="3"/>
      <c r="B875" s="11" t="s">
        <v>819</v>
      </c>
      <c r="C875" s="20"/>
      <c r="D875" s="20"/>
      <c r="E875" s="20"/>
      <c r="F875" s="20"/>
    </row>
    <row r="876">
      <c r="A876" s="4"/>
      <c r="B876" s="12" t="s">
        <v>820</v>
      </c>
      <c r="C876" s="21"/>
      <c r="D876" s="21"/>
      <c r="E876" s="21"/>
      <c r="F876" s="21"/>
    </row>
    <row r="877">
      <c r="A877" s="5"/>
      <c r="B877" s="13" t="s">
        <v>821</v>
      </c>
      <c r="C877" s="22">
        <f>(495)*(1)*(1)*(1)*(1 + (0))</f>
      </c>
      <c r="D877" s="22" t="s">
        <v>24</v>
      </c>
      <c r="E877" s="22"/>
      <c r="F877" s="22">
        <f>C877*E877</f>
      </c>
    </row>
    <row r="878">
      <c r="A878" s="5"/>
      <c r="B878" s="13" t="s">
        <v>822</v>
      </c>
      <c r="C878" s="22">
        <f>(470)*(1)*(1)*(1)*(1 + (0))</f>
      </c>
      <c r="D878" s="22" t="s">
        <v>24</v>
      </c>
      <c r="E878" s="22"/>
      <c r="F878" s="22">
        <f>C878*E878</f>
      </c>
    </row>
    <row r="879">
      <c r="A879" s="4"/>
      <c r="B879" s="12" t="s">
        <v>823</v>
      </c>
      <c r="C879" s="21"/>
      <c r="D879" s="21"/>
      <c r="E879" s="21"/>
      <c r="F879" s="21"/>
    </row>
    <row r="880">
      <c r="A880" s="5"/>
      <c r="B880" s="13" t="s">
        <v>821</v>
      </c>
      <c r="C880" s="22">
        <f>(86)*(1)*(1)*(1)*(1 + (0))</f>
      </c>
      <c r="D880" s="22" t="s">
        <v>24</v>
      </c>
      <c r="E880" s="22"/>
      <c r="F880" s="22">
        <f>C880*E880</f>
      </c>
    </row>
    <row r="881">
      <c r="A881" s="5"/>
      <c r="B881" s="13" t="s">
        <v>822</v>
      </c>
      <c r="C881" s="22">
        <f>(26)*(1)*(1)*(1)*(1 + (0))</f>
      </c>
      <c r="D881" s="22" t="s">
        <v>24</v>
      </c>
      <c r="E881" s="22"/>
      <c r="F881" s="22">
        <f>C881*E881</f>
      </c>
    </row>
    <row r="882">
      <c r="A882" s="4"/>
      <c r="B882" s="12" t="s">
        <v>824</v>
      </c>
      <c r="C882" s="21"/>
      <c r="D882" s="21"/>
      <c r="E882" s="21"/>
      <c r="F882" s="21"/>
    </row>
    <row r="883">
      <c r="A883" s="5"/>
      <c r="B883" s="13" t="s">
        <v>822</v>
      </c>
      <c r="C883" s="22">
        <f>(55)*(1)*(1)*(1)*(1 + (0))</f>
      </c>
      <c r="D883" s="22" t="s">
        <v>24</v>
      </c>
      <c r="E883" s="22"/>
      <c r="F883" s="22">
        <f>C883*E883</f>
      </c>
    </row>
    <row r="884">
      <c r="A884" s="4"/>
      <c r="B884" s="12" t="s">
        <v>825</v>
      </c>
      <c r="C884" s="21"/>
      <c r="D884" s="21"/>
      <c r="E884" s="21"/>
      <c r="F884" s="21"/>
    </row>
    <row r="885">
      <c r="A885" s="5"/>
      <c r="B885" s="13" t="s">
        <v>822</v>
      </c>
      <c r="C885" s="22">
        <f>(3)*(1)*(1)*(1)*(1 + (0))</f>
      </c>
      <c r="D885" s="22" t="s">
        <v>24</v>
      </c>
      <c r="E885" s="22"/>
      <c r="F885" s="22">
        <f>C885*E885</f>
      </c>
    </row>
    <row r="886">
      <c r="A886" s="4"/>
      <c r="B886" s="12" t="s">
        <v>826</v>
      </c>
      <c r="C886" s="21"/>
      <c r="D886" s="21"/>
      <c r="E886" s="21"/>
      <c r="F886" s="21"/>
    </row>
    <row r="887">
      <c r="A887" s="5"/>
      <c r="B887" s="13" t="s">
        <v>821</v>
      </c>
      <c r="C887" s="22">
        <f>(114)*(1)*(1)*(1)*(1 + (0))</f>
      </c>
      <c r="D887" s="22" t="s">
        <v>24</v>
      </c>
      <c r="E887" s="22"/>
      <c r="F887" s="22">
        <f>C887*E887</f>
      </c>
    </row>
    <row r="888">
      <c r="A888" s="5"/>
      <c r="B888" s="13" t="s">
        <v>822</v>
      </c>
      <c r="C888" s="22">
        <f>(287)*(1)*(1)*(1)*(1 + (0))</f>
      </c>
      <c r="D888" s="22" t="s">
        <v>24</v>
      </c>
      <c r="E888" s="22"/>
      <c r="F888" s="22">
        <f>C888*E888</f>
      </c>
    </row>
    <row r="889">
      <c r="A889" s="4"/>
      <c r="B889" s="12" t="s">
        <v>827</v>
      </c>
      <c r="C889" s="21"/>
      <c r="D889" s="21"/>
      <c r="E889" s="21"/>
      <c r="F889" s="21"/>
    </row>
    <row r="890">
      <c r="A890" s="5"/>
      <c r="B890" s="13" t="s">
        <v>821</v>
      </c>
      <c r="C890" s="22">
        <f>(67)*(1)*(1)*(1)*(1 + (0))</f>
      </c>
      <c r="D890" s="22" t="s">
        <v>24</v>
      </c>
      <c r="E890" s="22"/>
      <c r="F890" s="22">
        <f>C890*E890</f>
      </c>
    </row>
    <row r="891">
      <c r="A891" s="2"/>
      <c r="B891" s="10" t="s">
        <v>828</v>
      </c>
      <c r="C891" s="19"/>
      <c r="D891" s="19"/>
      <c r="E891" s="19"/>
      <c r="F891" s="19"/>
    </row>
    <row r="892">
      <c r="A892" s="3"/>
      <c r="B892" s="11" t="s">
        <v>37</v>
      </c>
      <c r="C892" s="20"/>
      <c r="D892" s="20"/>
      <c r="E892" s="20"/>
      <c r="F892" s="20"/>
    </row>
    <row r="893">
      <c r="A893" s="5" t="s">
        <v>829</v>
      </c>
      <c r="B893" s="14" t="s">
        <v>39</v>
      </c>
      <c r="C893" s="22"/>
      <c r="D893" s="22" t="s">
        <v>10</v>
      </c>
      <c r="E893" s="22"/>
      <c r="F893" s="22">
        <f>C893*E893</f>
      </c>
    </row>
    <row r="894">
      <c r="A894" s="5" t="s">
        <v>830</v>
      </c>
      <c r="B894" s="14" t="s">
        <v>41</v>
      </c>
      <c r="C894" s="22"/>
      <c r="D894" s="22" t="s">
        <v>10</v>
      </c>
      <c r="E894" s="22"/>
      <c r="F894" s="22">
        <f>C894*E894</f>
      </c>
    </row>
    <row r="895">
      <c r="A895" s="3"/>
      <c r="B895" s="11" t="s">
        <v>44</v>
      </c>
      <c r="C895" s="20"/>
      <c r="D895" s="20"/>
      <c r="E895" s="20"/>
      <c r="F895" s="20"/>
    </row>
    <row r="896">
      <c r="A896" s="4"/>
      <c r="B896" s="12" t="s">
        <v>45</v>
      </c>
      <c r="C896" s="21"/>
      <c r="D896" s="21"/>
      <c r="E896" s="21"/>
      <c r="F896" s="21"/>
    </row>
    <row r="897">
      <c r="A897" s="5" t="s">
        <v>831</v>
      </c>
      <c r="B897" s="13" t="s">
        <v>832</v>
      </c>
      <c r="C897" s="22"/>
      <c r="D897" s="22" t="s">
        <v>10</v>
      </c>
      <c r="E897" s="22"/>
      <c r="F897" s="22">
        <f>C897*E897</f>
      </c>
    </row>
    <row r="898">
      <c r="A898" s="5" t="s">
        <v>833</v>
      </c>
      <c r="B898" s="13" t="s">
        <v>530</v>
      </c>
      <c r="C898" s="22"/>
      <c r="D898" s="22" t="s">
        <v>10</v>
      </c>
      <c r="E898" s="22"/>
      <c r="F898" s="22">
        <f>C898*E898</f>
      </c>
    </row>
    <row r="899">
      <c r="A899" s="5" t="s">
        <v>834</v>
      </c>
      <c r="B899" s="13" t="s">
        <v>835</v>
      </c>
      <c r="C899" s="22"/>
      <c r="D899" s="22" t="s">
        <v>10</v>
      </c>
      <c r="E899" s="22"/>
      <c r="F899" s="22">
        <f>C899*E899</f>
      </c>
    </row>
    <row r="900">
      <c r="A900" s="5" t="s">
        <v>836</v>
      </c>
      <c r="B900" s="13" t="s">
        <v>837</v>
      </c>
      <c r="C900" s="22"/>
      <c r="D900" s="22" t="s">
        <v>10</v>
      </c>
      <c r="E900" s="22"/>
      <c r="F900" s="22">
        <f>C900*E900</f>
      </c>
    </row>
    <row r="901">
      <c r="A901" s="5" t="s">
        <v>838</v>
      </c>
      <c r="B901" s="13" t="s">
        <v>839</v>
      </c>
      <c r="C901" s="22"/>
      <c r="D901" s="22" t="s">
        <v>10</v>
      </c>
      <c r="E901" s="22"/>
      <c r="F901" s="22">
        <f>C901*E901</f>
      </c>
    </row>
    <row r="902">
      <c r="A902" s="5" t="s">
        <v>840</v>
      </c>
      <c r="B902" s="13" t="s">
        <v>841</v>
      </c>
      <c r="C902" s="22"/>
      <c r="D902" s="22" t="s">
        <v>10</v>
      </c>
      <c r="E902" s="22"/>
      <c r="F902" s="22">
        <f>C902*E902</f>
      </c>
    </row>
    <row r="903">
      <c r="A903" s="5" t="s">
        <v>842</v>
      </c>
      <c r="B903" s="13" t="s">
        <v>843</v>
      </c>
      <c r="C903" s="22"/>
      <c r="D903" s="22" t="s">
        <v>10</v>
      </c>
      <c r="E903" s="22"/>
      <c r="F903" s="22">
        <f>C903*E903</f>
      </c>
    </row>
    <row r="904">
      <c r="A904" s="5" t="s">
        <v>844</v>
      </c>
      <c r="B904" s="13" t="s">
        <v>845</v>
      </c>
      <c r="C904" s="22"/>
      <c r="D904" s="22" t="s">
        <v>10</v>
      </c>
      <c r="E904" s="22"/>
      <c r="F904" s="22">
        <f>C904*E904</f>
      </c>
    </row>
    <row r="905">
      <c r="A905" s="5" t="s">
        <v>846</v>
      </c>
      <c r="B905" s="13" t="s">
        <v>847</v>
      </c>
      <c r="C905" s="22"/>
      <c r="D905" s="22" t="s">
        <v>10</v>
      </c>
      <c r="E905" s="22"/>
      <c r="F905" s="22">
        <f>C905*E905</f>
      </c>
    </row>
    <row r="906">
      <c r="A906" s="5" t="s">
        <v>848</v>
      </c>
      <c r="B906" s="13" t="s">
        <v>849</v>
      </c>
      <c r="C906" s="22"/>
      <c r="D906" s="22" t="s">
        <v>10</v>
      </c>
      <c r="E906" s="22"/>
      <c r="F906" s="22">
        <f>C906*E906</f>
      </c>
    </row>
    <row r="907">
      <c r="A907" s="5" t="s">
        <v>850</v>
      </c>
      <c r="B907" s="13" t="s">
        <v>851</v>
      </c>
      <c r="C907" s="22"/>
      <c r="D907" s="22" t="s">
        <v>10</v>
      </c>
      <c r="E907" s="22"/>
      <c r="F907" s="22">
        <f>C907*E907</f>
      </c>
    </row>
    <row r="908">
      <c r="A908" s="5" t="s">
        <v>852</v>
      </c>
      <c r="B908" s="13" t="s">
        <v>853</v>
      </c>
      <c r="C908" s="22"/>
      <c r="D908" s="22" t="s">
        <v>10</v>
      </c>
      <c r="E908" s="22"/>
      <c r="F908" s="22">
        <f>C908*E908</f>
      </c>
    </row>
    <row r="909">
      <c r="A909" s="5" t="s">
        <v>854</v>
      </c>
      <c r="B909" s="13" t="s">
        <v>123</v>
      </c>
      <c r="C909" s="22"/>
      <c r="D909" s="22" t="s">
        <v>10</v>
      </c>
      <c r="E909" s="22"/>
      <c r="F909" s="22">
        <f>C909*E909</f>
      </c>
    </row>
    <row r="910">
      <c r="A910" s="3"/>
      <c r="B910" s="11" t="s">
        <v>42</v>
      </c>
      <c r="C910" s="20"/>
      <c r="D910" s="20"/>
      <c r="E910" s="20"/>
      <c r="F910" s="20"/>
    </row>
    <row r="911">
      <c r="A911" s="5"/>
      <c r="B911" s="14" t="s">
        <v>855</v>
      </c>
      <c r="C911" s="22"/>
      <c r="D911" s="22" t="s">
        <v>10</v>
      </c>
      <c r="E911" s="22"/>
      <c r="F911" s="22">
        <f>C911*E911</f>
      </c>
    </row>
    <row r="912">
      <c r="A912" s="5"/>
      <c r="B912" s="14" t="s">
        <v>762</v>
      </c>
      <c r="C912" s="22"/>
      <c r="D912" s="22" t="s">
        <v>10</v>
      </c>
      <c r="E912" s="22"/>
      <c r="F912" s="22">
        <f>C912*E912</f>
      </c>
    </row>
    <row r="913">
      <c r="A913" s="5"/>
      <c r="B913" s="14" t="s">
        <v>856</v>
      </c>
      <c r="C913" s="22"/>
      <c r="D913" s="22" t="s">
        <v>10</v>
      </c>
      <c r="E913" s="22"/>
      <c r="F913" s="22">
        <f>C913*E913</f>
      </c>
    </row>
    <row r="914">
      <c r="A914" s="3"/>
      <c r="B914" s="11" t="s">
        <v>68</v>
      </c>
      <c r="C914" s="20"/>
      <c r="D914" s="20"/>
      <c r="E914" s="20"/>
      <c r="F914" s="20"/>
    </row>
    <row r="915">
      <c r="A915" s="5" t="s">
        <v>857</v>
      </c>
      <c r="B915" s="14" t="s">
        <v>858</v>
      </c>
      <c r="C915" s="22">
        <f>(1)*(1)*(1)*(1)*(1 + (0))</f>
      </c>
      <c r="D915" s="22" t="s">
        <v>71</v>
      </c>
      <c r="E915" s="22"/>
      <c r="F915" s="22">
        <f>C915*E915</f>
      </c>
    </row>
    <row r="916">
      <c r="A916" s="5" t="s">
        <v>859</v>
      </c>
      <c r="B916" s="14" t="s">
        <v>136</v>
      </c>
      <c r="C916" s="22">
        <f>(1)*(1)*(1)*(1)*(1 + (0))</f>
      </c>
      <c r="D916" s="22" t="s">
        <v>71</v>
      </c>
      <c r="E916" s="22"/>
      <c r="F916" s="22">
        <f>C916*E916</f>
      </c>
    </row>
    <row r="917">
      <c r="A917" s="5" t="s">
        <v>860</v>
      </c>
      <c r="B917" s="14" t="s">
        <v>77</v>
      </c>
      <c r="C917" s="22">
        <f>(1)*(1)*(1)*(1)*(1 + (0))</f>
      </c>
      <c r="D917" s="22" t="s">
        <v>71</v>
      </c>
      <c r="E917" s="22"/>
      <c r="F917" s="22">
        <f>C917*E917</f>
      </c>
    </row>
    <row r="918">
      <c r="A918" s="5" t="s">
        <v>861</v>
      </c>
      <c r="B918" s="14" t="s">
        <v>70</v>
      </c>
      <c r="C918" s="22">
        <f>(1)*(1)*(1)*(1)*(1 + (0))</f>
      </c>
      <c r="D918" s="22" t="s">
        <v>71</v>
      </c>
      <c r="E918" s="22"/>
      <c r="F918" s="22">
        <f>C918*E918</f>
      </c>
    </row>
    <row r="919">
      <c r="A919" s="5" t="s">
        <v>862</v>
      </c>
      <c r="B919" s="14" t="s">
        <v>863</v>
      </c>
      <c r="C919" s="22">
        <f>(1)*(1)*(1)*(1)*(1 + (0))</f>
      </c>
      <c r="D919" s="22" t="s">
        <v>71</v>
      </c>
      <c r="E919" s="22"/>
      <c r="F919" s="22">
        <f>C919*E919</f>
      </c>
    </row>
    <row r="920">
      <c r="A920" s="5" t="s">
        <v>864</v>
      </c>
      <c r="B920" s="14" t="s">
        <v>816</v>
      </c>
      <c r="C920" s="22">
        <f>(1)*(1)*(1)*(1)*(1 + (0))</f>
      </c>
      <c r="D920" s="22" t="s">
        <v>71</v>
      </c>
      <c r="E920" s="22"/>
      <c r="F920" s="22">
        <f>C920*E920</f>
      </c>
    </row>
    <row r="921">
      <c r="A921" s="5" t="s">
        <v>865</v>
      </c>
      <c r="B921" s="14" t="s">
        <v>798</v>
      </c>
      <c r="C921" s="22">
        <f>(1)*(1)*(1)*(1)*(1 + (0))</f>
      </c>
      <c r="D921" s="22" t="s">
        <v>71</v>
      </c>
      <c r="E921" s="22"/>
      <c r="F921" s="22">
        <f>C921*E921</f>
      </c>
    </row>
    <row r="922">
      <c r="A922" s="5" t="s">
        <v>866</v>
      </c>
      <c r="B922" s="14" t="s">
        <v>230</v>
      </c>
      <c r="C922" s="22">
        <f>(1)*(1)*(1)*(1)*(1 + (0))</f>
      </c>
      <c r="D922" s="22" t="s">
        <v>71</v>
      </c>
      <c r="E922" s="22"/>
      <c r="F922" s="22">
        <f>C922*E922</f>
      </c>
    </row>
    <row r="923">
      <c r="A923" s="5" t="s">
        <v>867</v>
      </c>
      <c r="B923" s="14" t="s">
        <v>665</v>
      </c>
      <c r="C923" s="22">
        <f>(1)*(1)*(1)*(1)*(1 + (0))</f>
      </c>
      <c r="D923" s="22" t="s">
        <v>71</v>
      </c>
      <c r="E923" s="22"/>
      <c r="F923" s="22">
        <f>C923*E923</f>
      </c>
    </row>
    <row r="924">
      <c r="A924" s="3"/>
      <c r="B924" s="11" t="s">
        <v>106</v>
      </c>
      <c r="C924" s="20"/>
      <c r="D924" s="20"/>
      <c r="E924" s="20"/>
      <c r="F924" s="20"/>
    </row>
    <row r="925">
      <c r="A925" s="5"/>
      <c r="B925" s="14" t="s">
        <v>868</v>
      </c>
      <c r="C925" s="22"/>
      <c r="D925" s="22" t="s">
        <v>10</v>
      </c>
      <c r="E925" s="22"/>
      <c r="F925" s="22">
        <f>C925*E925</f>
      </c>
    </row>
    <row r="926">
      <c r="A926" s="3"/>
      <c r="B926" s="11" t="s">
        <v>869</v>
      </c>
      <c r="C926" s="20"/>
      <c r="D926" s="20"/>
      <c r="E926" s="20"/>
      <c r="F926" s="20"/>
    </row>
    <row r="927">
      <c r="A927" s="4"/>
      <c r="B927" s="12" t="s">
        <v>870</v>
      </c>
      <c r="C927" s="21"/>
      <c r="D927" s="21"/>
      <c r="E927" s="21"/>
      <c r="F927" s="21"/>
    </row>
    <row r="928">
      <c r="A928" s="6"/>
      <c r="B928" s="15" t="s">
        <v>871</v>
      </c>
      <c r="C928" s="23"/>
      <c r="D928" s="23"/>
      <c r="E928" s="23"/>
      <c r="F928" s="23"/>
    </row>
    <row r="929">
      <c r="A929" s="5"/>
      <c r="B929" s="16" t="s">
        <v>872</v>
      </c>
      <c r="C929" s="22">
        <f>(13)*(1)*(1)*(1)*(1 + (0))</f>
      </c>
      <c r="D929" s="22" t="s">
        <v>162</v>
      </c>
      <c r="E929" s="22"/>
      <c r="F929" s="22">
        <f>C929*E929</f>
      </c>
    </row>
    <row r="930">
      <c r="A930" s="5"/>
      <c r="B930" s="16" t="s">
        <v>873</v>
      </c>
      <c r="C930" s="22">
        <f>(1)*(1)*(1)*(1)*(1 + (0))</f>
      </c>
      <c r="D930" s="22" t="s">
        <v>162</v>
      </c>
      <c r="E930" s="22"/>
      <c r="F930" s="22">
        <f>C930*E930</f>
      </c>
    </row>
    <row r="931">
      <c r="A931" s="6"/>
      <c r="B931" s="15" t="s">
        <v>874</v>
      </c>
      <c r="C931" s="23"/>
      <c r="D931" s="23"/>
      <c r="E931" s="23"/>
      <c r="F931" s="23"/>
    </row>
    <row r="932">
      <c r="A932" s="5"/>
      <c r="B932" s="16" t="s">
        <v>875</v>
      </c>
      <c r="C932" s="22">
        <f>(6)*(1)*(1)*(1)*(1 + (0))</f>
      </c>
      <c r="D932" s="22" t="s">
        <v>162</v>
      </c>
      <c r="E932" s="22"/>
      <c r="F932" s="22">
        <f>C932*E932</f>
      </c>
    </row>
    <row r="933">
      <c r="A933" s="5"/>
      <c r="B933" s="16" t="s">
        <v>876</v>
      </c>
      <c r="C933" s="22">
        <f>(7)*(1)*(1)*(1)*(1 + (0))</f>
      </c>
      <c r="D933" s="22" t="s">
        <v>162</v>
      </c>
      <c r="E933" s="22"/>
      <c r="F933" s="22">
        <f>C933*E933</f>
      </c>
    </row>
    <row r="934">
      <c r="A934" s="4"/>
      <c r="B934" s="12" t="s">
        <v>877</v>
      </c>
      <c r="C934" s="21"/>
      <c r="D934" s="21"/>
      <c r="E934" s="21"/>
      <c r="F934" s="21"/>
    </row>
    <row r="935">
      <c r="A935" s="6"/>
      <c r="B935" s="15" t="s">
        <v>871</v>
      </c>
      <c r="C935" s="23"/>
      <c r="D935" s="23"/>
      <c r="E935" s="23"/>
      <c r="F935" s="23"/>
    </row>
    <row r="936">
      <c r="A936" s="5"/>
      <c r="B936" s="16" t="s">
        <v>872</v>
      </c>
      <c r="C936" s="22">
        <f>(18)*(1)*(1)*(1)*(1 + (0))</f>
      </c>
      <c r="D936" s="22" t="s">
        <v>162</v>
      </c>
      <c r="E936" s="22"/>
      <c r="F936" s="22">
        <f>C936*E936</f>
      </c>
    </row>
    <row r="937">
      <c r="A937" s="6"/>
      <c r="B937" s="15" t="s">
        <v>874</v>
      </c>
      <c r="C937" s="23"/>
      <c r="D937" s="23"/>
      <c r="E937" s="23"/>
      <c r="F937" s="23"/>
    </row>
    <row r="938">
      <c r="A938" s="5"/>
      <c r="B938" s="16" t="s">
        <v>876</v>
      </c>
      <c r="C938" s="22">
        <f>(12)*(1)*(1)*(1)*(1 + (0))</f>
      </c>
      <c r="D938" s="22" t="s">
        <v>162</v>
      </c>
      <c r="E938" s="22"/>
      <c r="F938" s="22">
        <f>C938*E938</f>
      </c>
    </row>
    <row r="939">
      <c r="A939" s="5"/>
      <c r="B939" s="16" t="s">
        <v>878</v>
      </c>
      <c r="C939" s="22">
        <f>(1)*(1)*(1)*(1)*(1 + (0))</f>
      </c>
      <c r="D939" s="22" t="s">
        <v>162</v>
      </c>
      <c r="E939" s="22"/>
      <c r="F939" s="22">
        <f>C939*E939</f>
      </c>
    </row>
    <row r="940">
      <c r="A940" s="3"/>
      <c r="B940" s="11" t="s">
        <v>879</v>
      </c>
      <c r="C940" s="20"/>
      <c r="D940" s="20"/>
      <c r="E940" s="20"/>
      <c r="F940" s="20"/>
    </row>
    <row r="941">
      <c r="A941" s="4"/>
      <c r="B941" s="12" t="s">
        <v>870</v>
      </c>
      <c r="C941" s="21"/>
      <c r="D941" s="21"/>
      <c r="E941" s="21"/>
      <c r="F941" s="21"/>
    </row>
    <row r="942">
      <c r="A942" s="6"/>
      <c r="B942" s="15" t="s">
        <v>871</v>
      </c>
      <c r="C942" s="23"/>
      <c r="D942" s="23"/>
      <c r="E942" s="23"/>
      <c r="F942" s="23"/>
    </row>
    <row r="943">
      <c r="A943" s="5"/>
      <c r="B943" s="16" t="s">
        <v>880</v>
      </c>
      <c r="C943" s="22">
        <f>(1)*(1)*(1)*(1)*(1 + (0))</f>
      </c>
      <c r="D943" s="22" t="s">
        <v>162</v>
      </c>
      <c r="E943" s="22"/>
      <c r="F943" s="22">
        <f>C943*E943</f>
      </c>
    </row>
    <row r="944">
      <c r="A944" s="5"/>
      <c r="B944" s="16" t="s">
        <v>881</v>
      </c>
      <c r="C944" s="22">
        <f>(1)*(1)*(1)*(1)*(1 + (0))</f>
      </c>
      <c r="D944" s="22" t="s">
        <v>162</v>
      </c>
      <c r="E944" s="22"/>
      <c r="F944" s="22">
        <f>C944*E944</f>
      </c>
    </row>
    <row r="945">
      <c r="A945" s="6"/>
      <c r="B945" s="15" t="s">
        <v>874</v>
      </c>
      <c r="C945" s="23"/>
      <c r="D945" s="23"/>
      <c r="E945" s="23"/>
      <c r="F945" s="23"/>
    </row>
    <row r="946">
      <c r="A946" s="5"/>
      <c r="B946" s="16" t="s">
        <v>882</v>
      </c>
      <c r="C946" s="22">
        <f>(1)*(1)*(1)*(1)*(1 + (0))</f>
      </c>
      <c r="D946" s="22" t="s">
        <v>162</v>
      </c>
      <c r="E946" s="22"/>
      <c r="F946" s="22">
        <f>C946*E946</f>
      </c>
    </row>
    <row r="947">
      <c r="A947" s="5"/>
      <c r="B947" s="16" t="s">
        <v>883</v>
      </c>
      <c r="C947" s="22">
        <f>(1)*(1)*(1)*(1)*(1 + (0))</f>
      </c>
      <c r="D947" s="22" t="s">
        <v>162</v>
      </c>
      <c r="E947" s="22"/>
      <c r="F947" s="22">
        <f>C947*E947</f>
      </c>
    </row>
    <row r="948">
      <c r="A948" s="3"/>
      <c r="B948" s="11" t="s">
        <v>884</v>
      </c>
      <c r="C948" s="20"/>
      <c r="D948" s="20"/>
      <c r="E948" s="20"/>
      <c r="F948" s="20"/>
    </row>
    <row r="949">
      <c r="A949" s="4"/>
      <c r="B949" s="12" t="s">
        <v>870</v>
      </c>
      <c r="C949" s="21"/>
      <c r="D949" s="21"/>
      <c r="E949" s="21"/>
      <c r="F949" s="21"/>
    </row>
    <row r="950">
      <c r="A950" s="6"/>
      <c r="B950" s="15" t="s">
        <v>885</v>
      </c>
      <c r="C950" s="23"/>
      <c r="D950" s="23"/>
      <c r="E950" s="23"/>
      <c r="F950" s="23"/>
    </row>
    <row r="951">
      <c r="A951" s="5"/>
      <c r="B951" s="16" t="s">
        <v>886</v>
      </c>
      <c r="C951" s="22">
        <f>(3)*(1)*(1)*(1)*(1 + (0))</f>
      </c>
      <c r="D951" s="22" t="s">
        <v>162</v>
      </c>
      <c r="E951" s="22"/>
      <c r="F951" s="22">
        <f>C951*E951</f>
      </c>
    </row>
    <row r="952">
      <c r="A952" s="5"/>
      <c r="B952" s="16" t="s">
        <v>887</v>
      </c>
      <c r="C952" s="22">
        <f>(2)*(1)*(1)*(1)*(1 + (0))</f>
      </c>
      <c r="D952" s="22" t="s">
        <v>162</v>
      </c>
      <c r="E952" s="22"/>
      <c r="F952" s="22">
        <f>C952*E952</f>
      </c>
    </row>
    <row r="953">
      <c r="A953" s="5"/>
      <c r="B953" s="16" t="s">
        <v>888</v>
      </c>
      <c r="C953" s="22">
        <f>(1)*(1)*(1)*(1)*(1 + (0))</f>
      </c>
      <c r="D953" s="22" t="s">
        <v>162</v>
      </c>
      <c r="E953" s="22"/>
      <c r="F953" s="22">
        <f>C953*E953</f>
      </c>
    </row>
    <row r="954">
      <c r="A954" s="4"/>
      <c r="B954" s="12" t="s">
        <v>889</v>
      </c>
      <c r="C954" s="21"/>
      <c r="D954" s="21"/>
      <c r="E954" s="21"/>
      <c r="F954" s="21"/>
    </row>
    <row r="955">
      <c r="A955" s="6"/>
      <c r="B955" s="15" t="s">
        <v>885</v>
      </c>
      <c r="C955" s="23"/>
      <c r="D955" s="23"/>
      <c r="E955" s="23"/>
      <c r="F955" s="23"/>
    </row>
    <row r="956">
      <c r="A956" s="5"/>
      <c r="B956" s="16" t="s">
        <v>886</v>
      </c>
      <c r="C956" s="22">
        <f>(6)*(1)*(1)*(1)*(1 + (0))</f>
      </c>
      <c r="D956" s="22" t="s">
        <v>162</v>
      </c>
      <c r="E956" s="22"/>
      <c r="F956" s="22">
        <f>C956*E956</f>
      </c>
    </row>
    <row r="957">
      <c r="A957" s="5"/>
      <c r="B957" s="16" t="s">
        <v>888</v>
      </c>
      <c r="C957" s="22">
        <f>(6)*(1)*(1)*(1)*(1 + (0))</f>
      </c>
      <c r="D957" s="22" t="s">
        <v>162</v>
      </c>
      <c r="E957" s="22"/>
      <c r="F957" s="22">
        <f>C957*E957</f>
      </c>
    </row>
    <row r="958">
      <c r="A958" s="3"/>
      <c r="B958" s="11" t="s">
        <v>890</v>
      </c>
      <c r="C958" s="20"/>
      <c r="D958" s="20"/>
      <c r="E958" s="20"/>
      <c r="F958" s="20"/>
    </row>
    <row r="959">
      <c r="A959" s="4"/>
      <c r="B959" s="12" t="s">
        <v>870</v>
      </c>
      <c r="C959" s="21"/>
      <c r="D959" s="21"/>
      <c r="E959" s="21"/>
      <c r="F959" s="21"/>
    </row>
    <row r="960">
      <c r="A960" s="6"/>
      <c r="B960" s="15" t="s">
        <v>885</v>
      </c>
      <c r="C960" s="23"/>
      <c r="D960" s="23"/>
      <c r="E960" s="23"/>
      <c r="F960" s="23"/>
    </row>
    <row r="961">
      <c r="A961" s="5"/>
      <c r="B961" s="16" t="s">
        <v>891</v>
      </c>
      <c r="C961" s="22">
        <f>(9)*(1)*(1)*(1)*(1 + (0))</f>
      </c>
      <c r="D961" s="22" t="s">
        <v>162</v>
      </c>
      <c r="E961" s="22"/>
      <c r="F961" s="22">
        <f>C961*E961</f>
      </c>
    </row>
    <row r="962">
      <c r="A962" s="4"/>
      <c r="B962" s="12" t="s">
        <v>889</v>
      </c>
      <c r="C962" s="21"/>
      <c r="D962" s="21"/>
      <c r="E962" s="21"/>
      <c r="F962" s="21"/>
    </row>
    <row r="963">
      <c r="A963" s="6"/>
      <c r="B963" s="15" t="s">
        <v>892</v>
      </c>
      <c r="C963" s="23"/>
      <c r="D963" s="23"/>
      <c r="E963" s="23"/>
      <c r="F963" s="23"/>
    </row>
    <row r="964">
      <c r="A964" s="5"/>
      <c r="B964" s="16" t="s">
        <v>893</v>
      </c>
      <c r="C964" s="22">
        <f>(3)*(1)*(1)*(1)*(1 + (0))</f>
      </c>
      <c r="D964" s="22" t="s">
        <v>162</v>
      </c>
      <c r="E964" s="22"/>
      <c r="F964" s="22">
        <f>C964*E964</f>
      </c>
    </row>
    <row r="965">
      <c r="A965" s="5"/>
      <c r="B965" s="16" t="s">
        <v>894</v>
      </c>
      <c r="C965" s="22">
        <f>(6)*(1)*(1)*(1)*(1 + (0))</f>
      </c>
      <c r="D965" s="22" t="s">
        <v>162</v>
      </c>
      <c r="E965" s="22"/>
      <c r="F965" s="22">
        <f>C965*E965</f>
      </c>
    </row>
    <row r="966">
      <c r="A966" s="5"/>
      <c r="B966" s="16" t="s">
        <v>895</v>
      </c>
      <c r="C966" s="22">
        <f>(6)*(1)*(1)*(1)*(1 + (0))</f>
      </c>
      <c r="D966" s="22" t="s">
        <v>162</v>
      </c>
      <c r="E966" s="22"/>
      <c r="F966" s="22">
        <f>C966*E966</f>
      </c>
    </row>
    <row r="967">
      <c r="A967" s="5"/>
      <c r="B967" s="16" t="s">
        <v>896</v>
      </c>
      <c r="C967" s="22">
        <f>(3)*(1)*(1)*(1)*(1 + (0))</f>
      </c>
      <c r="D967" s="22" t="s">
        <v>162</v>
      </c>
      <c r="E967" s="22"/>
      <c r="F967" s="22">
        <f>C967*E967</f>
      </c>
    </row>
    <row r="968">
      <c r="A968" s="2"/>
      <c r="B968" s="10" t="s">
        <v>897</v>
      </c>
      <c r="C968" s="19"/>
      <c r="D968" s="19"/>
      <c r="E968" s="19"/>
      <c r="F968" s="19"/>
    </row>
    <row r="969">
      <c r="A969" s="3"/>
      <c r="B969" s="11" t="s">
        <v>37</v>
      </c>
      <c r="C969" s="20"/>
      <c r="D969" s="20"/>
      <c r="E969" s="20"/>
      <c r="F969" s="20"/>
    </row>
    <row r="970">
      <c r="A970" s="5" t="s">
        <v>758</v>
      </c>
      <c r="B970" s="14" t="s">
        <v>39</v>
      </c>
      <c r="C970" s="22"/>
      <c r="D970" s="22" t="s">
        <v>10</v>
      </c>
      <c r="E970" s="22"/>
      <c r="F970" s="22">
        <f>C970*E970</f>
      </c>
    </row>
    <row r="971">
      <c r="A971" s="5" t="s">
        <v>760</v>
      </c>
      <c r="B971" s="14" t="s">
        <v>41</v>
      </c>
      <c r="C971" s="22"/>
      <c r="D971" s="22" t="s">
        <v>10</v>
      </c>
      <c r="E971" s="22"/>
      <c r="F971" s="22">
        <f>C971*E971</f>
      </c>
    </row>
    <row r="972">
      <c r="A972" s="3"/>
      <c r="B972" s="11" t="s">
        <v>44</v>
      </c>
      <c r="C972" s="20"/>
      <c r="D972" s="20"/>
      <c r="E972" s="20"/>
      <c r="F972" s="20"/>
    </row>
    <row r="973">
      <c r="A973" s="4"/>
      <c r="B973" s="12" t="s">
        <v>45</v>
      </c>
      <c r="C973" s="21"/>
      <c r="D973" s="21"/>
      <c r="E973" s="21"/>
      <c r="F973" s="21"/>
    </row>
    <row r="974">
      <c r="A974" s="5" t="s">
        <v>765</v>
      </c>
      <c r="B974" s="13" t="s">
        <v>898</v>
      </c>
      <c r="C974" s="22"/>
      <c r="D974" s="22" t="s">
        <v>10</v>
      </c>
      <c r="E974" s="22"/>
      <c r="F974" s="22">
        <f>C974*E974</f>
      </c>
    </row>
    <row r="975">
      <c r="A975" s="5" t="s">
        <v>766</v>
      </c>
      <c r="B975" s="13" t="s">
        <v>899</v>
      </c>
      <c r="C975" s="22"/>
      <c r="D975" s="22" t="s">
        <v>10</v>
      </c>
      <c r="E975" s="22"/>
      <c r="F975" s="22">
        <f>C975*E975</f>
      </c>
    </row>
    <row r="976">
      <c r="A976" s="5" t="s">
        <v>768</v>
      </c>
      <c r="B976" s="13" t="s">
        <v>767</v>
      </c>
      <c r="C976" s="22"/>
      <c r="D976" s="22" t="s">
        <v>10</v>
      </c>
      <c r="E976" s="22"/>
      <c r="F976" s="22">
        <f>C976*E976</f>
      </c>
    </row>
    <row r="977">
      <c r="A977" s="5" t="s">
        <v>770</v>
      </c>
      <c r="B977" s="13" t="s">
        <v>900</v>
      </c>
      <c r="C977" s="22"/>
      <c r="D977" s="22" t="s">
        <v>10</v>
      </c>
      <c r="E977" s="22"/>
      <c r="F977" s="22">
        <f>C977*E977</f>
      </c>
    </row>
    <row r="978">
      <c r="A978" s="5" t="s">
        <v>794</v>
      </c>
      <c r="B978" s="13" t="s">
        <v>901</v>
      </c>
      <c r="C978" s="22"/>
      <c r="D978" s="22" t="s">
        <v>10</v>
      </c>
      <c r="E978" s="22"/>
      <c r="F978" s="22">
        <f>C978*E978</f>
      </c>
    </row>
    <row r="979">
      <c r="A979" s="5" t="s">
        <v>795</v>
      </c>
      <c r="B979" s="13" t="s">
        <v>123</v>
      </c>
      <c r="C979" s="22"/>
      <c r="D979" s="22" t="s">
        <v>10</v>
      </c>
      <c r="E979" s="22"/>
      <c r="F979" s="22">
        <f>C979*E979</f>
      </c>
    </row>
    <row r="980">
      <c r="A980" s="3"/>
      <c r="B980" s="11" t="s">
        <v>42</v>
      </c>
      <c r="C980" s="20"/>
      <c r="D980" s="20"/>
      <c r="E980" s="20"/>
      <c r="F980" s="20"/>
    </row>
    <row r="981">
      <c r="A981" s="5"/>
      <c r="B981" s="14" t="s">
        <v>902</v>
      </c>
      <c r="C981" s="22"/>
      <c r="D981" s="22" t="s">
        <v>10</v>
      </c>
      <c r="E981" s="22"/>
      <c r="F981" s="22">
        <f>C981*E981</f>
      </c>
    </row>
    <row r="982">
      <c r="A982" s="5"/>
      <c r="B982" s="14" t="s">
        <v>762</v>
      </c>
      <c r="C982" s="22"/>
      <c r="D982" s="22" t="s">
        <v>10</v>
      </c>
      <c r="E982" s="22"/>
      <c r="F982" s="22">
        <f>C982*E982</f>
      </c>
    </row>
    <row r="983">
      <c r="A983" s="5"/>
      <c r="B983" s="14" t="s">
        <v>856</v>
      </c>
      <c r="C983" s="22"/>
      <c r="D983" s="22" t="s">
        <v>10</v>
      </c>
      <c r="E983" s="22"/>
      <c r="F983" s="22">
        <f>C983*E983</f>
      </c>
    </row>
    <row r="984">
      <c r="A984" s="3"/>
      <c r="B984" s="11" t="s">
        <v>68</v>
      </c>
      <c r="C984" s="20"/>
      <c r="D984" s="20"/>
      <c r="E984" s="20"/>
      <c r="F984" s="20"/>
    </row>
    <row r="985">
      <c r="A985" s="5" t="s">
        <v>797</v>
      </c>
      <c r="B985" s="14" t="s">
        <v>903</v>
      </c>
      <c r="C985" s="22">
        <f>(1)*(1)*(1)*(1)*(1 + (0))</f>
      </c>
      <c r="D985" s="22" t="s">
        <v>71</v>
      </c>
      <c r="E985" s="22"/>
      <c r="F985" s="22">
        <f>C985*E985</f>
      </c>
    </row>
    <row r="986">
      <c r="A986" s="5" t="s">
        <v>799</v>
      </c>
      <c r="B986" s="14" t="s">
        <v>904</v>
      </c>
      <c r="C986" s="22">
        <f>(1)*(1)*(1)*(1)*(1 + (0))</f>
      </c>
      <c r="D986" s="22" t="s">
        <v>71</v>
      </c>
      <c r="E986" s="22"/>
      <c r="F986" s="22">
        <f>C986*E986</f>
      </c>
    </row>
    <row r="987">
      <c r="A987" s="5" t="s">
        <v>801</v>
      </c>
      <c r="B987" s="14" t="s">
        <v>77</v>
      </c>
      <c r="C987" s="22">
        <f>(1)*(1)*(1)*(1)*(1 + (0))</f>
      </c>
      <c r="D987" s="22" t="s">
        <v>71</v>
      </c>
      <c r="E987" s="22"/>
      <c r="F987" s="22">
        <f>C987*E987</f>
      </c>
    </row>
    <row r="988">
      <c r="A988" s="5" t="s">
        <v>905</v>
      </c>
      <c r="B988" s="14" t="s">
        <v>906</v>
      </c>
      <c r="C988" s="22">
        <f>(1)*(1)*(1)*(1)*(1 + (0))</f>
      </c>
      <c r="D988" s="22" t="s">
        <v>71</v>
      </c>
      <c r="E988" s="22"/>
      <c r="F988" s="22">
        <f>C988*E988</f>
      </c>
    </row>
    <row r="989">
      <c r="A989" s="5" t="s">
        <v>907</v>
      </c>
      <c r="B989" s="14" t="s">
        <v>447</v>
      </c>
      <c r="C989" s="22">
        <f>(1)*(1)*(1)*(1)*(1 + (0))</f>
      </c>
      <c r="D989" s="22" t="s">
        <v>71</v>
      </c>
      <c r="E989" s="22"/>
      <c r="F989" s="22">
        <f>C989*E989</f>
      </c>
    </row>
    <row r="990">
      <c r="A990" s="5" t="s">
        <v>908</v>
      </c>
      <c r="B990" s="14" t="s">
        <v>798</v>
      </c>
      <c r="C990" s="22">
        <f>(1)*(1)*(1)*(1)*(1 + (0))</f>
      </c>
      <c r="D990" s="22" t="s">
        <v>71</v>
      </c>
      <c r="E990" s="22"/>
      <c r="F990" s="22">
        <f>C990*E990</f>
      </c>
    </row>
    <row r="991">
      <c r="A991" s="5" t="s">
        <v>909</v>
      </c>
      <c r="B991" s="14" t="s">
        <v>910</v>
      </c>
      <c r="C991" s="22">
        <f>(1)*(1)*(1)*(1)*(1 + (0))</f>
      </c>
      <c r="D991" s="22" t="s">
        <v>71</v>
      </c>
      <c r="E991" s="22"/>
      <c r="F991" s="22">
        <f>C991*E991</f>
      </c>
    </row>
    <row r="992">
      <c r="A992" s="5" t="s">
        <v>911</v>
      </c>
      <c r="B992" s="14" t="s">
        <v>912</v>
      </c>
      <c r="C992" s="22">
        <f>(1)*(1)*(1)*(1)*(1 + (0))</f>
      </c>
      <c r="D992" s="22" t="s">
        <v>71</v>
      </c>
      <c r="E992" s="22"/>
      <c r="F992" s="22">
        <f>C992*E992</f>
      </c>
    </row>
    <row r="993">
      <c r="A993" s="5" t="s">
        <v>913</v>
      </c>
      <c r="B993" s="14" t="s">
        <v>665</v>
      </c>
      <c r="C993" s="22">
        <f>(1)*(1)*(1)*(1)*(1 + (0))</f>
      </c>
      <c r="D993" s="22" t="s">
        <v>71</v>
      </c>
      <c r="E993" s="22"/>
      <c r="F993" s="22">
        <f>C993*E993</f>
      </c>
    </row>
    <row r="994">
      <c r="A994" s="3"/>
      <c r="B994" s="11" t="s">
        <v>914</v>
      </c>
      <c r="C994" s="20"/>
      <c r="D994" s="20"/>
      <c r="E994" s="20"/>
      <c r="F994" s="20"/>
    </row>
    <row r="995">
      <c r="A995" s="4"/>
      <c r="B995" s="12" t="s">
        <v>870</v>
      </c>
      <c r="C995" s="21"/>
      <c r="D995" s="21"/>
      <c r="E995" s="21"/>
      <c r="F995" s="21"/>
    </row>
    <row r="996">
      <c r="A996" s="6"/>
      <c r="B996" s="15" t="s">
        <v>915</v>
      </c>
      <c r="C996" s="23"/>
      <c r="D996" s="23"/>
      <c r="E996" s="23"/>
      <c r="F996" s="23"/>
    </row>
    <row r="997">
      <c r="A997" s="5"/>
      <c r="B997" s="16" t="s">
        <v>916</v>
      </c>
      <c r="C997" s="22">
        <f>(2)*(1)*(1)*(1)*(1 + (0))</f>
      </c>
      <c r="D997" s="22" t="s">
        <v>162</v>
      </c>
      <c r="E997" s="22"/>
      <c r="F997" s="22">
        <f>C997*E997</f>
      </c>
    </row>
    <row r="998">
      <c r="A998" s="5"/>
      <c r="B998" s="16" t="s">
        <v>917</v>
      </c>
      <c r="C998" s="22">
        <f>(2)*(1)*(1)*(1)*(1 + (0))</f>
      </c>
      <c r="D998" s="22" t="s">
        <v>162</v>
      </c>
      <c r="E998" s="22"/>
      <c r="F998" s="22">
        <f>C998*E998</f>
      </c>
    </row>
    <row r="999">
      <c r="A999" s="6"/>
      <c r="B999" s="15" t="s">
        <v>918</v>
      </c>
      <c r="C999" s="23"/>
      <c r="D999" s="23"/>
      <c r="E999" s="23"/>
      <c r="F999" s="23"/>
    </row>
    <row r="1000">
      <c r="A1000" s="5"/>
      <c r="B1000" s="16" t="s">
        <v>919</v>
      </c>
      <c r="C1000" s="22">
        <f>(2)*(1)*(1)*(1)*(1 + (0))</f>
      </c>
      <c r="D1000" s="22" t="s">
        <v>162</v>
      </c>
      <c r="E1000" s="22"/>
      <c r="F1000" s="22">
        <f>C1000*E1000</f>
      </c>
    </row>
    <row r="1001">
      <c r="A1001" s="5"/>
      <c r="B1001" s="16" t="s">
        <v>920</v>
      </c>
      <c r="C1001" s="22">
        <f>(2)*(1)*(1)*(1)*(1 + (0))</f>
      </c>
      <c r="D1001" s="22" t="s">
        <v>162</v>
      </c>
      <c r="E1001" s="22"/>
      <c r="F1001" s="22">
        <f>C1001*E1001</f>
      </c>
    </row>
    <row r="1002">
      <c r="A1002" s="4"/>
      <c r="B1002" s="12" t="s">
        <v>889</v>
      </c>
      <c r="C1002" s="21"/>
      <c r="D1002" s="21"/>
      <c r="E1002" s="21"/>
      <c r="F1002" s="21"/>
    </row>
    <row r="1003">
      <c r="A1003" s="6"/>
      <c r="B1003" s="15" t="s">
        <v>915</v>
      </c>
      <c r="C1003" s="23"/>
      <c r="D1003" s="23"/>
      <c r="E1003" s="23"/>
      <c r="F1003" s="23"/>
    </row>
    <row r="1004">
      <c r="A1004" s="5"/>
      <c r="B1004" s="16" t="s">
        <v>916</v>
      </c>
      <c r="C1004" s="22">
        <f>(1)*(1)*(1)*(1)*(1 + (0))</f>
      </c>
      <c r="D1004" s="22" t="s">
        <v>162</v>
      </c>
      <c r="E1004" s="22"/>
      <c r="F1004" s="22">
        <f>C1004*E1004</f>
      </c>
    </row>
    <row r="1005">
      <c r="A1005" s="5"/>
      <c r="B1005" s="16" t="s">
        <v>917</v>
      </c>
      <c r="C1005" s="22">
        <f>(1)*(1)*(1)*(1)*(1 + (0))</f>
      </c>
      <c r="D1005" s="22" t="s">
        <v>162</v>
      </c>
      <c r="E1005" s="22"/>
      <c r="F1005" s="22">
        <f>C1005*E1005</f>
      </c>
    </row>
    <row r="1006">
      <c r="A1006" s="6"/>
      <c r="B1006" s="15" t="s">
        <v>918</v>
      </c>
      <c r="C1006" s="23"/>
      <c r="D1006" s="23"/>
      <c r="E1006" s="23"/>
      <c r="F1006" s="23"/>
    </row>
    <row r="1007">
      <c r="A1007" s="5"/>
      <c r="B1007" s="16" t="s">
        <v>921</v>
      </c>
      <c r="C1007" s="22">
        <f>(2)*(1)*(1)*(1)*(1 + (0))</f>
      </c>
      <c r="D1007" s="22" t="s">
        <v>162</v>
      </c>
      <c r="E1007" s="22"/>
      <c r="F1007" s="22">
        <f>C1007*E1007</f>
      </c>
    </row>
    <row r="1008">
      <c r="A1008" s="5"/>
      <c r="B1008" s="16" t="s">
        <v>919</v>
      </c>
      <c r="C1008" s="22">
        <f>(1)*(1)*(1)*(1)*(1 + (0))</f>
      </c>
      <c r="D1008" s="22" t="s">
        <v>162</v>
      </c>
      <c r="E1008" s="22"/>
      <c r="F1008" s="22">
        <f>C1008*E1008</f>
      </c>
    </row>
    <row r="1009">
      <c r="A1009" s="5"/>
      <c r="B1009" s="16" t="s">
        <v>922</v>
      </c>
      <c r="C1009" s="22">
        <f>(1)*(1)*(1)*(1)*(1 + (0))</f>
      </c>
      <c r="D1009" s="22" t="s">
        <v>162</v>
      </c>
      <c r="E1009" s="22"/>
      <c r="F1009" s="22">
        <f>C1009*E1009</f>
      </c>
    </row>
    <row r="1010">
      <c r="A1010" s="5"/>
      <c r="B1010" s="16" t="s">
        <v>923</v>
      </c>
      <c r="C1010" s="22">
        <f>(1)*(1)*(1)*(1)*(1 + (0))</f>
      </c>
      <c r="D1010" s="22" t="s">
        <v>162</v>
      </c>
      <c r="E1010" s="22"/>
      <c r="F1010" s="22">
        <f>C1010*E1010</f>
      </c>
    </row>
    <row r="1011">
      <c r="A1011" s="3"/>
      <c r="B1011" s="11" t="s">
        <v>924</v>
      </c>
      <c r="C1011" s="20"/>
      <c r="D1011" s="20"/>
      <c r="E1011" s="20"/>
      <c r="F1011" s="20"/>
    </row>
    <row r="1012">
      <c r="A1012" s="4"/>
      <c r="B1012" s="12" t="s">
        <v>870</v>
      </c>
      <c r="C1012" s="21"/>
      <c r="D1012" s="21"/>
      <c r="E1012" s="21"/>
      <c r="F1012" s="21"/>
    </row>
    <row r="1013">
      <c r="A1013" s="6"/>
      <c r="B1013" s="15" t="s">
        <v>918</v>
      </c>
      <c r="C1013" s="23"/>
      <c r="D1013" s="23"/>
      <c r="E1013" s="23"/>
      <c r="F1013" s="23"/>
    </row>
    <row r="1014">
      <c r="A1014" s="5"/>
      <c r="B1014" s="16" t="s">
        <v>925</v>
      </c>
      <c r="C1014" s="22">
        <f>(2)*(1)*(1)*(1)*(1 + (0))</f>
      </c>
      <c r="D1014" s="22" t="s">
        <v>162</v>
      </c>
      <c r="E1014" s="22"/>
      <c r="F1014" s="22">
        <f>C1014*E1014</f>
      </c>
    </row>
    <row r="1015">
      <c r="A1015" s="5"/>
      <c r="B1015" s="16" t="s">
        <v>926</v>
      </c>
      <c r="C1015" s="22">
        <f>(23)*(1)*(1)*(1)*(1 + (0))</f>
      </c>
      <c r="D1015" s="22" t="s">
        <v>162</v>
      </c>
      <c r="E1015" s="22"/>
      <c r="F1015" s="22">
        <f>C1015*E1015</f>
      </c>
    </row>
    <row r="1016">
      <c r="A1016" s="5"/>
      <c r="B1016" s="16" t="s">
        <v>927</v>
      </c>
      <c r="C1016" s="22">
        <f>(2)*(1)*(1)*(1)*(1 + (0))</f>
      </c>
      <c r="D1016" s="22" t="s">
        <v>162</v>
      </c>
      <c r="E1016" s="22"/>
      <c r="F1016" s="22">
        <f>C1016*E1016</f>
      </c>
    </row>
    <row r="1017">
      <c r="A1017" s="5"/>
      <c r="B1017" s="16" t="s">
        <v>928</v>
      </c>
      <c r="C1017" s="22">
        <f>(1)*(1)*(1)*(1)*(1 + (0))</f>
      </c>
      <c r="D1017" s="22" t="s">
        <v>162</v>
      </c>
      <c r="E1017" s="22"/>
      <c r="F1017" s="22">
        <f>C1017*E1017</f>
      </c>
    </row>
    <row r="1018">
      <c r="A1018" s="5"/>
      <c r="B1018" s="16" t="s">
        <v>929</v>
      </c>
      <c r="C1018" s="22">
        <f>(1)*(1)*(1)*(1)*(1 + (0))</f>
      </c>
      <c r="D1018" s="22" t="s">
        <v>162</v>
      </c>
      <c r="E1018" s="22"/>
      <c r="F1018" s="22">
        <f>C1018*E1018</f>
      </c>
    </row>
    <row r="1019">
      <c r="A1019" s="4"/>
      <c r="B1019" s="12" t="s">
        <v>889</v>
      </c>
      <c r="C1019" s="21"/>
      <c r="D1019" s="21"/>
      <c r="E1019" s="21"/>
      <c r="F1019" s="21"/>
    </row>
    <row r="1020">
      <c r="A1020" s="6"/>
      <c r="B1020" s="15" t="s">
        <v>915</v>
      </c>
      <c r="C1020" s="23"/>
      <c r="D1020" s="23"/>
      <c r="E1020" s="23"/>
      <c r="F1020" s="23"/>
    </row>
    <row r="1021">
      <c r="A1021" s="5"/>
      <c r="B1021" s="16" t="s">
        <v>930</v>
      </c>
      <c r="C1021" s="22">
        <f>(2)*(1)*(1)*(1)*(1 + (0))</f>
      </c>
      <c r="D1021" s="22" t="s">
        <v>162</v>
      </c>
      <c r="E1021" s="22"/>
      <c r="F1021" s="22">
        <f>C1021*E1021</f>
      </c>
    </row>
    <row r="1022">
      <c r="A1022" s="6"/>
      <c r="B1022" s="15" t="s">
        <v>918</v>
      </c>
      <c r="C1022" s="23"/>
      <c r="D1022" s="23"/>
      <c r="E1022" s="23"/>
      <c r="F1022" s="23"/>
    </row>
    <row r="1023">
      <c r="A1023" s="5"/>
      <c r="B1023" s="16" t="s">
        <v>926</v>
      </c>
      <c r="C1023" s="22">
        <f>(3)*(1)*(1)*(1)*(1 + (0))</f>
      </c>
      <c r="D1023" s="22" t="s">
        <v>162</v>
      </c>
      <c r="E1023" s="22"/>
      <c r="F1023" s="22">
        <f>C1023*E1023</f>
      </c>
    </row>
    <row r="1024">
      <c r="A1024" s="3"/>
      <c r="B1024" s="11" t="s">
        <v>931</v>
      </c>
      <c r="C1024" s="20"/>
      <c r="D1024" s="20"/>
      <c r="E1024" s="20"/>
      <c r="F1024" s="20"/>
    </row>
    <row r="1025">
      <c r="A1025" s="4"/>
      <c r="B1025" s="12" t="s">
        <v>870</v>
      </c>
      <c r="C1025" s="21"/>
      <c r="D1025" s="21"/>
      <c r="E1025" s="21"/>
      <c r="F1025" s="21"/>
    </row>
    <row r="1026">
      <c r="A1026" s="5"/>
      <c r="B1026" s="13" t="s">
        <v>932</v>
      </c>
      <c r="C1026" s="22">
        <f>(4)*(1)*(1)*(1)*(1 + (0))</f>
      </c>
      <c r="D1026" s="22" t="s">
        <v>162</v>
      </c>
      <c r="E1026" s="22"/>
      <c r="F1026" s="22">
        <f>C1026*E1026</f>
      </c>
    </row>
    <row r="1027">
      <c r="A1027" s="5"/>
      <c r="B1027" s="13" t="s">
        <v>933</v>
      </c>
      <c r="C1027" s="22">
        <f>(4)*(1)*(1)*(1)*(1 + (0))</f>
      </c>
      <c r="D1027" s="22" t="s">
        <v>162</v>
      </c>
      <c r="E1027" s="22"/>
      <c r="F1027" s="22">
        <f>C1027*E1027</f>
      </c>
    </row>
    <row r="1028">
      <c r="A1028" s="4"/>
      <c r="B1028" s="12" t="s">
        <v>889</v>
      </c>
      <c r="C1028" s="21"/>
      <c r="D1028" s="21"/>
      <c r="E1028" s="21"/>
      <c r="F1028" s="21"/>
    </row>
    <row r="1029">
      <c r="A1029" s="5"/>
      <c r="B1029" s="13" t="s">
        <v>932</v>
      </c>
      <c r="C1029" s="22">
        <f>(2)*(1)*(1)*(1)*(1 + (0))</f>
      </c>
      <c r="D1029" s="22" t="s">
        <v>162</v>
      </c>
      <c r="E1029" s="22"/>
      <c r="F1029" s="22">
        <f>C1029*E1029</f>
      </c>
    </row>
    <row r="1030">
      <c r="A1030" s="5"/>
      <c r="B1030" s="13" t="s">
        <v>933</v>
      </c>
      <c r="C1030" s="22">
        <f>(5)*(1)*(1)*(1)*(1 + (0))</f>
      </c>
      <c r="D1030" s="22" t="s">
        <v>162</v>
      </c>
      <c r="E1030" s="22"/>
      <c r="F1030" s="22">
        <f>C1030*E1030</f>
      </c>
    </row>
    <row r="1031">
      <c r="A1031" s="3"/>
      <c r="B1031" s="11" t="s">
        <v>934</v>
      </c>
      <c r="C1031" s="20"/>
      <c r="D1031" s="20"/>
      <c r="E1031" s="20"/>
      <c r="F1031" s="20"/>
    </row>
    <row r="1032">
      <c r="A1032" s="4"/>
      <c r="B1032" s="12" t="s">
        <v>870</v>
      </c>
      <c r="C1032" s="21"/>
      <c r="D1032" s="21"/>
      <c r="E1032" s="21"/>
      <c r="F1032" s="21"/>
    </row>
    <row r="1033">
      <c r="A1033" s="5"/>
      <c r="B1033" s="13" t="s">
        <v>933</v>
      </c>
      <c r="C1033" s="22">
        <f>(31)*(1)*(1)*(1)*(1 + (0))</f>
      </c>
      <c r="D1033" s="22" t="s">
        <v>162</v>
      </c>
      <c r="E1033" s="22"/>
      <c r="F1033" s="22">
        <f>C1033*E1033</f>
      </c>
    </row>
    <row r="1034">
      <c r="A1034" s="4"/>
      <c r="B1034" s="12" t="s">
        <v>889</v>
      </c>
      <c r="C1034" s="21"/>
      <c r="D1034" s="21"/>
      <c r="E1034" s="21"/>
      <c r="F1034" s="21"/>
    </row>
    <row r="1035">
      <c r="A1035" s="5"/>
      <c r="B1035" s="13" t="s">
        <v>932</v>
      </c>
      <c r="C1035" s="22">
        <f>(2)*(1)*(1)*(1)*(1 + (0))</f>
      </c>
      <c r="D1035" s="22" t="s">
        <v>162</v>
      </c>
      <c r="E1035" s="22"/>
      <c r="F1035" s="22">
        <f>C1035*E1035</f>
      </c>
    </row>
    <row r="1036">
      <c r="A1036" s="5"/>
      <c r="B1036" s="13" t="s">
        <v>933</v>
      </c>
      <c r="C1036" s="22">
        <f>(3)*(1)*(1)*(1)*(1 + (0))</f>
      </c>
      <c r="D1036" s="22" t="s">
        <v>162</v>
      </c>
      <c r="E1036" s="22"/>
      <c r="F1036" s="22">
        <f>C1036*E1036</f>
      </c>
    </row>
    <row r="1037">
      <c r="A1037" s="2"/>
      <c r="B1037" s="10" t="s">
        <v>935</v>
      </c>
      <c r="C1037" s="19"/>
      <c r="D1037" s="19"/>
      <c r="E1037" s="19"/>
      <c r="F1037" s="19"/>
    </row>
    <row r="1038">
      <c r="A1038" s="3"/>
      <c r="B1038" s="11" t="s">
        <v>37</v>
      </c>
      <c r="C1038" s="20"/>
      <c r="D1038" s="20"/>
      <c r="E1038" s="20"/>
      <c r="F1038" s="20"/>
    </row>
    <row r="1039">
      <c r="A1039" s="5" t="s">
        <v>936</v>
      </c>
      <c r="B1039" s="14" t="s">
        <v>39</v>
      </c>
      <c r="C1039" s="22"/>
      <c r="D1039" s="22" t="s">
        <v>10</v>
      </c>
      <c r="E1039" s="22"/>
      <c r="F1039" s="22">
        <f>C1039*E1039</f>
      </c>
    </row>
    <row r="1040">
      <c r="A1040" s="5" t="s">
        <v>937</v>
      </c>
      <c r="B1040" s="14" t="s">
        <v>41</v>
      </c>
      <c r="C1040" s="22"/>
      <c r="D1040" s="22" t="s">
        <v>10</v>
      </c>
      <c r="E1040" s="22"/>
      <c r="F1040" s="22">
        <f>C1040*E1040</f>
      </c>
    </row>
    <row r="1041">
      <c r="A1041" s="3"/>
      <c r="B1041" s="11" t="s">
        <v>42</v>
      </c>
      <c r="C1041" s="20"/>
      <c r="D1041" s="20"/>
      <c r="E1041" s="20"/>
      <c r="F1041" s="20"/>
    </row>
    <row r="1042">
      <c r="A1042" s="5"/>
      <c r="B1042" s="14" t="s">
        <v>938</v>
      </c>
      <c r="C1042" s="22"/>
      <c r="D1042" s="22" t="s">
        <v>10</v>
      </c>
      <c r="E1042" s="22"/>
      <c r="F1042" s="22">
        <f>C1042*E1042</f>
      </c>
    </row>
    <row r="1043">
      <c r="A1043" s="5"/>
      <c r="B1043" s="14" t="s">
        <v>762</v>
      </c>
      <c r="C1043" s="22"/>
      <c r="D1043" s="22" t="s">
        <v>10</v>
      </c>
      <c r="E1043" s="22"/>
      <c r="F1043" s="22">
        <f>C1043*E1043</f>
      </c>
    </row>
    <row r="1044">
      <c r="A1044" s="5"/>
      <c r="B1044" s="14" t="s">
        <v>763</v>
      </c>
      <c r="C1044" s="22"/>
      <c r="D1044" s="22" t="s">
        <v>10</v>
      </c>
      <c r="E1044" s="22"/>
      <c r="F1044" s="22">
        <f>C1044*E1044</f>
      </c>
    </row>
    <row r="1045">
      <c r="A1045" s="5"/>
      <c r="B1045" s="14" t="s">
        <v>939</v>
      </c>
      <c r="C1045" s="22"/>
      <c r="D1045" s="22" t="s">
        <v>10</v>
      </c>
      <c r="E1045" s="22"/>
      <c r="F1045" s="22">
        <f>C1045*E1045</f>
      </c>
    </row>
    <row r="1046">
      <c r="A1046" s="3"/>
      <c r="B1046" s="11" t="s">
        <v>44</v>
      </c>
      <c r="C1046" s="20"/>
      <c r="D1046" s="20"/>
      <c r="E1046" s="20"/>
      <c r="F1046" s="20"/>
    </row>
    <row r="1047">
      <c r="A1047" s="4"/>
      <c r="B1047" s="12" t="s">
        <v>45</v>
      </c>
      <c r="C1047" s="21"/>
      <c r="D1047" s="21"/>
      <c r="E1047" s="21"/>
      <c r="F1047" s="21"/>
    </row>
    <row r="1048">
      <c r="A1048" s="5" t="s">
        <v>940</v>
      </c>
      <c r="B1048" s="13" t="s">
        <v>123</v>
      </c>
      <c r="C1048" s="22"/>
      <c r="D1048" s="22" t="s">
        <v>10</v>
      </c>
      <c r="E1048" s="22"/>
      <c r="F1048" s="22">
        <f>C1048*E1048</f>
      </c>
    </row>
    <row r="1049">
      <c r="A1049" s="6"/>
      <c r="B1049" s="15" t="s">
        <v>771</v>
      </c>
      <c r="C1049" s="23"/>
      <c r="D1049" s="23"/>
      <c r="E1049" s="23"/>
      <c r="F1049" s="23"/>
    </row>
    <row r="1050">
      <c r="A1050" s="5" t="s">
        <v>772</v>
      </c>
      <c r="B1050" s="16" t="s">
        <v>528</v>
      </c>
      <c r="C1050" s="22"/>
      <c r="D1050" s="22" t="s">
        <v>10</v>
      </c>
      <c r="E1050" s="22"/>
      <c r="F1050" s="22">
        <f>C1050*E1050</f>
      </c>
    </row>
    <row r="1051">
      <c r="A1051" s="5" t="s">
        <v>773</v>
      </c>
      <c r="B1051" s="16" t="s">
        <v>530</v>
      </c>
      <c r="C1051" s="22"/>
      <c r="D1051" s="22" t="s">
        <v>10</v>
      </c>
      <c r="E1051" s="22"/>
      <c r="F1051" s="22">
        <f>C1051*E1051</f>
      </c>
    </row>
    <row r="1052">
      <c r="A1052" s="5" t="s">
        <v>774</v>
      </c>
      <c r="B1052" s="16" t="s">
        <v>532</v>
      </c>
      <c r="C1052" s="22"/>
      <c r="D1052" s="22" t="s">
        <v>10</v>
      </c>
      <c r="E1052" s="22"/>
      <c r="F1052" s="22">
        <f>C1052*E1052</f>
      </c>
    </row>
    <row r="1053">
      <c r="A1053" s="5" t="s">
        <v>775</v>
      </c>
      <c r="B1053" s="16" t="s">
        <v>536</v>
      </c>
      <c r="C1053" s="22"/>
      <c r="D1053" s="22" t="s">
        <v>10</v>
      </c>
      <c r="E1053" s="22"/>
      <c r="F1053" s="22">
        <f>C1053*E1053</f>
      </c>
    </row>
    <row r="1054">
      <c r="A1054" s="5" t="s">
        <v>776</v>
      </c>
      <c r="B1054" s="16" t="s">
        <v>777</v>
      </c>
      <c r="C1054" s="22"/>
      <c r="D1054" s="22" t="s">
        <v>10</v>
      </c>
      <c r="E1054" s="22"/>
      <c r="F1054" s="22">
        <f>C1054*E1054</f>
      </c>
    </row>
    <row r="1055">
      <c r="A1055" s="6"/>
      <c r="B1055" s="15" t="s">
        <v>778</v>
      </c>
      <c r="C1055" s="23"/>
      <c r="D1055" s="23"/>
      <c r="E1055" s="23"/>
      <c r="F1055" s="23"/>
    </row>
    <row r="1056">
      <c r="A1056" s="5" t="s">
        <v>779</v>
      </c>
      <c r="B1056" s="16" t="s">
        <v>780</v>
      </c>
      <c r="C1056" s="22"/>
      <c r="D1056" s="22" t="s">
        <v>10</v>
      </c>
      <c r="E1056" s="22"/>
      <c r="F1056" s="22">
        <f>C1056*E1056</f>
      </c>
    </row>
    <row r="1057">
      <c r="A1057" s="5" t="s">
        <v>781</v>
      </c>
      <c r="B1057" s="16" t="s">
        <v>782</v>
      </c>
      <c r="C1057" s="22"/>
      <c r="D1057" s="22" t="s">
        <v>10</v>
      </c>
      <c r="E1057" s="22"/>
      <c r="F1057" s="22">
        <f>C1057*E1057</f>
      </c>
    </row>
    <row r="1058">
      <c r="A1058" s="5" t="s">
        <v>783</v>
      </c>
      <c r="B1058" s="16" t="s">
        <v>784</v>
      </c>
      <c r="C1058" s="22"/>
      <c r="D1058" s="22" t="s">
        <v>10</v>
      </c>
      <c r="E1058" s="22"/>
      <c r="F1058" s="22">
        <f>C1058*E1058</f>
      </c>
    </row>
    <row r="1059">
      <c r="A1059" s="5" t="s">
        <v>785</v>
      </c>
      <c r="B1059" s="16" t="s">
        <v>786</v>
      </c>
      <c r="C1059" s="22"/>
      <c r="D1059" s="22" t="s">
        <v>10</v>
      </c>
      <c r="E1059" s="22"/>
      <c r="F1059" s="22">
        <f>C1059*E1059</f>
      </c>
    </row>
    <row r="1060">
      <c r="A1060" s="5" t="s">
        <v>787</v>
      </c>
      <c r="B1060" s="16" t="s">
        <v>788</v>
      </c>
      <c r="C1060" s="22"/>
      <c r="D1060" s="22" t="s">
        <v>10</v>
      </c>
      <c r="E1060" s="22"/>
      <c r="F1060" s="22">
        <f>C1060*E1060</f>
      </c>
    </row>
    <row r="1061">
      <c r="A1061" s="5" t="s">
        <v>789</v>
      </c>
      <c r="B1061" s="16" t="s">
        <v>769</v>
      </c>
      <c r="C1061" s="22"/>
      <c r="D1061" s="22" t="s">
        <v>10</v>
      </c>
      <c r="E1061" s="22"/>
      <c r="F1061" s="22">
        <f>C1061*E1061</f>
      </c>
    </row>
    <row r="1062">
      <c r="A1062" s="6"/>
      <c r="B1062" s="15" t="s">
        <v>790</v>
      </c>
      <c r="C1062" s="23"/>
      <c r="D1062" s="23"/>
      <c r="E1062" s="23"/>
      <c r="F1062" s="23"/>
    </row>
    <row r="1063">
      <c r="A1063" s="5" t="s">
        <v>791</v>
      </c>
      <c r="B1063" s="16" t="s">
        <v>652</v>
      </c>
      <c r="C1063" s="22"/>
      <c r="D1063" s="22" t="s">
        <v>10</v>
      </c>
      <c r="E1063" s="22"/>
      <c r="F1063" s="22">
        <f>C1063*E1063</f>
      </c>
    </row>
    <row r="1064">
      <c r="A1064" s="5" t="s">
        <v>792</v>
      </c>
      <c r="B1064" s="16" t="s">
        <v>700</v>
      </c>
      <c r="C1064" s="22"/>
      <c r="D1064" s="22" t="s">
        <v>10</v>
      </c>
      <c r="E1064" s="22"/>
      <c r="F1064" s="22">
        <f>C1064*E1064</f>
      </c>
    </row>
    <row r="1065">
      <c r="A1065" s="5" t="s">
        <v>793</v>
      </c>
      <c r="B1065" s="16" t="s">
        <v>650</v>
      </c>
      <c r="C1065" s="22"/>
      <c r="D1065" s="22" t="s">
        <v>10</v>
      </c>
      <c r="E1065" s="22"/>
      <c r="F1065" s="22">
        <f>C1065*E1065</f>
      </c>
    </row>
    <row r="1066">
      <c r="A1066" s="3"/>
      <c r="B1066" s="11" t="s">
        <v>68</v>
      </c>
      <c r="C1066" s="20"/>
      <c r="D1066" s="20"/>
      <c r="E1066" s="20"/>
      <c r="F1066" s="20"/>
    </row>
    <row r="1067">
      <c r="A1067" s="5" t="s">
        <v>807</v>
      </c>
      <c r="B1067" s="14" t="s">
        <v>808</v>
      </c>
      <c r="C1067" s="22">
        <f>(1)*(1)*(1)*(1)*(1 + (0))</f>
      </c>
      <c r="D1067" s="22" t="s">
        <v>71</v>
      </c>
      <c r="E1067" s="22"/>
      <c r="F1067" s="22">
        <f>C1067*E1067</f>
      </c>
    </row>
    <row r="1068">
      <c r="A1068" s="5" t="s">
        <v>809</v>
      </c>
      <c r="B1068" s="14" t="s">
        <v>810</v>
      </c>
      <c r="C1068" s="22">
        <f>(1)*(1)*(1)*(1)*(1 + (0))</f>
      </c>
      <c r="D1068" s="22" t="s">
        <v>71</v>
      </c>
      <c r="E1068" s="22"/>
      <c r="F1068" s="22">
        <f>C1068*E1068</f>
      </c>
    </row>
    <row r="1069">
      <c r="A1069" s="5" t="s">
        <v>811</v>
      </c>
      <c r="B1069" s="14" t="s">
        <v>812</v>
      </c>
      <c r="C1069" s="22">
        <f>(1)*(1)*(1)*(1)*(1 + (0))</f>
      </c>
      <c r="D1069" s="22" t="s">
        <v>71</v>
      </c>
      <c r="E1069" s="22"/>
      <c r="F1069" s="22">
        <f>C1069*E1069</f>
      </c>
    </row>
    <row r="1070">
      <c r="A1070" s="5" t="s">
        <v>941</v>
      </c>
      <c r="B1070" s="14" t="s">
        <v>447</v>
      </c>
      <c r="C1070" s="22">
        <f>(1)*(1)*(1)*(1)*(1 + (0))</f>
      </c>
      <c r="D1070" s="22" t="s">
        <v>71</v>
      </c>
      <c r="E1070" s="22"/>
      <c r="F1070" s="22">
        <f>C1070*E1070</f>
      </c>
    </row>
    <row r="1071">
      <c r="A1071" s="5" t="s">
        <v>942</v>
      </c>
      <c r="B1071" s="14" t="s">
        <v>70</v>
      </c>
      <c r="C1071" s="22">
        <f>(1)*(1)*(1)*(1)*(1 + (0))</f>
      </c>
      <c r="D1071" s="22" t="s">
        <v>71</v>
      </c>
      <c r="E1071" s="22"/>
      <c r="F1071" s="22">
        <f>C1071*E1071</f>
      </c>
    </row>
    <row r="1072">
      <c r="A1072" s="5" t="s">
        <v>813</v>
      </c>
      <c r="B1072" s="14" t="s">
        <v>814</v>
      </c>
      <c r="C1072" s="22">
        <f>(1)*(1)*(1)*(1)*(1 + (0))</f>
      </c>
      <c r="D1072" s="22" t="s">
        <v>71</v>
      </c>
      <c r="E1072" s="22"/>
      <c r="F1072" s="22">
        <f>C1072*E1072</f>
      </c>
    </row>
    <row r="1073">
      <c r="A1073" s="5" t="s">
        <v>815</v>
      </c>
      <c r="B1073" s="14" t="s">
        <v>816</v>
      </c>
      <c r="C1073" s="22">
        <f>(1)*(1)*(1)*(1)*(1 + (0))</f>
      </c>
      <c r="D1073" s="22" t="s">
        <v>71</v>
      </c>
      <c r="E1073" s="22"/>
      <c r="F1073" s="22">
        <f>C1073*E1073</f>
      </c>
    </row>
    <row r="1074">
      <c r="A1074" s="5" t="s">
        <v>943</v>
      </c>
      <c r="B1074" s="14" t="s">
        <v>798</v>
      </c>
      <c r="C1074" s="22">
        <f>(1)*(1)*(1)*(1)*(1 + (0))</f>
      </c>
      <c r="D1074" s="22" t="s">
        <v>71</v>
      </c>
      <c r="E1074" s="22"/>
      <c r="F1074" s="22">
        <f>C1074*E1074</f>
      </c>
    </row>
    <row r="1075">
      <c r="A1075" s="5" t="s">
        <v>944</v>
      </c>
      <c r="B1075" s="14" t="s">
        <v>800</v>
      </c>
      <c r="C1075" s="22">
        <f>(1)*(1)*(1)*(1)*(1 + (0))</f>
      </c>
      <c r="D1075" s="22" t="s">
        <v>71</v>
      </c>
      <c r="E1075" s="22"/>
      <c r="F1075" s="22">
        <f>C1075*E1075</f>
      </c>
    </row>
    <row r="1076">
      <c r="A1076" s="5" t="s">
        <v>817</v>
      </c>
      <c r="B1076" s="14" t="s">
        <v>667</v>
      </c>
      <c r="C1076" s="22">
        <f>(1)*(1)*(1)*(1)*(1 + (0))</f>
      </c>
      <c r="D1076" s="22" t="s">
        <v>71</v>
      </c>
      <c r="E1076" s="22"/>
      <c r="F1076" s="22">
        <f>C1076*E1076</f>
      </c>
    </row>
    <row r="1077">
      <c r="A1077" s="5" t="s">
        <v>945</v>
      </c>
      <c r="B1077" s="14" t="s">
        <v>665</v>
      </c>
      <c r="C1077" s="22">
        <f>(1)*(1)*(1)*(1)*(1 + (0))</f>
      </c>
      <c r="D1077" s="22" t="s">
        <v>71</v>
      </c>
      <c r="E1077" s="22"/>
      <c r="F1077" s="22">
        <f>C1077*E1077</f>
      </c>
    </row>
    <row r="1078">
      <c r="A1078" s="3"/>
      <c r="B1078" s="11" t="s">
        <v>106</v>
      </c>
      <c r="C1078" s="20"/>
      <c r="D1078" s="20"/>
      <c r="E1078" s="20"/>
      <c r="F1078" s="20"/>
    </row>
    <row r="1079">
      <c r="A1079" s="5"/>
      <c r="B1079" s="14" t="s">
        <v>946</v>
      </c>
      <c r="C1079" s="22"/>
      <c r="D1079" s="22" t="s">
        <v>10</v>
      </c>
      <c r="E1079" s="22"/>
      <c r="F1079" s="22">
        <f>C1079*E1079</f>
      </c>
    </row>
    <row r="1080">
      <c r="A1080" s="3"/>
      <c r="B1080" s="11" t="s">
        <v>947</v>
      </c>
      <c r="C1080" s="20"/>
      <c r="D1080" s="20"/>
      <c r="E1080" s="20"/>
      <c r="F1080" s="20"/>
    </row>
    <row r="1081">
      <c r="A1081" s="4"/>
      <c r="B1081" s="12" t="s">
        <v>948</v>
      </c>
      <c r="C1081" s="21"/>
      <c r="D1081" s="21"/>
      <c r="E1081" s="21"/>
      <c r="F1081" s="21"/>
    </row>
    <row r="1082">
      <c r="A1082" s="6"/>
      <c r="B1082" s="15" t="s">
        <v>949</v>
      </c>
      <c r="C1082" s="23"/>
      <c r="D1082" s="23"/>
      <c r="E1082" s="23"/>
      <c r="F1082" s="23"/>
    </row>
    <row r="1083">
      <c r="A1083" s="5"/>
      <c r="B1083" s="16" t="s">
        <v>950</v>
      </c>
      <c r="C1083" s="22">
        <f>(18)*(1)*(1)*(1)*(1 + (0))</f>
      </c>
      <c r="D1083" s="22" t="s">
        <v>24</v>
      </c>
      <c r="E1083" s="22"/>
      <c r="F1083" s="22">
        <f>C1083*E1083</f>
      </c>
    </row>
    <row r="1084">
      <c r="A1084" s="6"/>
      <c r="B1084" s="15" t="s">
        <v>951</v>
      </c>
      <c r="C1084" s="23"/>
      <c r="D1084" s="23"/>
      <c r="E1084" s="23"/>
      <c r="F1084" s="23"/>
    </row>
    <row r="1085">
      <c r="A1085" s="5"/>
      <c r="B1085" s="16" t="s">
        <v>950</v>
      </c>
      <c r="C1085" s="22">
        <f>(30)*(1)*(1)*(1)*(1 + (0))</f>
      </c>
      <c r="D1085" s="22" t="s">
        <v>24</v>
      </c>
      <c r="E1085" s="22"/>
      <c r="F1085" s="22">
        <f>C1085*E1085</f>
      </c>
    </row>
    <row r="1086">
      <c r="A1086" s="6"/>
      <c r="B1086" s="15" t="s">
        <v>952</v>
      </c>
      <c r="C1086" s="23"/>
      <c r="D1086" s="23"/>
      <c r="E1086" s="23"/>
      <c r="F1086" s="23"/>
    </row>
    <row r="1087">
      <c r="A1087" s="5"/>
      <c r="B1087" s="16" t="s">
        <v>950</v>
      </c>
      <c r="C1087" s="22">
        <f>(21)*(1)*(1)*(1)*(1 + (0))</f>
      </c>
      <c r="D1087" s="22" t="s">
        <v>24</v>
      </c>
      <c r="E1087" s="22"/>
      <c r="F1087" s="22">
        <f>C1087*E1087</f>
      </c>
    </row>
    <row r="1088">
      <c r="A1088" s="4"/>
      <c r="B1088" s="12" t="s">
        <v>953</v>
      </c>
      <c r="C1088" s="21"/>
      <c r="D1088" s="21"/>
      <c r="E1088" s="21"/>
      <c r="F1088" s="21"/>
    </row>
    <row r="1089">
      <c r="A1089" s="6"/>
      <c r="B1089" s="15" t="s">
        <v>954</v>
      </c>
      <c r="C1089" s="23"/>
      <c r="D1089" s="23"/>
      <c r="E1089" s="23"/>
      <c r="F1089" s="23"/>
    </row>
    <row r="1090">
      <c r="A1090" s="5"/>
      <c r="B1090" s="16" t="s">
        <v>822</v>
      </c>
      <c r="C1090" s="22">
        <f>(67)*(1)*(1)*(1)*(1 + (0))</f>
      </c>
      <c r="D1090" s="22" t="s">
        <v>24</v>
      </c>
      <c r="E1090" s="22"/>
      <c r="F1090" s="22">
        <f>C1090*E1090</f>
      </c>
    </row>
    <row r="1091">
      <c r="A1091" s="4"/>
      <c r="B1091" s="12" t="s">
        <v>955</v>
      </c>
      <c r="C1091" s="21"/>
      <c r="D1091" s="21"/>
      <c r="E1091" s="21"/>
      <c r="F1091" s="21"/>
    </row>
    <row r="1092">
      <c r="A1092" s="6"/>
      <c r="B1092" s="15" t="s">
        <v>956</v>
      </c>
      <c r="C1092" s="23"/>
      <c r="D1092" s="23"/>
      <c r="E1092" s="23"/>
      <c r="F1092" s="23"/>
    </row>
    <row r="1093">
      <c r="A1093" s="5"/>
      <c r="B1093" s="16" t="s">
        <v>957</v>
      </c>
      <c r="C1093" s="22">
        <f>(419)*(1)*(1)*(1)*(1 + (0))</f>
      </c>
      <c r="D1093" s="22" t="s">
        <v>24</v>
      </c>
      <c r="E1093" s="22"/>
      <c r="F1093" s="22">
        <f>C1093*E1093</f>
      </c>
    </row>
    <row r="1094">
      <c r="A1094" s="5"/>
      <c r="B1094" s="16" t="s">
        <v>822</v>
      </c>
      <c r="C1094" s="22">
        <f>(527)*(1)*(1)*(1)*(1 + (0))</f>
      </c>
      <c r="D1094" s="22" t="s">
        <v>24</v>
      </c>
      <c r="E1094" s="22"/>
      <c r="F1094" s="22">
        <f>C1094*E1094</f>
      </c>
    </row>
    <row r="1095">
      <c r="A1095" s="6"/>
      <c r="B1095" s="15" t="s">
        <v>958</v>
      </c>
      <c r="C1095" s="23"/>
      <c r="D1095" s="23"/>
      <c r="E1095" s="23"/>
      <c r="F1095" s="23"/>
    </row>
    <row r="1096">
      <c r="A1096" s="5"/>
      <c r="B1096" s="16" t="s">
        <v>950</v>
      </c>
      <c r="C1096" s="22">
        <f>(53)*(1)*(1)*(1)*(1 + (0))</f>
      </c>
      <c r="D1096" s="22" t="s">
        <v>24</v>
      </c>
      <c r="E1096" s="22"/>
      <c r="F1096" s="22">
        <f>C1096*E1096</f>
      </c>
    </row>
    <row r="1097">
      <c r="A1097" s="5"/>
      <c r="B1097" s="16" t="s">
        <v>822</v>
      </c>
      <c r="C1097" s="22">
        <f>(37)*(1)*(1)*(1)*(1 + (0))</f>
      </c>
      <c r="D1097" s="22" t="s">
        <v>24</v>
      </c>
      <c r="E1097" s="22"/>
      <c r="F1097" s="22">
        <f>C1097*E1097</f>
      </c>
    </row>
    <row r="1098">
      <c r="A1098" s="5"/>
      <c r="B1098" s="16" t="s">
        <v>959</v>
      </c>
      <c r="C1098" s="22">
        <f>(8)*(1)*(1)*(1)*(1 + (0))</f>
      </c>
      <c r="D1098" s="22" t="s">
        <v>24</v>
      </c>
      <c r="E1098" s="22"/>
      <c r="F1098" s="22">
        <f>C1098*E1098</f>
      </c>
    </row>
    <row r="1099">
      <c r="A1099" s="3"/>
      <c r="B1099" s="11" t="s">
        <v>960</v>
      </c>
      <c r="C1099" s="20"/>
      <c r="D1099" s="20"/>
      <c r="E1099" s="20"/>
      <c r="F1099" s="20"/>
    </row>
    <row r="1100">
      <c r="A1100" s="4"/>
      <c r="B1100" s="12" t="s">
        <v>948</v>
      </c>
      <c r="C1100" s="21"/>
      <c r="D1100" s="21"/>
      <c r="E1100" s="21"/>
      <c r="F1100" s="21"/>
    </row>
    <row r="1101">
      <c r="A1101" s="6"/>
      <c r="B1101" s="15" t="s">
        <v>961</v>
      </c>
      <c r="C1101" s="23"/>
      <c r="D1101" s="23"/>
      <c r="E1101" s="23"/>
      <c r="F1101" s="23"/>
    </row>
    <row r="1102">
      <c r="A1102" s="5"/>
      <c r="B1102" s="16" t="s">
        <v>950</v>
      </c>
      <c r="C1102" s="22">
        <f>(3)*(1)*(1)*(1)*(1 + (0))</f>
      </c>
      <c r="D1102" s="22" t="s">
        <v>24</v>
      </c>
      <c r="E1102" s="22"/>
      <c r="F1102" s="22">
        <f>C1102*E1102</f>
      </c>
    </row>
    <row r="1103">
      <c r="A1103" s="6"/>
      <c r="B1103" s="15" t="s">
        <v>962</v>
      </c>
      <c r="C1103" s="23"/>
      <c r="D1103" s="23"/>
      <c r="E1103" s="23"/>
      <c r="F1103" s="23"/>
    </row>
    <row r="1104">
      <c r="A1104" s="5"/>
      <c r="B1104" s="16" t="s">
        <v>950</v>
      </c>
      <c r="C1104" s="22">
        <f>(12)*(1)*(1)*(1)*(1 + (0))</f>
      </c>
      <c r="D1104" s="22" t="s">
        <v>24</v>
      </c>
      <c r="E1104" s="22"/>
      <c r="F1104" s="22">
        <f>C1104*E1104</f>
      </c>
    </row>
    <row r="1105">
      <c r="A1105" s="6"/>
      <c r="B1105" s="15" t="s">
        <v>963</v>
      </c>
      <c r="C1105" s="23"/>
      <c r="D1105" s="23"/>
      <c r="E1105" s="23"/>
      <c r="F1105" s="23"/>
    </row>
    <row r="1106">
      <c r="A1106" s="5"/>
      <c r="B1106" s="16" t="s">
        <v>950</v>
      </c>
      <c r="C1106" s="22">
        <f>(32)*(1)*(1)*(1)*(1 + (0))</f>
      </c>
      <c r="D1106" s="22" t="s">
        <v>24</v>
      </c>
      <c r="E1106" s="22"/>
      <c r="F1106" s="22">
        <f>C1106*E1106</f>
      </c>
    </row>
    <row r="1107">
      <c r="A1107" s="6"/>
      <c r="B1107" s="15" t="s">
        <v>964</v>
      </c>
      <c r="C1107" s="23"/>
      <c r="D1107" s="23"/>
      <c r="E1107" s="23"/>
      <c r="F1107" s="23"/>
    </row>
    <row r="1108">
      <c r="A1108" s="5"/>
      <c r="B1108" s="16" t="s">
        <v>950</v>
      </c>
      <c r="C1108" s="22">
        <f>(30)*(1)*(1)*(1)*(1 + (0))</f>
      </c>
      <c r="D1108" s="22" t="s">
        <v>24</v>
      </c>
      <c r="E1108" s="22"/>
      <c r="F1108" s="22">
        <f>C1108*E1108</f>
      </c>
    </row>
    <row r="1109">
      <c r="A1109" s="5"/>
      <c r="B1109" s="16" t="s">
        <v>822</v>
      </c>
      <c r="C1109" s="22">
        <f>(14)*(1)*(1)*(1)*(1 + (0))</f>
      </c>
      <c r="D1109" s="22" t="s">
        <v>24</v>
      </c>
      <c r="E1109" s="22"/>
      <c r="F1109" s="22">
        <f>C1109*E1109</f>
      </c>
    </row>
    <row r="1110">
      <c r="A1110" s="6"/>
      <c r="B1110" s="15" t="s">
        <v>965</v>
      </c>
      <c r="C1110" s="23"/>
      <c r="D1110" s="23"/>
      <c r="E1110" s="23"/>
      <c r="F1110" s="23"/>
    </row>
    <row r="1111">
      <c r="A1111" s="5"/>
      <c r="B1111" s="16" t="s">
        <v>950</v>
      </c>
      <c r="C1111" s="22">
        <f>(52)*(1)*(1)*(1)*(1 + (0))</f>
      </c>
      <c r="D1111" s="22" t="s">
        <v>24</v>
      </c>
      <c r="E1111" s="22"/>
      <c r="F1111" s="22">
        <f>C1111*E1111</f>
      </c>
    </row>
    <row r="1112">
      <c r="A1112" s="6"/>
      <c r="B1112" s="15" t="s">
        <v>966</v>
      </c>
      <c r="C1112" s="23"/>
      <c r="D1112" s="23"/>
      <c r="E1112" s="23"/>
      <c r="F1112" s="23"/>
    </row>
    <row r="1113">
      <c r="A1113" s="5"/>
      <c r="B1113" s="16" t="s">
        <v>950</v>
      </c>
      <c r="C1113" s="22">
        <f>(25)*(1)*(1)*(1)*(1 + (0))</f>
      </c>
      <c r="D1113" s="22" t="s">
        <v>24</v>
      </c>
      <c r="E1113" s="22"/>
      <c r="F1113" s="22">
        <f>C1113*E1113</f>
      </c>
    </row>
    <row r="1114">
      <c r="A1114" s="6"/>
      <c r="B1114" s="15" t="s">
        <v>967</v>
      </c>
      <c r="C1114" s="23"/>
      <c r="D1114" s="23"/>
      <c r="E1114" s="23"/>
      <c r="F1114" s="23"/>
    </row>
    <row r="1115">
      <c r="A1115" s="5"/>
      <c r="B1115" s="16" t="s">
        <v>950</v>
      </c>
      <c r="C1115" s="22">
        <f>(11)*(1)*(1)*(1)*(1 + (0))</f>
      </c>
      <c r="D1115" s="22" t="s">
        <v>24</v>
      </c>
      <c r="E1115" s="22"/>
      <c r="F1115" s="22">
        <f>C1115*E1115</f>
      </c>
    </row>
    <row r="1116">
      <c r="A1116" s="6"/>
      <c r="B1116" s="15" t="s">
        <v>968</v>
      </c>
      <c r="C1116" s="23"/>
      <c r="D1116" s="23"/>
      <c r="E1116" s="23"/>
      <c r="F1116" s="23"/>
    </row>
    <row r="1117">
      <c r="A1117" s="5"/>
      <c r="B1117" s="16" t="s">
        <v>822</v>
      </c>
      <c r="C1117" s="22">
        <f>(7)*(1)*(1)*(1)*(1 + (0))</f>
      </c>
      <c r="D1117" s="22" t="s">
        <v>24</v>
      </c>
      <c r="E1117" s="22"/>
      <c r="F1117" s="22">
        <f>C1117*E1117</f>
      </c>
    </row>
    <row r="1118">
      <c r="A1118" s="6"/>
      <c r="B1118" s="15" t="s">
        <v>969</v>
      </c>
      <c r="C1118" s="23"/>
      <c r="D1118" s="23"/>
      <c r="E1118" s="23"/>
      <c r="F1118" s="23"/>
    </row>
    <row r="1119">
      <c r="A1119" s="5"/>
      <c r="B1119" s="16" t="s">
        <v>822</v>
      </c>
      <c r="C1119" s="22">
        <f>(14)*(1)*(1)*(1)*(1 + (0))</f>
      </c>
      <c r="D1119" s="22" t="s">
        <v>24</v>
      </c>
      <c r="E1119" s="22"/>
      <c r="F1119" s="22">
        <f>C1119*E1119</f>
      </c>
    </row>
    <row r="1120">
      <c r="A1120" s="6"/>
      <c r="B1120" s="15" t="s">
        <v>970</v>
      </c>
      <c r="C1120" s="23"/>
      <c r="D1120" s="23"/>
      <c r="E1120" s="23"/>
      <c r="F1120" s="23"/>
    </row>
    <row r="1121">
      <c r="A1121" s="5"/>
      <c r="B1121" s="16" t="s">
        <v>950</v>
      </c>
      <c r="C1121" s="22">
        <f>(13)*(1)*(1)*(1)*(1 + (0))</f>
      </c>
      <c r="D1121" s="22" t="s">
        <v>24</v>
      </c>
      <c r="E1121" s="22"/>
      <c r="F1121" s="22">
        <f>C1121*E1121</f>
      </c>
    </row>
    <row r="1122">
      <c r="A1122" s="6"/>
      <c r="B1122" s="15" t="s">
        <v>971</v>
      </c>
      <c r="C1122" s="23"/>
      <c r="D1122" s="23"/>
      <c r="E1122" s="23"/>
      <c r="F1122" s="23"/>
    </row>
    <row r="1123">
      <c r="A1123" s="5"/>
      <c r="B1123" s="16" t="s">
        <v>822</v>
      </c>
      <c r="C1123" s="22">
        <f>(12)*(1)*(1)*(1)*(1 + (0))</f>
      </c>
      <c r="D1123" s="22" t="s">
        <v>24</v>
      </c>
      <c r="E1123" s="22"/>
      <c r="F1123" s="22">
        <f>C1123*E1123</f>
      </c>
    </row>
    <row r="1124">
      <c r="A1124" s="6"/>
      <c r="B1124" s="15" t="s">
        <v>972</v>
      </c>
      <c r="C1124" s="23"/>
      <c r="D1124" s="23"/>
      <c r="E1124" s="23"/>
      <c r="F1124" s="23"/>
    </row>
    <row r="1125">
      <c r="A1125" s="5"/>
      <c r="B1125" s="16" t="s">
        <v>950</v>
      </c>
      <c r="C1125" s="22">
        <f>(24)*(1)*(1)*(1)*(1 + (0))</f>
      </c>
      <c r="D1125" s="22" t="s">
        <v>24</v>
      </c>
      <c r="E1125" s="22"/>
      <c r="F1125" s="22">
        <f>C1125*E1125</f>
      </c>
    </row>
    <row r="1126">
      <c r="A1126" s="5"/>
      <c r="B1126" s="16" t="s">
        <v>822</v>
      </c>
      <c r="C1126" s="22">
        <f>(15)*(1)*(1)*(1)*(1 + (0))</f>
      </c>
      <c r="D1126" s="22" t="s">
        <v>24</v>
      </c>
      <c r="E1126" s="22"/>
      <c r="F1126" s="22">
        <f>C1126*E1126</f>
      </c>
    </row>
    <row r="1127">
      <c r="A1127" s="4"/>
      <c r="B1127" s="12" t="s">
        <v>953</v>
      </c>
      <c r="C1127" s="21"/>
      <c r="D1127" s="21"/>
      <c r="E1127" s="21"/>
      <c r="F1127" s="21"/>
    </row>
    <row r="1128">
      <c r="A1128" s="6"/>
      <c r="B1128" s="15" t="s">
        <v>973</v>
      </c>
      <c r="C1128" s="23"/>
      <c r="D1128" s="23"/>
      <c r="E1128" s="23"/>
      <c r="F1128" s="23"/>
    </row>
    <row r="1129">
      <c r="A1129" s="5"/>
      <c r="B1129" s="16" t="s">
        <v>950</v>
      </c>
      <c r="C1129" s="22">
        <f>(15)*(1)*(1)*(1)*(1 + (0))</f>
      </c>
      <c r="D1129" s="22" t="s">
        <v>24</v>
      </c>
      <c r="E1129" s="22"/>
      <c r="F1129" s="22">
        <f>C1129*E1129</f>
      </c>
    </row>
    <row r="1130">
      <c r="A1130" s="5"/>
      <c r="B1130" s="16" t="s">
        <v>822</v>
      </c>
      <c r="C1130" s="22">
        <f>(4)*(1)*(1)*(1)*(1 + (0))</f>
      </c>
      <c r="D1130" s="22" t="s">
        <v>24</v>
      </c>
      <c r="E1130" s="22"/>
      <c r="F1130" s="22">
        <f>C1130*E1130</f>
      </c>
    </row>
    <row r="1131">
      <c r="A1131" s="6"/>
      <c r="B1131" s="15" t="s">
        <v>974</v>
      </c>
      <c r="C1131" s="23"/>
      <c r="D1131" s="23"/>
      <c r="E1131" s="23"/>
      <c r="F1131" s="23"/>
    </row>
    <row r="1132">
      <c r="A1132" s="5"/>
      <c r="B1132" s="16" t="s">
        <v>950</v>
      </c>
      <c r="C1132" s="22">
        <f>(309)*(1)*(1)*(1)*(1 + (0))</f>
      </c>
      <c r="D1132" s="22" t="s">
        <v>24</v>
      </c>
      <c r="E1132" s="22"/>
      <c r="F1132" s="22">
        <f>C1132*E1132</f>
      </c>
    </row>
    <row r="1133">
      <c r="A1133" s="6"/>
      <c r="B1133" s="15" t="s">
        <v>975</v>
      </c>
      <c r="C1133" s="23"/>
      <c r="D1133" s="23"/>
      <c r="E1133" s="23"/>
      <c r="F1133" s="23"/>
    </row>
    <row r="1134">
      <c r="A1134" s="5"/>
      <c r="B1134" s="16" t="s">
        <v>950</v>
      </c>
      <c r="C1134" s="22">
        <f>(33)*(1)*(1)*(1)*(1 + (0))</f>
      </c>
      <c r="D1134" s="22" t="s">
        <v>24</v>
      </c>
      <c r="E1134" s="22"/>
      <c r="F1134" s="22">
        <f>C1134*E1134</f>
      </c>
    </row>
    <row r="1135">
      <c r="A1135" s="6"/>
      <c r="B1135" s="15" t="s">
        <v>976</v>
      </c>
      <c r="C1135" s="23"/>
      <c r="D1135" s="23"/>
      <c r="E1135" s="23"/>
      <c r="F1135" s="23"/>
    </row>
    <row r="1136">
      <c r="A1136" s="5"/>
      <c r="B1136" s="16" t="s">
        <v>950</v>
      </c>
      <c r="C1136" s="22">
        <f>(85)*(1)*(1)*(1)*(1 + (0))</f>
      </c>
      <c r="D1136" s="22" t="s">
        <v>24</v>
      </c>
      <c r="E1136" s="22"/>
      <c r="F1136" s="22">
        <f>C1136*E1136</f>
      </c>
    </row>
    <row r="1137">
      <c r="A1137" s="5"/>
      <c r="B1137" s="16" t="s">
        <v>822</v>
      </c>
      <c r="C1137" s="22">
        <f>(81)*(1)*(1)*(1)*(1 + (0))</f>
      </c>
      <c r="D1137" s="22" t="s">
        <v>24</v>
      </c>
      <c r="E1137" s="22"/>
      <c r="F1137" s="22">
        <f>C1137*E1137</f>
      </c>
    </row>
    <row r="1138">
      <c r="A1138" s="6"/>
      <c r="B1138" s="15" t="s">
        <v>977</v>
      </c>
      <c r="C1138" s="23"/>
      <c r="D1138" s="23"/>
      <c r="E1138" s="23"/>
      <c r="F1138" s="23"/>
    </row>
    <row r="1139">
      <c r="A1139" s="5"/>
      <c r="B1139" s="16" t="s">
        <v>822</v>
      </c>
      <c r="C1139" s="22">
        <f>(88)*(1)*(1)*(1)*(1 + (0))</f>
      </c>
      <c r="D1139" s="22" t="s">
        <v>24</v>
      </c>
      <c r="E1139" s="22"/>
      <c r="F1139" s="22">
        <f>C1139*E1139</f>
      </c>
    </row>
    <row r="1140">
      <c r="A1140" s="6"/>
      <c r="B1140" s="15" t="s">
        <v>978</v>
      </c>
      <c r="C1140" s="23"/>
      <c r="D1140" s="23"/>
      <c r="E1140" s="23"/>
      <c r="F1140" s="23"/>
    </row>
    <row r="1141">
      <c r="A1141" s="5"/>
      <c r="B1141" s="16" t="s">
        <v>822</v>
      </c>
      <c r="C1141" s="22">
        <f>(23)*(1)*(1)*(1)*(1 + (0))</f>
      </c>
      <c r="D1141" s="22" t="s">
        <v>24</v>
      </c>
      <c r="E1141" s="22"/>
      <c r="F1141" s="22">
        <f>C1141*E1141</f>
      </c>
    </row>
    <row r="1142">
      <c r="A1142" s="6"/>
      <c r="B1142" s="15" t="s">
        <v>979</v>
      </c>
      <c r="C1142" s="23"/>
      <c r="D1142" s="23"/>
      <c r="E1142" s="23"/>
      <c r="F1142" s="23"/>
    </row>
    <row r="1143">
      <c r="A1143" s="5"/>
      <c r="B1143" s="16" t="s">
        <v>950</v>
      </c>
      <c r="C1143" s="22">
        <f>(13)*(1)*(1)*(1)*(1 + (0))</f>
      </c>
      <c r="D1143" s="22" t="s">
        <v>24</v>
      </c>
      <c r="E1143" s="22"/>
      <c r="F1143" s="22">
        <f>C1143*E1143</f>
      </c>
    </row>
    <row r="1144">
      <c r="A1144" s="6"/>
      <c r="B1144" s="15" t="s">
        <v>980</v>
      </c>
      <c r="C1144" s="23"/>
      <c r="D1144" s="23"/>
      <c r="E1144" s="23"/>
      <c r="F1144" s="23"/>
    </row>
    <row r="1145">
      <c r="A1145" s="5"/>
      <c r="B1145" s="16" t="s">
        <v>950</v>
      </c>
      <c r="C1145" s="22">
        <f>(44)*(1)*(1)*(1)*(1 + (0))</f>
      </c>
      <c r="D1145" s="22" t="s">
        <v>24</v>
      </c>
      <c r="E1145" s="22"/>
      <c r="F1145" s="22">
        <f>C1145*E1145</f>
      </c>
    </row>
    <row r="1146">
      <c r="A1146" s="5"/>
      <c r="B1146" s="16" t="s">
        <v>822</v>
      </c>
      <c r="C1146" s="22">
        <f>(9)*(1)*(1)*(1)*(1 + (0))</f>
      </c>
      <c r="D1146" s="22" t="s">
        <v>24</v>
      </c>
      <c r="E1146" s="22"/>
      <c r="F1146" s="22">
        <f>C1146*E1146</f>
      </c>
    </row>
    <row r="1147">
      <c r="A1147" s="6"/>
      <c r="B1147" s="15" t="s">
        <v>981</v>
      </c>
      <c r="C1147" s="23"/>
      <c r="D1147" s="23"/>
      <c r="E1147" s="23"/>
      <c r="F1147" s="23"/>
    </row>
    <row r="1148">
      <c r="A1148" s="5"/>
      <c r="B1148" s="16" t="s">
        <v>950</v>
      </c>
      <c r="C1148" s="22">
        <f>(146)*(1)*(1)*(1)*(1 + (0))</f>
      </c>
      <c r="D1148" s="22" t="s">
        <v>24</v>
      </c>
      <c r="E1148" s="22"/>
      <c r="F1148" s="22">
        <f>C1148*E1148</f>
      </c>
    </row>
    <row r="1149">
      <c r="A1149" s="5"/>
      <c r="B1149" s="16" t="s">
        <v>822</v>
      </c>
      <c r="C1149" s="22">
        <f>(17)*(1)*(1)*(1)*(1 + (0))</f>
      </c>
      <c r="D1149" s="22" t="s">
        <v>24</v>
      </c>
      <c r="E1149" s="22"/>
      <c r="F1149" s="22">
        <f>C1149*E1149</f>
      </c>
    </row>
    <row r="1150">
      <c r="A1150" s="6"/>
      <c r="B1150" s="15" t="s">
        <v>982</v>
      </c>
      <c r="C1150" s="23"/>
      <c r="D1150" s="23"/>
      <c r="E1150" s="23"/>
      <c r="F1150" s="23"/>
    </row>
    <row r="1151">
      <c r="A1151" s="5"/>
      <c r="B1151" s="16" t="s">
        <v>822</v>
      </c>
      <c r="C1151" s="22">
        <f>(9)*(1)*(1)*(1)*(1 + (0))</f>
      </c>
      <c r="D1151" s="22" t="s">
        <v>24</v>
      </c>
      <c r="E1151" s="22"/>
      <c r="F1151" s="22">
        <f>C1151*E1151</f>
      </c>
    </row>
    <row r="1152">
      <c r="A1152" s="6"/>
      <c r="B1152" s="15" t="s">
        <v>983</v>
      </c>
      <c r="C1152" s="23"/>
      <c r="D1152" s="23"/>
      <c r="E1152" s="23"/>
      <c r="F1152" s="23"/>
    </row>
    <row r="1153">
      <c r="A1153" s="5"/>
      <c r="B1153" s="16" t="s">
        <v>950</v>
      </c>
      <c r="C1153" s="22">
        <f>(19)*(1)*(1)*(1)*(1 + (0))</f>
      </c>
      <c r="D1153" s="22" t="s">
        <v>24</v>
      </c>
      <c r="E1153" s="22"/>
      <c r="F1153" s="22">
        <f>C1153*E1153</f>
      </c>
    </row>
    <row r="1154">
      <c r="A1154" s="6"/>
      <c r="B1154" s="15" t="s">
        <v>984</v>
      </c>
      <c r="C1154" s="23"/>
      <c r="D1154" s="23"/>
      <c r="E1154" s="23"/>
      <c r="F1154" s="23"/>
    </row>
    <row r="1155">
      <c r="A1155" s="5"/>
      <c r="B1155" s="16" t="s">
        <v>822</v>
      </c>
      <c r="C1155" s="22">
        <f>(81)*(1)*(1)*(1)*(1 + (0))</f>
      </c>
      <c r="D1155" s="22" t="s">
        <v>24</v>
      </c>
      <c r="E1155" s="22"/>
      <c r="F1155" s="22">
        <f>C1155*E1155</f>
      </c>
    </row>
    <row r="1156">
      <c r="A1156" s="6"/>
      <c r="B1156" s="15" t="s">
        <v>985</v>
      </c>
      <c r="C1156" s="23"/>
      <c r="D1156" s="23"/>
      <c r="E1156" s="23"/>
      <c r="F1156" s="23"/>
    </row>
    <row r="1157">
      <c r="A1157" s="5"/>
      <c r="B1157" s="16" t="s">
        <v>822</v>
      </c>
      <c r="C1157" s="22">
        <f>(210)*(1)*(1)*(1)*(1 + (0))</f>
      </c>
      <c r="D1157" s="22" t="s">
        <v>24</v>
      </c>
      <c r="E1157" s="22"/>
      <c r="F1157" s="22">
        <f>C1157*E1157</f>
      </c>
    </row>
    <row r="1158">
      <c r="A1158" s="4"/>
      <c r="B1158" s="12" t="s">
        <v>955</v>
      </c>
      <c r="C1158" s="21"/>
      <c r="D1158" s="21"/>
      <c r="E1158" s="21"/>
      <c r="F1158" s="21"/>
    </row>
    <row r="1159">
      <c r="A1159" s="6"/>
      <c r="B1159" s="15" t="s">
        <v>986</v>
      </c>
      <c r="C1159" s="23"/>
      <c r="D1159" s="23"/>
      <c r="E1159" s="23"/>
      <c r="F1159" s="23"/>
    </row>
    <row r="1160">
      <c r="A1160" s="5"/>
      <c r="B1160" s="16" t="s">
        <v>950</v>
      </c>
      <c r="C1160" s="22">
        <f>(2)*(1)*(1)*(1)*(1 + (0))</f>
      </c>
      <c r="D1160" s="22" t="s">
        <v>24</v>
      </c>
      <c r="E1160" s="22"/>
      <c r="F1160" s="22">
        <f>C1160*E1160</f>
      </c>
    </row>
    <row r="1161">
      <c r="A1161" s="6"/>
      <c r="B1161" s="15" t="s">
        <v>987</v>
      </c>
      <c r="C1161" s="23"/>
      <c r="D1161" s="23"/>
      <c r="E1161" s="23"/>
      <c r="F1161" s="23"/>
    </row>
    <row r="1162">
      <c r="A1162" s="5"/>
      <c r="B1162" s="16" t="s">
        <v>950</v>
      </c>
      <c r="C1162" s="22">
        <f>(26)*(1)*(1)*(1)*(1 + (0))</f>
      </c>
      <c r="D1162" s="22" t="s">
        <v>24</v>
      </c>
      <c r="E1162" s="22"/>
      <c r="F1162" s="22">
        <f>C1162*E1162</f>
      </c>
    </row>
    <row r="1163">
      <c r="A1163" s="5"/>
      <c r="B1163" s="16" t="s">
        <v>822</v>
      </c>
      <c r="C1163" s="22">
        <f>(16)*(1)*(1)*(1)*(1 + (0))</f>
      </c>
      <c r="D1163" s="22" t="s">
        <v>24</v>
      </c>
      <c r="E1163" s="22"/>
      <c r="F1163" s="22">
        <f>C1163*E1163</f>
      </c>
    </row>
    <row r="1164">
      <c r="A1164" s="6"/>
      <c r="B1164" s="15" t="s">
        <v>988</v>
      </c>
      <c r="C1164" s="23"/>
      <c r="D1164" s="23"/>
      <c r="E1164" s="23"/>
      <c r="F1164" s="23"/>
    </row>
    <row r="1165">
      <c r="A1165" s="5"/>
      <c r="B1165" s="16" t="s">
        <v>822</v>
      </c>
      <c r="C1165" s="22">
        <f>(24)*(1)*(1)*(1)*(1 + (0))</f>
      </c>
      <c r="D1165" s="22" t="s">
        <v>24</v>
      </c>
      <c r="E1165" s="22"/>
      <c r="F1165" s="22">
        <f>C1165*E1165</f>
      </c>
    </row>
    <row r="1166">
      <c r="A1166" s="3"/>
      <c r="B1166" s="11" t="s">
        <v>989</v>
      </c>
      <c r="C1166" s="20"/>
      <c r="D1166" s="20"/>
      <c r="E1166" s="20"/>
      <c r="F1166" s="20"/>
    </row>
    <row r="1167">
      <c r="A1167" s="4"/>
      <c r="B1167" s="12" t="s">
        <v>990</v>
      </c>
      <c r="C1167" s="21"/>
      <c r="D1167" s="21"/>
      <c r="E1167" s="21"/>
      <c r="F1167" s="21"/>
    </row>
    <row r="1168">
      <c r="A1168" s="5"/>
      <c r="B1168" s="13" t="s">
        <v>991</v>
      </c>
      <c r="C1168" s="22">
        <f>(145)*(1)*(1)*(1)*(1 + (0))</f>
      </c>
      <c r="D1168" s="22" t="s">
        <v>24</v>
      </c>
      <c r="E1168" s="22"/>
      <c r="F1168" s="22">
        <f>C1168*E1168</f>
      </c>
    </row>
    <row r="1169">
      <c r="A1169" s="4"/>
      <c r="B1169" s="12" t="s">
        <v>992</v>
      </c>
      <c r="C1169" s="21"/>
      <c r="D1169" s="21"/>
      <c r="E1169" s="21"/>
      <c r="F1169" s="21"/>
    </row>
    <row r="1170">
      <c r="A1170" s="5"/>
      <c r="B1170" s="13" t="s">
        <v>993</v>
      </c>
      <c r="C1170" s="22">
        <f>(147)*(1)*(1)*(1)*(1 + (0))</f>
      </c>
      <c r="D1170" s="22" t="s">
        <v>24</v>
      </c>
      <c r="E1170" s="22"/>
      <c r="F1170" s="22">
        <f>C1170*E1170</f>
      </c>
    </row>
    <row r="1171">
      <c r="A1171" s="4"/>
      <c r="B1171" s="12" t="s">
        <v>994</v>
      </c>
      <c r="C1171" s="21"/>
      <c r="D1171" s="21"/>
      <c r="E1171" s="21"/>
      <c r="F1171" s="21"/>
    </row>
    <row r="1172">
      <c r="A1172" s="5"/>
      <c r="B1172" s="13" t="s">
        <v>993</v>
      </c>
      <c r="C1172" s="22">
        <f>(46)*(1)*(1)*(1)*(1 + (0))</f>
      </c>
      <c r="D1172" s="22" t="s">
        <v>24</v>
      </c>
      <c r="E1172" s="22"/>
      <c r="F1172" s="22">
        <f>C1172*E1172</f>
      </c>
    </row>
    <row r="1173">
      <c r="A1173" s="5"/>
      <c r="B1173" s="13" t="s">
        <v>991</v>
      </c>
      <c r="C1173" s="22">
        <f>(297)*(1)*(1)*(1)*(1 + (0))</f>
      </c>
      <c r="D1173" s="22" t="s">
        <v>24</v>
      </c>
      <c r="E1173" s="22"/>
      <c r="F1173" s="22">
        <f>C1173*E1173</f>
      </c>
    </row>
    <row r="1174">
      <c r="A1174" s="4"/>
      <c r="B1174" s="12" t="s">
        <v>995</v>
      </c>
      <c r="C1174" s="21"/>
      <c r="D1174" s="21"/>
      <c r="E1174" s="21"/>
      <c r="F1174" s="21"/>
    </row>
    <row r="1175">
      <c r="A1175" s="5"/>
      <c r="B1175" s="13" t="s">
        <v>993</v>
      </c>
      <c r="C1175" s="22">
        <f>(57)*(1)*(1)*(1)*(1 + (0))</f>
      </c>
      <c r="D1175" s="22" t="s">
        <v>24</v>
      </c>
      <c r="E1175" s="22"/>
      <c r="F1175" s="22">
        <f>C1175*E1175</f>
      </c>
    </row>
    <row r="1176">
      <c r="A1176" s="3"/>
      <c r="B1176" s="11" t="s">
        <v>996</v>
      </c>
      <c r="C1176" s="20"/>
      <c r="D1176" s="20"/>
      <c r="E1176" s="20"/>
      <c r="F1176" s="20"/>
    </row>
    <row r="1177">
      <c r="A1177" s="4"/>
      <c r="B1177" s="12" t="s">
        <v>997</v>
      </c>
      <c r="C1177" s="21"/>
      <c r="D1177" s="21"/>
      <c r="E1177" s="21"/>
      <c r="F1177" s="21"/>
    </row>
    <row r="1178">
      <c r="A1178" s="5"/>
      <c r="B1178" s="13" t="s">
        <v>993</v>
      </c>
      <c r="C1178" s="22">
        <f>(52)*(1)*(1)*(1)*(1 + (0))</f>
      </c>
      <c r="D1178" s="22" t="s">
        <v>24</v>
      </c>
      <c r="E1178" s="22"/>
      <c r="F1178" s="22">
        <f>C1178*E1178</f>
      </c>
    </row>
    <row r="1179">
      <c r="A1179" s="5"/>
      <c r="B1179" s="13" t="s">
        <v>991</v>
      </c>
      <c r="C1179" s="22">
        <f>(59)*(1)*(1)*(1)*(1 + (0))</f>
      </c>
      <c r="D1179" s="22" t="s">
        <v>24</v>
      </c>
      <c r="E1179" s="22"/>
      <c r="F1179" s="22">
        <f>C1179*E1179</f>
      </c>
    </row>
    <row r="1180">
      <c r="A1180" s="3"/>
      <c r="B1180" s="11" t="s">
        <v>998</v>
      </c>
      <c r="C1180" s="20"/>
      <c r="D1180" s="20"/>
      <c r="E1180" s="20"/>
      <c r="F1180" s="20"/>
    </row>
    <row r="1181">
      <c r="A1181" s="4"/>
      <c r="B1181" s="12" t="s">
        <v>999</v>
      </c>
      <c r="C1181" s="21"/>
      <c r="D1181" s="21"/>
      <c r="E1181" s="21"/>
      <c r="F1181" s="21"/>
    </row>
    <row r="1182">
      <c r="A1182" s="5"/>
      <c r="B1182" s="13" t="s">
        <v>23</v>
      </c>
      <c r="C1182" s="22">
        <f>(84)*(1)*(1)*(1)*(1 + (0))</f>
      </c>
      <c r="D1182" s="22" t="s">
        <v>24</v>
      </c>
      <c r="E1182" s="22"/>
      <c r="F1182" s="22">
        <f>C1182*E1182</f>
      </c>
    </row>
    <row r="1183">
      <c r="A1183" s="4"/>
      <c r="B1183" s="12" t="s">
        <v>1000</v>
      </c>
      <c r="C1183" s="21"/>
      <c r="D1183" s="21"/>
      <c r="E1183" s="21"/>
      <c r="F1183" s="21"/>
    </row>
    <row r="1184">
      <c r="A1184" s="5"/>
      <c r="B1184" s="13" t="s">
        <v>1001</v>
      </c>
      <c r="C1184" s="22">
        <f>(18)*(1)*(1)*(1)*(1 + (0))</f>
      </c>
      <c r="D1184" s="22" t="s">
        <v>24</v>
      </c>
      <c r="E1184" s="22"/>
      <c r="F1184" s="22">
        <f>C1184*E1184</f>
      </c>
    </row>
    <row r="1185">
      <c r="A1185" s="5"/>
      <c r="B1185" s="13" t="s">
        <v>1002</v>
      </c>
      <c r="C1185" s="22">
        <f>(118)*(1)*(1)*(1)*(1 + (0))</f>
      </c>
      <c r="D1185" s="22" t="s">
        <v>24</v>
      </c>
      <c r="E1185" s="22"/>
      <c r="F1185" s="22">
        <f>C1185*E1185</f>
      </c>
    </row>
    <row r="1186">
      <c r="A1186" s="2"/>
      <c r="B1186" s="10" t="s">
        <v>1003</v>
      </c>
      <c r="C1186" s="19"/>
      <c r="D1186" s="19"/>
      <c r="E1186" s="19"/>
      <c r="F1186" s="19"/>
    </row>
    <row r="1187">
      <c r="A1187" s="3"/>
      <c r="B1187" s="11" t="s">
        <v>37</v>
      </c>
      <c r="C1187" s="20"/>
      <c r="D1187" s="20"/>
      <c r="E1187" s="20"/>
      <c r="F1187" s="20"/>
    </row>
    <row r="1188">
      <c r="A1188" s="5" t="s">
        <v>758</v>
      </c>
      <c r="B1188" s="14" t="s">
        <v>39</v>
      </c>
      <c r="C1188" s="22"/>
      <c r="D1188" s="22" t="s">
        <v>10</v>
      </c>
      <c r="E1188" s="22"/>
      <c r="F1188" s="22">
        <f>C1188*E1188</f>
      </c>
    </row>
    <row r="1189">
      <c r="A1189" s="5" t="s">
        <v>760</v>
      </c>
      <c r="B1189" s="14" t="s">
        <v>41</v>
      </c>
      <c r="C1189" s="22"/>
      <c r="D1189" s="22" t="s">
        <v>10</v>
      </c>
      <c r="E1189" s="22"/>
      <c r="F1189" s="22">
        <f>C1189*E1189</f>
      </c>
    </row>
    <row r="1190">
      <c r="A1190" s="3"/>
      <c r="B1190" s="11" t="s">
        <v>44</v>
      </c>
      <c r="C1190" s="20"/>
      <c r="D1190" s="20"/>
      <c r="E1190" s="20"/>
      <c r="F1190" s="20"/>
    </row>
    <row r="1191">
      <c r="A1191" s="4"/>
      <c r="B1191" s="12" t="s">
        <v>45</v>
      </c>
      <c r="C1191" s="21"/>
      <c r="D1191" s="21"/>
      <c r="E1191" s="21"/>
      <c r="F1191" s="21"/>
    </row>
    <row r="1192">
      <c r="A1192" s="5" t="s">
        <v>765</v>
      </c>
      <c r="B1192" s="13" t="s">
        <v>898</v>
      </c>
      <c r="C1192" s="22"/>
      <c r="D1192" s="22" t="s">
        <v>10</v>
      </c>
      <c r="E1192" s="22"/>
      <c r="F1192" s="22">
        <f>C1192*E1192</f>
      </c>
    </row>
    <row r="1193">
      <c r="A1193" s="5" t="s">
        <v>766</v>
      </c>
      <c r="B1193" s="13" t="s">
        <v>899</v>
      </c>
      <c r="C1193" s="22"/>
      <c r="D1193" s="22" t="s">
        <v>10</v>
      </c>
      <c r="E1193" s="22"/>
      <c r="F1193" s="22">
        <f>C1193*E1193</f>
      </c>
    </row>
    <row r="1194">
      <c r="A1194" s="5" t="s">
        <v>768</v>
      </c>
      <c r="B1194" s="13" t="s">
        <v>767</v>
      </c>
      <c r="C1194" s="22"/>
      <c r="D1194" s="22" t="s">
        <v>10</v>
      </c>
      <c r="E1194" s="22"/>
      <c r="F1194" s="22">
        <f>C1194*E1194</f>
      </c>
    </row>
    <row r="1195">
      <c r="A1195" s="5" t="s">
        <v>770</v>
      </c>
      <c r="B1195" s="13" t="s">
        <v>900</v>
      </c>
      <c r="C1195" s="22"/>
      <c r="D1195" s="22" t="s">
        <v>10</v>
      </c>
      <c r="E1195" s="22"/>
      <c r="F1195" s="22">
        <f>C1195*E1195</f>
      </c>
    </row>
    <row r="1196">
      <c r="A1196" s="5" t="s">
        <v>794</v>
      </c>
      <c r="B1196" s="13" t="s">
        <v>901</v>
      </c>
      <c r="C1196" s="22"/>
      <c r="D1196" s="22" t="s">
        <v>10</v>
      </c>
      <c r="E1196" s="22"/>
      <c r="F1196" s="22">
        <f>C1196*E1196</f>
      </c>
    </row>
    <row r="1197">
      <c r="A1197" s="5" t="s">
        <v>795</v>
      </c>
      <c r="B1197" s="13" t="s">
        <v>123</v>
      </c>
      <c r="C1197" s="22"/>
      <c r="D1197" s="22" t="s">
        <v>10</v>
      </c>
      <c r="E1197" s="22"/>
      <c r="F1197" s="22">
        <f>C1197*E1197</f>
      </c>
    </row>
    <row r="1198">
      <c r="A1198" s="3"/>
      <c r="B1198" s="11" t="s">
        <v>42</v>
      </c>
      <c r="C1198" s="20"/>
      <c r="D1198" s="20"/>
      <c r="E1198" s="20"/>
      <c r="F1198" s="20"/>
    </row>
    <row r="1199">
      <c r="A1199" s="5"/>
      <c r="B1199" s="14" t="s">
        <v>902</v>
      </c>
      <c r="C1199" s="22"/>
      <c r="D1199" s="22" t="s">
        <v>10</v>
      </c>
      <c r="E1199" s="22"/>
      <c r="F1199" s="22">
        <f>C1199*E1199</f>
      </c>
    </row>
    <row r="1200">
      <c r="A1200" s="5"/>
      <c r="B1200" s="14" t="s">
        <v>762</v>
      </c>
      <c r="C1200" s="22"/>
      <c r="D1200" s="22" t="s">
        <v>10</v>
      </c>
      <c r="E1200" s="22"/>
      <c r="F1200" s="22">
        <f>C1200*E1200</f>
      </c>
    </row>
    <row r="1201">
      <c r="A1201" s="5"/>
      <c r="B1201" s="14" t="s">
        <v>856</v>
      </c>
      <c r="C1201" s="22"/>
      <c r="D1201" s="22" t="s">
        <v>10</v>
      </c>
      <c r="E1201" s="22"/>
      <c r="F1201" s="22">
        <f>C1201*E1201</f>
      </c>
    </row>
    <row r="1202">
      <c r="A1202" s="3"/>
      <c r="B1202" s="11" t="s">
        <v>68</v>
      </c>
      <c r="C1202" s="20"/>
      <c r="D1202" s="20"/>
      <c r="E1202" s="20"/>
      <c r="F1202" s="20"/>
    </row>
    <row r="1203">
      <c r="A1203" s="5" t="s">
        <v>797</v>
      </c>
      <c r="B1203" s="14" t="s">
        <v>903</v>
      </c>
      <c r="C1203" s="22">
        <f>(1)*(1)*(1)*(1)*(1 + (0))</f>
      </c>
      <c r="D1203" s="22" t="s">
        <v>71</v>
      </c>
      <c r="E1203" s="22"/>
      <c r="F1203" s="22">
        <f>C1203*E1203</f>
      </c>
    </row>
    <row r="1204">
      <c r="A1204" s="5" t="s">
        <v>799</v>
      </c>
      <c r="B1204" s="14" t="s">
        <v>904</v>
      </c>
      <c r="C1204" s="22">
        <f>(1)*(1)*(1)*(1)*(1 + (0))</f>
      </c>
      <c r="D1204" s="22" t="s">
        <v>71</v>
      </c>
      <c r="E1204" s="22"/>
      <c r="F1204" s="22">
        <f>C1204*E1204</f>
      </c>
    </row>
    <row r="1205">
      <c r="A1205" s="5" t="s">
        <v>801</v>
      </c>
      <c r="B1205" s="14" t="s">
        <v>77</v>
      </c>
      <c r="C1205" s="22">
        <f>(1)*(1)*(1)*(1)*(1 + (0))</f>
      </c>
      <c r="D1205" s="22" t="s">
        <v>71</v>
      </c>
      <c r="E1205" s="22"/>
      <c r="F1205" s="22">
        <f>C1205*E1205</f>
      </c>
    </row>
    <row r="1206">
      <c r="A1206" s="5" t="s">
        <v>905</v>
      </c>
      <c r="B1206" s="14" t="s">
        <v>906</v>
      </c>
      <c r="C1206" s="22">
        <f>(1)*(1)*(1)*(1)*(1 + (0))</f>
      </c>
      <c r="D1206" s="22" t="s">
        <v>71</v>
      </c>
      <c r="E1206" s="22"/>
      <c r="F1206" s="22">
        <f>C1206*E1206</f>
      </c>
    </row>
    <row r="1207">
      <c r="A1207" s="5" t="s">
        <v>907</v>
      </c>
      <c r="B1207" s="14" t="s">
        <v>447</v>
      </c>
      <c r="C1207" s="22">
        <f>(1)*(1)*(1)*(1)*(1 + (0))</f>
      </c>
      <c r="D1207" s="22" t="s">
        <v>71</v>
      </c>
      <c r="E1207" s="22"/>
      <c r="F1207" s="22">
        <f>C1207*E1207</f>
      </c>
    </row>
    <row r="1208">
      <c r="A1208" s="5" t="s">
        <v>908</v>
      </c>
      <c r="B1208" s="14" t="s">
        <v>798</v>
      </c>
      <c r="C1208" s="22">
        <f>(1)*(1)*(1)*(1)*(1 + (0))</f>
      </c>
      <c r="D1208" s="22" t="s">
        <v>71</v>
      </c>
      <c r="E1208" s="22"/>
      <c r="F1208" s="22">
        <f>C1208*E1208</f>
      </c>
    </row>
    <row r="1209">
      <c r="A1209" s="5" t="s">
        <v>909</v>
      </c>
      <c r="B1209" s="14" t="s">
        <v>910</v>
      </c>
      <c r="C1209" s="22">
        <f>(1)*(1)*(1)*(1)*(1 + (0))</f>
      </c>
      <c r="D1209" s="22" t="s">
        <v>71</v>
      </c>
      <c r="E1209" s="22"/>
      <c r="F1209" s="22">
        <f>C1209*E1209</f>
      </c>
    </row>
    <row r="1210">
      <c r="A1210" s="5" t="s">
        <v>911</v>
      </c>
      <c r="B1210" s="14" t="s">
        <v>912</v>
      </c>
      <c r="C1210" s="22">
        <f>(1)*(1)*(1)*(1)*(1 + (0))</f>
      </c>
      <c r="D1210" s="22" t="s">
        <v>71</v>
      </c>
      <c r="E1210" s="22"/>
      <c r="F1210" s="22">
        <f>C1210*E1210</f>
      </c>
    </row>
    <row r="1211">
      <c r="A1211" s="5" t="s">
        <v>913</v>
      </c>
      <c r="B1211" s="14" t="s">
        <v>665</v>
      </c>
      <c r="C1211" s="22">
        <f>(1)*(1)*(1)*(1)*(1 + (0))</f>
      </c>
      <c r="D1211" s="22" t="s">
        <v>71</v>
      </c>
      <c r="E1211" s="22"/>
      <c r="F1211" s="22">
        <f>C1211*E1211</f>
      </c>
    </row>
    <row r="1212">
      <c r="A1212" s="3"/>
      <c r="B1212" s="11" t="s">
        <v>924</v>
      </c>
      <c r="C1212" s="20"/>
      <c r="D1212" s="20"/>
      <c r="E1212" s="20"/>
      <c r="F1212" s="20"/>
    </row>
    <row r="1213">
      <c r="A1213" s="4"/>
      <c r="B1213" s="12" t="s">
        <v>870</v>
      </c>
      <c r="C1213" s="21"/>
      <c r="D1213" s="21"/>
      <c r="E1213" s="21"/>
      <c r="F1213" s="21"/>
    </row>
    <row r="1214">
      <c r="A1214" s="6"/>
      <c r="B1214" s="15" t="s">
        <v>1004</v>
      </c>
      <c r="C1214" s="23"/>
      <c r="D1214" s="23"/>
      <c r="E1214" s="23"/>
      <c r="F1214" s="23"/>
    </row>
    <row r="1215">
      <c r="A1215" s="5"/>
      <c r="B1215" s="16" t="s">
        <v>1005</v>
      </c>
      <c r="C1215" s="22">
        <f>(2)*(1)*(1)*(1)*(1 + (0))</f>
      </c>
      <c r="D1215" s="22" t="s">
        <v>162</v>
      </c>
      <c r="E1215" s="22"/>
      <c r="F1215" s="22">
        <f>C1215*E1215</f>
      </c>
    </row>
    <row r="1216">
      <c r="A1216" s="2"/>
      <c r="B1216" s="10" t="s">
        <v>1006</v>
      </c>
      <c r="C1216" s="19"/>
      <c r="D1216" s="19"/>
      <c r="E1216" s="19"/>
      <c r="F1216" s="19"/>
    </row>
    <row r="1217">
      <c r="A1217" s="3"/>
      <c r="B1217" s="11" t="s">
        <v>37</v>
      </c>
      <c r="C1217" s="20"/>
      <c r="D1217" s="20"/>
      <c r="E1217" s="20"/>
      <c r="F1217" s="20"/>
    </row>
    <row r="1218">
      <c r="A1218" s="5" t="s">
        <v>1007</v>
      </c>
      <c r="B1218" s="14" t="s">
        <v>39</v>
      </c>
      <c r="C1218" s="22"/>
      <c r="D1218" s="22" t="s">
        <v>10</v>
      </c>
      <c r="E1218" s="22"/>
      <c r="F1218" s="22">
        <f>C1218*E1218</f>
      </c>
    </row>
    <row r="1219">
      <c r="A1219" s="5" t="s">
        <v>1008</v>
      </c>
      <c r="B1219" s="14" t="s">
        <v>41</v>
      </c>
      <c r="C1219" s="22"/>
      <c r="D1219" s="22" t="s">
        <v>10</v>
      </c>
      <c r="E1219" s="22"/>
      <c r="F1219" s="22">
        <f>C1219*E1219</f>
      </c>
    </row>
    <row r="1220">
      <c r="A1220" s="3"/>
      <c r="B1220" s="11" t="s">
        <v>42</v>
      </c>
      <c r="C1220" s="20"/>
      <c r="D1220" s="20"/>
      <c r="E1220" s="20"/>
      <c r="F1220" s="20"/>
    </row>
    <row r="1221">
      <c r="A1221" s="5"/>
      <c r="B1221" s="14" t="s">
        <v>1009</v>
      </c>
      <c r="C1221" s="22"/>
      <c r="D1221" s="22" t="s">
        <v>10</v>
      </c>
      <c r="E1221" s="22"/>
      <c r="F1221" s="22">
        <f>C1221*E1221</f>
      </c>
    </row>
    <row r="1222">
      <c r="A1222" s="5"/>
      <c r="B1222" s="14" t="s">
        <v>1010</v>
      </c>
      <c r="C1222" s="22"/>
      <c r="D1222" s="22" t="s">
        <v>10</v>
      </c>
      <c r="E1222" s="22"/>
      <c r="F1222" s="22">
        <f>C1222*E1222</f>
      </c>
    </row>
    <row r="1223">
      <c r="A1223" s="5"/>
      <c r="B1223" s="14" t="s">
        <v>1011</v>
      </c>
      <c r="C1223" s="22"/>
      <c r="D1223" s="22" t="s">
        <v>10</v>
      </c>
      <c r="E1223" s="22"/>
      <c r="F1223" s="22">
        <f>C1223*E1223</f>
      </c>
    </row>
    <row r="1224">
      <c r="A1224" s="3"/>
      <c r="B1224" s="11" t="s">
        <v>44</v>
      </c>
      <c r="C1224" s="20"/>
      <c r="D1224" s="20"/>
      <c r="E1224" s="20"/>
      <c r="F1224" s="20"/>
    </row>
    <row r="1225">
      <c r="A1225" s="4"/>
      <c r="B1225" s="12" t="s">
        <v>45</v>
      </c>
      <c r="C1225" s="21"/>
      <c r="D1225" s="21"/>
      <c r="E1225" s="21"/>
      <c r="F1225" s="21"/>
    </row>
    <row r="1226">
      <c r="A1226" s="5" t="s">
        <v>1012</v>
      </c>
      <c r="B1226" s="13" t="s">
        <v>1013</v>
      </c>
      <c r="C1226" s="22"/>
      <c r="D1226" s="22" t="s">
        <v>10</v>
      </c>
      <c r="E1226" s="22"/>
      <c r="F1226" s="22">
        <f>C1226*E1226</f>
      </c>
    </row>
    <row r="1227">
      <c r="A1227" s="5" t="s">
        <v>1014</v>
      </c>
      <c r="B1227" s="13" t="s">
        <v>1015</v>
      </c>
      <c r="C1227" s="22"/>
      <c r="D1227" s="22" t="s">
        <v>10</v>
      </c>
      <c r="E1227" s="22"/>
      <c r="F1227" s="22">
        <f>C1227*E1227</f>
      </c>
    </row>
    <row r="1228">
      <c r="A1228" s="5" t="s">
        <v>1016</v>
      </c>
      <c r="B1228" s="13" t="s">
        <v>1017</v>
      </c>
      <c r="C1228" s="22"/>
      <c r="D1228" s="22" t="s">
        <v>10</v>
      </c>
      <c r="E1228" s="22"/>
      <c r="F1228" s="22">
        <f>C1228*E1228</f>
      </c>
    </row>
    <row r="1229">
      <c r="A1229" s="5" t="s">
        <v>1018</v>
      </c>
      <c r="B1229" s="13" t="s">
        <v>784</v>
      </c>
      <c r="C1229" s="22"/>
      <c r="D1229" s="22" t="s">
        <v>10</v>
      </c>
      <c r="E1229" s="22"/>
      <c r="F1229" s="22">
        <f>C1229*E1229</f>
      </c>
    </row>
    <row r="1230">
      <c r="A1230" s="5" t="s">
        <v>1019</v>
      </c>
      <c r="B1230" s="13" t="s">
        <v>123</v>
      </c>
      <c r="C1230" s="22"/>
      <c r="D1230" s="22" t="s">
        <v>10</v>
      </c>
      <c r="E1230" s="22"/>
      <c r="F1230" s="22">
        <f>C1230*E1230</f>
      </c>
    </row>
    <row r="1231">
      <c r="A1231" s="3"/>
      <c r="B1231" s="11" t="s">
        <v>68</v>
      </c>
      <c r="C1231" s="20"/>
      <c r="D1231" s="20"/>
      <c r="E1231" s="20"/>
      <c r="F1231" s="20"/>
    </row>
    <row r="1232">
      <c r="A1232" s="5" t="s">
        <v>1020</v>
      </c>
      <c r="B1232" s="14" t="s">
        <v>230</v>
      </c>
      <c r="C1232" s="22">
        <f>(1)*(1)*(1)*(1)*(1 + (0))</f>
      </c>
      <c r="D1232" s="22" t="s">
        <v>71</v>
      </c>
      <c r="E1232" s="22"/>
      <c r="F1232" s="22">
        <f>C1232*E1232</f>
      </c>
    </row>
    <row r="1233">
      <c r="A1233" s="5" t="s">
        <v>1021</v>
      </c>
      <c r="B1233" s="14" t="s">
        <v>1022</v>
      </c>
      <c r="C1233" s="22">
        <f>(1)*(1)*(1)*(1)*(1 + (0))</f>
      </c>
      <c r="D1233" s="22" t="s">
        <v>71</v>
      </c>
      <c r="E1233" s="22"/>
      <c r="F1233" s="22">
        <f>C1233*E1233</f>
      </c>
    </row>
    <row r="1234">
      <c r="A1234" s="5" t="s">
        <v>1023</v>
      </c>
      <c r="B1234" s="14" t="s">
        <v>812</v>
      </c>
      <c r="C1234" s="22">
        <f>(1)*(1)*(1)*(1)*(1 + (0))</f>
      </c>
      <c r="D1234" s="22" t="s">
        <v>71</v>
      </c>
      <c r="E1234" s="22"/>
      <c r="F1234" s="22">
        <f>C1234*E1234</f>
      </c>
    </row>
    <row r="1235">
      <c r="A1235" s="5" t="s">
        <v>1024</v>
      </c>
      <c r="B1235" s="14" t="s">
        <v>814</v>
      </c>
      <c r="C1235" s="22">
        <f>(1)*(1)*(1)*(1)*(1 + (0))</f>
      </c>
      <c r="D1235" s="22" t="s">
        <v>71</v>
      </c>
      <c r="E1235" s="22"/>
      <c r="F1235" s="22">
        <f>C1235*E1235</f>
      </c>
    </row>
    <row r="1236">
      <c r="A1236" s="5" t="s">
        <v>1025</v>
      </c>
      <c r="B1236" s="14" t="s">
        <v>798</v>
      </c>
      <c r="C1236" s="22">
        <f>(1)*(1)*(1)*(1)*(1 + (0))</f>
      </c>
      <c r="D1236" s="22" t="s">
        <v>71</v>
      </c>
      <c r="E1236" s="22"/>
      <c r="F1236" s="22">
        <f>C1236*E1236</f>
      </c>
    </row>
    <row r="1237">
      <c r="A1237" s="5" t="s">
        <v>1026</v>
      </c>
      <c r="B1237" s="14" t="s">
        <v>805</v>
      </c>
      <c r="C1237" s="22">
        <f>(1)*(1)*(1)*(1)*(1 + (0))</f>
      </c>
      <c r="D1237" s="22" t="s">
        <v>71</v>
      </c>
      <c r="E1237" s="22"/>
      <c r="F1237" s="22">
        <f>C1237*E1237</f>
      </c>
    </row>
    <row r="1238">
      <c r="A1238" s="5" t="s">
        <v>1027</v>
      </c>
      <c r="B1238" s="14" t="s">
        <v>800</v>
      </c>
      <c r="C1238" s="22">
        <f>(1)*(1)*(1)*(1)*(1 + (0))</f>
      </c>
      <c r="D1238" s="22" t="s">
        <v>71</v>
      </c>
      <c r="E1238" s="22"/>
      <c r="F1238" s="22">
        <f>C1238*E1238</f>
      </c>
    </row>
    <row r="1239">
      <c r="A1239" s="5" t="s">
        <v>1028</v>
      </c>
      <c r="B1239" s="14" t="s">
        <v>1029</v>
      </c>
      <c r="C1239" s="22">
        <f>(1)*(1)*(1)*(1)*(1 + (0))</f>
      </c>
      <c r="D1239" s="22" t="s">
        <v>71</v>
      </c>
      <c r="E1239" s="22"/>
      <c r="F1239" s="22">
        <f>C1239*E1239</f>
      </c>
    </row>
    <row r="1240">
      <c r="A1240" s="5" t="s">
        <v>1030</v>
      </c>
      <c r="B1240" s="14" t="s">
        <v>1031</v>
      </c>
      <c r="C1240" s="22">
        <f>(1)*(1)*(1)*(1)*(1 + (0))</f>
      </c>
      <c r="D1240" s="22" t="s">
        <v>71</v>
      </c>
      <c r="E1240" s="22"/>
      <c r="F1240" s="22">
        <f>C1240*E1240</f>
      </c>
    </row>
    <row r="1241">
      <c r="A1241" s="3"/>
      <c r="B1241" s="11" t="s">
        <v>106</v>
      </c>
      <c r="C1241" s="20"/>
      <c r="D1241" s="20"/>
      <c r="E1241" s="20"/>
      <c r="F1241" s="20"/>
    </row>
    <row r="1242">
      <c r="A1242" s="5"/>
      <c r="B1242" s="14" t="s">
        <v>1032</v>
      </c>
      <c r="C1242" s="22"/>
      <c r="D1242" s="22" t="s">
        <v>10</v>
      </c>
      <c r="E1242" s="22"/>
      <c r="F1242" s="22">
        <f>C1242*E1242</f>
      </c>
    </row>
    <row r="1243">
      <c r="A1243" s="3"/>
      <c r="B1243" s="11" t="s">
        <v>1033</v>
      </c>
      <c r="C1243" s="20"/>
      <c r="D1243" s="20"/>
      <c r="E1243" s="20"/>
      <c r="F1243" s="20"/>
    </row>
    <row r="1244">
      <c r="A1244" s="4"/>
      <c r="B1244" s="12" t="s">
        <v>1034</v>
      </c>
      <c r="C1244" s="21"/>
      <c r="D1244" s="21"/>
      <c r="E1244" s="21"/>
      <c r="F1244" s="21"/>
    </row>
    <row r="1245">
      <c r="A1245" s="6"/>
      <c r="B1245" s="15" t="s">
        <v>1035</v>
      </c>
      <c r="C1245" s="23"/>
      <c r="D1245" s="23"/>
      <c r="E1245" s="23"/>
      <c r="F1245" s="23"/>
    </row>
    <row r="1246">
      <c r="A1246" s="5"/>
      <c r="B1246" s="16" t="s">
        <v>23</v>
      </c>
      <c r="C1246" s="22">
        <f>(419)*(1)*(1)*(1)*(1 + (0))</f>
      </c>
      <c r="D1246" s="22" t="s">
        <v>24</v>
      </c>
      <c r="E1246" s="22"/>
      <c r="F1246" s="22">
        <f>C1246*E1246</f>
      </c>
    </row>
    <row r="1247">
      <c r="A1247" s="5"/>
      <c r="B1247" s="16" t="s">
        <v>25</v>
      </c>
      <c r="C1247" s="22">
        <f>(445)*(1)*(1)*(1)*(1 + (0))</f>
      </c>
      <c r="D1247" s="22" t="s">
        <v>24</v>
      </c>
      <c r="E1247" s="22"/>
      <c r="F1247" s="22">
        <f>C1247*E1247</f>
      </c>
    </row>
    <row r="1248">
      <c r="A1248" s="6"/>
      <c r="B1248" s="15" t="s">
        <v>1036</v>
      </c>
      <c r="C1248" s="23"/>
      <c r="D1248" s="23"/>
      <c r="E1248" s="23"/>
      <c r="F1248" s="23"/>
    </row>
    <row r="1249">
      <c r="A1249" s="5"/>
      <c r="B1249" s="16" t="s">
        <v>23</v>
      </c>
      <c r="C1249" s="22">
        <f>(119)*(1)*(1)*(1)*(1 + (0))</f>
      </c>
      <c r="D1249" s="22" t="s">
        <v>24</v>
      </c>
      <c r="E1249" s="22"/>
      <c r="F1249" s="22">
        <f>C1249*E1249</f>
      </c>
    </row>
    <row r="1250">
      <c r="A1250" s="5"/>
      <c r="B1250" s="16" t="s">
        <v>25</v>
      </c>
      <c r="C1250" s="22">
        <f>(18)*(1)*(1)*(1)*(1 + (0))</f>
      </c>
      <c r="D1250" s="22" t="s">
        <v>24</v>
      </c>
      <c r="E1250" s="22"/>
      <c r="F1250" s="22">
        <f>C1250*E1250</f>
      </c>
    </row>
    <row r="1251">
      <c r="A1251" s="6"/>
      <c r="B1251" s="15" t="s">
        <v>1037</v>
      </c>
      <c r="C1251" s="23"/>
      <c r="D1251" s="23"/>
      <c r="E1251" s="23"/>
      <c r="F1251" s="23"/>
    </row>
    <row r="1252">
      <c r="A1252" s="5"/>
      <c r="B1252" s="16" t="s">
        <v>23</v>
      </c>
      <c r="C1252" s="22">
        <f>(466)*(1)*(1)*(1)*(1 + (0))</f>
      </c>
      <c r="D1252" s="22" t="s">
        <v>24</v>
      </c>
      <c r="E1252" s="22"/>
      <c r="F1252" s="22">
        <f>C1252*E1252</f>
      </c>
    </row>
    <row r="1253">
      <c r="A1253" s="5"/>
      <c r="B1253" s="16" t="s">
        <v>25</v>
      </c>
      <c r="C1253" s="22">
        <f>(737)*(1)*(1)*(1)*(1 + (0))</f>
      </c>
      <c r="D1253" s="22" t="s">
        <v>24</v>
      </c>
      <c r="E1253" s="22"/>
      <c r="F1253" s="22">
        <f>C1253*E1253</f>
      </c>
    </row>
    <row r="1254">
      <c r="A1254" s="6"/>
      <c r="B1254" s="15" t="s">
        <v>1038</v>
      </c>
      <c r="C1254" s="23"/>
      <c r="D1254" s="23"/>
      <c r="E1254" s="23"/>
      <c r="F1254" s="23"/>
    </row>
    <row r="1255">
      <c r="A1255" s="5"/>
      <c r="B1255" s="16" t="s">
        <v>23</v>
      </c>
      <c r="C1255" s="22">
        <f>(132)*(1)*(1)*(1)*(1 + (0))</f>
      </c>
      <c r="D1255" s="22" t="s">
        <v>24</v>
      </c>
      <c r="E1255" s="22"/>
      <c r="F1255" s="22">
        <f>C1255*E1255</f>
      </c>
    </row>
    <row r="1256">
      <c r="A1256" s="6"/>
      <c r="B1256" s="15" t="s">
        <v>1039</v>
      </c>
      <c r="C1256" s="23"/>
      <c r="D1256" s="23"/>
      <c r="E1256" s="23"/>
      <c r="F1256" s="23"/>
    </row>
    <row r="1257">
      <c r="A1257" s="5"/>
      <c r="B1257" s="16" t="s">
        <v>23</v>
      </c>
      <c r="C1257" s="22">
        <f>(28)*(1)*(1)*(1)*(1 + (0))</f>
      </c>
      <c r="D1257" s="22" t="s">
        <v>24</v>
      </c>
      <c r="E1257" s="22"/>
      <c r="F1257" s="22">
        <f>C1257*E1257</f>
      </c>
    </row>
    <row r="1258">
      <c r="A1258" s="6"/>
      <c r="B1258" s="15" t="s">
        <v>1040</v>
      </c>
      <c r="C1258" s="23"/>
      <c r="D1258" s="23"/>
      <c r="E1258" s="23"/>
      <c r="F1258" s="23"/>
    </row>
    <row r="1259">
      <c r="A1259" s="5"/>
      <c r="B1259" s="16" t="s">
        <v>23</v>
      </c>
      <c r="C1259" s="22">
        <f>(11)*(1)*(1)*(1)*(1 + (0))</f>
      </c>
      <c r="D1259" s="22" t="s">
        <v>24</v>
      </c>
      <c r="E1259" s="22"/>
      <c r="F1259" s="22">
        <f>C1259*E1259</f>
      </c>
    </row>
    <row r="1260">
      <c r="A1260" s="5"/>
      <c r="B1260" s="16" t="s">
        <v>25</v>
      </c>
      <c r="C1260" s="22">
        <f>(143)*(1)*(1)*(1)*(1 + (0))</f>
      </c>
      <c r="D1260" s="22" t="s">
        <v>24</v>
      </c>
      <c r="E1260" s="22"/>
      <c r="F1260" s="22">
        <f>C1260*E1260</f>
      </c>
    </row>
    <row r="1261">
      <c r="A1261" s="6"/>
      <c r="B1261" s="15" t="s">
        <v>1041</v>
      </c>
      <c r="C1261" s="23"/>
      <c r="D1261" s="23"/>
      <c r="E1261" s="23"/>
      <c r="F1261" s="23"/>
    </row>
    <row r="1262">
      <c r="A1262" s="5"/>
      <c r="B1262" s="16" t="s">
        <v>23</v>
      </c>
      <c r="C1262" s="22">
        <f>(28)*(1)*(1)*(1)*(1 + (0))</f>
      </c>
      <c r="D1262" s="22" t="s">
        <v>24</v>
      </c>
      <c r="E1262" s="22"/>
      <c r="F1262" s="22">
        <f>C1262*E1262</f>
      </c>
    </row>
    <row r="1263">
      <c r="A1263" s="4"/>
      <c r="B1263" s="12" t="s">
        <v>1042</v>
      </c>
      <c r="C1263" s="21"/>
      <c r="D1263" s="21"/>
      <c r="E1263" s="21"/>
      <c r="F1263" s="21"/>
    </row>
    <row r="1264">
      <c r="A1264" s="6"/>
      <c r="B1264" s="15" t="s">
        <v>1043</v>
      </c>
      <c r="C1264" s="23"/>
      <c r="D1264" s="23"/>
      <c r="E1264" s="23"/>
      <c r="F1264" s="23"/>
    </row>
    <row r="1265">
      <c r="A1265" s="5"/>
      <c r="B1265" s="16" t="s">
        <v>25</v>
      </c>
      <c r="C1265" s="22">
        <f>(398)*(1)*(1)*(1)*(1 + (0))</f>
      </c>
      <c r="D1265" s="22" t="s">
        <v>24</v>
      </c>
      <c r="E1265" s="22"/>
      <c r="F1265" s="22">
        <f>C1265*E1265</f>
      </c>
    </row>
    <row r="1266">
      <c r="A1266" s="3"/>
      <c r="B1266" s="11" t="s">
        <v>1044</v>
      </c>
      <c r="C1266" s="20"/>
      <c r="D1266" s="20"/>
      <c r="E1266" s="20"/>
      <c r="F1266" s="20"/>
    </row>
    <row r="1267">
      <c r="A1267" s="4"/>
      <c r="B1267" s="12" t="s">
        <v>1045</v>
      </c>
      <c r="C1267" s="21"/>
      <c r="D1267" s="21"/>
      <c r="E1267" s="21"/>
      <c r="F1267" s="21"/>
    </row>
    <row r="1268">
      <c r="A1268" s="6"/>
      <c r="B1268" s="15" t="s">
        <v>1046</v>
      </c>
      <c r="C1268" s="23"/>
      <c r="D1268" s="23"/>
      <c r="E1268" s="23"/>
      <c r="F1268" s="23"/>
    </row>
    <row r="1269">
      <c r="A1269" s="5"/>
      <c r="B1269" s="16" t="s">
        <v>23</v>
      </c>
      <c r="C1269" s="22">
        <f>(25)*(1)*(1)*(1)*(1 + (0))</f>
      </c>
      <c r="D1269" s="22" t="s">
        <v>24</v>
      </c>
      <c r="E1269" s="22"/>
      <c r="F1269" s="22">
        <f>C1269*E1269</f>
      </c>
    </row>
    <row r="1270">
      <c r="A1270" s="5"/>
      <c r="B1270" s="16" t="s">
        <v>25</v>
      </c>
      <c r="C1270" s="22">
        <f>(15)*(1)*(1)*(1)*(1 + (0))</f>
      </c>
      <c r="D1270" s="22" t="s">
        <v>24</v>
      </c>
      <c r="E1270" s="22"/>
      <c r="F1270" s="22">
        <f>C1270*E1270</f>
      </c>
    </row>
    <row r="1271">
      <c r="A1271" s="4"/>
      <c r="B1271" s="12" t="s">
        <v>1047</v>
      </c>
      <c r="C1271" s="21"/>
      <c r="D1271" s="21"/>
      <c r="E1271" s="21"/>
      <c r="F1271" s="21"/>
    </row>
    <row r="1272">
      <c r="A1272" s="6"/>
      <c r="B1272" s="15" t="s">
        <v>1048</v>
      </c>
      <c r="C1272" s="23"/>
      <c r="D1272" s="23"/>
      <c r="E1272" s="23"/>
      <c r="F1272" s="23"/>
    </row>
    <row r="1273">
      <c r="A1273" s="5"/>
      <c r="B1273" s="16" t="s">
        <v>23</v>
      </c>
      <c r="C1273" s="22">
        <f>(76)*(1)*(1)*(1)*(1 + (0))</f>
      </c>
      <c r="D1273" s="22" t="s">
        <v>153</v>
      </c>
      <c r="E1273" s="22"/>
      <c r="F1273" s="22">
        <f>C1273*E1273</f>
      </c>
    </row>
    <row r="1274">
      <c r="A1274" s="5"/>
      <c r="B1274" s="16" t="s">
        <v>25</v>
      </c>
      <c r="C1274" s="22">
        <f>(69)*(1)*(1)*(1)*(1 + (0))</f>
      </c>
      <c r="D1274" s="22" t="s">
        <v>153</v>
      </c>
      <c r="E1274" s="22"/>
      <c r="F1274" s="22">
        <f>C1274*E1274</f>
      </c>
    </row>
    <row r="1275">
      <c r="A1275" s="6"/>
      <c r="B1275" s="15" t="s">
        <v>1049</v>
      </c>
      <c r="C1275" s="23"/>
      <c r="D1275" s="23"/>
      <c r="E1275" s="23"/>
      <c r="F1275" s="23"/>
    </row>
    <row r="1276">
      <c r="A1276" s="5"/>
      <c r="B1276" s="16" t="s">
        <v>23</v>
      </c>
      <c r="C1276" s="22">
        <f>(729)*(1)*(1)*(1)*(1 + (0))</f>
      </c>
      <c r="D1276" s="22" t="s">
        <v>153</v>
      </c>
      <c r="E1276" s="22"/>
      <c r="F1276" s="22">
        <f>C1276*E1276</f>
      </c>
    </row>
    <row r="1277">
      <c r="A1277" s="5"/>
      <c r="B1277" s="16" t="s">
        <v>25</v>
      </c>
      <c r="C1277" s="22">
        <f>(577)*(1)*(1)*(1)*(1 + (0))</f>
      </c>
      <c r="D1277" s="22" t="s">
        <v>153</v>
      </c>
      <c r="E1277" s="22"/>
      <c r="F1277" s="22">
        <f>C1277*E1277</f>
      </c>
    </row>
    <row r="1278">
      <c r="A1278" s="4"/>
      <c r="B1278" s="12" t="s">
        <v>1050</v>
      </c>
      <c r="C1278" s="21"/>
      <c r="D1278" s="21"/>
      <c r="E1278" s="21"/>
      <c r="F1278" s="21"/>
    </row>
    <row r="1279">
      <c r="A1279" s="6"/>
      <c r="B1279" s="15" t="s">
        <v>1051</v>
      </c>
      <c r="C1279" s="23"/>
      <c r="D1279" s="23"/>
      <c r="E1279" s="23"/>
      <c r="F1279" s="23"/>
    </row>
    <row r="1280">
      <c r="A1280" s="5"/>
      <c r="B1280" s="16" t="s">
        <v>23</v>
      </c>
      <c r="C1280" s="22">
        <f>(3)*(1)*(1)*(1)*(1 + (0))</f>
      </c>
      <c r="D1280" s="22" t="s">
        <v>162</v>
      </c>
      <c r="E1280" s="22"/>
      <c r="F1280" s="22">
        <f>C1280*E1280</f>
      </c>
    </row>
    <row r="1281">
      <c r="A1281" s="5"/>
      <c r="B1281" s="16" t="s">
        <v>25</v>
      </c>
      <c r="C1281" s="22"/>
      <c r="D1281" s="22" t="s">
        <v>162</v>
      </c>
      <c r="E1281" s="22"/>
      <c r="F1281" s="22">
        <f>C1281*E1281</f>
      </c>
    </row>
    <row r="1282">
      <c r="A1282" s="6"/>
      <c r="B1282" s="15" t="s">
        <v>1052</v>
      </c>
      <c r="C1282" s="23"/>
      <c r="D1282" s="23"/>
      <c r="E1282" s="23"/>
      <c r="F1282" s="23"/>
    </row>
    <row r="1283">
      <c r="A1283" s="5"/>
      <c r="B1283" s="16" t="s">
        <v>23</v>
      </c>
      <c r="C1283" s="22">
        <f>(7)*(1)*(1)*(1)*(1 + (0))</f>
      </c>
      <c r="D1283" s="22" t="s">
        <v>162</v>
      </c>
      <c r="E1283" s="22"/>
      <c r="F1283" s="22">
        <f>C1283*E1283</f>
      </c>
    </row>
    <row r="1284">
      <c r="A1284" s="5"/>
      <c r="B1284" s="16" t="s">
        <v>25</v>
      </c>
      <c r="C1284" s="22"/>
      <c r="D1284" s="22" t="s">
        <v>162</v>
      </c>
      <c r="E1284" s="22"/>
      <c r="F1284" s="22">
        <f>C1284*E1284</f>
      </c>
    </row>
    <row r="1285">
      <c r="A1285" s="6"/>
      <c r="B1285" s="15" t="s">
        <v>1053</v>
      </c>
      <c r="C1285" s="23"/>
      <c r="D1285" s="23"/>
      <c r="E1285" s="23"/>
      <c r="F1285" s="23"/>
    </row>
    <row r="1286">
      <c r="A1286" s="5"/>
      <c r="B1286" s="16" t="s">
        <v>23</v>
      </c>
      <c r="C1286" s="22">
        <f>(1)*(1)*(1)*(1)*(1 + (0))</f>
      </c>
      <c r="D1286" s="22" t="s">
        <v>162</v>
      </c>
      <c r="E1286" s="22"/>
      <c r="F1286" s="22">
        <f>C1286*E1286</f>
      </c>
    </row>
    <row r="1287">
      <c r="A1287" s="5"/>
      <c r="B1287" s="16" t="s">
        <v>25</v>
      </c>
      <c r="C1287" s="22"/>
      <c r="D1287" s="22" t="s">
        <v>162</v>
      </c>
      <c r="E1287" s="22"/>
      <c r="F1287" s="22">
        <f>C1287*E1287</f>
      </c>
    </row>
    <row r="1288">
      <c r="A1288" s="2"/>
      <c r="B1288" s="10" t="s">
        <v>1054</v>
      </c>
      <c r="C1288" s="19"/>
      <c r="D1288" s="19"/>
      <c r="E1288" s="19"/>
      <c r="F1288" s="19"/>
    </row>
    <row r="1289">
      <c r="A1289" s="3"/>
      <c r="B1289" s="11" t="s">
        <v>37</v>
      </c>
      <c r="C1289" s="20"/>
      <c r="D1289" s="20"/>
      <c r="E1289" s="20"/>
      <c r="F1289" s="20"/>
    </row>
    <row r="1290">
      <c r="A1290" s="5" t="s">
        <v>1055</v>
      </c>
      <c r="B1290" s="14" t="s">
        <v>39</v>
      </c>
      <c r="C1290" s="22"/>
      <c r="D1290" s="22" t="s">
        <v>10</v>
      </c>
      <c r="E1290" s="22"/>
      <c r="F1290" s="22">
        <f>C1290*E1290</f>
      </c>
    </row>
    <row r="1291">
      <c r="A1291" s="5" t="s">
        <v>1056</v>
      </c>
      <c r="B1291" s="14" t="s">
        <v>41</v>
      </c>
      <c r="C1291" s="22"/>
      <c r="D1291" s="22" t="s">
        <v>10</v>
      </c>
      <c r="E1291" s="22"/>
      <c r="F1291" s="22">
        <f>C1291*E1291</f>
      </c>
    </row>
    <row r="1292">
      <c r="A1292" s="3"/>
      <c r="B1292" s="11" t="s">
        <v>523</v>
      </c>
      <c r="C1292" s="20"/>
      <c r="D1292" s="20"/>
      <c r="E1292" s="20"/>
      <c r="F1292" s="20"/>
    </row>
    <row r="1293">
      <c r="A1293" s="5"/>
      <c r="B1293" s="14" t="s">
        <v>1057</v>
      </c>
      <c r="C1293" s="22"/>
      <c r="D1293" s="22" t="s">
        <v>10</v>
      </c>
      <c r="E1293" s="22"/>
      <c r="F1293" s="22">
        <f>C1293*E1293</f>
      </c>
    </row>
    <row r="1294">
      <c r="A1294" s="5"/>
      <c r="B1294" s="14" t="s">
        <v>1058</v>
      </c>
      <c r="C1294" s="22"/>
      <c r="D1294" s="22" t="s">
        <v>10</v>
      </c>
      <c r="E1294" s="22"/>
      <c r="F1294" s="22">
        <f>C1294*E1294</f>
      </c>
    </row>
    <row r="1295">
      <c r="A1295" s="5"/>
      <c r="B1295" s="14" t="s">
        <v>635</v>
      </c>
      <c r="C1295" s="22"/>
      <c r="D1295" s="22" t="s">
        <v>10</v>
      </c>
      <c r="E1295" s="22"/>
      <c r="F1295" s="22">
        <f>C1295*E1295</f>
      </c>
    </row>
    <row r="1296">
      <c r="A1296" s="3"/>
      <c r="B1296" s="11" t="s">
        <v>44</v>
      </c>
      <c r="C1296" s="20"/>
      <c r="D1296" s="20"/>
      <c r="E1296" s="20"/>
      <c r="F1296" s="20"/>
    </row>
    <row r="1297">
      <c r="A1297" s="4"/>
      <c r="B1297" s="12" t="s">
        <v>45</v>
      </c>
      <c r="C1297" s="21"/>
      <c r="D1297" s="21"/>
      <c r="E1297" s="21"/>
      <c r="F1297" s="21"/>
    </row>
    <row r="1298">
      <c r="A1298" s="5" t="s">
        <v>1059</v>
      </c>
      <c r="B1298" s="13" t="s">
        <v>1060</v>
      </c>
      <c r="C1298" s="22"/>
      <c r="D1298" s="22" t="s">
        <v>10</v>
      </c>
      <c r="E1298" s="22"/>
      <c r="F1298" s="22">
        <f>C1298*E1298</f>
      </c>
    </row>
    <row r="1299">
      <c r="A1299" s="5" t="s">
        <v>1061</v>
      </c>
      <c r="B1299" s="13" t="s">
        <v>1062</v>
      </c>
      <c r="C1299" s="22"/>
      <c r="D1299" s="22" t="s">
        <v>10</v>
      </c>
      <c r="E1299" s="22"/>
      <c r="F1299" s="22">
        <f>C1299*E1299</f>
      </c>
    </row>
    <row r="1300">
      <c r="A1300" s="5" t="s">
        <v>1063</v>
      </c>
      <c r="B1300" s="13" t="s">
        <v>1064</v>
      </c>
      <c r="C1300" s="22"/>
      <c r="D1300" s="22" t="s">
        <v>10</v>
      </c>
      <c r="E1300" s="22"/>
      <c r="F1300" s="22">
        <f>C1300*E1300</f>
      </c>
    </row>
    <row r="1301">
      <c r="A1301" s="5" t="s">
        <v>1065</v>
      </c>
      <c r="B1301" s="13" t="s">
        <v>1066</v>
      </c>
      <c r="C1301" s="22"/>
      <c r="D1301" s="22" t="s">
        <v>10</v>
      </c>
      <c r="E1301" s="22"/>
      <c r="F1301" s="22">
        <f>C1301*E1301</f>
      </c>
    </row>
    <row r="1302">
      <c r="A1302" s="5" t="s">
        <v>1067</v>
      </c>
      <c r="B1302" s="13" t="s">
        <v>1068</v>
      </c>
      <c r="C1302" s="22"/>
      <c r="D1302" s="22" t="s">
        <v>10</v>
      </c>
      <c r="E1302" s="22"/>
      <c r="F1302" s="22">
        <f>C1302*E1302</f>
      </c>
    </row>
    <row r="1303">
      <c r="A1303" s="5" t="s">
        <v>1069</v>
      </c>
      <c r="B1303" s="13" t="s">
        <v>123</v>
      </c>
      <c r="C1303" s="22"/>
      <c r="D1303" s="22" t="s">
        <v>10</v>
      </c>
      <c r="E1303" s="22"/>
      <c r="F1303" s="22">
        <f>C1303*E1303</f>
      </c>
    </row>
    <row r="1304">
      <c r="A1304" s="3"/>
      <c r="B1304" s="11" t="s">
        <v>68</v>
      </c>
      <c r="C1304" s="20"/>
      <c r="D1304" s="20"/>
      <c r="E1304" s="20"/>
      <c r="F1304" s="20"/>
    </row>
    <row r="1305">
      <c r="A1305" s="5" t="s">
        <v>1070</v>
      </c>
      <c r="B1305" s="14" t="s">
        <v>1071</v>
      </c>
      <c r="C1305" s="22">
        <f>(1)*(1)*(1)*(1)*(1 + (0))</f>
      </c>
      <c r="D1305" s="22" t="s">
        <v>71</v>
      </c>
      <c r="E1305" s="22"/>
      <c r="F1305" s="22">
        <f>C1305*E1305</f>
      </c>
    </row>
    <row r="1306">
      <c r="A1306" s="5" t="s">
        <v>1072</v>
      </c>
      <c r="B1306" s="14" t="s">
        <v>798</v>
      </c>
      <c r="C1306" s="22">
        <f>(1)*(1)*(1)*(1)*(1 + (0))</f>
      </c>
      <c r="D1306" s="22" t="s">
        <v>71</v>
      </c>
      <c r="E1306" s="22"/>
      <c r="F1306" s="22">
        <f>C1306*E1306</f>
      </c>
    </row>
    <row r="1307">
      <c r="A1307" s="5" t="s">
        <v>1073</v>
      </c>
      <c r="B1307" s="14" t="s">
        <v>230</v>
      </c>
      <c r="C1307" s="22">
        <f>(1)*(1)*(1)*(1)*(1 + (0))</f>
      </c>
      <c r="D1307" s="22" t="s">
        <v>71</v>
      </c>
      <c r="E1307" s="22"/>
      <c r="F1307" s="22">
        <f>C1307*E1307</f>
      </c>
    </row>
    <row r="1308">
      <c r="A1308" s="5" t="s">
        <v>1074</v>
      </c>
      <c r="B1308" s="14" t="s">
        <v>1075</v>
      </c>
      <c r="C1308" s="22">
        <f>(1)*(1)*(1)*(1)*(1 + (0))</f>
      </c>
      <c r="D1308" s="22" t="s">
        <v>71</v>
      </c>
      <c r="E1308" s="22"/>
      <c r="F1308" s="22">
        <f>C1308*E1308</f>
      </c>
    </row>
    <row r="1309">
      <c r="A1309" s="5" t="s">
        <v>1076</v>
      </c>
      <c r="B1309" s="14" t="s">
        <v>904</v>
      </c>
      <c r="C1309" s="22">
        <f>(1)*(1)*(1)*(1)*(1 + (0))</f>
      </c>
      <c r="D1309" s="22" t="s">
        <v>71</v>
      </c>
      <c r="E1309" s="22"/>
      <c r="F1309" s="22">
        <f>C1309*E1309</f>
      </c>
    </row>
    <row r="1310">
      <c r="A1310" s="5" t="s">
        <v>1077</v>
      </c>
      <c r="B1310" s="14" t="s">
        <v>1078</v>
      </c>
      <c r="C1310" s="22">
        <f>(1)*(1)*(1)*(1)*(1 + (0))</f>
      </c>
      <c r="D1310" s="22" t="s">
        <v>71</v>
      </c>
      <c r="E1310" s="22"/>
      <c r="F1310" s="22">
        <f>C1310*E1310</f>
      </c>
    </row>
    <row r="1311">
      <c r="A1311" s="5" t="s">
        <v>1079</v>
      </c>
      <c r="B1311" s="14" t="s">
        <v>1080</v>
      </c>
      <c r="C1311" s="22">
        <f>(1)*(1)*(1)*(1)*(1 + (0))</f>
      </c>
      <c r="D1311" s="22" t="s">
        <v>71</v>
      </c>
      <c r="E1311" s="22"/>
      <c r="F1311" s="22">
        <f>C1311*E1311</f>
      </c>
    </row>
    <row r="1312">
      <c r="A1312" s="5" t="s">
        <v>1081</v>
      </c>
      <c r="B1312" s="14" t="s">
        <v>1082</v>
      </c>
      <c r="C1312" s="22">
        <f>(1)*(1)*(1)*(1)*(1 + (0))</f>
      </c>
      <c r="D1312" s="22" t="s">
        <v>71</v>
      </c>
      <c r="E1312" s="22"/>
      <c r="F1312" s="22">
        <f>C1312*E1312</f>
      </c>
    </row>
    <row r="1313">
      <c r="A1313" s="5" t="s">
        <v>1083</v>
      </c>
      <c r="B1313" s="14" t="s">
        <v>1084</v>
      </c>
      <c r="C1313" s="22">
        <f>(1)*(1)*(1)*(1)*(1 + (0))</f>
      </c>
      <c r="D1313" s="22" t="s">
        <v>71</v>
      </c>
      <c r="E1313" s="22"/>
      <c r="F1313" s="22">
        <f>C1313*E1313</f>
      </c>
    </row>
    <row r="1314">
      <c r="A1314" s="5" t="s">
        <v>1085</v>
      </c>
      <c r="B1314" s="14" t="s">
        <v>665</v>
      </c>
      <c r="C1314" s="22">
        <f>(1)*(1)*(1)*(1)*(1 + (0))</f>
      </c>
      <c r="D1314" s="22" t="s">
        <v>71</v>
      </c>
      <c r="E1314" s="22"/>
      <c r="F1314" s="22">
        <f>C1314*E1314</f>
      </c>
    </row>
    <row r="1315">
      <c r="A1315" s="3"/>
      <c r="B1315" s="11" t="s">
        <v>106</v>
      </c>
      <c r="C1315" s="20"/>
      <c r="D1315" s="20"/>
      <c r="E1315" s="20"/>
      <c r="F1315" s="20"/>
    </row>
    <row r="1316">
      <c r="A1316" s="5"/>
      <c r="B1316" s="14" t="s">
        <v>1086</v>
      </c>
      <c r="C1316" s="22"/>
      <c r="D1316" s="22" t="s">
        <v>10</v>
      </c>
      <c r="E1316" s="22"/>
      <c r="F1316" s="22">
        <f>C1316*E1316</f>
      </c>
    </row>
    <row r="1317">
      <c r="A1317" s="3"/>
      <c r="B1317" s="11" t="s">
        <v>1087</v>
      </c>
      <c r="C1317" s="20"/>
      <c r="D1317" s="20"/>
      <c r="E1317" s="20"/>
      <c r="F1317" s="20"/>
    </row>
    <row r="1318">
      <c r="A1318" s="4"/>
      <c r="B1318" s="12" t="s">
        <v>1088</v>
      </c>
      <c r="C1318" s="21"/>
      <c r="D1318" s="21"/>
      <c r="E1318" s="21"/>
      <c r="F1318" s="21"/>
    </row>
    <row r="1319">
      <c r="A1319" s="5"/>
      <c r="B1319" s="13" t="s">
        <v>676</v>
      </c>
      <c r="C1319" s="22">
        <f>(108)*(1)*(1)*(1)*(1 + (0))</f>
      </c>
      <c r="D1319" s="22" t="s">
        <v>24</v>
      </c>
      <c r="E1319" s="22"/>
      <c r="F1319" s="22">
        <f>C1319*E1319</f>
      </c>
    </row>
    <row r="1320">
      <c r="A1320" s="5"/>
      <c r="B1320" s="13" t="s">
        <v>613</v>
      </c>
      <c r="C1320" s="22">
        <f>(13)*(1)*(1)*(1)*(1 + (0))</f>
      </c>
      <c r="D1320" s="22" t="s">
        <v>24</v>
      </c>
      <c r="E1320" s="22"/>
      <c r="F1320" s="22">
        <f>C1320*E1320</f>
      </c>
    </row>
    <row r="1321">
      <c r="A1321" s="3"/>
      <c r="B1321" s="11" t="s">
        <v>1089</v>
      </c>
      <c r="C1321" s="20"/>
      <c r="D1321" s="20"/>
      <c r="E1321" s="20"/>
      <c r="F1321" s="20"/>
    </row>
    <row r="1322">
      <c r="A1322" s="4"/>
      <c r="B1322" s="12" t="s">
        <v>1090</v>
      </c>
      <c r="C1322" s="21"/>
      <c r="D1322" s="21"/>
      <c r="E1322" s="21"/>
      <c r="F1322" s="21"/>
    </row>
    <row r="1323">
      <c r="A1323" s="5"/>
      <c r="B1323" s="13" t="s">
        <v>676</v>
      </c>
      <c r="C1323" s="22">
        <f>(108)*(1)*(1)*(1)*(1 + (0))</f>
      </c>
      <c r="D1323" s="22" t="s">
        <v>24</v>
      </c>
      <c r="E1323" s="22"/>
      <c r="F1323" s="22">
        <f>C1323*E1323</f>
      </c>
    </row>
    <row r="1324">
      <c r="A1324" s="5"/>
      <c r="B1324" s="13" t="s">
        <v>613</v>
      </c>
      <c r="C1324" s="22">
        <f>(13)*(1)*(1)*(1)*(1 + (0))</f>
      </c>
      <c r="D1324" s="22" t="s">
        <v>24</v>
      </c>
      <c r="E1324" s="22"/>
      <c r="F1324" s="22">
        <f>C1324*E1324</f>
      </c>
    </row>
    <row r="1325">
      <c r="A1325" s="3"/>
      <c r="B1325" s="11" t="s">
        <v>1091</v>
      </c>
      <c r="C1325" s="20"/>
      <c r="D1325" s="20"/>
      <c r="E1325" s="20"/>
      <c r="F1325" s="20"/>
    </row>
    <row r="1326">
      <c r="A1326" s="4"/>
      <c r="B1326" s="12" t="s">
        <v>1092</v>
      </c>
      <c r="C1326" s="21"/>
      <c r="D1326" s="21"/>
      <c r="E1326" s="21"/>
      <c r="F1326" s="21"/>
    </row>
    <row r="1327">
      <c r="A1327" s="5"/>
      <c r="B1327" s="13" t="s">
        <v>993</v>
      </c>
      <c r="C1327" s="22">
        <f>(360)*(1)*(1)*(1)*(1 + (0))</f>
      </c>
      <c r="D1327" s="22" t="s">
        <v>24</v>
      </c>
      <c r="E1327" s="22"/>
      <c r="F1327" s="22">
        <f>C1327*E1327</f>
      </c>
    </row>
    <row r="1328">
      <c r="A1328" s="5"/>
      <c r="B1328" s="13" t="s">
        <v>991</v>
      </c>
      <c r="C1328" s="22">
        <f>(88)*(1)*(1)*(1)*(1 + (0))</f>
      </c>
      <c r="D1328" s="22" t="s">
        <v>24</v>
      </c>
      <c r="E1328" s="22"/>
      <c r="F1328" s="22">
        <f>C1328*E1328</f>
      </c>
    </row>
    <row r="1329">
      <c r="A1329" s="3"/>
      <c r="B1329" s="11" t="s">
        <v>1093</v>
      </c>
      <c r="C1329" s="20"/>
      <c r="D1329" s="20"/>
      <c r="E1329" s="20"/>
      <c r="F1329" s="20"/>
    </row>
    <row r="1330">
      <c r="A1330" s="4"/>
      <c r="B1330" s="12" t="s">
        <v>1094</v>
      </c>
      <c r="C1330" s="21"/>
      <c r="D1330" s="21"/>
      <c r="E1330" s="21"/>
      <c r="F1330" s="21"/>
    </row>
    <row r="1331">
      <c r="A1331" s="5"/>
      <c r="B1331" s="13" t="s">
        <v>993</v>
      </c>
      <c r="C1331" s="22">
        <f>(139)*(1)*(1)*(1)*(1 + (0))</f>
      </c>
      <c r="D1331" s="22" t="s">
        <v>153</v>
      </c>
      <c r="E1331" s="22"/>
      <c r="F1331" s="22">
        <f>C1331*E1331</f>
      </c>
    </row>
    <row r="1332">
      <c r="A1332" s="5"/>
      <c r="B1332" s="13" t="s">
        <v>991</v>
      </c>
      <c r="C1332" s="22">
        <f>(33)*(1)*(1)*(1)*(1 + (0))</f>
      </c>
      <c r="D1332" s="22" t="s">
        <v>153</v>
      </c>
      <c r="E1332" s="22"/>
      <c r="F1332" s="22">
        <f>C1332*E1332</f>
      </c>
    </row>
    <row r="1333">
      <c r="A1333" s="2"/>
      <c r="B1333" s="10" t="s">
        <v>1095</v>
      </c>
      <c r="C1333" s="19"/>
      <c r="D1333" s="19"/>
      <c r="E1333" s="19"/>
      <c r="F1333" s="19"/>
    </row>
    <row r="1334">
      <c r="A1334" s="3"/>
      <c r="B1334" s="11" t="s">
        <v>37</v>
      </c>
      <c r="C1334" s="20"/>
      <c r="D1334" s="20"/>
      <c r="E1334" s="20"/>
      <c r="F1334" s="20"/>
    </row>
    <row r="1335">
      <c r="A1335" s="5" t="s">
        <v>1055</v>
      </c>
      <c r="B1335" s="14" t="s">
        <v>39</v>
      </c>
      <c r="C1335" s="22"/>
      <c r="D1335" s="22" t="s">
        <v>10</v>
      </c>
      <c r="E1335" s="22"/>
      <c r="F1335" s="22">
        <f>C1335*E1335</f>
      </c>
    </row>
    <row r="1336">
      <c r="A1336" s="5" t="s">
        <v>1056</v>
      </c>
      <c r="B1336" s="14" t="s">
        <v>41</v>
      </c>
      <c r="C1336" s="22"/>
      <c r="D1336" s="22" t="s">
        <v>10</v>
      </c>
      <c r="E1336" s="22"/>
      <c r="F1336" s="22">
        <f>C1336*E1336</f>
      </c>
    </row>
    <row r="1337">
      <c r="A1337" s="3"/>
      <c r="B1337" s="11" t="s">
        <v>523</v>
      </c>
      <c r="C1337" s="20"/>
      <c r="D1337" s="20"/>
      <c r="E1337" s="20"/>
      <c r="F1337" s="20"/>
    </row>
    <row r="1338">
      <c r="A1338" s="5"/>
      <c r="B1338" s="14" t="s">
        <v>1096</v>
      </c>
      <c r="C1338" s="22"/>
      <c r="D1338" s="22" t="s">
        <v>10</v>
      </c>
      <c r="E1338" s="22"/>
      <c r="F1338" s="22">
        <f>C1338*E1338</f>
      </c>
    </row>
    <row r="1339">
      <c r="A1339" s="5"/>
      <c r="B1339" s="14" t="s">
        <v>1058</v>
      </c>
      <c r="C1339" s="22"/>
      <c r="D1339" s="22" t="s">
        <v>10</v>
      </c>
      <c r="E1339" s="22"/>
      <c r="F1339" s="22">
        <f>C1339*E1339</f>
      </c>
    </row>
    <row r="1340">
      <c r="A1340" s="5"/>
      <c r="B1340" s="14" t="s">
        <v>635</v>
      </c>
      <c r="C1340" s="22"/>
      <c r="D1340" s="22" t="s">
        <v>10</v>
      </c>
      <c r="E1340" s="22"/>
      <c r="F1340" s="22">
        <f>C1340*E1340</f>
      </c>
    </row>
    <row r="1341">
      <c r="A1341" s="3"/>
      <c r="B1341" s="11" t="s">
        <v>44</v>
      </c>
      <c r="C1341" s="20"/>
      <c r="D1341" s="20"/>
      <c r="E1341" s="20"/>
      <c r="F1341" s="20"/>
    </row>
    <row r="1342">
      <c r="A1342" s="4"/>
      <c r="B1342" s="12" t="s">
        <v>45</v>
      </c>
      <c r="C1342" s="21"/>
      <c r="D1342" s="21"/>
      <c r="E1342" s="21"/>
      <c r="F1342" s="21"/>
    </row>
    <row r="1343">
      <c r="A1343" s="5" t="s">
        <v>1097</v>
      </c>
      <c r="B1343" s="13" t="s">
        <v>1098</v>
      </c>
      <c r="C1343" s="22"/>
      <c r="D1343" s="22" t="s">
        <v>10</v>
      </c>
      <c r="E1343" s="22"/>
      <c r="F1343" s="22">
        <f>C1343*E1343</f>
      </c>
    </row>
    <row r="1344">
      <c r="A1344" s="5" t="s">
        <v>1099</v>
      </c>
      <c r="B1344" s="13" t="s">
        <v>1100</v>
      </c>
      <c r="C1344" s="22"/>
      <c r="D1344" s="22" t="s">
        <v>10</v>
      </c>
      <c r="E1344" s="22"/>
      <c r="F1344" s="22">
        <f>C1344*E1344</f>
      </c>
    </row>
    <row r="1345">
      <c r="A1345" s="5" t="s">
        <v>1101</v>
      </c>
      <c r="B1345" s="13" t="s">
        <v>123</v>
      </c>
      <c r="C1345" s="22"/>
      <c r="D1345" s="22" t="s">
        <v>10</v>
      </c>
      <c r="E1345" s="22"/>
      <c r="F1345" s="22">
        <f>C1345*E1345</f>
      </c>
    </row>
    <row r="1346">
      <c r="A1346" s="3"/>
      <c r="B1346" s="11" t="s">
        <v>68</v>
      </c>
      <c r="C1346" s="20"/>
      <c r="D1346" s="20"/>
      <c r="E1346" s="20"/>
      <c r="F1346" s="20"/>
    </row>
    <row r="1347">
      <c r="A1347" s="5" t="s">
        <v>1102</v>
      </c>
      <c r="B1347" s="14" t="s">
        <v>1103</v>
      </c>
      <c r="C1347" s="22">
        <f>(1)*(1)*(1)*(1)*(1 + (0))</f>
      </c>
      <c r="D1347" s="22" t="s">
        <v>71</v>
      </c>
      <c r="E1347" s="22"/>
      <c r="F1347" s="22">
        <f>C1347*E1347</f>
      </c>
    </row>
    <row r="1348">
      <c r="A1348" s="5" t="s">
        <v>1104</v>
      </c>
      <c r="B1348" s="14" t="s">
        <v>543</v>
      </c>
      <c r="C1348" s="22">
        <f>(1)*(1)*(1)*(1)*(1 + (0))</f>
      </c>
      <c r="D1348" s="22" t="s">
        <v>71</v>
      </c>
      <c r="E1348" s="22"/>
      <c r="F1348" s="22">
        <f>C1348*E1348</f>
      </c>
    </row>
    <row r="1349">
      <c r="A1349" s="5" t="s">
        <v>1105</v>
      </c>
      <c r="B1349" s="14" t="s">
        <v>810</v>
      </c>
      <c r="C1349" s="22">
        <f>(1)*(1)*(1)*(1)*(1 + (0))</f>
      </c>
      <c r="D1349" s="22" t="s">
        <v>71</v>
      </c>
      <c r="E1349" s="22"/>
      <c r="F1349" s="22">
        <f>C1349*E1349</f>
      </c>
    </row>
    <row r="1350">
      <c r="A1350" s="5" t="s">
        <v>1106</v>
      </c>
      <c r="B1350" s="14" t="s">
        <v>665</v>
      </c>
      <c r="C1350" s="22">
        <f>(1)*(1)*(1)*(1)*(1 + (0))</f>
      </c>
      <c r="D1350" s="22" t="s">
        <v>71</v>
      </c>
      <c r="E1350" s="22"/>
      <c r="F1350" s="22">
        <f>C1350*E1350</f>
      </c>
    </row>
    <row r="1351">
      <c r="A1351" s="3"/>
      <c r="B1351" s="11" t="s">
        <v>106</v>
      </c>
      <c r="C1351" s="20"/>
      <c r="D1351" s="20"/>
      <c r="E1351" s="20"/>
      <c r="F1351" s="20"/>
    </row>
    <row r="1352">
      <c r="A1352" s="5"/>
      <c r="B1352" s="14" t="s">
        <v>1107</v>
      </c>
      <c r="C1352" s="22"/>
      <c r="D1352" s="22" t="s">
        <v>10</v>
      </c>
      <c r="E1352" s="22"/>
      <c r="F1352" s="22">
        <f>C1352*E1352</f>
      </c>
    </row>
    <row r="1353">
      <c r="A1353" s="3"/>
      <c r="B1353" s="11" t="s">
        <v>1108</v>
      </c>
      <c r="C1353" s="20"/>
      <c r="D1353" s="20"/>
      <c r="E1353" s="20"/>
      <c r="F1353" s="20"/>
    </row>
    <row r="1354">
      <c r="A1354" s="4"/>
      <c r="B1354" s="12" t="s">
        <v>1109</v>
      </c>
      <c r="C1354" s="21"/>
      <c r="D1354" s="21"/>
      <c r="E1354" s="21"/>
      <c r="F1354" s="21"/>
    </row>
    <row r="1355">
      <c r="A1355" s="5"/>
      <c r="B1355" s="13" t="s">
        <v>676</v>
      </c>
      <c r="C1355" s="22">
        <f>(428)*(1)*(1)*(1)*(1 + (0))</f>
      </c>
      <c r="D1355" s="22" t="s">
        <v>24</v>
      </c>
      <c r="E1355" s="22"/>
      <c r="F1355" s="22">
        <f>C1355*E1355</f>
      </c>
    </row>
    <row r="1356">
      <c r="A1356" s="4"/>
      <c r="B1356" s="12" t="s">
        <v>1110</v>
      </c>
      <c r="C1356" s="21"/>
      <c r="D1356" s="21"/>
      <c r="E1356" s="21"/>
      <c r="F1356" s="21"/>
    </row>
    <row r="1357">
      <c r="A1357" s="5"/>
      <c r="B1357" s="13" t="s">
        <v>613</v>
      </c>
      <c r="C1357" s="22">
        <f>(770)*(1)*(1)*(1)*(1 + (0))</f>
      </c>
      <c r="D1357" s="22" t="s">
        <v>24</v>
      </c>
      <c r="E1357" s="22"/>
      <c r="F1357" s="22">
        <f>C1357*E1357</f>
      </c>
    </row>
    <row r="1358">
      <c r="A1358" s="4"/>
      <c r="B1358" s="12" t="s">
        <v>1111</v>
      </c>
      <c r="C1358" s="21"/>
      <c r="D1358" s="21"/>
      <c r="E1358" s="21"/>
      <c r="F1358" s="21"/>
    </row>
    <row r="1359">
      <c r="A1359" s="5"/>
      <c r="B1359" s="13" t="s">
        <v>676</v>
      </c>
      <c r="C1359" s="22">
        <f>(29)*(1)*(1)*(1)*(1 + (0))</f>
      </c>
      <c r="D1359" s="22" t="s">
        <v>24</v>
      </c>
      <c r="E1359" s="22"/>
      <c r="F1359" s="22">
        <f>C1359*E1359</f>
      </c>
    </row>
    <row r="1360">
      <c r="A1360" s="4"/>
      <c r="B1360" s="12" t="s">
        <v>1112</v>
      </c>
      <c r="C1360" s="21"/>
      <c r="D1360" s="21"/>
      <c r="E1360" s="21"/>
      <c r="F1360" s="21"/>
    </row>
    <row r="1361">
      <c r="A1361" s="5"/>
      <c r="B1361" s="13" t="s">
        <v>613</v>
      </c>
      <c r="C1361" s="22">
        <f>(307)*(1)*(1)*(1)*(1 + (0))</f>
      </c>
      <c r="D1361" s="22" t="s">
        <v>24</v>
      </c>
      <c r="E1361" s="22"/>
      <c r="F1361" s="22">
        <f>C1361*E1361</f>
      </c>
    </row>
    <row r="1362">
      <c r="A1362" s="4"/>
      <c r="B1362" s="12" t="s">
        <v>1113</v>
      </c>
      <c r="C1362" s="21"/>
      <c r="D1362" s="21"/>
      <c r="E1362" s="21"/>
      <c r="F1362" s="21"/>
    </row>
    <row r="1363">
      <c r="A1363" s="5"/>
      <c r="B1363" s="13" t="s">
        <v>676</v>
      </c>
      <c r="C1363" s="22">
        <f>(412)*(1)*(1)*(1)*(1 + (0))</f>
      </c>
      <c r="D1363" s="22" t="s">
        <v>24</v>
      </c>
      <c r="E1363" s="22"/>
      <c r="F1363" s="22">
        <f>C1363*E1363</f>
      </c>
    </row>
    <row r="1364">
      <c r="A1364" s="3"/>
      <c r="B1364" s="11" t="s">
        <v>1114</v>
      </c>
      <c r="C1364" s="20"/>
      <c r="D1364" s="20"/>
      <c r="E1364" s="20"/>
      <c r="F1364" s="20"/>
    </row>
    <row r="1365">
      <c r="A1365" s="4"/>
      <c r="B1365" s="12" t="s">
        <v>1115</v>
      </c>
      <c r="C1365" s="21"/>
      <c r="D1365" s="21"/>
      <c r="E1365" s="21"/>
      <c r="F1365" s="21"/>
    </row>
    <row r="1366">
      <c r="A1366" s="5"/>
      <c r="B1366" s="13" t="s">
        <v>676</v>
      </c>
      <c r="C1366" s="22">
        <f>(22)*(1)*(1)*(1)*(1 + (0))</f>
      </c>
      <c r="D1366" s="22" t="s">
        <v>24</v>
      </c>
      <c r="E1366" s="22"/>
      <c r="F1366" s="22">
        <f>C1366*E1366</f>
      </c>
    </row>
    <row r="1367">
      <c r="A1367" s="5"/>
      <c r="B1367" s="13" t="s">
        <v>613</v>
      </c>
      <c r="C1367" s="22">
        <f>(33)*(1)*(1)*(1)*(1 + (0))</f>
      </c>
      <c r="D1367" s="22" t="s">
        <v>24</v>
      </c>
      <c r="E1367" s="22"/>
      <c r="F1367" s="22">
        <f>C1367*E1367</f>
      </c>
    </row>
    <row r="1368">
      <c r="A1368" s="3"/>
      <c r="B1368" s="11" t="s">
        <v>1116</v>
      </c>
      <c r="C1368" s="20"/>
      <c r="D1368" s="20"/>
      <c r="E1368" s="20"/>
      <c r="F1368" s="20"/>
    </row>
    <row r="1369">
      <c r="A1369" s="4"/>
      <c r="B1369" s="12" t="s">
        <v>1117</v>
      </c>
      <c r="C1369" s="21"/>
      <c r="D1369" s="21"/>
      <c r="E1369" s="21"/>
      <c r="F1369" s="21"/>
    </row>
    <row r="1370">
      <c r="A1370" s="5"/>
      <c r="B1370" s="13" t="s">
        <v>676</v>
      </c>
      <c r="C1370" s="22">
        <f>(6)*(1)*(1)*(1)*(1 + (0))</f>
      </c>
      <c r="D1370" s="22" t="s">
        <v>153</v>
      </c>
      <c r="E1370" s="22"/>
      <c r="F1370" s="22">
        <f>C1370*E1370</f>
      </c>
    </row>
    <row r="1371">
      <c r="A1371" s="4"/>
      <c r="B1371" s="12" t="s">
        <v>1118</v>
      </c>
      <c r="C1371" s="21"/>
      <c r="D1371" s="21"/>
      <c r="E1371" s="21"/>
      <c r="F1371" s="21"/>
    </row>
    <row r="1372">
      <c r="A1372" s="5"/>
      <c r="B1372" s="13" t="s">
        <v>676</v>
      </c>
      <c r="C1372" s="22">
        <f>(15)*(1)*(1)*(1)*(1 + (0))</f>
      </c>
      <c r="D1372" s="22" t="s">
        <v>153</v>
      </c>
      <c r="E1372" s="22"/>
      <c r="F1372" s="22">
        <f>C1372*E1372</f>
      </c>
    </row>
    <row r="1373">
      <c r="A1373" s="5"/>
      <c r="B1373" s="13" t="s">
        <v>613</v>
      </c>
      <c r="C1373" s="22">
        <f>(46)*(1)*(1)*(1)*(1 + (0))</f>
      </c>
      <c r="D1373" s="22" t="s">
        <v>153</v>
      </c>
      <c r="E1373" s="22"/>
      <c r="F1373" s="22">
        <f>C1373*E1373</f>
      </c>
    </row>
    <row r="1374">
      <c r="A1374" s="3"/>
      <c r="B1374" s="11" t="s">
        <v>1119</v>
      </c>
      <c r="C1374" s="20"/>
      <c r="D1374" s="20"/>
      <c r="E1374" s="20"/>
      <c r="F1374" s="20"/>
    </row>
    <row r="1375">
      <c r="A1375" s="5"/>
      <c r="B1375" s="14" t="s">
        <v>1120</v>
      </c>
      <c r="C1375" s="22">
        <f>(1109)*(1)*(1)*(1)*(1 + (0))</f>
      </c>
      <c r="D1375" s="22" t="s">
        <v>24</v>
      </c>
      <c r="E1375" s="22"/>
      <c r="F1375" s="22">
        <f>C1375*E1375</f>
      </c>
    </row>
    <row r="1376">
      <c r="A1376" s="5"/>
      <c r="B1376" s="14" t="s">
        <v>1121</v>
      </c>
      <c r="C1376" s="22">
        <f>(555)*(1)*(1)*(1)*(1 + (0))</f>
      </c>
      <c r="D1376" s="22" t="s">
        <v>24</v>
      </c>
      <c r="E1376" s="22"/>
      <c r="F1376" s="22">
        <f>C1376*E1376</f>
      </c>
    </row>
    <row r="1377">
      <c r="A1377" s="5"/>
      <c r="B1377" s="14" t="s">
        <v>1122</v>
      </c>
      <c r="C1377" s="22">
        <f>(1998)*(1)*(1)*(1)*(1 + (0))</f>
      </c>
      <c r="D1377" s="22" t="s">
        <v>24</v>
      </c>
      <c r="E1377" s="22"/>
      <c r="F1377" s="22">
        <f>C1377*E1377</f>
      </c>
    </row>
    <row r="1378">
      <c r="A1378" s="2"/>
      <c r="B1378" s="10" t="s">
        <v>1123</v>
      </c>
      <c r="C1378" s="19"/>
      <c r="D1378" s="19"/>
      <c r="E1378" s="19"/>
      <c r="F1378" s="19"/>
    </row>
    <row r="1379">
      <c r="A1379" s="3"/>
      <c r="B1379" s="11" t="s">
        <v>37</v>
      </c>
      <c r="C1379" s="20"/>
      <c r="D1379" s="20"/>
      <c r="E1379" s="20"/>
      <c r="F1379" s="20"/>
    </row>
    <row r="1380">
      <c r="A1380" s="5" t="s">
        <v>1124</v>
      </c>
      <c r="B1380" s="14" t="s">
        <v>39</v>
      </c>
      <c r="C1380" s="22"/>
      <c r="D1380" s="22" t="s">
        <v>10</v>
      </c>
      <c r="E1380" s="22"/>
      <c r="F1380" s="22">
        <f>C1380*E1380</f>
      </c>
    </row>
    <row r="1381">
      <c r="A1381" s="5" t="s">
        <v>1125</v>
      </c>
      <c r="B1381" s="14" t="s">
        <v>41</v>
      </c>
      <c r="C1381" s="22"/>
      <c r="D1381" s="22" t="s">
        <v>10</v>
      </c>
      <c r="E1381" s="22"/>
      <c r="F1381" s="22">
        <f>C1381*E1381</f>
      </c>
    </row>
    <row r="1382">
      <c r="A1382" s="3"/>
      <c r="B1382" s="11" t="s">
        <v>523</v>
      </c>
      <c r="C1382" s="20"/>
      <c r="D1382" s="20"/>
      <c r="E1382" s="20"/>
      <c r="F1382" s="20"/>
    </row>
    <row r="1383">
      <c r="A1383" s="5"/>
      <c r="B1383" s="14" t="s">
        <v>1126</v>
      </c>
      <c r="C1383" s="22"/>
      <c r="D1383" s="22" t="s">
        <v>10</v>
      </c>
      <c r="E1383" s="22"/>
      <c r="F1383" s="22">
        <f>C1383*E1383</f>
      </c>
    </row>
    <row r="1384">
      <c r="A1384" s="5"/>
      <c r="B1384" s="14" t="s">
        <v>1058</v>
      </c>
      <c r="C1384" s="22"/>
      <c r="D1384" s="22" t="s">
        <v>10</v>
      </c>
      <c r="E1384" s="22"/>
      <c r="F1384" s="22">
        <f>C1384*E1384</f>
      </c>
    </row>
    <row r="1385">
      <c r="A1385" s="5"/>
      <c r="B1385" s="14" t="s">
        <v>635</v>
      </c>
      <c r="C1385" s="22"/>
      <c r="D1385" s="22" t="s">
        <v>10</v>
      </c>
      <c r="E1385" s="22"/>
      <c r="F1385" s="22">
        <f>C1385*E1385</f>
      </c>
    </row>
    <row r="1386">
      <c r="A1386" s="3"/>
      <c r="B1386" s="11" t="s">
        <v>44</v>
      </c>
      <c r="C1386" s="20"/>
      <c r="D1386" s="20"/>
      <c r="E1386" s="20"/>
      <c r="F1386" s="20"/>
    </row>
    <row r="1387">
      <c r="A1387" s="4"/>
      <c r="B1387" s="12" t="s">
        <v>45</v>
      </c>
      <c r="C1387" s="21"/>
      <c r="D1387" s="21"/>
      <c r="E1387" s="21"/>
      <c r="F1387" s="21"/>
    </row>
    <row r="1388">
      <c r="A1388" s="5" t="s">
        <v>1097</v>
      </c>
      <c r="B1388" s="13" t="s">
        <v>1098</v>
      </c>
      <c r="C1388" s="22"/>
      <c r="D1388" s="22" t="s">
        <v>10</v>
      </c>
      <c r="E1388" s="22"/>
      <c r="F1388" s="22">
        <f>C1388*E1388</f>
      </c>
    </row>
    <row r="1389">
      <c r="A1389" s="5" t="s">
        <v>1099</v>
      </c>
      <c r="B1389" s="13" t="s">
        <v>1100</v>
      </c>
      <c r="C1389" s="22"/>
      <c r="D1389" s="22" t="s">
        <v>10</v>
      </c>
      <c r="E1389" s="22"/>
      <c r="F1389" s="22">
        <f>C1389*E1389</f>
      </c>
    </row>
    <row r="1390">
      <c r="A1390" s="5" t="s">
        <v>1101</v>
      </c>
      <c r="B1390" s="13" t="s">
        <v>123</v>
      </c>
      <c r="C1390" s="22"/>
      <c r="D1390" s="22" t="s">
        <v>10</v>
      </c>
      <c r="E1390" s="22"/>
      <c r="F1390" s="22">
        <f>C1390*E1390</f>
      </c>
    </row>
    <row r="1391">
      <c r="A1391" s="3"/>
      <c r="B1391" s="11" t="s">
        <v>68</v>
      </c>
      <c r="C1391" s="20"/>
      <c r="D1391" s="20"/>
      <c r="E1391" s="20"/>
      <c r="F1391" s="20"/>
    </row>
    <row r="1392">
      <c r="A1392" s="5" t="s">
        <v>1127</v>
      </c>
      <c r="B1392" s="14" t="s">
        <v>1071</v>
      </c>
      <c r="C1392" s="22">
        <f>(1)*(1)*(1)*(1)*(1 + (0))</f>
      </c>
      <c r="D1392" s="22" t="s">
        <v>71</v>
      </c>
      <c r="E1392" s="22"/>
      <c r="F1392" s="22">
        <f>C1392*E1392</f>
      </c>
    </row>
    <row r="1393">
      <c r="A1393" s="5" t="s">
        <v>1128</v>
      </c>
      <c r="B1393" s="14" t="s">
        <v>798</v>
      </c>
      <c r="C1393" s="22">
        <f>(1)*(1)*(1)*(1)*(1 + (0))</f>
      </c>
      <c r="D1393" s="22" t="s">
        <v>71</v>
      </c>
      <c r="E1393" s="22"/>
      <c r="F1393" s="22">
        <f>C1393*E1393</f>
      </c>
    </row>
    <row r="1394">
      <c r="A1394" s="5" t="s">
        <v>1129</v>
      </c>
      <c r="B1394" s="14" t="s">
        <v>812</v>
      </c>
      <c r="C1394" s="22">
        <f>(1)*(1)*(1)*(1)*(1 + (0))</f>
      </c>
      <c r="D1394" s="22" t="s">
        <v>71</v>
      </c>
      <c r="E1394" s="22"/>
      <c r="F1394" s="22">
        <f>C1394*E1394</f>
      </c>
    </row>
    <row r="1395">
      <c r="A1395" s="5" t="s">
        <v>1130</v>
      </c>
      <c r="B1395" s="14" t="s">
        <v>810</v>
      </c>
      <c r="C1395" s="22">
        <f>(1)*(1)*(1)*(1)*(1 + (0))</f>
      </c>
      <c r="D1395" s="22" t="s">
        <v>71</v>
      </c>
      <c r="E1395" s="22"/>
      <c r="F1395" s="22">
        <f>C1395*E1395</f>
      </c>
    </row>
    <row r="1396">
      <c r="A1396" s="5" t="s">
        <v>1131</v>
      </c>
      <c r="B1396" s="14" t="s">
        <v>230</v>
      </c>
      <c r="C1396" s="22">
        <f>(1)*(1)*(1)*(1)*(1 + (0))</f>
      </c>
      <c r="D1396" s="22" t="s">
        <v>71</v>
      </c>
      <c r="E1396" s="22"/>
      <c r="F1396" s="22">
        <f>C1396*E1396</f>
      </c>
    </row>
    <row r="1397">
      <c r="A1397" s="5" t="s">
        <v>1132</v>
      </c>
      <c r="B1397" s="14" t="s">
        <v>800</v>
      </c>
      <c r="C1397" s="22">
        <f>(1)*(1)*(1)*(1)*(1 + (0))</f>
      </c>
      <c r="D1397" s="22" t="s">
        <v>71</v>
      </c>
      <c r="E1397" s="22"/>
      <c r="F1397" s="22">
        <f>C1397*E1397</f>
      </c>
    </row>
    <row r="1398">
      <c r="A1398" s="5" t="s">
        <v>1133</v>
      </c>
      <c r="B1398" s="14" t="s">
        <v>70</v>
      </c>
      <c r="C1398" s="22">
        <f>(1)*(1)*(1)*(1)*(1 + (0))</f>
      </c>
      <c r="D1398" s="22" t="s">
        <v>71</v>
      </c>
      <c r="E1398" s="22"/>
      <c r="F1398" s="22">
        <f>C1398*E1398</f>
      </c>
    </row>
    <row r="1399">
      <c r="A1399" s="5" t="s">
        <v>1134</v>
      </c>
      <c r="B1399" s="14" t="s">
        <v>1135</v>
      </c>
      <c r="C1399" s="22">
        <f>(1)*(1)*(1)*(1)*(1 + (0))</f>
      </c>
      <c r="D1399" s="22" t="s">
        <v>71</v>
      </c>
      <c r="E1399" s="22"/>
      <c r="F1399" s="22">
        <f>C1399*E1399</f>
      </c>
    </row>
    <row r="1400">
      <c r="A1400" s="5" t="s">
        <v>1136</v>
      </c>
      <c r="B1400" s="14" t="s">
        <v>667</v>
      </c>
      <c r="C1400" s="22">
        <f>(1)*(1)*(1)*(1)*(1 + (0))</f>
      </c>
      <c r="D1400" s="22" t="s">
        <v>71</v>
      </c>
      <c r="E1400" s="22"/>
      <c r="F1400" s="22">
        <f>C1400*E1400</f>
      </c>
    </row>
    <row r="1401">
      <c r="A1401" s="5" t="s">
        <v>1137</v>
      </c>
      <c r="B1401" s="14" t="s">
        <v>665</v>
      </c>
      <c r="C1401" s="22">
        <f>(1)*(1)*(1)*(1)*(1 + (0))</f>
      </c>
      <c r="D1401" s="22" t="s">
        <v>71</v>
      </c>
      <c r="E1401" s="22"/>
      <c r="F1401" s="22">
        <f>C1401*E1401</f>
      </c>
    </row>
    <row r="1402">
      <c r="A1402" s="3"/>
      <c r="B1402" s="11" t="s">
        <v>106</v>
      </c>
      <c r="C1402" s="20"/>
      <c r="D1402" s="20"/>
      <c r="E1402" s="20"/>
      <c r="F1402" s="20"/>
    </row>
    <row r="1403">
      <c r="A1403" s="5"/>
      <c r="B1403" s="14" t="s">
        <v>1107</v>
      </c>
      <c r="C1403" s="22"/>
      <c r="D1403" s="22" t="s">
        <v>10</v>
      </c>
      <c r="E1403" s="22"/>
      <c r="F1403" s="22">
        <f>C1403*E1403</f>
      </c>
    </row>
    <row r="1404">
      <c r="A1404" s="5"/>
      <c r="B1404" s="14" t="s">
        <v>1138</v>
      </c>
      <c r="C1404" s="22"/>
      <c r="D1404" s="22" t="s">
        <v>10</v>
      </c>
      <c r="E1404" s="22"/>
      <c r="F1404" s="22">
        <f>C1404*E1404</f>
      </c>
    </row>
    <row r="1405">
      <c r="A1405" s="3"/>
      <c r="B1405" s="11" t="s">
        <v>1139</v>
      </c>
      <c r="C1405" s="20"/>
      <c r="D1405" s="20"/>
      <c r="E1405" s="20"/>
      <c r="F1405" s="20"/>
    </row>
    <row r="1406">
      <c r="A1406" s="4"/>
      <c r="B1406" s="12" t="s">
        <v>1140</v>
      </c>
      <c r="C1406" s="21"/>
      <c r="D1406" s="21"/>
      <c r="E1406" s="21"/>
      <c r="F1406" s="21"/>
    </row>
    <row r="1407">
      <c r="A1407" s="5"/>
      <c r="B1407" s="13" t="s">
        <v>676</v>
      </c>
      <c r="C1407" s="22">
        <f>(94)*(1)*(1)*(1)*(1 + (0))</f>
      </c>
      <c r="D1407" s="22" t="s">
        <v>24</v>
      </c>
      <c r="E1407" s="22"/>
      <c r="F1407" s="22">
        <f>C1407*E1407</f>
      </c>
    </row>
    <row r="1408">
      <c r="A1408" s="4"/>
      <c r="B1408" s="12" t="s">
        <v>1141</v>
      </c>
      <c r="C1408" s="21"/>
      <c r="D1408" s="21"/>
      <c r="E1408" s="21"/>
      <c r="F1408" s="21"/>
    </row>
    <row r="1409">
      <c r="A1409" s="5"/>
      <c r="B1409" s="13" t="s">
        <v>613</v>
      </c>
      <c r="C1409" s="22">
        <f>(18)*(1)*(1)*(1)*(1 + (0))</f>
      </c>
      <c r="D1409" s="22" t="s">
        <v>24</v>
      </c>
      <c r="E1409" s="22"/>
      <c r="F1409" s="22">
        <f>C1409*E1409</f>
      </c>
    </row>
    <row r="1410">
      <c r="A1410" s="4"/>
      <c r="B1410" s="12" t="s">
        <v>1142</v>
      </c>
      <c r="C1410" s="21"/>
      <c r="D1410" s="21"/>
      <c r="E1410" s="21"/>
      <c r="F1410" s="21"/>
    </row>
    <row r="1411">
      <c r="A1411" s="5"/>
      <c r="B1411" s="13" t="s">
        <v>676</v>
      </c>
      <c r="C1411" s="22">
        <f>(31)*(1)*(1)*(1)*(1 + (0))</f>
      </c>
      <c r="D1411" s="22" t="s">
        <v>24</v>
      </c>
      <c r="E1411" s="22"/>
      <c r="F1411" s="22">
        <f>C1411*E1411</f>
      </c>
    </row>
    <row r="1412">
      <c r="A1412" s="5"/>
      <c r="B1412" s="13" t="s">
        <v>613</v>
      </c>
      <c r="C1412" s="22">
        <f>(60)*(1)*(1)*(1)*(1 + (0))</f>
      </c>
      <c r="D1412" s="22" t="s">
        <v>24</v>
      </c>
      <c r="E1412" s="22"/>
      <c r="F1412" s="22">
        <f>C1412*E1412</f>
      </c>
    </row>
    <row r="1413">
      <c r="A1413" s="4"/>
      <c r="B1413" s="12" t="s">
        <v>1143</v>
      </c>
      <c r="C1413" s="21"/>
      <c r="D1413" s="21"/>
      <c r="E1413" s="21"/>
      <c r="F1413" s="21"/>
    </row>
    <row r="1414">
      <c r="A1414" s="5"/>
      <c r="B1414" s="13" t="s">
        <v>676</v>
      </c>
      <c r="C1414" s="22">
        <f>(28)*(1)*(1)*(1)*(1 + (0))</f>
      </c>
      <c r="D1414" s="22" t="s">
        <v>24</v>
      </c>
      <c r="E1414" s="22"/>
      <c r="F1414" s="22">
        <f>C1414*E1414</f>
      </c>
    </row>
    <row r="1415">
      <c r="A1415" s="3"/>
      <c r="B1415" s="11" t="s">
        <v>1144</v>
      </c>
      <c r="C1415" s="20"/>
      <c r="D1415" s="20"/>
      <c r="E1415" s="20"/>
      <c r="F1415" s="20"/>
    </row>
    <row r="1416">
      <c r="A1416" s="4"/>
      <c r="B1416" s="12" t="s">
        <v>1145</v>
      </c>
      <c r="C1416" s="21"/>
      <c r="D1416" s="21"/>
      <c r="E1416" s="21"/>
      <c r="F1416" s="21"/>
    </row>
    <row r="1417">
      <c r="A1417" s="5"/>
      <c r="B1417" s="13" t="s">
        <v>676</v>
      </c>
      <c r="C1417" s="22">
        <f>(384)*(1)*(1)*(1)*(1 + (0))</f>
      </c>
      <c r="D1417" s="22" t="s">
        <v>24</v>
      </c>
      <c r="E1417" s="22"/>
      <c r="F1417" s="22">
        <f>C1417*E1417</f>
      </c>
    </row>
    <row r="1418">
      <c r="A1418" s="5"/>
      <c r="B1418" s="13" t="s">
        <v>613</v>
      </c>
      <c r="C1418" s="22">
        <f>(295)*(1)*(1)*(1)*(1 + (0))</f>
      </c>
      <c r="D1418" s="22" t="s">
        <v>24</v>
      </c>
      <c r="E1418" s="22"/>
      <c r="F1418" s="22">
        <f>C1418*E1418</f>
      </c>
    </row>
    <row r="1419">
      <c r="A1419" s="3"/>
      <c r="B1419" s="11" t="s">
        <v>1116</v>
      </c>
      <c r="C1419" s="20"/>
      <c r="D1419" s="20"/>
      <c r="E1419" s="20"/>
      <c r="F1419" s="20"/>
    </row>
    <row r="1420">
      <c r="A1420" s="4"/>
      <c r="B1420" s="12" t="s">
        <v>1146</v>
      </c>
      <c r="C1420" s="21"/>
      <c r="D1420" s="21"/>
      <c r="E1420" s="21"/>
      <c r="F1420" s="21"/>
    </row>
    <row r="1421">
      <c r="A1421" s="5"/>
      <c r="B1421" s="13" t="s">
        <v>676</v>
      </c>
      <c r="C1421" s="22">
        <f>(4)*(1)*(1)*(1)*(1 + (0))</f>
      </c>
      <c r="D1421" s="22" t="s">
        <v>153</v>
      </c>
      <c r="E1421" s="22"/>
      <c r="F1421" s="22">
        <f>C1421*E1421</f>
      </c>
    </row>
    <row r="1422">
      <c r="A1422" s="3"/>
      <c r="B1422" s="11" t="s">
        <v>1119</v>
      </c>
      <c r="C1422" s="20"/>
      <c r="D1422" s="20"/>
      <c r="E1422" s="20"/>
      <c r="F1422" s="20"/>
    </row>
    <row r="1423">
      <c r="A1423" s="5"/>
      <c r="B1423" s="14" t="s">
        <v>1120</v>
      </c>
      <c r="C1423" s="22">
        <f>(77)*(1)*(1)*(1)*(1 + (0))</f>
      </c>
      <c r="D1423" s="22" t="s">
        <v>24</v>
      </c>
      <c r="E1423" s="22"/>
      <c r="F1423" s="22">
        <f>C1423*E1423</f>
      </c>
    </row>
    <row r="1424">
      <c r="A1424" s="5"/>
      <c r="B1424" s="14" t="s">
        <v>1147</v>
      </c>
      <c r="C1424" s="22">
        <f>(77)*(1)*(1)*(1)*(1 + (0))</f>
      </c>
      <c r="D1424" s="22" t="s">
        <v>24</v>
      </c>
      <c r="E1424" s="22"/>
      <c r="F1424" s="22">
        <f>C1424*E1424</f>
      </c>
    </row>
    <row r="1425">
      <c r="A1425" s="5"/>
      <c r="B1425" s="14" t="s">
        <v>1121</v>
      </c>
      <c r="C1425" s="22">
        <f>(39)*(1)*(1)*(1)*(1 + (0))</f>
      </c>
      <c r="D1425" s="22" t="s">
        <v>24</v>
      </c>
      <c r="E1425" s="22"/>
      <c r="F1425" s="22">
        <f>C1425*E1425</f>
      </c>
    </row>
    <row r="1426">
      <c r="A1426" s="5"/>
      <c r="B1426" s="14" t="s">
        <v>1148</v>
      </c>
      <c r="C1426" s="22">
        <f>(229)*(1)*(1)*(1)*(1 + (0))</f>
      </c>
      <c r="D1426" s="22" t="s">
        <v>24</v>
      </c>
      <c r="E1426" s="22"/>
      <c r="F1426" s="22">
        <f>C1426*E1426</f>
      </c>
    </row>
    <row r="1427">
      <c r="A1427" s="5"/>
      <c r="B1427" s="14" t="s">
        <v>1149</v>
      </c>
      <c r="C1427" s="22">
        <f>(229)*(1)*(1)*(1)*(1 + (0))</f>
      </c>
      <c r="D1427" s="22" t="s">
        <v>24</v>
      </c>
      <c r="E1427" s="22"/>
      <c r="F1427" s="22">
        <f>C1427*E1427</f>
      </c>
    </row>
    <row r="1428">
      <c r="A1428" s="5"/>
      <c r="B1428" s="7" t="s">
        <v>1150</v>
      </c>
      <c r="C1428" s="22"/>
      <c r="D1428" s="22"/>
      <c r="E1428" s="22"/>
      <c r="F1428" s="22">
        <f>C1428*E1428</f>
      </c>
    </row>
    <row r="1429">
      <c r="A1429" s="5"/>
      <c r="B1429" s="7" t="s">
        <v>1151</v>
      </c>
      <c r="C1429" s="22"/>
      <c r="D1429" s="22"/>
      <c r="E1429" s="22"/>
      <c r="F1429" s="22">
        <f>C1429*E1429</f>
      </c>
    </row>
    <row r="1430">
      <c r="A1430" s="2"/>
      <c r="B1430" s="10" t="s">
        <v>1152</v>
      </c>
      <c r="C1430" s="19"/>
      <c r="D1430" s="19"/>
      <c r="E1430" s="19"/>
      <c r="F1430" s="19"/>
    </row>
    <row r="1431">
      <c r="A1431" s="3"/>
      <c r="B1431" s="11" t="s">
        <v>37</v>
      </c>
      <c r="C1431" s="20"/>
      <c r="D1431" s="20"/>
      <c r="E1431" s="20"/>
      <c r="F1431" s="20"/>
    </row>
    <row r="1432">
      <c r="A1432" s="5" t="s">
        <v>1153</v>
      </c>
      <c r="B1432" s="14" t="s">
        <v>39</v>
      </c>
      <c r="C1432" s="22"/>
      <c r="D1432" s="22" t="s">
        <v>10</v>
      </c>
      <c r="E1432" s="22"/>
      <c r="F1432" s="22">
        <f>C1432*E1432</f>
      </c>
    </row>
    <row r="1433">
      <c r="A1433" s="5" t="s">
        <v>1154</v>
      </c>
      <c r="B1433" s="14" t="s">
        <v>41</v>
      </c>
      <c r="C1433" s="22"/>
      <c r="D1433" s="22" t="s">
        <v>10</v>
      </c>
      <c r="E1433" s="22"/>
      <c r="F1433" s="22">
        <f>C1433*E1433</f>
      </c>
    </row>
    <row r="1434">
      <c r="A1434" s="3"/>
      <c r="B1434" s="11" t="s">
        <v>42</v>
      </c>
      <c r="C1434" s="20"/>
      <c r="D1434" s="20"/>
      <c r="E1434" s="20"/>
      <c r="F1434" s="20"/>
    </row>
    <row r="1435">
      <c r="A1435" s="5"/>
      <c r="B1435" s="14" t="s">
        <v>1155</v>
      </c>
      <c r="C1435" s="22"/>
      <c r="D1435" s="22" t="s">
        <v>10</v>
      </c>
      <c r="E1435" s="22"/>
      <c r="F1435" s="22">
        <f>C1435*E1435</f>
      </c>
    </row>
    <row r="1436">
      <c r="A1436" s="5"/>
      <c r="B1436" s="14" t="s">
        <v>1156</v>
      </c>
      <c r="C1436" s="22"/>
      <c r="D1436" s="22" t="s">
        <v>10</v>
      </c>
      <c r="E1436" s="22"/>
      <c r="F1436" s="22">
        <f>C1436*E1436</f>
      </c>
    </row>
    <row r="1437">
      <c r="A1437" s="5"/>
      <c r="B1437" s="14" t="s">
        <v>1157</v>
      </c>
      <c r="C1437" s="22"/>
      <c r="D1437" s="22" t="s">
        <v>10</v>
      </c>
      <c r="E1437" s="22"/>
      <c r="F1437" s="22">
        <f>C1437*E1437</f>
      </c>
    </row>
    <row r="1438">
      <c r="A1438" s="3"/>
      <c r="B1438" s="11" t="s">
        <v>44</v>
      </c>
      <c r="C1438" s="20"/>
      <c r="D1438" s="20"/>
      <c r="E1438" s="20"/>
      <c r="F1438" s="20"/>
    </row>
    <row r="1439">
      <c r="A1439" s="4"/>
      <c r="B1439" s="12" t="s">
        <v>45</v>
      </c>
      <c r="C1439" s="21"/>
      <c r="D1439" s="21"/>
      <c r="E1439" s="21"/>
      <c r="F1439" s="21"/>
    </row>
    <row r="1440">
      <c r="A1440" s="5" t="s">
        <v>1158</v>
      </c>
      <c r="B1440" s="13" t="s">
        <v>898</v>
      </c>
      <c r="C1440" s="22"/>
      <c r="D1440" s="22" t="s">
        <v>10</v>
      </c>
      <c r="E1440" s="22"/>
      <c r="F1440" s="22">
        <f>C1440*E1440</f>
      </c>
    </row>
    <row r="1441">
      <c r="A1441" s="5" t="s">
        <v>1159</v>
      </c>
      <c r="B1441" s="13" t="s">
        <v>899</v>
      </c>
      <c r="C1441" s="22"/>
      <c r="D1441" s="22" t="s">
        <v>10</v>
      </c>
      <c r="E1441" s="22"/>
      <c r="F1441" s="22">
        <f>C1441*E1441</f>
      </c>
    </row>
    <row r="1442">
      <c r="A1442" s="5" t="s">
        <v>1160</v>
      </c>
      <c r="B1442" s="13" t="s">
        <v>767</v>
      </c>
      <c r="C1442" s="22"/>
      <c r="D1442" s="22" t="s">
        <v>10</v>
      </c>
      <c r="E1442" s="22"/>
      <c r="F1442" s="22">
        <f>C1442*E1442</f>
      </c>
    </row>
    <row r="1443">
      <c r="A1443" s="5" t="s">
        <v>1161</v>
      </c>
      <c r="B1443" s="13" t="s">
        <v>1162</v>
      </c>
      <c r="C1443" s="22"/>
      <c r="D1443" s="22" t="s">
        <v>10</v>
      </c>
      <c r="E1443" s="22"/>
      <c r="F1443" s="22">
        <f>C1443*E1443</f>
      </c>
    </row>
    <row r="1444">
      <c r="A1444" s="5" t="s">
        <v>1163</v>
      </c>
      <c r="B1444" s="13" t="s">
        <v>1164</v>
      </c>
      <c r="C1444" s="22"/>
      <c r="D1444" s="22" t="s">
        <v>10</v>
      </c>
      <c r="E1444" s="22"/>
      <c r="F1444" s="22">
        <f>C1444*E1444</f>
      </c>
    </row>
    <row r="1445">
      <c r="A1445" s="5" t="s">
        <v>1165</v>
      </c>
      <c r="B1445" s="13" t="s">
        <v>123</v>
      </c>
      <c r="C1445" s="22"/>
      <c r="D1445" s="22" t="s">
        <v>10</v>
      </c>
      <c r="E1445" s="22"/>
      <c r="F1445" s="22">
        <f>C1445*E1445</f>
      </c>
    </row>
    <row r="1446">
      <c r="A1446" s="3"/>
      <c r="B1446" s="11" t="s">
        <v>68</v>
      </c>
      <c r="C1446" s="20"/>
      <c r="D1446" s="20"/>
      <c r="E1446" s="20"/>
      <c r="F1446" s="20"/>
    </row>
    <row r="1447">
      <c r="A1447" s="5" t="s">
        <v>1166</v>
      </c>
      <c r="B1447" s="14" t="s">
        <v>70</v>
      </c>
      <c r="C1447" s="22">
        <f>(1)*(1)*(1)*(1)*(1 + (0))</f>
      </c>
      <c r="D1447" s="22" t="s">
        <v>71</v>
      </c>
      <c r="E1447" s="22"/>
      <c r="F1447" s="22">
        <f>C1447*E1447</f>
      </c>
    </row>
    <row r="1448">
      <c r="A1448" s="5" t="s">
        <v>1167</v>
      </c>
      <c r="B1448" s="14" t="s">
        <v>1022</v>
      </c>
      <c r="C1448" s="22">
        <f>(1)*(1)*(1)*(1)*(1 + (0))</f>
      </c>
      <c r="D1448" s="22" t="s">
        <v>71</v>
      </c>
      <c r="E1448" s="22"/>
      <c r="F1448" s="22">
        <f>C1448*E1448</f>
      </c>
    </row>
    <row r="1449">
      <c r="A1449" s="5" t="s">
        <v>1168</v>
      </c>
      <c r="B1449" s="14" t="s">
        <v>1169</v>
      </c>
      <c r="C1449" s="22">
        <f>(1)*(1)*(1)*(1)*(1 + (0))</f>
      </c>
      <c r="D1449" s="22" t="s">
        <v>71</v>
      </c>
      <c r="E1449" s="22"/>
      <c r="F1449" s="22">
        <f>C1449*E1449</f>
      </c>
    </row>
    <row r="1450">
      <c r="A1450" s="5" t="s">
        <v>1170</v>
      </c>
      <c r="B1450" s="14" t="s">
        <v>1071</v>
      </c>
      <c r="C1450" s="22">
        <f>(1)*(1)*(1)*(1)*(1 + (0))</f>
      </c>
      <c r="D1450" s="22" t="s">
        <v>71</v>
      </c>
      <c r="E1450" s="22"/>
      <c r="F1450" s="22">
        <f>C1450*E1450</f>
      </c>
    </row>
    <row r="1451">
      <c r="A1451" s="5" t="s">
        <v>1171</v>
      </c>
      <c r="B1451" s="14" t="s">
        <v>798</v>
      </c>
      <c r="C1451" s="22">
        <f>(1)*(1)*(1)*(1)*(1 + (0))</f>
      </c>
      <c r="D1451" s="22" t="s">
        <v>71</v>
      </c>
      <c r="E1451" s="22"/>
      <c r="F1451" s="22">
        <f>C1451*E1451</f>
      </c>
    </row>
    <row r="1452">
      <c r="A1452" s="5" t="s">
        <v>1172</v>
      </c>
      <c r="B1452" s="14" t="s">
        <v>665</v>
      </c>
      <c r="C1452" s="22">
        <f>(1)*(1)*(1)*(1)*(1 + (0))</f>
      </c>
      <c r="D1452" s="22" t="s">
        <v>71</v>
      </c>
      <c r="E1452" s="22"/>
      <c r="F1452" s="22">
        <f>C1452*E1452</f>
      </c>
    </row>
    <row r="1453">
      <c r="A1453" s="3"/>
      <c r="B1453" s="11" t="s">
        <v>106</v>
      </c>
      <c r="C1453" s="20"/>
      <c r="D1453" s="20"/>
      <c r="E1453" s="20"/>
      <c r="F1453" s="20"/>
    </row>
    <row r="1454">
      <c r="A1454" s="5"/>
      <c r="B1454" s="14" t="s">
        <v>1173</v>
      </c>
      <c r="C1454" s="22"/>
      <c r="D1454" s="22" t="s">
        <v>10</v>
      </c>
      <c r="E1454" s="22"/>
      <c r="F1454" s="22">
        <f>C1454*E1454</f>
      </c>
    </row>
    <row r="1455">
      <c r="A1455" s="5"/>
      <c r="B1455" s="14" t="s">
        <v>1174</v>
      </c>
      <c r="C1455" s="22"/>
      <c r="D1455" s="22" t="s">
        <v>10</v>
      </c>
      <c r="E1455" s="22"/>
      <c r="F1455" s="22">
        <f>C1455*E1455</f>
      </c>
    </row>
    <row r="1456">
      <c r="A1456" s="5"/>
      <c r="B1456" s="14" t="s">
        <v>1175</v>
      </c>
      <c r="C1456" s="22"/>
      <c r="D1456" s="22" t="s">
        <v>10</v>
      </c>
      <c r="E1456" s="22"/>
      <c r="F1456" s="22">
        <f>C1456*E1456</f>
      </c>
    </row>
    <row r="1457">
      <c r="A1457" s="5"/>
      <c r="B1457" s="14" t="s">
        <v>1176</v>
      </c>
      <c r="C1457" s="22"/>
      <c r="D1457" s="22" t="s">
        <v>10</v>
      </c>
      <c r="E1457" s="22"/>
      <c r="F1457" s="22">
        <f>C1457*E1457</f>
      </c>
    </row>
    <row r="1458">
      <c r="A1458" s="5"/>
      <c r="B1458" s="14" t="s">
        <v>1177</v>
      </c>
      <c r="C1458" s="22"/>
      <c r="D1458" s="22" t="s">
        <v>10</v>
      </c>
      <c r="E1458" s="22"/>
      <c r="F1458" s="22">
        <f>C1458*E1458</f>
      </c>
    </row>
    <row r="1459">
      <c r="A1459" s="5"/>
      <c r="B1459" s="14" t="s">
        <v>1178</v>
      </c>
      <c r="C1459" s="22"/>
      <c r="D1459" s="22" t="s">
        <v>10</v>
      </c>
      <c r="E1459" s="22"/>
      <c r="F1459" s="22">
        <f>C1459*E1459</f>
      </c>
    </row>
    <row r="1460">
      <c r="A1460" s="5"/>
      <c r="B1460" s="14" t="s">
        <v>1179</v>
      </c>
      <c r="C1460" s="22"/>
      <c r="D1460" s="22" t="s">
        <v>10</v>
      </c>
      <c r="E1460" s="22"/>
      <c r="F1460" s="22">
        <f>C1460*E1460</f>
      </c>
    </row>
    <row r="1461">
      <c r="A1461" s="5"/>
      <c r="B1461" s="14" t="s">
        <v>1180</v>
      </c>
      <c r="C1461" s="22"/>
      <c r="D1461" s="22" t="s">
        <v>10</v>
      </c>
      <c r="E1461" s="22"/>
      <c r="F1461" s="22">
        <f>C1461*E1461</f>
      </c>
    </row>
    <row r="1462">
      <c r="A1462" s="5"/>
      <c r="B1462" s="14" t="s">
        <v>1181</v>
      </c>
      <c r="C1462" s="22"/>
      <c r="D1462" s="22" t="s">
        <v>10</v>
      </c>
      <c r="E1462" s="22"/>
      <c r="F1462" s="22">
        <f>C1462*E1462</f>
      </c>
    </row>
    <row r="1463">
      <c r="A1463" s="5"/>
      <c r="B1463" s="14" t="s">
        <v>1182</v>
      </c>
      <c r="C1463" s="22"/>
      <c r="D1463" s="22" t="s">
        <v>10</v>
      </c>
      <c r="E1463" s="22"/>
      <c r="F1463" s="22">
        <f>C1463*E1463</f>
      </c>
    </row>
    <row r="1464">
      <c r="A1464" s="5"/>
      <c r="B1464" s="14" t="s">
        <v>1183</v>
      </c>
      <c r="C1464" s="22"/>
      <c r="D1464" s="22" t="s">
        <v>10</v>
      </c>
      <c r="E1464" s="22"/>
      <c r="F1464" s="22">
        <f>C1464*E1464</f>
      </c>
    </row>
    <row r="1465">
      <c r="A1465" s="5"/>
      <c r="B1465" s="14" t="s">
        <v>1184</v>
      </c>
      <c r="C1465" s="22"/>
      <c r="D1465" s="22" t="s">
        <v>10</v>
      </c>
      <c r="E1465" s="22"/>
      <c r="F1465" s="22">
        <f>C1465*E1465</f>
      </c>
    </row>
    <row r="1466">
      <c r="A1466" s="5"/>
      <c r="B1466" s="14" t="s">
        <v>1185</v>
      </c>
      <c r="C1466" s="22"/>
      <c r="D1466" s="22" t="s">
        <v>10</v>
      </c>
      <c r="E1466" s="22"/>
      <c r="F1466" s="22">
        <f>C1466*E1466</f>
      </c>
    </row>
    <row r="1467">
      <c r="A1467" s="5"/>
      <c r="B1467" s="14" t="s">
        <v>1186</v>
      </c>
      <c r="C1467" s="22"/>
      <c r="D1467" s="22" t="s">
        <v>10</v>
      </c>
      <c r="E1467" s="22"/>
      <c r="F1467" s="22">
        <f>C1467*E1467</f>
      </c>
    </row>
    <row r="1468">
      <c r="A1468" s="5"/>
      <c r="B1468" s="14" t="s">
        <v>1187</v>
      </c>
      <c r="C1468" s="22"/>
      <c r="D1468" s="22" t="s">
        <v>10</v>
      </c>
      <c r="E1468" s="22"/>
      <c r="F1468" s="22">
        <f>C1468*E1468</f>
      </c>
    </row>
    <row r="1469">
      <c r="A1469" s="5"/>
      <c r="B1469" s="14" t="s">
        <v>1188</v>
      </c>
      <c r="C1469" s="22"/>
      <c r="D1469" s="22" t="s">
        <v>10</v>
      </c>
      <c r="E1469" s="22"/>
      <c r="F1469" s="22">
        <f>C1469*E1469</f>
      </c>
    </row>
    <row r="1470">
      <c r="A1470" s="5"/>
      <c r="B1470" s="14" t="s">
        <v>1189</v>
      </c>
      <c r="C1470" s="22"/>
      <c r="D1470" s="22" t="s">
        <v>10</v>
      </c>
      <c r="E1470" s="22"/>
      <c r="F1470" s="22">
        <f>C1470*E1470</f>
      </c>
    </row>
    <row r="1471">
      <c r="A1471" s="5"/>
      <c r="B1471" s="14" t="s">
        <v>1190</v>
      </c>
      <c r="C1471" s="22"/>
      <c r="D1471" s="22" t="s">
        <v>10</v>
      </c>
      <c r="E1471" s="22"/>
      <c r="F1471" s="22">
        <f>C1471*E1471</f>
      </c>
    </row>
    <row r="1472">
      <c r="A1472" s="5"/>
      <c r="B1472" s="14" t="s">
        <v>1191</v>
      </c>
      <c r="C1472" s="22"/>
      <c r="D1472" s="22" t="s">
        <v>10</v>
      </c>
      <c r="E1472" s="22"/>
      <c r="F1472" s="22">
        <f>C1472*E1472</f>
      </c>
    </row>
    <row r="1473">
      <c r="A1473" s="5"/>
      <c r="B1473" s="14" t="s">
        <v>1192</v>
      </c>
      <c r="C1473" s="22"/>
      <c r="D1473" s="22" t="s">
        <v>10</v>
      </c>
      <c r="E1473" s="22"/>
      <c r="F1473" s="22">
        <f>C1473*E1473</f>
      </c>
    </row>
    <row r="1474">
      <c r="A1474" s="5"/>
      <c r="B1474" s="14" t="s">
        <v>1193</v>
      </c>
      <c r="C1474" s="22"/>
      <c r="D1474" s="22" t="s">
        <v>10</v>
      </c>
      <c r="E1474" s="22"/>
      <c r="F1474" s="22">
        <f>C1474*E1474</f>
      </c>
    </row>
    <row r="1475">
      <c r="A1475" s="5"/>
      <c r="B1475" s="14" t="s">
        <v>1194</v>
      </c>
      <c r="C1475" s="22"/>
      <c r="D1475" s="22" t="s">
        <v>10</v>
      </c>
      <c r="E1475" s="22"/>
      <c r="F1475" s="22">
        <f>C1475*E1475</f>
      </c>
    </row>
    <row r="1476">
      <c r="A1476" s="5"/>
      <c r="B1476" s="14" t="s">
        <v>1195</v>
      </c>
      <c r="C1476" s="22"/>
      <c r="D1476" s="22" t="s">
        <v>10</v>
      </c>
      <c r="E1476" s="22"/>
      <c r="F1476" s="22">
        <f>C1476*E1476</f>
      </c>
    </row>
    <row r="1477">
      <c r="A1477" s="5"/>
      <c r="B1477" s="14" t="s">
        <v>1196</v>
      </c>
      <c r="C1477" s="22"/>
      <c r="D1477" s="22" t="s">
        <v>10</v>
      </c>
      <c r="E1477" s="22"/>
      <c r="F1477" s="22">
        <f>C1477*E1477</f>
      </c>
    </row>
    <row r="1478">
      <c r="A1478" s="5"/>
      <c r="B1478" s="14" t="s">
        <v>1197</v>
      </c>
      <c r="C1478" s="22"/>
      <c r="D1478" s="22" t="s">
        <v>10</v>
      </c>
      <c r="E1478" s="22"/>
      <c r="F1478" s="22">
        <f>C1478*E1478</f>
      </c>
    </row>
    <row r="1479">
      <c r="A1479" s="5"/>
      <c r="B1479" s="14" t="s">
        <v>1198</v>
      </c>
      <c r="C1479" s="22"/>
      <c r="D1479" s="22" t="s">
        <v>10</v>
      </c>
      <c r="E1479" s="22"/>
      <c r="F1479" s="22">
        <f>C1479*E1479</f>
      </c>
    </row>
    <row r="1480">
      <c r="A1480" s="3"/>
      <c r="B1480" s="11" t="s">
        <v>1199</v>
      </c>
      <c r="C1480" s="20"/>
      <c r="D1480" s="20"/>
      <c r="E1480" s="20"/>
      <c r="F1480" s="20"/>
    </row>
    <row r="1481">
      <c r="A1481" s="5"/>
      <c r="B1481" s="14" t="s">
        <v>1200</v>
      </c>
      <c r="C1481" s="22">
        <f>(3)*(1)*(1)*(1)*(1 + (0))</f>
      </c>
      <c r="D1481" s="22" t="s">
        <v>162</v>
      </c>
      <c r="E1481" s="22"/>
      <c r="F1481" s="22">
        <f>C1481*E1481</f>
      </c>
    </row>
    <row r="1482">
      <c r="A1482" s="5"/>
      <c r="B1482" s="14" t="s">
        <v>1201</v>
      </c>
      <c r="C1482" s="22">
        <f>(3)*(1)*(1)*(1)*(1 + (0))</f>
      </c>
      <c r="D1482" s="22" t="s">
        <v>162</v>
      </c>
      <c r="E1482" s="22"/>
      <c r="F1482" s="22">
        <f>C1482*E1482</f>
      </c>
    </row>
    <row r="1483">
      <c r="A1483" s="5"/>
      <c r="B1483" s="14" t="s">
        <v>1202</v>
      </c>
      <c r="C1483" s="22">
        <f>(5)*(1)*(1)*(1)*(1 + (0))</f>
      </c>
      <c r="D1483" s="22" t="s">
        <v>162</v>
      </c>
      <c r="E1483" s="22"/>
      <c r="F1483" s="22">
        <f>C1483*E1483</f>
      </c>
    </row>
    <row r="1484">
      <c r="A1484" s="5"/>
      <c r="B1484" s="14" t="s">
        <v>1203</v>
      </c>
      <c r="C1484" s="22">
        <f>(6)*(1)*(1)*(1)*(1 + (0))</f>
      </c>
      <c r="D1484" s="22" t="s">
        <v>162</v>
      </c>
      <c r="E1484" s="22"/>
      <c r="F1484" s="22">
        <f>C1484*E1484</f>
      </c>
    </row>
    <row r="1485">
      <c r="A1485" s="5"/>
      <c r="B1485" s="14" t="s">
        <v>1204</v>
      </c>
      <c r="C1485" s="22">
        <f>(3)*(1)*(1)*(1)*(1 + (0))</f>
      </c>
      <c r="D1485" s="22" t="s">
        <v>162</v>
      </c>
      <c r="E1485" s="22"/>
      <c r="F1485" s="22">
        <f>C1485*E1485</f>
      </c>
    </row>
    <row r="1486">
      <c r="A1486" s="5"/>
      <c r="B1486" s="14" t="s">
        <v>1205</v>
      </c>
      <c r="C1486" s="22">
        <f>(1)*(1)*(1)*(1)*(1 + (0))</f>
      </c>
      <c r="D1486" s="22" t="s">
        <v>162</v>
      </c>
      <c r="E1486" s="22"/>
      <c r="F1486" s="22">
        <f>C1486*E1486</f>
      </c>
    </row>
    <row r="1487">
      <c r="A1487" s="5"/>
      <c r="B1487" s="14" t="s">
        <v>1206</v>
      </c>
      <c r="C1487" s="22">
        <f>(1)*(1)*(1)*(1)*(1 + (0))</f>
      </c>
      <c r="D1487" s="22" t="s">
        <v>162</v>
      </c>
      <c r="E1487" s="22"/>
      <c r="F1487" s="22">
        <f>C1487*E1487</f>
      </c>
    </row>
    <row r="1488">
      <c r="A1488" s="5"/>
      <c r="B1488" s="14" t="s">
        <v>1207</v>
      </c>
      <c r="C1488" s="22">
        <f>(1)*(1)*(1)*(1)*(1 + (0))</f>
      </c>
      <c r="D1488" s="22" t="s">
        <v>162</v>
      </c>
      <c r="E1488" s="22"/>
      <c r="F1488" s="22">
        <f>C1488*E1488</f>
      </c>
    </row>
    <row r="1489">
      <c r="A1489" s="5"/>
      <c r="B1489" s="14" t="s">
        <v>1208</v>
      </c>
      <c r="C1489" s="22">
        <f>(1)*(1)*(1)*(1)*(1 + (0))</f>
      </c>
      <c r="D1489" s="22" t="s">
        <v>162</v>
      </c>
      <c r="E1489" s="22"/>
      <c r="F1489" s="22">
        <f>C1489*E1489</f>
      </c>
    </row>
    <row r="1490">
      <c r="A1490" s="5"/>
      <c r="B1490" s="14" t="s">
        <v>1209</v>
      </c>
      <c r="C1490" s="22">
        <f>(1)*(1)*(1)*(1)*(1 + (0))</f>
      </c>
      <c r="D1490" s="22" t="s">
        <v>162</v>
      </c>
      <c r="E1490" s="22"/>
      <c r="F1490" s="22">
        <f>C1490*E1490</f>
      </c>
    </row>
    <row r="1491">
      <c r="A1491" s="5"/>
      <c r="B1491" s="14" t="s">
        <v>1210</v>
      </c>
      <c r="C1491" s="22">
        <f>(1)*(1)*(1)*(1)*(1 + (0))</f>
      </c>
      <c r="D1491" s="22" t="s">
        <v>162</v>
      </c>
      <c r="E1491" s="22"/>
      <c r="F1491" s="22">
        <f>C1491*E1491</f>
      </c>
    </row>
    <row r="1492">
      <c r="A1492" s="5"/>
      <c r="B1492" s="14" t="s">
        <v>1211</v>
      </c>
      <c r="C1492" s="22">
        <f>(1)*(1)*(1)*(1)*(1 + (0))</f>
      </c>
      <c r="D1492" s="22" t="s">
        <v>162</v>
      </c>
      <c r="E1492" s="22"/>
      <c r="F1492" s="22">
        <f>C1492*E1492</f>
      </c>
    </row>
    <row r="1493">
      <c r="A1493" s="5"/>
      <c r="B1493" s="14" t="s">
        <v>1212</v>
      </c>
      <c r="C1493" s="22">
        <f>(1)*(1)*(1)*(1)*(1 + (0))</f>
      </c>
      <c r="D1493" s="22" t="s">
        <v>162</v>
      </c>
      <c r="E1493" s="22"/>
      <c r="F1493" s="22">
        <f>C1493*E1493</f>
      </c>
    </row>
    <row r="1494">
      <c r="A1494" s="5"/>
      <c r="B1494" s="14" t="s">
        <v>1213</v>
      </c>
      <c r="C1494" s="22">
        <f>(1)*(1)*(1)*(1)*(1 + (0))</f>
      </c>
      <c r="D1494" s="22" t="s">
        <v>162</v>
      </c>
      <c r="E1494" s="22"/>
      <c r="F1494" s="22">
        <f>C1494*E1494</f>
      </c>
    </row>
    <row r="1495">
      <c r="A1495" s="5"/>
      <c r="B1495" s="14" t="s">
        <v>1214</v>
      </c>
      <c r="C1495" s="22">
        <f>(1)*(1)*(1)*(1)*(1 + (0))</f>
      </c>
      <c r="D1495" s="22" t="s">
        <v>162</v>
      </c>
      <c r="E1495" s="22"/>
      <c r="F1495" s="22">
        <f>C1495*E1495</f>
      </c>
    </row>
    <row r="1496">
      <c r="A1496" s="5"/>
      <c r="B1496" s="14" t="s">
        <v>1215</v>
      </c>
      <c r="C1496" s="22">
        <f>(1)*(1)*(1)*(1)*(1 + (0))</f>
      </c>
      <c r="D1496" s="22" t="s">
        <v>162</v>
      </c>
      <c r="E1496" s="22"/>
      <c r="F1496" s="22">
        <f>C1496*E1496</f>
      </c>
    </row>
    <row r="1497">
      <c r="A1497" s="5"/>
      <c r="B1497" s="14" t="s">
        <v>1216</v>
      </c>
      <c r="C1497" s="22">
        <f>(1)*(1)*(1)*(1)*(1 + (0))</f>
      </c>
      <c r="D1497" s="22" t="s">
        <v>1217</v>
      </c>
      <c r="E1497" s="22"/>
      <c r="F1497" s="22">
        <f>C1497*E1497</f>
      </c>
    </row>
    <row r="1498">
      <c r="A1498" s="5"/>
      <c r="B1498" s="14" t="s">
        <v>1218</v>
      </c>
      <c r="C1498" s="22">
        <f>(1)*(1)*(1)*(1)*(1 + (0))</f>
      </c>
      <c r="D1498" s="22" t="s">
        <v>162</v>
      </c>
      <c r="E1498" s="22"/>
      <c r="F1498" s="22">
        <f>C1498*E1498</f>
      </c>
    </row>
    <row r="1499">
      <c r="A1499" s="5"/>
      <c r="B1499" s="14" t="s">
        <v>1219</v>
      </c>
      <c r="C1499" s="22">
        <f>(1)*(1)*(1)*(1)*(1 + (0))</f>
      </c>
      <c r="D1499" s="22" t="s">
        <v>1217</v>
      </c>
      <c r="E1499" s="22"/>
      <c r="F1499" s="22">
        <f>C1499*E1499</f>
      </c>
    </row>
    <row r="1500">
      <c r="A1500" s="5"/>
      <c r="B1500" s="14" t="s">
        <v>1220</v>
      </c>
      <c r="C1500" s="22">
        <f>(1)*(1)*(1)*(1)*(1 + (0))</f>
      </c>
      <c r="D1500" s="22" t="s">
        <v>1217</v>
      </c>
      <c r="E1500" s="22"/>
      <c r="F1500" s="22">
        <f>C1500*E1500</f>
      </c>
    </row>
    <row r="1501">
      <c r="A1501" s="5"/>
      <c r="B1501" s="14" t="s">
        <v>1221</v>
      </c>
      <c r="C1501" s="22">
        <f>(1)*(1)*(1)*(1)*(1 + (0))</f>
      </c>
      <c r="D1501" s="22" t="s">
        <v>1217</v>
      </c>
      <c r="E1501" s="22"/>
      <c r="F1501" s="22">
        <f>C1501*E1501</f>
      </c>
    </row>
    <row r="1502">
      <c r="A1502" s="5"/>
      <c r="B1502" s="14" t="s">
        <v>1222</v>
      </c>
      <c r="C1502" s="22">
        <f>(1)*(1)*(1)*(1)*(1 + (0))</f>
      </c>
      <c r="D1502" s="22" t="s">
        <v>1217</v>
      </c>
      <c r="E1502" s="22"/>
      <c r="F1502" s="22">
        <f>C1502*E1502</f>
      </c>
    </row>
    <row r="1503">
      <c r="A1503" s="5"/>
      <c r="B1503" s="14" t="s">
        <v>1223</v>
      </c>
      <c r="C1503" s="22">
        <f>(3)*(1)*(1)*(1)*(1 + (0))</f>
      </c>
      <c r="D1503" s="22" t="s">
        <v>1217</v>
      </c>
      <c r="E1503" s="22"/>
      <c r="F1503" s="22">
        <f>C1503*E1503</f>
      </c>
    </row>
    <row r="1504">
      <c r="A1504" s="2"/>
      <c r="B1504" s="10" t="s">
        <v>1224</v>
      </c>
      <c r="C1504" s="19"/>
      <c r="D1504" s="19"/>
      <c r="E1504" s="19"/>
      <c r="F1504" s="19"/>
    </row>
    <row r="1505">
      <c r="A1505" s="3"/>
      <c r="B1505" s="11" t="s">
        <v>37</v>
      </c>
      <c r="C1505" s="20"/>
      <c r="D1505" s="20"/>
      <c r="E1505" s="20"/>
      <c r="F1505" s="20"/>
    </row>
    <row r="1506">
      <c r="A1506" s="5" t="s">
        <v>1225</v>
      </c>
      <c r="B1506" s="14" t="s">
        <v>39</v>
      </c>
      <c r="C1506" s="22"/>
      <c r="D1506" s="22" t="s">
        <v>10</v>
      </c>
      <c r="E1506" s="22"/>
      <c r="F1506" s="22">
        <f>C1506*E1506</f>
      </c>
    </row>
    <row r="1507">
      <c r="A1507" s="5" t="s">
        <v>1226</v>
      </c>
      <c r="B1507" s="14" t="s">
        <v>41</v>
      </c>
      <c r="C1507" s="22"/>
      <c r="D1507" s="22" t="s">
        <v>10</v>
      </c>
      <c r="E1507" s="22"/>
      <c r="F1507" s="22">
        <f>C1507*E1507</f>
      </c>
    </row>
    <row r="1508">
      <c r="A1508" s="3"/>
      <c r="B1508" s="11" t="s">
        <v>42</v>
      </c>
      <c r="C1508" s="20"/>
      <c r="D1508" s="20"/>
      <c r="E1508" s="20"/>
      <c r="F1508" s="20"/>
    </row>
    <row r="1509">
      <c r="A1509" s="5"/>
      <c r="B1509" s="14" t="s">
        <v>1227</v>
      </c>
      <c r="C1509" s="22"/>
      <c r="D1509" s="22" t="s">
        <v>10</v>
      </c>
      <c r="E1509" s="22"/>
      <c r="F1509" s="22">
        <f>C1509*E1509</f>
      </c>
    </row>
    <row r="1510">
      <c r="A1510" s="5"/>
      <c r="B1510" s="14" t="s">
        <v>1058</v>
      </c>
      <c r="C1510" s="22"/>
      <c r="D1510" s="22" t="s">
        <v>10</v>
      </c>
      <c r="E1510" s="22"/>
      <c r="F1510" s="22">
        <f>C1510*E1510</f>
      </c>
    </row>
    <row r="1511">
      <c r="A1511" s="5"/>
      <c r="B1511" s="14" t="s">
        <v>1228</v>
      </c>
      <c r="C1511" s="22"/>
      <c r="D1511" s="22" t="s">
        <v>10</v>
      </c>
      <c r="E1511" s="22"/>
      <c r="F1511" s="22">
        <f>C1511*E1511</f>
      </c>
    </row>
    <row r="1512">
      <c r="A1512" s="3"/>
      <c r="B1512" s="11" t="s">
        <v>44</v>
      </c>
      <c r="C1512" s="20"/>
      <c r="D1512" s="20"/>
      <c r="E1512" s="20"/>
      <c r="F1512" s="20"/>
    </row>
    <row r="1513">
      <c r="A1513" s="4"/>
      <c r="B1513" s="12" t="s">
        <v>45</v>
      </c>
      <c r="C1513" s="21"/>
      <c r="D1513" s="21"/>
      <c r="E1513" s="21"/>
      <c r="F1513" s="21"/>
    </row>
    <row r="1514">
      <c r="A1514" s="5" t="s">
        <v>1229</v>
      </c>
      <c r="B1514" s="13" t="s">
        <v>528</v>
      </c>
      <c r="C1514" s="22"/>
      <c r="D1514" s="22" t="s">
        <v>10</v>
      </c>
      <c r="E1514" s="22"/>
      <c r="F1514" s="22">
        <f>C1514*E1514</f>
      </c>
    </row>
    <row r="1515">
      <c r="A1515" s="5" t="s">
        <v>1230</v>
      </c>
      <c r="B1515" s="13" t="s">
        <v>530</v>
      </c>
      <c r="C1515" s="22"/>
      <c r="D1515" s="22" t="s">
        <v>10</v>
      </c>
      <c r="E1515" s="22"/>
      <c r="F1515" s="22">
        <f>C1515*E1515</f>
      </c>
    </row>
    <row r="1516">
      <c r="A1516" s="5" t="s">
        <v>1231</v>
      </c>
      <c r="B1516" s="13" t="s">
        <v>1232</v>
      </c>
      <c r="C1516" s="22"/>
      <c r="D1516" s="22" t="s">
        <v>10</v>
      </c>
      <c r="E1516" s="22"/>
      <c r="F1516" s="22">
        <f>C1516*E1516</f>
      </c>
    </row>
    <row r="1517">
      <c r="A1517" s="5" t="s">
        <v>1233</v>
      </c>
      <c r="B1517" s="13" t="s">
        <v>853</v>
      </c>
      <c r="C1517" s="22"/>
      <c r="D1517" s="22" t="s">
        <v>10</v>
      </c>
      <c r="E1517" s="22"/>
      <c r="F1517" s="22">
        <f>C1517*E1517</f>
      </c>
    </row>
    <row r="1518">
      <c r="A1518" s="5" t="s">
        <v>1234</v>
      </c>
      <c r="B1518" s="13" t="s">
        <v>538</v>
      </c>
      <c r="C1518" s="22"/>
      <c r="D1518" s="22" t="s">
        <v>10</v>
      </c>
      <c r="E1518" s="22"/>
      <c r="F1518" s="22">
        <f>C1518*E1518</f>
      </c>
    </row>
    <row r="1519">
      <c r="A1519" s="5" t="s">
        <v>1235</v>
      </c>
      <c r="B1519" s="13" t="s">
        <v>123</v>
      </c>
      <c r="C1519" s="22"/>
      <c r="D1519" s="22" t="s">
        <v>10</v>
      </c>
      <c r="E1519" s="22"/>
      <c r="F1519" s="22">
        <f>C1519*E1519</f>
      </c>
    </row>
    <row r="1520">
      <c r="A1520" s="3"/>
      <c r="B1520" s="11" t="s">
        <v>68</v>
      </c>
      <c r="C1520" s="20"/>
      <c r="D1520" s="20"/>
      <c r="E1520" s="20"/>
      <c r="F1520" s="20"/>
    </row>
    <row r="1521">
      <c r="A1521" s="5" t="s">
        <v>1236</v>
      </c>
      <c r="B1521" s="14" t="s">
        <v>543</v>
      </c>
      <c r="C1521" s="22">
        <f>(1)*(1)*(1)*(1)*(1 + (0))</f>
      </c>
      <c r="D1521" s="22" t="s">
        <v>71</v>
      </c>
      <c r="E1521" s="22"/>
      <c r="F1521" s="22">
        <f>C1521*E1521</f>
      </c>
    </row>
    <row r="1522">
      <c r="A1522" s="5" t="s">
        <v>1237</v>
      </c>
      <c r="B1522" s="14" t="s">
        <v>136</v>
      </c>
      <c r="C1522" s="22">
        <f>(1)*(1)*(1)*(1)*(1 + (0))</f>
      </c>
      <c r="D1522" s="22" t="s">
        <v>71</v>
      </c>
      <c r="E1522" s="22"/>
      <c r="F1522" s="22">
        <f>C1522*E1522</f>
      </c>
    </row>
    <row r="1523">
      <c r="A1523" s="5" t="s">
        <v>1238</v>
      </c>
      <c r="B1523" s="14" t="s">
        <v>1239</v>
      </c>
      <c r="C1523" s="22">
        <f>(1)*(1)*(1)*(1)*(1 + (0))</f>
      </c>
      <c r="D1523" s="22" t="s">
        <v>71</v>
      </c>
      <c r="E1523" s="22"/>
      <c r="F1523" s="22">
        <f>C1523*E1523</f>
      </c>
    </row>
    <row r="1524">
      <c r="A1524" s="5" t="s">
        <v>1240</v>
      </c>
      <c r="B1524" s="14" t="s">
        <v>798</v>
      </c>
      <c r="C1524" s="22">
        <f>(1)*(1)*(1)*(1)*(1 + (0))</f>
      </c>
      <c r="D1524" s="22" t="s">
        <v>71</v>
      </c>
      <c r="E1524" s="22"/>
      <c r="F1524" s="22">
        <f>C1524*E1524</f>
      </c>
    </row>
    <row r="1525">
      <c r="A1525" s="5" t="s">
        <v>1241</v>
      </c>
      <c r="B1525" s="14" t="s">
        <v>70</v>
      </c>
      <c r="C1525" s="22">
        <f>(1)*(1)*(1)*(1)*(1 + (0))</f>
      </c>
      <c r="D1525" s="22" t="s">
        <v>71</v>
      </c>
      <c r="E1525" s="22"/>
      <c r="F1525" s="22">
        <f>C1525*E1525</f>
      </c>
    </row>
    <row r="1526">
      <c r="A1526" s="5" t="s">
        <v>1242</v>
      </c>
      <c r="B1526" s="14" t="s">
        <v>665</v>
      </c>
      <c r="C1526" s="22">
        <f>(1)*(1)*(1)*(1)*(1 + (0))</f>
      </c>
      <c r="D1526" s="22" t="s">
        <v>71</v>
      </c>
      <c r="E1526" s="22"/>
      <c r="F1526" s="22">
        <f>C1526*E1526</f>
      </c>
    </row>
    <row r="1527">
      <c r="A1527" s="3"/>
      <c r="B1527" s="11" t="s">
        <v>1243</v>
      </c>
      <c r="C1527" s="20"/>
      <c r="D1527" s="20"/>
      <c r="E1527" s="20"/>
      <c r="F1527" s="20"/>
    </row>
    <row r="1528">
      <c r="A1528" s="4"/>
      <c r="B1528" s="12" t="s">
        <v>1244</v>
      </c>
      <c r="C1528" s="21"/>
      <c r="D1528" s="21"/>
      <c r="E1528" s="21"/>
      <c r="F1528" s="21"/>
    </row>
    <row r="1529">
      <c r="A1529" s="5"/>
      <c r="B1529" s="13" t="s">
        <v>1245</v>
      </c>
      <c r="C1529" s="22">
        <f>(18)*(1)*(1)*(1)*(1 + (0))</f>
      </c>
      <c r="D1529" s="22" t="s">
        <v>153</v>
      </c>
      <c r="E1529" s="22"/>
      <c r="F1529" s="22">
        <f>C1529*E1529</f>
      </c>
    </row>
    <row r="1530">
      <c r="A1530" s="5"/>
      <c r="B1530" s="13" t="s">
        <v>1246</v>
      </c>
      <c r="C1530" s="22">
        <f>(27)*(1)*(1)*(1)*(1 + (0))</f>
      </c>
      <c r="D1530" s="22" t="s">
        <v>153</v>
      </c>
      <c r="E1530" s="22"/>
      <c r="F1530" s="22">
        <f>C1530*E1530</f>
      </c>
    </row>
    <row r="1531">
      <c r="A1531" s="4"/>
      <c r="B1531" s="12" t="s">
        <v>1247</v>
      </c>
      <c r="C1531" s="21"/>
      <c r="D1531" s="21"/>
      <c r="E1531" s="21"/>
      <c r="F1531" s="21"/>
    </row>
    <row r="1532">
      <c r="A1532" s="5"/>
      <c r="B1532" s="13" t="s">
        <v>1245</v>
      </c>
      <c r="C1532" s="22">
        <f>(69)*(1)*(1)*(1)*(1 + (0))</f>
      </c>
      <c r="D1532" s="22" t="s">
        <v>153</v>
      </c>
      <c r="E1532" s="22"/>
      <c r="F1532" s="22">
        <f>C1532*E1532</f>
      </c>
    </row>
    <row r="1533">
      <c r="A1533" s="5"/>
      <c r="B1533" s="13" t="s">
        <v>1248</v>
      </c>
      <c r="C1533" s="22">
        <f>(60)*(1)*(1)*(1)*(1 + (0))</f>
      </c>
      <c r="D1533" s="22" t="s">
        <v>153</v>
      </c>
      <c r="E1533" s="22"/>
      <c r="F1533" s="22">
        <f>C1533*E1533</f>
      </c>
    </row>
    <row r="1534">
      <c r="A1534" s="3"/>
      <c r="B1534" s="11" t="s">
        <v>1249</v>
      </c>
      <c r="C1534" s="20"/>
      <c r="D1534" s="20"/>
      <c r="E1534" s="20"/>
      <c r="F1534" s="20"/>
    </row>
    <row r="1535">
      <c r="A1535" s="4"/>
      <c r="B1535" s="12" t="s">
        <v>1247</v>
      </c>
      <c r="C1535" s="21"/>
      <c r="D1535" s="21"/>
      <c r="E1535" s="21"/>
      <c r="F1535" s="21"/>
    </row>
    <row r="1536">
      <c r="A1536" s="5"/>
      <c r="B1536" s="13" t="s">
        <v>1250</v>
      </c>
      <c r="C1536" s="22">
        <f>(256)*(1)*(1)*(1)*(1 + (0))</f>
      </c>
      <c r="D1536" s="22" t="s">
        <v>24</v>
      </c>
      <c r="E1536" s="22"/>
      <c r="F1536" s="22">
        <f>C1536*E1536</f>
      </c>
    </row>
    <row r="1537">
      <c r="A1537" s="3"/>
      <c r="B1537" s="11" t="s">
        <v>1251</v>
      </c>
      <c r="C1537" s="20"/>
      <c r="D1537" s="20"/>
      <c r="E1537" s="20"/>
      <c r="F1537" s="20"/>
    </row>
    <row r="1538">
      <c r="A1538" s="4"/>
      <c r="B1538" s="12" t="s">
        <v>1244</v>
      </c>
      <c r="C1538" s="21"/>
      <c r="D1538" s="21"/>
      <c r="E1538" s="21"/>
      <c r="F1538" s="21"/>
    </row>
    <row r="1539">
      <c r="A1539" s="5"/>
      <c r="B1539" s="13" t="s">
        <v>1252</v>
      </c>
      <c r="C1539" s="22">
        <f>(28)*(1)*(1)*(1)*(1 + (0))</f>
      </c>
      <c r="D1539" s="22" t="s">
        <v>153</v>
      </c>
      <c r="E1539" s="22"/>
      <c r="F1539" s="22">
        <f>C1539*E1539</f>
      </c>
    </row>
    <row r="1540">
      <c r="A1540" s="4"/>
      <c r="B1540" s="12" t="s">
        <v>1247</v>
      </c>
      <c r="C1540" s="21"/>
      <c r="D1540" s="21"/>
      <c r="E1540" s="21"/>
      <c r="F1540" s="21"/>
    </row>
    <row r="1541">
      <c r="A1541" s="5"/>
      <c r="B1541" s="13" t="s">
        <v>1252</v>
      </c>
      <c r="C1541" s="22">
        <f>(14)*(1)*(1)*(1)*(1 + (0))</f>
      </c>
      <c r="D1541" s="22" t="s">
        <v>153</v>
      </c>
      <c r="E1541" s="22"/>
      <c r="F1541" s="22">
        <f>C1541*E1541</f>
      </c>
    </row>
    <row r="1542">
      <c r="A1542" s="3"/>
      <c r="B1542" s="11" t="s">
        <v>1253</v>
      </c>
      <c r="C1542" s="20"/>
      <c r="D1542" s="20"/>
      <c r="E1542" s="20"/>
      <c r="F1542" s="20"/>
    </row>
    <row r="1543">
      <c r="A1543" s="4"/>
      <c r="B1543" s="12" t="s">
        <v>1247</v>
      </c>
      <c r="C1543" s="21"/>
      <c r="D1543" s="21"/>
      <c r="E1543" s="21"/>
      <c r="F1543" s="21"/>
    </row>
    <row r="1544">
      <c r="A1544" s="5"/>
      <c r="B1544" s="13" t="s">
        <v>1254</v>
      </c>
      <c r="C1544" s="22">
        <f>(38)*(1)*(1)*(1)*(1 + (0))</f>
      </c>
      <c r="D1544" s="22" t="s">
        <v>153</v>
      </c>
      <c r="E1544" s="22"/>
      <c r="F1544" s="22">
        <f>C1544*E1544</f>
      </c>
    </row>
    <row r="1545">
      <c r="A1545" s="3"/>
      <c r="B1545" s="11" t="s">
        <v>1255</v>
      </c>
      <c r="C1545" s="20"/>
      <c r="D1545" s="20"/>
      <c r="E1545" s="20"/>
      <c r="F1545" s="20"/>
    </row>
    <row r="1546">
      <c r="A1546" s="4"/>
      <c r="B1546" s="12" t="s">
        <v>1256</v>
      </c>
      <c r="C1546" s="21"/>
      <c r="D1546" s="21"/>
      <c r="E1546" s="21"/>
      <c r="F1546" s="21"/>
    </row>
    <row r="1547">
      <c r="A1547" s="6"/>
      <c r="B1547" s="15" t="s">
        <v>1257</v>
      </c>
      <c r="C1547" s="23"/>
      <c r="D1547" s="23"/>
      <c r="E1547" s="23"/>
      <c r="F1547" s="23"/>
    </row>
    <row r="1548">
      <c r="A1548" s="5"/>
      <c r="B1548" s="16" t="s">
        <v>1258</v>
      </c>
      <c r="C1548" s="22">
        <f>(5)*(1)*(1)*(1)*(1 + (0))</f>
      </c>
      <c r="D1548" s="22" t="s">
        <v>162</v>
      </c>
      <c r="E1548" s="22"/>
      <c r="F1548" s="22">
        <f>C1548*E1548</f>
      </c>
    </row>
    <row r="1549">
      <c r="A1549" s="5"/>
      <c r="B1549" s="16" t="s">
        <v>1259</v>
      </c>
      <c r="C1549" s="22">
        <f>(12)*(1)*(1)*(1)*(1 + (0))</f>
      </c>
      <c r="D1549" s="22" t="s">
        <v>162</v>
      </c>
      <c r="E1549" s="22"/>
      <c r="F1549" s="22">
        <f>C1549*E1549</f>
      </c>
    </row>
    <row r="1550">
      <c r="A1550" s="6"/>
      <c r="B1550" s="15" t="s">
        <v>1260</v>
      </c>
      <c r="C1550" s="23"/>
      <c r="D1550" s="23"/>
      <c r="E1550" s="23"/>
      <c r="F1550" s="23"/>
    </row>
    <row r="1551">
      <c r="A1551" s="5"/>
      <c r="B1551" s="16" t="s">
        <v>1261</v>
      </c>
      <c r="C1551" s="22">
        <f>(15)*(1)*(1)*(1)*(1 + (0))</f>
      </c>
      <c r="D1551" s="22" t="s">
        <v>162</v>
      </c>
      <c r="E1551" s="22"/>
      <c r="F1551" s="22">
        <f>C1551*E1551</f>
      </c>
    </row>
    <row r="1552">
      <c r="A1552" s="5"/>
      <c r="B1552" s="16" t="s">
        <v>1262</v>
      </c>
      <c r="C1552" s="22">
        <f>(10)*(1)*(1)*(1)*(1 + (0))</f>
      </c>
      <c r="D1552" s="22" t="s">
        <v>162</v>
      </c>
      <c r="E1552" s="22"/>
      <c r="F1552" s="22">
        <f>C1552*E1552</f>
      </c>
    </row>
    <row r="1553">
      <c r="A1553" s="5"/>
      <c r="B1553" s="16" t="s">
        <v>1263</v>
      </c>
      <c r="C1553" s="22">
        <f>(1)*(1)*(1)*(1)*(1 + (0))</f>
      </c>
      <c r="D1553" s="22" t="s">
        <v>162</v>
      </c>
      <c r="E1553" s="22"/>
      <c r="F1553" s="22">
        <f>C1553*E1553</f>
      </c>
    </row>
    <row r="1554">
      <c r="A1554" s="4"/>
      <c r="B1554" s="12" t="s">
        <v>1264</v>
      </c>
      <c r="C1554" s="21"/>
      <c r="D1554" s="21"/>
      <c r="E1554" s="21"/>
      <c r="F1554" s="21"/>
    </row>
    <row r="1555">
      <c r="A1555" s="6"/>
      <c r="B1555" s="15" t="s">
        <v>1257</v>
      </c>
      <c r="C1555" s="23"/>
      <c r="D1555" s="23"/>
      <c r="E1555" s="23"/>
      <c r="F1555" s="23"/>
    </row>
    <row r="1556">
      <c r="A1556" s="5"/>
      <c r="B1556" s="16" t="s">
        <v>1265</v>
      </c>
      <c r="C1556" s="22">
        <f>(3)*(1)*(1)*(1)*(1 + (0))</f>
      </c>
      <c r="D1556" s="22" t="s">
        <v>162</v>
      </c>
      <c r="E1556" s="22"/>
      <c r="F1556" s="22">
        <f>C1556*E1556</f>
      </c>
    </row>
    <row r="1557">
      <c r="A1557" s="5"/>
      <c r="B1557" s="16" t="s">
        <v>1259</v>
      </c>
      <c r="C1557" s="22">
        <f>(18)*(1)*(1)*(1)*(1 + (0))</f>
      </c>
      <c r="D1557" s="22" t="s">
        <v>162</v>
      </c>
      <c r="E1557" s="22"/>
      <c r="F1557" s="22">
        <f>C1557*E1557</f>
      </c>
    </row>
    <row r="1558">
      <c r="A1558" s="6"/>
      <c r="B1558" s="15" t="s">
        <v>1260</v>
      </c>
      <c r="C1558" s="23"/>
      <c r="D1558" s="23"/>
      <c r="E1558" s="23"/>
      <c r="F1558" s="23"/>
    </row>
    <row r="1559">
      <c r="A1559" s="5"/>
      <c r="B1559" s="16" t="s">
        <v>1266</v>
      </c>
      <c r="C1559" s="22">
        <f>(18)*(1)*(1)*(1)*(1 + (0))</f>
      </c>
      <c r="D1559" s="22" t="s">
        <v>162</v>
      </c>
      <c r="E1559" s="22"/>
      <c r="F1559" s="22">
        <f>C1559*E1559</f>
      </c>
    </row>
    <row r="1560">
      <c r="A1560" s="5"/>
      <c r="B1560" s="16" t="s">
        <v>1267</v>
      </c>
      <c r="C1560" s="22">
        <f>(18)*(1)*(1)*(1)*(1 + (0))</f>
      </c>
      <c r="D1560" s="22" t="s">
        <v>162</v>
      </c>
      <c r="E1560" s="22"/>
      <c r="F1560" s="22">
        <f>C1560*E1560</f>
      </c>
    </row>
    <row r="1561">
      <c r="A1561" s="5"/>
      <c r="B1561" s="16" t="s">
        <v>1268</v>
      </c>
      <c r="C1561" s="22">
        <f>(1)*(1)*(1)*(1)*(1 + (0))</f>
      </c>
      <c r="D1561" s="22" t="s">
        <v>162</v>
      </c>
      <c r="E1561" s="22"/>
      <c r="F1561" s="22">
        <f>C1561*E1561</f>
      </c>
    </row>
    <row r="1562">
      <c r="A1562" s="3"/>
      <c r="B1562" s="11" t="s">
        <v>1269</v>
      </c>
      <c r="C1562" s="20"/>
      <c r="D1562" s="20"/>
      <c r="E1562" s="20"/>
      <c r="F1562" s="20"/>
    </row>
    <row r="1563">
      <c r="A1563" s="4"/>
      <c r="B1563" s="12" t="s">
        <v>1270</v>
      </c>
      <c r="C1563" s="21"/>
      <c r="D1563" s="21"/>
      <c r="E1563" s="21"/>
      <c r="F1563" s="21"/>
    </row>
    <row r="1564">
      <c r="A1564" s="5"/>
      <c r="B1564" s="13" t="s">
        <v>993</v>
      </c>
      <c r="C1564" s="22">
        <f>(506)*(1)*(1)*(1)*(1 + (0))</f>
      </c>
      <c r="D1564" s="22" t="s">
        <v>153</v>
      </c>
      <c r="E1564" s="22"/>
      <c r="F1564" s="22">
        <f>C1564*E1564</f>
      </c>
    </row>
    <row r="1565">
      <c r="A1565" s="5"/>
      <c r="B1565" s="13" t="s">
        <v>991</v>
      </c>
      <c r="C1565" s="22">
        <f>(283)*(1)*(1)*(1)*(1 + (0))</f>
      </c>
      <c r="D1565" s="22" t="s">
        <v>153</v>
      </c>
      <c r="E1565" s="22"/>
      <c r="F1565" s="22">
        <f>C1565*E1565</f>
      </c>
    </row>
    <row r="1566">
      <c r="A1566" s="3"/>
      <c r="B1566" s="11" t="s">
        <v>1271</v>
      </c>
      <c r="C1566" s="20"/>
      <c r="D1566" s="20"/>
      <c r="E1566" s="20"/>
      <c r="F1566" s="20"/>
    </row>
    <row r="1567">
      <c r="A1567" s="4"/>
      <c r="B1567" s="12" t="s">
        <v>1272</v>
      </c>
      <c r="C1567" s="21"/>
      <c r="D1567" s="21"/>
      <c r="E1567" s="21"/>
      <c r="F1567" s="21"/>
    </row>
    <row r="1568">
      <c r="A1568" s="5"/>
      <c r="B1568" s="13" t="s">
        <v>1273</v>
      </c>
      <c r="C1568" s="22">
        <f>(56)*(1)*(1)*(1)*(1 + (0))</f>
      </c>
      <c r="D1568" s="22" t="s">
        <v>153</v>
      </c>
      <c r="E1568" s="22"/>
      <c r="F1568" s="22">
        <f>C1568*E1568</f>
      </c>
    </row>
    <row r="1569">
      <c r="A1569" s="5"/>
      <c r="B1569" s="13" t="s">
        <v>1274</v>
      </c>
      <c r="C1569" s="22">
        <f>(56)*(1)*(1)*(1)*(1 + (0))</f>
      </c>
      <c r="D1569" s="22" t="s">
        <v>153</v>
      </c>
      <c r="E1569" s="22"/>
      <c r="F1569" s="22">
        <f>C1569*E1569</f>
      </c>
    </row>
    <row r="1570">
      <c r="A1570" s="3"/>
      <c r="B1570" s="11" t="s">
        <v>1275</v>
      </c>
      <c r="C1570" s="20"/>
      <c r="D1570" s="20"/>
      <c r="E1570" s="20"/>
      <c r="F1570" s="20"/>
    </row>
    <row r="1571">
      <c r="A1571" s="4"/>
      <c r="B1571" s="12" t="s">
        <v>1276</v>
      </c>
      <c r="C1571" s="21"/>
      <c r="D1571" s="21"/>
      <c r="E1571" s="21"/>
      <c r="F1571" s="21"/>
    </row>
    <row r="1572">
      <c r="A1572" s="6"/>
      <c r="B1572" s="15" t="s">
        <v>1277</v>
      </c>
      <c r="C1572" s="23"/>
      <c r="D1572" s="23"/>
      <c r="E1572" s="23"/>
      <c r="F1572" s="23"/>
    </row>
    <row r="1573">
      <c r="A1573" s="5"/>
      <c r="B1573" s="16" t="s">
        <v>613</v>
      </c>
      <c r="C1573" s="22">
        <f>(2)*(1)*(1)*(1)*(1 + (0))</f>
      </c>
      <c r="D1573" s="22" t="s">
        <v>162</v>
      </c>
      <c r="E1573" s="22"/>
      <c r="F1573" s="22">
        <f>C1573*E1573</f>
      </c>
    </row>
    <row r="1574">
      <c r="A1574" s="6"/>
      <c r="B1574" s="15" t="s">
        <v>1278</v>
      </c>
      <c r="C1574" s="23"/>
      <c r="D1574" s="23"/>
      <c r="E1574" s="23"/>
      <c r="F1574" s="23"/>
    </row>
    <row r="1575">
      <c r="A1575" s="5"/>
      <c r="B1575" s="16" t="s">
        <v>676</v>
      </c>
      <c r="C1575" s="22">
        <f>(2)*(1)*(1)*(1)*(1 + (0))</f>
      </c>
      <c r="D1575" s="22" t="s">
        <v>162</v>
      </c>
      <c r="E1575" s="22"/>
      <c r="F1575" s="22">
        <f>C1575*E1575</f>
      </c>
    </row>
    <row r="1576">
      <c r="A1576" s="2"/>
      <c r="B1576" s="10" t="s">
        <v>1279</v>
      </c>
      <c r="C1576" s="19"/>
      <c r="D1576" s="19"/>
      <c r="E1576" s="19"/>
      <c r="F1576" s="19"/>
    </row>
    <row r="1577">
      <c r="A1577" s="3"/>
      <c r="B1577" s="11" t="s">
        <v>37</v>
      </c>
      <c r="C1577" s="20"/>
      <c r="D1577" s="20"/>
      <c r="E1577" s="20"/>
      <c r="F1577" s="20"/>
    </row>
    <row r="1578">
      <c r="A1578" s="5" t="s">
        <v>1225</v>
      </c>
      <c r="B1578" s="14" t="s">
        <v>39</v>
      </c>
      <c r="C1578" s="22"/>
      <c r="D1578" s="22" t="s">
        <v>10</v>
      </c>
      <c r="E1578" s="22"/>
      <c r="F1578" s="22">
        <f>C1578*E1578</f>
      </c>
    </row>
    <row r="1579">
      <c r="A1579" s="5" t="s">
        <v>1226</v>
      </c>
      <c r="B1579" s="14" t="s">
        <v>41</v>
      </c>
      <c r="C1579" s="22"/>
      <c r="D1579" s="22" t="s">
        <v>10</v>
      </c>
      <c r="E1579" s="22"/>
      <c r="F1579" s="22">
        <f>C1579*E1579</f>
      </c>
    </row>
    <row r="1580">
      <c r="A1580" s="3"/>
      <c r="B1580" s="11" t="s">
        <v>42</v>
      </c>
      <c r="C1580" s="20"/>
      <c r="D1580" s="20"/>
      <c r="E1580" s="20"/>
      <c r="F1580" s="20"/>
    </row>
    <row r="1581">
      <c r="A1581" s="5"/>
      <c r="B1581" s="14" t="s">
        <v>1280</v>
      </c>
      <c r="C1581" s="22"/>
      <c r="D1581" s="22" t="s">
        <v>10</v>
      </c>
      <c r="E1581" s="22"/>
      <c r="F1581" s="22">
        <f>C1581*E1581</f>
      </c>
    </row>
    <row r="1582">
      <c r="A1582" s="5"/>
      <c r="B1582" s="14" t="s">
        <v>1228</v>
      </c>
      <c r="C1582" s="22"/>
      <c r="D1582" s="22" t="s">
        <v>10</v>
      </c>
      <c r="E1582" s="22"/>
      <c r="F1582" s="22">
        <f>C1582*E1582</f>
      </c>
    </row>
    <row r="1583">
      <c r="A1583" s="5"/>
      <c r="B1583" s="14" t="s">
        <v>694</v>
      </c>
      <c r="C1583" s="22"/>
      <c r="D1583" s="22" t="s">
        <v>10</v>
      </c>
      <c r="E1583" s="22"/>
      <c r="F1583" s="22">
        <f>C1583*E1583</f>
      </c>
    </row>
    <row r="1584">
      <c r="A1584" s="3"/>
      <c r="B1584" s="11" t="s">
        <v>44</v>
      </c>
      <c r="C1584" s="20"/>
      <c r="D1584" s="20"/>
      <c r="E1584" s="20"/>
      <c r="F1584" s="20"/>
    </row>
    <row r="1585">
      <c r="A1585" s="4"/>
      <c r="B1585" s="12" t="s">
        <v>45</v>
      </c>
      <c r="C1585" s="21"/>
      <c r="D1585" s="21"/>
      <c r="E1585" s="21"/>
      <c r="F1585" s="21"/>
    </row>
    <row r="1586">
      <c r="A1586" s="5" t="s">
        <v>1229</v>
      </c>
      <c r="B1586" s="13" t="s">
        <v>528</v>
      </c>
      <c r="C1586" s="22"/>
      <c r="D1586" s="22" t="s">
        <v>10</v>
      </c>
      <c r="E1586" s="22"/>
      <c r="F1586" s="22">
        <f>C1586*E1586</f>
      </c>
    </row>
    <row r="1587">
      <c r="A1587" s="5" t="s">
        <v>1230</v>
      </c>
      <c r="B1587" s="13" t="s">
        <v>530</v>
      </c>
      <c r="C1587" s="22"/>
      <c r="D1587" s="22" t="s">
        <v>10</v>
      </c>
      <c r="E1587" s="22"/>
      <c r="F1587" s="22">
        <f>C1587*E1587</f>
      </c>
    </row>
    <row r="1588">
      <c r="A1588" s="5" t="s">
        <v>1231</v>
      </c>
      <c r="B1588" s="13" t="s">
        <v>1232</v>
      </c>
      <c r="C1588" s="22"/>
      <c r="D1588" s="22" t="s">
        <v>10</v>
      </c>
      <c r="E1588" s="22"/>
      <c r="F1588" s="22">
        <f>C1588*E1588</f>
      </c>
    </row>
    <row r="1589">
      <c r="A1589" s="5" t="s">
        <v>1233</v>
      </c>
      <c r="B1589" s="13" t="s">
        <v>853</v>
      </c>
      <c r="C1589" s="22"/>
      <c r="D1589" s="22" t="s">
        <v>10</v>
      </c>
      <c r="E1589" s="22"/>
      <c r="F1589" s="22">
        <f>C1589*E1589</f>
      </c>
    </row>
    <row r="1590">
      <c r="A1590" s="5" t="s">
        <v>1234</v>
      </c>
      <c r="B1590" s="13" t="s">
        <v>538</v>
      </c>
      <c r="C1590" s="22"/>
      <c r="D1590" s="22" t="s">
        <v>10</v>
      </c>
      <c r="E1590" s="22"/>
      <c r="F1590" s="22">
        <f>C1590*E1590</f>
      </c>
    </row>
    <row r="1591">
      <c r="A1591" s="5" t="s">
        <v>1235</v>
      </c>
      <c r="B1591" s="13" t="s">
        <v>123</v>
      </c>
      <c r="C1591" s="22"/>
      <c r="D1591" s="22" t="s">
        <v>10</v>
      </c>
      <c r="E1591" s="22"/>
      <c r="F1591" s="22">
        <f>C1591*E1591</f>
      </c>
    </row>
    <row r="1592">
      <c r="A1592" s="3"/>
      <c r="B1592" s="11" t="s">
        <v>68</v>
      </c>
      <c r="C1592" s="20"/>
      <c r="D1592" s="20"/>
      <c r="E1592" s="20"/>
      <c r="F1592" s="20"/>
    </row>
    <row r="1593">
      <c r="A1593" s="5" t="s">
        <v>1236</v>
      </c>
      <c r="B1593" s="14" t="s">
        <v>543</v>
      </c>
      <c r="C1593" s="22">
        <f>(1)*(1)*(1)*(1)*(1 + (0))</f>
      </c>
      <c r="D1593" s="22" t="s">
        <v>71</v>
      </c>
      <c r="E1593" s="22"/>
      <c r="F1593" s="22">
        <f>C1593*E1593</f>
      </c>
    </row>
    <row r="1594">
      <c r="A1594" s="5" t="s">
        <v>1237</v>
      </c>
      <c r="B1594" s="14" t="s">
        <v>136</v>
      </c>
      <c r="C1594" s="22">
        <f>(1)*(1)*(1)*(1)*(1 + (0))</f>
      </c>
      <c r="D1594" s="22" t="s">
        <v>71</v>
      </c>
      <c r="E1594" s="22"/>
      <c r="F1594" s="22">
        <f>C1594*E1594</f>
      </c>
    </row>
    <row r="1595">
      <c r="A1595" s="5" t="s">
        <v>1238</v>
      </c>
      <c r="B1595" s="14" t="s">
        <v>1239</v>
      </c>
      <c r="C1595" s="22">
        <f>(1)*(1)*(1)*(1)*(1 + (0))</f>
      </c>
      <c r="D1595" s="22" t="s">
        <v>71</v>
      </c>
      <c r="E1595" s="22"/>
      <c r="F1595" s="22">
        <f>C1595*E1595</f>
      </c>
    </row>
    <row r="1596">
      <c r="A1596" s="5" t="s">
        <v>1240</v>
      </c>
      <c r="B1596" s="14" t="s">
        <v>798</v>
      </c>
      <c r="C1596" s="22">
        <f>(1)*(1)*(1)*(1)*(1 + (0))</f>
      </c>
      <c r="D1596" s="22" t="s">
        <v>71</v>
      </c>
      <c r="E1596" s="22"/>
      <c r="F1596" s="22">
        <f>C1596*E1596</f>
      </c>
    </row>
    <row r="1597">
      <c r="A1597" s="5" t="s">
        <v>1241</v>
      </c>
      <c r="B1597" s="14" t="s">
        <v>70</v>
      </c>
      <c r="C1597" s="22">
        <f>(1)*(1)*(1)*(1)*(1 + (0))</f>
      </c>
      <c r="D1597" s="22" t="s">
        <v>71</v>
      </c>
      <c r="E1597" s="22"/>
      <c r="F1597" s="22">
        <f>C1597*E1597</f>
      </c>
    </row>
    <row r="1598">
      <c r="A1598" s="5" t="s">
        <v>1242</v>
      </c>
      <c r="B1598" s="14" t="s">
        <v>665</v>
      </c>
      <c r="C1598" s="22">
        <f>(1)*(1)*(1)*(1)*(1 + (0))</f>
      </c>
      <c r="D1598" s="22" t="s">
        <v>71</v>
      </c>
      <c r="E1598" s="22"/>
      <c r="F1598" s="22">
        <f>C1598*E1598</f>
      </c>
    </row>
    <row r="1599">
      <c r="A1599" s="3"/>
      <c r="B1599" s="11" t="s">
        <v>1281</v>
      </c>
      <c r="C1599" s="20"/>
      <c r="D1599" s="20"/>
      <c r="E1599" s="20"/>
      <c r="F1599" s="20"/>
    </row>
    <row r="1600">
      <c r="A1600" s="4"/>
      <c r="B1600" s="12" t="s">
        <v>1244</v>
      </c>
      <c r="C1600" s="21"/>
      <c r="D1600" s="21"/>
      <c r="E1600" s="21"/>
      <c r="F1600" s="21"/>
    </row>
    <row r="1601">
      <c r="A1601" s="5"/>
      <c r="B1601" s="13" t="s">
        <v>1282</v>
      </c>
      <c r="C1601" s="22">
        <f>(1)*(1)*(1)*(1)*(1 + (0))</f>
      </c>
      <c r="D1601" s="22" t="s">
        <v>1217</v>
      </c>
      <c r="E1601" s="22"/>
      <c r="F1601" s="22">
        <f>C1601*E1601</f>
      </c>
    </row>
    <row r="1602">
      <c r="A1602" s="5"/>
      <c r="B1602" s="13" t="s">
        <v>1283</v>
      </c>
      <c r="C1602" s="22">
        <f>(1)*(1)*(1)*(1)*(1 + (0))</f>
      </c>
      <c r="D1602" s="22" t="s">
        <v>1217</v>
      </c>
      <c r="E1602" s="22"/>
      <c r="F1602" s="22">
        <f>C1602*E1602</f>
      </c>
    </row>
    <row r="1603">
      <c r="A1603" s="2"/>
      <c r="B1603" s="10" t="s">
        <v>1284</v>
      </c>
      <c r="C1603" s="19"/>
      <c r="D1603" s="19"/>
      <c r="E1603" s="19"/>
      <c r="F1603" s="19"/>
    </row>
    <row r="1604">
      <c r="A1604" s="3"/>
      <c r="B1604" s="11" t="s">
        <v>37</v>
      </c>
      <c r="C1604" s="20"/>
      <c r="D1604" s="20"/>
      <c r="E1604" s="20"/>
      <c r="F1604" s="20"/>
    </row>
    <row r="1605">
      <c r="A1605" s="5" t="s">
        <v>1285</v>
      </c>
      <c r="B1605" s="14" t="s">
        <v>39</v>
      </c>
      <c r="C1605" s="22"/>
      <c r="D1605" s="22" t="s">
        <v>10</v>
      </c>
      <c r="E1605" s="22"/>
      <c r="F1605" s="22">
        <f>C1605*E1605</f>
      </c>
    </row>
    <row r="1606">
      <c r="A1606" s="5" t="s">
        <v>1286</v>
      </c>
      <c r="B1606" s="14" t="s">
        <v>41</v>
      </c>
      <c r="C1606" s="22"/>
      <c r="D1606" s="22" t="s">
        <v>10</v>
      </c>
      <c r="E1606" s="22"/>
      <c r="F1606" s="22">
        <f>C1606*E1606</f>
      </c>
    </row>
    <row r="1607">
      <c r="A1607" s="3"/>
      <c r="B1607" s="11" t="s">
        <v>42</v>
      </c>
      <c r="C1607" s="20"/>
      <c r="D1607" s="20"/>
      <c r="E1607" s="20"/>
      <c r="F1607" s="20"/>
    </row>
    <row r="1608">
      <c r="A1608" s="5"/>
      <c r="B1608" s="14" t="s">
        <v>1287</v>
      </c>
      <c r="C1608" s="22"/>
      <c r="D1608" s="22" t="s">
        <v>10</v>
      </c>
      <c r="E1608" s="22"/>
      <c r="F1608" s="22">
        <f>C1608*E1608</f>
      </c>
    </row>
    <row r="1609">
      <c r="A1609" s="5"/>
      <c r="B1609" s="14" t="s">
        <v>1288</v>
      </c>
      <c r="C1609" s="22"/>
      <c r="D1609" s="22" t="s">
        <v>10</v>
      </c>
      <c r="E1609" s="22"/>
      <c r="F1609" s="22">
        <f>C1609*E1609</f>
      </c>
    </row>
    <row r="1610">
      <c r="A1610" s="5"/>
      <c r="B1610" s="14" t="s">
        <v>1289</v>
      </c>
      <c r="C1610" s="22"/>
      <c r="D1610" s="22" t="s">
        <v>10</v>
      </c>
      <c r="E1610" s="22"/>
      <c r="F1610" s="22">
        <f>C1610*E1610</f>
      </c>
    </row>
    <row r="1611">
      <c r="A1611" s="5"/>
      <c r="B1611" s="14" t="s">
        <v>1290</v>
      </c>
      <c r="C1611" s="22"/>
      <c r="D1611" s="22" t="s">
        <v>10</v>
      </c>
      <c r="E1611" s="22"/>
      <c r="F1611" s="22">
        <f>C1611*E1611</f>
      </c>
    </row>
    <row r="1612">
      <c r="A1612" s="3"/>
      <c r="B1612" s="11" t="s">
        <v>44</v>
      </c>
      <c r="C1612" s="20"/>
      <c r="D1612" s="20"/>
      <c r="E1612" s="20"/>
      <c r="F1612" s="20"/>
    </row>
    <row r="1613">
      <c r="A1613" s="4"/>
      <c r="B1613" s="12" t="s">
        <v>45</v>
      </c>
      <c r="C1613" s="21"/>
      <c r="D1613" s="21"/>
      <c r="E1613" s="21"/>
      <c r="F1613" s="21"/>
    </row>
    <row r="1614">
      <c r="A1614" s="5" t="s">
        <v>1291</v>
      </c>
      <c r="B1614" s="13" t="s">
        <v>767</v>
      </c>
      <c r="C1614" s="22"/>
      <c r="D1614" s="22" t="s">
        <v>10</v>
      </c>
      <c r="E1614" s="22"/>
      <c r="F1614" s="22">
        <f>C1614*E1614</f>
      </c>
    </row>
    <row r="1615">
      <c r="A1615" s="5" t="s">
        <v>1292</v>
      </c>
      <c r="B1615" s="13" t="s">
        <v>123</v>
      </c>
      <c r="C1615" s="22"/>
      <c r="D1615" s="22" t="s">
        <v>10</v>
      </c>
      <c r="E1615" s="22"/>
      <c r="F1615" s="22">
        <f>C1615*E1615</f>
      </c>
    </row>
    <row r="1616">
      <c r="A1616" s="3"/>
      <c r="B1616" s="11" t="s">
        <v>68</v>
      </c>
      <c r="C1616" s="20"/>
      <c r="D1616" s="20"/>
      <c r="E1616" s="20"/>
      <c r="F1616" s="20"/>
    </row>
    <row r="1617">
      <c r="A1617" s="5" t="s">
        <v>1293</v>
      </c>
      <c r="B1617" s="14" t="s">
        <v>230</v>
      </c>
      <c r="C1617" s="22">
        <f>(1)*(1)*(1)*(1)*(1 + (0))</f>
      </c>
      <c r="D1617" s="22" t="s">
        <v>71</v>
      </c>
      <c r="E1617" s="22"/>
      <c r="F1617" s="22">
        <f>C1617*E1617</f>
      </c>
    </row>
    <row r="1618">
      <c r="A1618" s="5" t="s">
        <v>1294</v>
      </c>
      <c r="B1618" s="14" t="s">
        <v>70</v>
      </c>
      <c r="C1618" s="22">
        <f>(1)*(1)*(1)*(1)*(1 + (0))</f>
      </c>
      <c r="D1618" s="22" t="s">
        <v>71</v>
      </c>
      <c r="E1618" s="22"/>
      <c r="F1618" s="22">
        <f>C1618*E1618</f>
      </c>
    </row>
    <row r="1619">
      <c r="A1619" s="5" t="s">
        <v>1295</v>
      </c>
      <c r="B1619" s="14" t="s">
        <v>906</v>
      </c>
      <c r="C1619" s="22">
        <f>(1)*(1)*(1)*(1)*(1 + (0))</f>
      </c>
      <c r="D1619" s="22" t="s">
        <v>71</v>
      </c>
      <c r="E1619" s="22"/>
      <c r="F1619" s="22">
        <f>C1619*E1619</f>
      </c>
    </row>
    <row r="1620">
      <c r="A1620" s="5" t="s">
        <v>1296</v>
      </c>
      <c r="B1620" s="14" t="s">
        <v>665</v>
      </c>
      <c r="C1620" s="22">
        <f>(1)*(1)*(1)*(1)*(1 + (0))</f>
      </c>
      <c r="D1620" s="22" t="s">
        <v>71</v>
      </c>
      <c r="E1620" s="22"/>
      <c r="F1620" s="22">
        <f>C1620*E1620</f>
      </c>
    </row>
    <row r="1621">
      <c r="A1621" s="3"/>
      <c r="B1621" s="11" t="s">
        <v>1297</v>
      </c>
      <c r="C1621" s="20"/>
      <c r="D1621" s="20"/>
      <c r="E1621" s="20"/>
      <c r="F1621" s="20"/>
    </row>
    <row r="1622">
      <c r="A1622" s="4"/>
      <c r="B1622" s="12" t="s">
        <v>1298</v>
      </c>
      <c r="C1622" s="21"/>
      <c r="D1622" s="21"/>
      <c r="E1622" s="21"/>
      <c r="F1622" s="21"/>
    </row>
    <row r="1623">
      <c r="A1623" s="5"/>
      <c r="B1623" s="13" t="s">
        <v>1299</v>
      </c>
      <c r="C1623" s="22">
        <f>(3)*(1)*(1)*(1)*(1 + (0))</f>
      </c>
      <c r="D1623" s="22" t="s">
        <v>153</v>
      </c>
      <c r="E1623" s="22"/>
      <c r="F1623" s="22">
        <f>C1623*E1623</f>
      </c>
    </row>
    <row r="1624">
      <c r="A1624" s="5"/>
      <c r="B1624" s="13" t="s">
        <v>1300</v>
      </c>
      <c r="C1624" s="22">
        <f>(28)*(1)*(1)*(1)*(1 + (0))</f>
      </c>
      <c r="D1624" s="22" t="s">
        <v>153</v>
      </c>
      <c r="E1624" s="22"/>
      <c r="F1624" s="22">
        <f>C1624*E1624</f>
      </c>
    </row>
    <row r="1625">
      <c r="A1625" s="2"/>
      <c r="B1625" s="10" t="s">
        <v>1301</v>
      </c>
      <c r="C1625" s="19"/>
      <c r="D1625" s="19"/>
      <c r="E1625" s="19"/>
      <c r="F1625" s="19"/>
    </row>
    <row r="1626">
      <c r="A1626" s="3"/>
      <c r="B1626" s="11" t="s">
        <v>37</v>
      </c>
      <c r="C1626" s="20"/>
      <c r="D1626" s="20"/>
      <c r="E1626" s="20"/>
      <c r="F1626" s="20"/>
    </row>
    <row r="1627">
      <c r="A1627" s="5" t="s">
        <v>1302</v>
      </c>
      <c r="B1627" s="14" t="s">
        <v>39</v>
      </c>
      <c r="C1627" s="22"/>
      <c r="D1627" s="22" t="s">
        <v>10</v>
      </c>
      <c r="E1627" s="22"/>
      <c r="F1627" s="22">
        <f>C1627*E1627</f>
      </c>
    </row>
    <row r="1628">
      <c r="A1628" s="5" t="s">
        <v>1303</v>
      </c>
      <c r="B1628" s="14" t="s">
        <v>41</v>
      </c>
      <c r="C1628" s="22"/>
      <c r="D1628" s="22" t="s">
        <v>10</v>
      </c>
      <c r="E1628" s="22"/>
      <c r="F1628" s="22">
        <f>C1628*E1628</f>
      </c>
    </row>
    <row r="1629">
      <c r="A1629" s="3"/>
      <c r="B1629" s="11" t="s">
        <v>42</v>
      </c>
      <c r="C1629" s="20"/>
      <c r="D1629" s="20"/>
      <c r="E1629" s="20"/>
      <c r="F1629" s="20"/>
    </row>
    <row r="1630">
      <c r="A1630" s="5"/>
      <c r="B1630" s="14" t="s">
        <v>1009</v>
      </c>
      <c r="C1630" s="22"/>
      <c r="D1630" s="22" t="s">
        <v>10</v>
      </c>
      <c r="E1630" s="22"/>
      <c r="F1630" s="22">
        <f>C1630*E1630</f>
      </c>
    </row>
    <row r="1631">
      <c r="A1631" s="5"/>
      <c r="B1631" s="14" t="s">
        <v>762</v>
      </c>
      <c r="C1631" s="22"/>
      <c r="D1631" s="22" t="s">
        <v>10</v>
      </c>
      <c r="E1631" s="22"/>
      <c r="F1631" s="22">
        <f>C1631*E1631</f>
      </c>
    </row>
    <row r="1632">
      <c r="A1632" s="5"/>
      <c r="B1632" s="14" t="s">
        <v>763</v>
      </c>
      <c r="C1632" s="22"/>
      <c r="D1632" s="22" t="s">
        <v>10</v>
      </c>
      <c r="E1632" s="22"/>
      <c r="F1632" s="22">
        <f>C1632*E1632</f>
      </c>
    </row>
    <row r="1633">
      <c r="A1633" s="5"/>
      <c r="B1633" s="14" t="s">
        <v>1010</v>
      </c>
      <c r="C1633" s="22"/>
      <c r="D1633" s="22" t="s">
        <v>10</v>
      </c>
      <c r="E1633" s="22"/>
      <c r="F1633" s="22">
        <f>C1633*E1633</f>
      </c>
    </row>
    <row r="1634">
      <c r="A1634" s="5"/>
      <c r="B1634" s="14" t="s">
        <v>1304</v>
      </c>
      <c r="C1634" s="22"/>
      <c r="D1634" s="22" t="s">
        <v>10</v>
      </c>
      <c r="E1634" s="22"/>
      <c r="F1634" s="22">
        <f>C1634*E1634</f>
      </c>
    </row>
    <row r="1635">
      <c r="A1635" s="3"/>
      <c r="B1635" s="11" t="s">
        <v>44</v>
      </c>
      <c r="C1635" s="20"/>
      <c r="D1635" s="20"/>
      <c r="E1635" s="20"/>
      <c r="F1635" s="20"/>
    </row>
    <row r="1636">
      <c r="A1636" s="4"/>
      <c r="B1636" s="12" t="s">
        <v>45</v>
      </c>
      <c r="C1636" s="21"/>
      <c r="D1636" s="21"/>
      <c r="E1636" s="21"/>
      <c r="F1636" s="21"/>
    </row>
    <row r="1637">
      <c r="A1637" s="5" t="s">
        <v>1305</v>
      </c>
      <c r="B1637" s="13" t="s">
        <v>1306</v>
      </c>
      <c r="C1637" s="22"/>
      <c r="D1637" s="22" t="s">
        <v>10</v>
      </c>
      <c r="E1637" s="22"/>
      <c r="F1637" s="22">
        <f>C1637*E1637</f>
      </c>
    </row>
    <row r="1638">
      <c r="A1638" s="5" t="s">
        <v>1307</v>
      </c>
      <c r="B1638" s="13" t="s">
        <v>1308</v>
      </c>
      <c r="C1638" s="22"/>
      <c r="D1638" s="22" t="s">
        <v>10</v>
      </c>
      <c r="E1638" s="22"/>
      <c r="F1638" s="22">
        <f>C1638*E1638</f>
      </c>
    </row>
    <row r="1639">
      <c r="A1639" s="5" t="s">
        <v>1309</v>
      </c>
      <c r="B1639" s="13" t="s">
        <v>1310</v>
      </c>
      <c r="C1639" s="22"/>
      <c r="D1639" s="22" t="s">
        <v>10</v>
      </c>
      <c r="E1639" s="22"/>
      <c r="F1639" s="22">
        <f>C1639*E1639</f>
      </c>
    </row>
    <row r="1640">
      <c r="A1640" s="5" t="s">
        <v>1311</v>
      </c>
      <c r="B1640" s="13" t="s">
        <v>1312</v>
      </c>
      <c r="C1640" s="22"/>
      <c r="D1640" s="22" t="s">
        <v>10</v>
      </c>
      <c r="E1640" s="22"/>
      <c r="F1640" s="22">
        <f>C1640*E1640</f>
      </c>
    </row>
    <row r="1641">
      <c r="A1641" s="5" t="s">
        <v>1313</v>
      </c>
      <c r="B1641" s="13" t="s">
        <v>1314</v>
      </c>
      <c r="C1641" s="22"/>
      <c r="D1641" s="22" t="s">
        <v>10</v>
      </c>
      <c r="E1641" s="22"/>
      <c r="F1641" s="22">
        <f>C1641*E1641</f>
      </c>
    </row>
    <row r="1642">
      <c r="A1642" s="5" t="s">
        <v>1315</v>
      </c>
      <c r="B1642" s="13" t="s">
        <v>1316</v>
      </c>
      <c r="C1642" s="22"/>
      <c r="D1642" s="22" t="s">
        <v>10</v>
      </c>
      <c r="E1642" s="22"/>
      <c r="F1642" s="22">
        <f>C1642*E1642</f>
      </c>
    </row>
    <row r="1643">
      <c r="A1643" s="5" t="s">
        <v>1317</v>
      </c>
      <c r="B1643" s="13" t="s">
        <v>1318</v>
      </c>
      <c r="C1643" s="22"/>
      <c r="D1643" s="22" t="s">
        <v>10</v>
      </c>
      <c r="E1643" s="22"/>
      <c r="F1643" s="22">
        <f>C1643*E1643</f>
      </c>
    </row>
    <row r="1644">
      <c r="A1644" s="5" t="s">
        <v>1319</v>
      </c>
      <c r="B1644" s="13" t="s">
        <v>123</v>
      </c>
      <c r="C1644" s="22"/>
      <c r="D1644" s="22" t="s">
        <v>10</v>
      </c>
      <c r="E1644" s="22"/>
      <c r="F1644" s="22">
        <f>C1644*E1644</f>
      </c>
    </row>
    <row r="1645">
      <c r="A1645" s="3"/>
      <c r="B1645" s="11" t="s">
        <v>68</v>
      </c>
      <c r="C1645" s="20"/>
      <c r="D1645" s="20"/>
      <c r="E1645" s="20"/>
      <c r="F1645" s="20"/>
    </row>
    <row r="1646">
      <c r="A1646" s="5" t="s">
        <v>1320</v>
      </c>
      <c r="B1646" s="14" t="s">
        <v>75</v>
      </c>
      <c r="C1646" s="22">
        <f>(1)*(1)*(1)*(1)*(1 + (0))</f>
      </c>
      <c r="D1646" s="22" t="s">
        <v>71</v>
      </c>
      <c r="E1646" s="22"/>
      <c r="F1646" s="22">
        <f>C1646*E1646</f>
      </c>
    </row>
    <row r="1647">
      <c r="A1647" s="5" t="s">
        <v>1321</v>
      </c>
      <c r="B1647" s="14" t="s">
        <v>1322</v>
      </c>
      <c r="C1647" s="22">
        <f>(1)*(1)*(1)*(1)*(1 + (0))</f>
      </c>
      <c r="D1647" s="22" t="s">
        <v>71</v>
      </c>
      <c r="E1647" s="22"/>
      <c r="F1647" s="22">
        <f>C1647*E1647</f>
      </c>
    </row>
    <row r="1648">
      <c r="A1648" s="5" t="s">
        <v>1323</v>
      </c>
      <c r="B1648" s="14" t="s">
        <v>1324</v>
      </c>
      <c r="C1648" s="22">
        <f>(1)*(1)*(1)*(1)*(1 + (0))</f>
      </c>
      <c r="D1648" s="22" t="s">
        <v>71</v>
      </c>
      <c r="E1648" s="22"/>
      <c r="F1648" s="22">
        <f>C1648*E1648</f>
      </c>
    </row>
    <row r="1649">
      <c r="A1649" s="5" t="s">
        <v>1325</v>
      </c>
      <c r="B1649" s="14" t="s">
        <v>230</v>
      </c>
      <c r="C1649" s="22">
        <f>(1)*(1)*(1)*(1)*(1 + (0))</f>
      </c>
      <c r="D1649" s="22" t="s">
        <v>71</v>
      </c>
      <c r="E1649" s="22"/>
      <c r="F1649" s="22">
        <f>C1649*E1649</f>
      </c>
    </row>
    <row r="1650">
      <c r="A1650" s="5" t="s">
        <v>1326</v>
      </c>
      <c r="B1650" s="14" t="s">
        <v>800</v>
      </c>
      <c r="C1650" s="22">
        <f>(1)*(1)*(1)*(1)*(1 + (0))</f>
      </c>
      <c r="D1650" s="22" t="s">
        <v>71</v>
      </c>
      <c r="E1650" s="22"/>
      <c r="F1650" s="22">
        <f>C1650*E1650</f>
      </c>
    </row>
    <row r="1651">
      <c r="A1651" s="5" t="s">
        <v>1327</v>
      </c>
      <c r="B1651" s="14" t="s">
        <v>73</v>
      </c>
      <c r="C1651" s="22">
        <f>(1)*(1)*(1)*(1)*(1 + (0))</f>
      </c>
      <c r="D1651" s="22" t="s">
        <v>71</v>
      </c>
      <c r="E1651" s="22"/>
      <c r="F1651" s="22">
        <f>C1651*E1651</f>
      </c>
    </row>
    <row r="1652">
      <c r="A1652" s="5" t="s">
        <v>1328</v>
      </c>
      <c r="B1652" s="14" t="s">
        <v>70</v>
      </c>
      <c r="C1652" s="22">
        <f>(1)*(1)*(1)*(1)*(1 + (0))</f>
      </c>
      <c r="D1652" s="22" t="s">
        <v>71</v>
      </c>
      <c r="E1652" s="22"/>
      <c r="F1652" s="22">
        <f>C1652*E1652</f>
      </c>
    </row>
    <row r="1653">
      <c r="A1653" s="5" t="s">
        <v>1329</v>
      </c>
      <c r="B1653" s="14" t="s">
        <v>1330</v>
      </c>
      <c r="C1653" s="22">
        <f>(1)*(1)*(1)*(1)*(1 + (0))</f>
      </c>
      <c r="D1653" s="22" t="s">
        <v>71</v>
      </c>
      <c r="E1653" s="22"/>
      <c r="F1653" s="22">
        <f>C1653*E1653</f>
      </c>
    </row>
    <row r="1654">
      <c r="A1654" s="5" t="s">
        <v>1331</v>
      </c>
      <c r="B1654" s="14" t="s">
        <v>665</v>
      </c>
      <c r="C1654" s="22">
        <f>(1)*(1)*(1)*(1)*(1 + (0))</f>
      </c>
      <c r="D1654" s="22" t="s">
        <v>71</v>
      </c>
      <c r="E1654" s="22"/>
      <c r="F1654" s="22">
        <f>C1654*E1654</f>
      </c>
    </row>
    <row r="1655">
      <c r="A1655" s="3"/>
      <c r="B1655" s="11" t="s">
        <v>106</v>
      </c>
      <c r="C1655" s="20"/>
      <c r="D1655" s="20"/>
      <c r="E1655" s="20"/>
      <c r="F1655" s="20"/>
    </row>
    <row r="1656">
      <c r="A1656" s="5"/>
      <c r="B1656" s="14" t="s">
        <v>1332</v>
      </c>
      <c r="C1656" s="22"/>
      <c r="D1656" s="22" t="s">
        <v>1333</v>
      </c>
      <c r="E1656" s="22"/>
      <c r="F1656" s="22">
        <f>C1656*E1656</f>
      </c>
    </row>
    <row r="1657">
      <c r="A1657" s="5"/>
      <c r="B1657" s="14" t="s">
        <v>1334</v>
      </c>
      <c r="C1657" s="22"/>
      <c r="D1657" s="22" t="s">
        <v>1335</v>
      </c>
      <c r="E1657" s="22"/>
      <c r="F1657" s="22">
        <f>C1657*E1657</f>
      </c>
    </row>
    <row r="1658">
      <c r="A1658" s="3"/>
      <c r="B1658" s="11" t="s">
        <v>1336</v>
      </c>
      <c r="C1658" s="20"/>
      <c r="D1658" s="20"/>
      <c r="E1658" s="20"/>
      <c r="F1658" s="20"/>
    </row>
    <row r="1659">
      <c r="A1659" s="4"/>
      <c r="B1659" s="12" t="s">
        <v>1337</v>
      </c>
      <c r="C1659" s="21"/>
      <c r="D1659" s="21"/>
      <c r="E1659" s="21"/>
      <c r="F1659" s="21"/>
    </row>
    <row r="1660">
      <c r="A1660" s="6"/>
      <c r="B1660" s="15" t="s">
        <v>1338</v>
      </c>
      <c r="C1660" s="23"/>
      <c r="D1660" s="23"/>
      <c r="E1660" s="23"/>
      <c r="F1660" s="23"/>
    </row>
    <row r="1661">
      <c r="A1661" s="5"/>
      <c r="B1661" s="16" t="s">
        <v>1339</v>
      </c>
      <c r="C1661" s="22"/>
      <c r="D1661" s="22"/>
      <c r="E1661" s="22"/>
      <c r="F1661" s="22"/>
    </row>
    <row r="1662">
      <c r="A1662" s="5"/>
      <c r="B1662" s="17" t="s">
        <v>23</v>
      </c>
      <c r="C1662" s="22">
        <f>(373)*(1)*(1)*(1)*(1 + (0))</f>
      </c>
      <c r="D1662" s="22" t="s">
        <v>24</v>
      </c>
      <c r="E1662" s="22"/>
      <c r="F1662" s="22">
        <f>C1662*E1662</f>
      </c>
    </row>
    <row r="1663">
      <c r="A1663" s="5"/>
      <c r="B1663" s="17" t="s">
        <v>25</v>
      </c>
      <c r="C1663" s="22">
        <f>(445)*(1)*(1)*(1)*(1 + (0))</f>
      </c>
      <c r="D1663" s="22" t="s">
        <v>24</v>
      </c>
      <c r="E1663" s="22"/>
      <c r="F1663" s="22">
        <f>C1663*E1663</f>
      </c>
    </row>
    <row r="1664">
      <c r="A1664" s="5"/>
      <c r="B1664" s="16" t="s">
        <v>1340</v>
      </c>
      <c r="C1664" s="22"/>
      <c r="D1664" s="22"/>
      <c r="E1664" s="22"/>
      <c r="F1664" s="22"/>
    </row>
    <row r="1665">
      <c r="A1665" s="5"/>
      <c r="B1665" s="17" t="s">
        <v>23</v>
      </c>
      <c r="C1665" s="22">
        <f>(466)*(1)*(1)*(1)*(1 + (0))</f>
      </c>
      <c r="D1665" s="22" t="s">
        <v>24</v>
      </c>
      <c r="E1665" s="22"/>
      <c r="F1665" s="22">
        <f>C1665*E1665</f>
      </c>
    </row>
    <row r="1666">
      <c r="A1666" s="5"/>
      <c r="B1666" s="17" t="s">
        <v>25</v>
      </c>
      <c r="C1666" s="22">
        <f>(737)*(1)*(1)*(1)*(1 + (0))</f>
      </c>
      <c r="D1666" s="22" t="s">
        <v>24</v>
      </c>
      <c r="E1666" s="22"/>
      <c r="F1666" s="22">
        <f>C1666*E1666</f>
      </c>
    </row>
    <row r="1667">
      <c r="A1667" s="5"/>
      <c r="B1667" s="16" t="s">
        <v>1341</v>
      </c>
      <c r="C1667" s="22"/>
      <c r="D1667" s="22"/>
      <c r="E1667" s="22"/>
      <c r="F1667" s="22"/>
    </row>
    <row r="1668">
      <c r="A1668" s="5"/>
      <c r="B1668" s="17" t="s">
        <v>23</v>
      </c>
      <c r="C1668" s="22">
        <f>(28)*(1)*(1)*(1)*(1 + (0))</f>
      </c>
      <c r="D1668" s="22" t="s">
        <v>24</v>
      </c>
      <c r="E1668" s="22"/>
      <c r="F1668" s="22">
        <f>C1668*E1668</f>
      </c>
    </row>
    <row r="1669">
      <c r="A1669" s="5"/>
      <c r="B1669" s="16" t="s">
        <v>1342</v>
      </c>
      <c r="C1669" s="22"/>
      <c r="D1669" s="22"/>
      <c r="E1669" s="22"/>
      <c r="F1669" s="22"/>
    </row>
    <row r="1670">
      <c r="A1670" s="5"/>
      <c r="B1670" s="17" t="s">
        <v>23</v>
      </c>
      <c r="C1670" s="22">
        <f>(11)*(1)*(1)*(1)*(1 + (0))</f>
      </c>
      <c r="D1670" s="22" t="s">
        <v>24</v>
      </c>
      <c r="E1670" s="22"/>
      <c r="F1670" s="22">
        <f>C1670*E1670</f>
      </c>
    </row>
    <row r="1671">
      <c r="A1671" s="5"/>
      <c r="B1671" s="17" t="s">
        <v>25</v>
      </c>
      <c r="C1671" s="22">
        <f>(143)*(1)*(1)*(1)*(1 + (0))</f>
      </c>
      <c r="D1671" s="22" t="s">
        <v>24</v>
      </c>
      <c r="E1671" s="22"/>
      <c r="F1671" s="22">
        <f>C1671*E1671</f>
      </c>
    </row>
    <row r="1672">
      <c r="A1672" s="5"/>
      <c r="B1672" s="16" t="s">
        <v>1343</v>
      </c>
      <c r="C1672" s="22"/>
      <c r="D1672" s="22"/>
      <c r="E1672" s="22"/>
      <c r="F1672" s="22"/>
    </row>
    <row r="1673">
      <c r="A1673" s="5"/>
      <c r="B1673" s="17" t="s">
        <v>23</v>
      </c>
      <c r="C1673" s="22">
        <f>(119)*(1)*(1)*(1)*(1 + (0))</f>
      </c>
      <c r="D1673" s="22" t="s">
        <v>24</v>
      </c>
      <c r="E1673" s="22"/>
      <c r="F1673" s="22">
        <f>C1673*E1673</f>
      </c>
    </row>
    <row r="1674">
      <c r="A1674" s="5"/>
      <c r="B1674" s="17" t="s">
        <v>25</v>
      </c>
      <c r="C1674" s="22">
        <f>(18)*(1)*(1)*(1)*(1 + (0))</f>
      </c>
      <c r="D1674" s="22" t="s">
        <v>24</v>
      </c>
      <c r="E1674" s="22"/>
      <c r="F1674" s="22">
        <f>C1674*E1674</f>
      </c>
    </row>
    <row r="1675">
      <c r="A1675" s="5"/>
      <c r="B1675" s="16" t="s">
        <v>1344</v>
      </c>
      <c r="C1675" s="22"/>
      <c r="D1675" s="22"/>
      <c r="E1675" s="22"/>
      <c r="F1675" s="22"/>
    </row>
    <row r="1676">
      <c r="A1676" s="5"/>
      <c r="B1676" s="17" t="s">
        <v>23</v>
      </c>
      <c r="C1676" s="22">
        <f>(46)*(1)*(1)*(1)*(1 + (0))</f>
      </c>
      <c r="D1676" s="22" t="s">
        <v>24</v>
      </c>
      <c r="E1676" s="22"/>
      <c r="F1676" s="22">
        <f>C1676*E1676</f>
      </c>
    </row>
    <row r="1677">
      <c r="A1677" s="5"/>
      <c r="B1677" s="16" t="s">
        <v>1345</v>
      </c>
      <c r="C1677" s="22"/>
      <c r="D1677" s="22"/>
      <c r="E1677" s="22"/>
      <c r="F1677" s="22"/>
    </row>
    <row r="1678">
      <c r="A1678" s="5"/>
      <c r="B1678" s="17" t="s">
        <v>23</v>
      </c>
      <c r="C1678" s="22">
        <f>(282)*(1)*(1)*(1)*(1 + (0))</f>
      </c>
      <c r="D1678" s="22" t="s">
        <v>24</v>
      </c>
      <c r="E1678" s="22"/>
      <c r="F1678" s="22">
        <f>C1678*E1678</f>
      </c>
    </row>
    <row r="1679">
      <c r="A1679" s="4"/>
      <c r="B1679" s="12" t="s">
        <v>1346</v>
      </c>
      <c r="C1679" s="21"/>
      <c r="D1679" s="21"/>
      <c r="E1679" s="21"/>
      <c r="F1679" s="21"/>
    </row>
    <row r="1680">
      <c r="A1680" s="6"/>
      <c r="B1680" s="15" t="s">
        <v>1347</v>
      </c>
      <c r="C1680" s="23"/>
      <c r="D1680" s="23"/>
      <c r="E1680" s="23"/>
      <c r="F1680" s="23"/>
    </row>
    <row r="1681">
      <c r="A1681" s="5"/>
      <c r="B1681" s="16" t="s">
        <v>23</v>
      </c>
      <c r="C1681" s="22">
        <f>(25)*(1)*(1)*(1)*(1 + (0))</f>
      </c>
      <c r="D1681" s="22" t="s">
        <v>24</v>
      </c>
      <c r="E1681" s="22"/>
      <c r="F1681" s="22">
        <f>C1681*E1681</f>
      </c>
    </row>
    <row r="1682">
      <c r="A1682" s="5"/>
      <c r="B1682" s="16" t="s">
        <v>25</v>
      </c>
      <c r="C1682" s="22">
        <f>(15)*(1)*(1)*(1)*(1 + (0))</f>
      </c>
      <c r="D1682" s="22" t="s">
        <v>24</v>
      </c>
      <c r="E1682" s="22"/>
      <c r="F1682" s="22">
        <f>C1682*E1682</f>
      </c>
    </row>
    <row r="1683">
      <c r="A1683" s="4"/>
      <c r="B1683" s="12" t="s">
        <v>1348</v>
      </c>
      <c r="C1683" s="21"/>
      <c r="D1683" s="21"/>
      <c r="E1683" s="21"/>
      <c r="F1683" s="21"/>
    </row>
    <row r="1684">
      <c r="A1684" s="6"/>
      <c r="B1684" s="15" t="s">
        <v>1349</v>
      </c>
      <c r="C1684" s="23"/>
      <c r="D1684" s="23"/>
      <c r="E1684" s="23"/>
      <c r="F1684" s="23"/>
    </row>
    <row r="1685">
      <c r="A1685" s="5"/>
      <c r="B1685" s="16" t="s">
        <v>23</v>
      </c>
      <c r="C1685" s="22">
        <f>(76)*(1)*(1)*(1)*(1 + (0))</f>
      </c>
      <c r="D1685" s="22" t="s">
        <v>153</v>
      </c>
      <c r="E1685" s="22"/>
      <c r="F1685" s="22">
        <f>C1685*E1685</f>
      </c>
    </row>
    <row r="1686">
      <c r="A1686" s="5"/>
      <c r="B1686" s="16" t="s">
        <v>25</v>
      </c>
      <c r="C1686" s="22">
        <f>(69)*(1)*(1)*(1)*(1 + (0))</f>
      </c>
      <c r="D1686" s="22" t="s">
        <v>153</v>
      </c>
      <c r="E1686" s="22"/>
      <c r="F1686" s="22">
        <f>C1686*E1686</f>
      </c>
    </row>
    <row r="1687">
      <c r="A1687" s="3"/>
      <c r="B1687" s="11" t="s">
        <v>1350</v>
      </c>
      <c r="C1687" s="20"/>
      <c r="D1687" s="20"/>
      <c r="E1687" s="20"/>
      <c r="F1687" s="20"/>
    </row>
    <row r="1688">
      <c r="A1688" s="4"/>
      <c r="B1688" s="12" t="s">
        <v>1351</v>
      </c>
      <c r="C1688" s="21"/>
      <c r="D1688" s="21"/>
      <c r="E1688" s="21"/>
      <c r="F1688" s="21"/>
    </row>
    <row r="1689">
      <c r="A1689" s="5"/>
      <c r="B1689" s="13" t="s">
        <v>993</v>
      </c>
      <c r="C1689" s="22">
        <f>(1309)*(1)*(1)*(1)*(1 + (0))</f>
      </c>
      <c r="D1689" s="22" t="s">
        <v>24</v>
      </c>
      <c r="E1689" s="22"/>
      <c r="F1689" s="22">
        <f>C1689*E1689</f>
      </c>
    </row>
    <row r="1690">
      <c r="A1690" s="5"/>
      <c r="B1690" s="13" t="s">
        <v>991</v>
      </c>
      <c r="C1690" s="22">
        <f>(1091)*(1)*(1)*(1)*(1 + (0))</f>
      </c>
      <c r="D1690" s="22" t="s">
        <v>24</v>
      </c>
      <c r="E1690" s="22"/>
      <c r="F1690" s="22">
        <f>C1690*E1690</f>
      </c>
    </row>
    <row r="1691">
      <c r="A1691" s="3"/>
      <c r="B1691" s="11" t="s">
        <v>1352</v>
      </c>
      <c r="C1691" s="20"/>
      <c r="D1691" s="20"/>
      <c r="E1691" s="20"/>
      <c r="F1691" s="20"/>
    </row>
    <row r="1692">
      <c r="A1692" s="4"/>
      <c r="B1692" s="12" t="s">
        <v>1353</v>
      </c>
      <c r="C1692" s="21"/>
      <c r="D1692" s="21"/>
      <c r="E1692" s="21"/>
      <c r="F1692" s="21"/>
    </row>
    <row r="1693">
      <c r="A1693" s="5"/>
      <c r="B1693" s="13" t="s">
        <v>821</v>
      </c>
      <c r="C1693" s="22">
        <f>(154)*(1)*(1)*(1)*(1 + (0))</f>
      </c>
      <c r="D1693" s="22" t="s">
        <v>24</v>
      </c>
      <c r="E1693" s="22"/>
      <c r="F1693" s="22">
        <f>C1693*E1693</f>
      </c>
    </row>
    <row r="1694">
      <c r="A1694" s="4"/>
      <c r="B1694" s="12" t="s">
        <v>1354</v>
      </c>
      <c r="C1694" s="21"/>
      <c r="D1694" s="21"/>
      <c r="E1694" s="21"/>
      <c r="F1694" s="21"/>
    </row>
    <row r="1695">
      <c r="A1695" s="5"/>
      <c r="B1695" s="13" t="s">
        <v>821</v>
      </c>
      <c r="C1695" s="22">
        <f>(67)*(1)*(1)*(1)*(1 + (0))</f>
      </c>
      <c r="D1695" s="22" t="s">
        <v>24</v>
      </c>
      <c r="E1695" s="22"/>
      <c r="F1695" s="22">
        <f>C1695*E1695</f>
      </c>
    </row>
    <row r="1696">
      <c r="A1696" s="5"/>
      <c r="B1696" s="13" t="s">
        <v>822</v>
      </c>
      <c r="C1696" s="22">
        <f>(46)*(1)*(1)*(1)*(1 + (0))</f>
      </c>
      <c r="D1696" s="22" t="s">
        <v>24</v>
      </c>
      <c r="E1696" s="22"/>
      <c r="F1696" s="22">
        <f>C1696*E1696</f>
      </c>
    </row>
    <row r="1697">
      <c r="A1697" s="3"/>
      <c r="B1697" s="11" t="s">
        <v>1355</v>
      </c>
      <c r="C1697" s="20"/>
      <c r="D1697" s="20"/>
      <c r="E1697" s="20"/>
      <c r="F1697" s="20"/>
    </row>
    <row r="1698">
      <c r="A1698" s="4"/>
      <c r="B1698" s="12" t="s">
        <v>870</v>
      </c>
      <c r="C1698" s="21"/>
      <c r="D1698" s="21"/>
      <c r="E1698" s="21"/>
      <c r="F1698" s="21"/>
    </row>
    <row r="1699">
      <c r="A1699" s="6"/>
      <c r="B1699" s="15" t="s">
        <v>1356</v>
      </c>
      <c r="C1699" s="23"/>
      <c r="D1699" s="23"/>
      <c r="E1699" s="23"/>
      <c r="F1699" s="23"/>
    </row>
    <row r="1700">
      <c r="A1700" s="5"/>
      <c r="B1700" s="16" t="s">
        <v>1357</v>
      </c>
      <c r="C1700" s="22">
        <f>(4)*(1)*(1)*(1)*(1 + (0))</f>
      </c>
      <c r="D1700" s="22" t="s">
        <v>162</v>
      </c>
      <c r="E1700" s="22"/>
      <c r="F1700" s="22">
        <f>C1700*E1700</f>
      </c>
    </row>
    <row r="1701">
      <c r="A1701" s="5"/>
      <c r="B1701" s="16" t="s">
        <v>1358</v>
      </c>
      <c r="C1701" s="22">
        <f>(4)*(1)*(1)*(1)*(1 + (0))</f>
      </c>
      <c r="D1701" s="22" t="s">
        <v>162</v>
      </c>
      <c r="E1701" s="22"/>
      <c r="F1701" s="22">
        <f>C1701*E1701</f>
      </c>
    </row>
    <row r="1702">
      <c r="A1702" s="4"/>
      <c r="B1702" s="12" t="s">
        <v>889</v>
      </c>
      <c r="C1702" s="21"/>
      <c r="D1702" s="21"/>
      <c r="E1702" s="21"/>
      <c r="F1702" s="21"/>
    </row>
    <row r="1703">
      <c r="A1703" s="6"/>
      <c r="B1703" s="15" t="s">
        <v>1356</v>
      </c>
      <c r="C1703" s="23"/>
      <c r="D1703" s="23"/>
      <c r="E1703" s="23"/>
      <c r="F1703" s="23"/>
    </row>
    <row r="1704">
      <c r="A1704" s="5"/>
      <c r="B1704" s="16" t="s">
        <v>1357</v>
      </c>
      <c r="C1704" s="22">
        <f>(2)*(1)*(1)*(1)*(1 + (0))</f>
      </c>
      <c r="D1704" s="22" t="s">
        <v>162</v>
      </c>
      <c r="E1704" s="22"/>
      <c r="F1704" s="22">
        <f>C1704*E1704</f>
      </c>
    </row>
    <row r="1705">
      <c r="A1705" s="5"/>
      <c r="B1705" s="16" t="s">
        <v>1358</v>
      </c>
      <c r="C1705" s="22">
        <f>(5)*(1)*(1)*(1)*(1 + (0))</f>
      </c>
      <c r="D1705" s="22" t="s">
        <v>162</v>
      </c>
      <c r="E1705" s="22"/>
      <c r="F1705" s="22">
        <f>C1705*E1705</f>
      </c>
    </row>
    <row r="1706">
      <c r="A1706" s="3"/>
      <c r="B1706" s="11" t="s">
        <v>1359</v>
      </c>
      <c r="C1706" s="20"/>
      <c r="D1706" s="20"/>
      <c r="E1706" s="20"/>
      <c r="F1706" s="20"/>
    </row>
    <row r="1707">
      <c r="A1707" s="4"/>
      <c r="B1707" s="12" t="s">
        <v>870</v>
      </c>
      <c r="C1707" s="21"/>
      <c r="D1707" s="21"/>
      <c r="E1707" s="21"/>
      <c r="F1707" s="21"/>
    </row>
    <row r="1708">
      <c r="A1708" s="6"/>
      <c r="B1708" s="15" t="s">
        <v>1360</v>
      </c>
      <c r="C1708" s="23"/>
      <c r="D1708" s="23"/>
      <c r="E1708" s="23"/>
      <c r="F1708" s="23"/>
    </row>
    <row r="1709">
      <c r="A1709" s="5"/>
      <c r="B1709" s="16" t="s">
        <v>1358</v>
      </c>
      <c r="C1709" s="22">
        <f>(31)*(1)*(1)*(1)*(1 + (0))</f>
      </c>
      <c r="D1709" s="22" t="s">
        <v>162</v>
      </c>
      <c r="E1709" s="22"/>
      <c r="F1709" s="22">
        <f>C1709*E1709</f>
      </c>
    </row>
    <row r="1710">
      <c r="A1710" s="4"/>
      <c r="B1710" s="12" t="s">
        <v>889</v>
      </c>
      <c r="C1710" s="21"/>
      <c r="D1710" s="21"/>
      <c r="E1710" s="21"/>
      <c r="F1710" s="21"/>
    </row>
    <row r="1711">
      <c r="A1711" s="6"/>
      <c r="B1711" s="15" t="s">
        <v>1360</v>
      </c>
      <c r="C1711" s="23"/>
      <c r="D1711" s="23"/>
      <c r="E1711" s="23"/>
      <c r="F1711" s="23"/>
    </row>
    <row r="1712">
      <c r="A1712" s="5"/>
      <c r="B1712" s="16" t="s">
        <v>1357</v>
      </c>
      <c r="C1712" s="22">
        <f>(2)*(1)*(1)*(1)*(1 + (0))</f>
      </c>
      <c r="D1712" s="22" t="s">
        <v>162</v>
      </c>
      <c r="E1712" s="22"/>
      <c r="F1712" s="22">
        <f>C1712*E1712</f>
      </c>
    </row>
    <row r="1713">
      <c r="A1713" s="5"/>
      <c r="B1713" s="16" t="s">
        <v>1358</v>
      </c>
      <c r="C1713" s="22">
        <f>(3)*(1)*(1)*(1)*(1 + (0))</f>
      </c>
      <c r="D1713" s="22" t="s">
        <v>162</v>
      </c>
      <c r="E1713" s="22"/>
      <c r="F1713" s="22">
        <f>C1713*E1713</f>
      </c>
    </row>
    <row r="1714">
      <c r="A1714" s="2"/>
      <c r="B1714" s="10" t="s">
        <v>1361</v>
      </c>
      <c r="C1714" s="19"/>
      <c r="D1714" s="19"/>
      <c r="E1714" s="19"/>
      <c r="F1714" s="19"/>
    </row>
    <row r="1715">
      <c r="A1715" s="3"/>
      <c r="B1715" s="11" t="s">
        <v>37</v>
      </c>
      <c r="C1715" s="20"/>
      <c r="D1715" s="20"/>
      <c r="E1715" s="20"/>
      <c r="F1715" s="20"/>
    </row>
    <row r="1716">
      <c r="A1716" s="5" t="s">
        <v>1285</v>
      </c>
      <c r="B1716" s="14" t="s">
        <v>39</v>
      </c>
      <c r="C1716" s="22"/>
      <c r="D1716" s="22" t="s">
        <v>10</v>
      </c>
      <c r="E1716" s="22"/>
      <c r="F1716" s="22">
        <f>C1716*E1716</f>
      </c>
    </row>
    <row r="1717">
      <c r="A1717" s="5" t="s">
        <v>1286</v>
      </c>
      <c r="B1717" s="14" t="s">
        <v>41</v>
      </c>
      <c r="C1717" s="22"/>
      <c r="D1717" s="22" t="s">
        <v>10</v>
      </c>
      <c r="E1717" s="22"/>
      <c r="F1717" s="22">
        <f>C1717*E1717</f>
      </c>
    </row>
    <row r="1718">
      <c r="A1718" s="3"/>
      <c r="B1718" s="11" t="s">
        <v>42</v>
      </c>
      <c r="C1718" s="20"/>
      <c r="D1718" s="20"/>
      <c r="E1718" s="20"/>
      <c r="F1718" s="20"/>
    </row>
    <row r="1719">
      <c r="A1719" s="5"/>
      <c r="B1719" s="14" t="s">
        <v>1287</v>
      </c>
      <c r="C1719" s="22"/>
      <c r="D1719" s="22" t="s">
        <v>10</v>
      </c>
      <c r="E1719" s="22"/>
      <c r="F1719" s="22">
        <f>C1719*E1719</f>
      </c>
    </row>
    <row r="1720">
      <c r="A1720" s="5"/>
      <c r="B1720" s="14" t="s">
        <v>1288</v>
      </c>
      <c r="C1720" s="22"/>
      <c r="D1720" s="22" t="s">
        <v>10</v>
      </c>
      <c r="E1720" s="22"/>
      <c r="F1720" s="22">
        <f>C1720*E1720</f>
      </c>
    </row>
    <row r="1721">
      <c r="A1721" s="5"/>
      <c r="B1721" s="14" t="s">
        <v>1289</v>
      </c>
      <c r="C1721" s="22"/>
      <c r="D1721" s="22" t="s">
        <v>10</v>
      </c>
      <c r="E1721" s="22"/>
      <c r="F1721" s="22">
        <f>C1721*E1721</f>
      </c>
    </row>
    <row r="1722">
      <c r="A1722" s="5"/>
      <c r="B1722" s="14" t="s">
        <v>1290</v>
      </c>
      <c r="C1722" s="22"/>
      <c r="D1722" s="22" t="s">
        <v>10</v>
      </c>
      <c r="E1722" s="22"/>
      <c r="F1722" s="22">
        <f>C1722*E1722</f>
      </c>
    </row>
    <row r="1723">
      <c r="A1723" s="3"/>
      <c r="B1723" s="11" t="s">
        <v>44</v>
      </c>
      <c r="C1723" s="20"/>
      <c r="D1723" s="20"/>
      <c r="E1723" s="20"/>
      <c r="F1723" s="20"/>
    </row>
    <row r="1724">
      <c r="A1724" s="4"/>
      <c r="B1724" s="12" t="s">
        <v>45</v>
      </c>
      <c r="C1724" s="21"/>
      <c r="D1724" s="21"/>
      <c r="E1724" s="21"/>
      <c r="F1724" s="21"/>
    </row>
    <row r="1725">
      <c r="A1725" s="5" t="s">
        <v>1291</v>
      </c>
      <c r="B1725" s="13" t="s">
        <v>767</v>
      </c>
      <c r="C1725" s="22"/>
      <c r="D1725" s="22" t="s">
        <v>10</v>
      </c>
      <c r="E1725" s="22"/>
      <c r="F1725" s="22">
        <f>C1725*E1725</f>
      </c>
    </row>
    <row r="1726">
      <c r="A1726" s="5" t="s">
        <v>1292</v>
      </c>
      <c r="B1726" s="13" t="s">
        <v>123</v>
      </c>
      <c r="C1726" s="22"/>
      <c r="D1726" s="22" t="s">
        <v>10</v>
      </c>
      <c r="E1726" s="22"/>
      <c r="F1726" s="22">
        <f>C1726*E1726</f>
      </c>
    </row>
    <row r="1727">
      <c r="A1727" s="3"/>
      <c r="B1727" s="11" t="s">
        <v>68</v>
      </c>
      <c r="C1727" s="20"/>
      <c r="D1727" s="20"/>
      <c r="E1727" s="20"/>
      <c r="F1727" s="20"/>
    </row>
    <row r="1728">
      <c r="A1728" s="5" t="s">
        <v>1293</v>
      </c>
      <c r="B1728" s="14" t="s">
        <v>230</v>
      </c>
      <c r="C1728" s="22">
        <f>(1)*(1)*(1)*(1)*(1 + (0))</f>
      </c>
      <c r="D1728" s="22" t="s">
        <v>71</v>
      </c>
      <c r="E1728" s="22"/>
      <c r="F1728" s="22">
        <f>C1728*E1728</f>
      </c>
    </row>
    <row r="1729">
      <c r="A1729" s="5" t="s">
        <v>1294</v>
      </c>
      <c r="B1729" s="14" t="s">
        <v>70</v>
      </c>
      <c r="C1729" s="22">
        <f>(1)*(1)*(1)*(1)*(1 + (0))</f>
      </c>
      <c r="D1729" s="22" t="s">
        <v>71</v>
      </c>
      <c r="E1729" s="22"/>
      <c r="F1729" s="22">
        <f>C1729*E1729</f>
      </c>
    </row>
    <row r="1730">
      <c r="A1730" s="5" t="s">
        <v>1295</v>
      </c>
      <c r="B1730" s="14" t="s">
        <v>906</v>
      </c>
      <c r="C1730" s="22">
        <f>(1)*(1)*(1)*(1)*(1 + (0))</f>
      </c>
      <c r="D1730" s="22" t="s">
        <v>71</v>
      </c>
      <c r="E1730" s="22"/>
      <c r="F1730" s="22">
        <f>C1730*E1730</f>
      </c>
    </row>
    <row r="1731">
      <c r="A1731" s="5" t="s">
        <v>1296</v>
      </c>
      <c r="B1731" s="14" t="s">
        <v>665</v>
      </c>
      <c r="C1731" s="22">
        <f>(1)*(1)*(1)*(1)*(1 + (0))</f>
      </c>
      <c r="D1731" s="22" t="s">
        <v>71</v>
      </c>
      <c r="E1731" s="22"/>
      <c r="F1731" s="22">
        <f>C1731*E1731</f>
      </c>
    </row>
    <row r="1732">
      <c r="A1732" s="3"/>
      <c r="B1732" s="11" t="s">
        <v>1362</v>
      </c>
      <c r="C1732" s="20"/>
      <c r="D1732" s="20"/>
      <c r="E1732" s="20"/>
      <c r="F1732" s="20"/>
    </row>
    <row r="1733">
      <c r="A1733" s="4"/>
      <c r="B1733" s="12" t="s">
        <v>1361</v>
      </c>
      <c r="C1733" s="21"/>
      <c r="D1733" s="21"/>
      <c r="E1733" s="21"/>
      <c r="F1733" s="21"/>
    </row>
    <row r="1734">
      <c r="A1734" s="5"/>
      <c r="B1734" s="13" t="s">
        <v>1363</v>
      </c>
      <c r="C1734" s="22">
        <f>(187)*(1)*(1)*(1)*(1 + (0))</f>
      </c>
      <c r="D1734" s="22" t="s">
        <v>153</v>
      </c>
      <c r="E1734" s="22"/>
      <c r="F1734" s="22">
        <f>C1734*E1734</f>
      </c>
    </row>
    <row r="1735">
      <c r="A1735" s="4"/>
      <c r="B1735" s="12" t="s">
        <v>1364</v>
      </c>
      <c r="C1735" s="21"/>
      <c r="D1735" s="21"/>
      <c r="E1735" s="21"/>
      <c r="F1735" s="21"/>
    </row>
    <row r="1736">
      <c r="A1736" s="5"/>
      <c r="B1736" s="13" t="s">
        <v>1365</v>
      </c>
      <c r="C1736" s="22">
        <f>(7)*(1)*(1)*(1)*(1 + (0))</f>
      </c>
      <c r="D1736" s="22" t="s">
        <v>153</v>
      </c>
      <c r="E1736" s="22"/>
      <c r="F1736" s="22">
        <f>C1736*E1736</f>
      </c>
    </row>
    <row r="1737">
      <c r="A1737" s="2"/>
      <c r="B1737" s="10" t="s">
        <v>1366</v>
      </c>
      <c r="C1737" s="19"/>
      <c r="D1737" s="19"/>
      <c r="E1737" s="19"/>
      <c r="F1737" s="19"/>
    </row>
    <row r="1738">
      <c r="A1738" s="3"/>
      <c r="B1738" s="11" t="s">
        <v>37</v>
      </c>
      <c r="C1738" s="20"/>
      <c r="D1738" s="20"/>
      <c r="E1738" s="20"/>
      <c r="F1738" s="20"/>
    </row>
    <row r="1739">
      <c r="A1739" s="5" t="s">
        <v>1367</v>
      </c>
      <c r="B1739" s="14" t="s">
        <v>39</v>
      </c>
      <c r="C1739" s="22"/>
      <c r="D1739" s="22" t="s">
        <v>10</v>
      </c>
      <c r="E1739" s="22"/>
      <c r="F1739" s="22">
        <f>C1739*E1739</f>
      </c>
    </row>
    <row r="1740">
      <c r="A1740" s="5" t="s">
        <v>1368</v>
      </c>
      <c r="B1740" s="14" t="s">
        <v>41</v>
      </c>
      <c r="C1740" s="22"/>
      <c r="D1740" s="22" t="s">
        <v>10</v>
      </c>
      <c r="E1740" s="22"/>
      <c r="F1740" s="22">
        <f>C1740*E1740</f>
      </c>
    </row>
    <row r="1741">
      <c r="A1741" s="3"/>
      <c r="B1741" s="11" t="s">
        <v>42</v>
      </c>
      <c r="C1741" s="20"/>
      <c r="D1741" s="20"/>
      <c r="E1741" s="20"/>
      <c r="F1741" s="20"/>
    </row>
    <row r="1742">
      <c r="A1742" s="5"/>
      <c r="B1742" s="14" t="s">
        <v>1369</v>
      </c>
      <c r="C1742" s="22"/>
      <c r="D1742" s="22" t="s">
        <v>10</v>
      </c>
      <c r="E1742" s="22"/>
      <c r="F1742" s="22">
        <f>C1742*E1742</f>
      </c>
    </row>
    <row r="1743">
      <c r="A1743" s="5"/>
      <c r="B1743" s="14" t="s">
        <v>1370</v>
      </c>
      <c r="C1743" s="22"/>
      <c r="D1743" s="22" t="s">
        <v>10</v>
      </c>
      <c r="E1743" s="22"/>
      <c r="F1743" s="22">
        <f>C1743*E1743</f>
      </c>
    </row>
    <row r="1744">
      <c r="A1744" s="5"/>
      <c r="B1744" s="14" t="s">
        <v>1371</v>
      </c>
      <c r="C1744" s="22"/>
      <c r="D1744" s="22" t="s">
        <v>10</v>
      </c>
      <c r="E1744" s="22"/>
      <c r="F1744" s="22">
        <f>C1744*E1744</f>
      </c>
    </row>
    <row r="1745">
      <c r="A1745" s="5"/>
      <c r="B1745" s="14" t="s">
        <v>1372</v>
      </c>
      <c r="C1745" s="22"/>
      <c r="D1745" s="22" t="s">
        <v>10</v>
      </c>
      <c r="E1745" s="22"/>
      <c r="F1745" s="22">
        <f>C1745*E1745</f>
      </c>
    </row>
    <row r="1746">
      <c r="A1746" s="3"/>
      <c r="B1746" s="11" t="s">
        <v>44</v>
      </c>
      <c r="C1746" s="20"/>
      <c r="D1746" s="20"/>
      <c r="E1746" s="20"/>
      <c r="F1746" s="20"/>
    </row>
    <row r="1747">
      <c r="A1747" s="4"/>
      <c r="B1747" s="12" t="s">
        <v>45</v>
      </c>
      <c r="C1747" s="21"/>
      <c r="D1747" s="21"/>
      <c r="E1747" s="21"/>
      <c r="F1747" s="21"/>
    </row>
    <row r="1748">
      <c r="A1748" s="5" t="s">
        <v>1373</v>
      </c>
      <c r="B1748" s="13" t="s">
        <v>1374</v>
      </c>
      <c r="C1748" s="22"/>
      <c r="D1748" s="22" t="s">
        <v>10</v>
      </c>
      <c r="E1748" s="22"/>
      <c r="F1748" s="22">
        <f>C1748*E1748</f>
      </c>
    </row>
    <row r="1749">
      <c r="A1749" s="5" t="s">
        <v>1375</v>
      </c>
      <c r="B1749" s="13" t="s">
        <v>1376</v>
      </c>
      <c r="C1749" s="22"/>
      <c r="D1749" s="22" t="s">
        <v>10</v>
      </c>
      <c r="E1749" s="22"/>
      <c r="F1749" s="22">
        <f>C1749*E1749</f>
      </c>
    </row>
    <row r="1750">
      <c r="A1750" s="5" t="s">
        <v>1377</v>
      </c>
      <c r="B1750" s="13" t="s">
        <v>853</v>
      </c>
      <c r="C1750" s="22"/>
      <c r="D1750" s="22" t="s">
        <v>10</v>
      </c>
      <c r="E1750" s="22"/>
      <c r="F1750" s="22">
        <f>C1750*E1750</f>
      </c>
    </row>
    <row r="1751">
      <c r="A1751" s="5" t="s">
        <v>1378</v>
      </c>
      <c r="B1751" s="13" t="s">
        <v>123</v>
      </c>
      <c r="C1751" s="22"/>
      <c r="D1751" s="22" t="s">
        <v>10</v>
      </c>
      <c r="E1751" s="22"/>
      <c r="F1751" s="22">
        <f>C1751*E1751</f>
      </c>
    </row>
    <row r="1752">
      <c r="A1752" s="3"/>
      <c r="B1752" s="11" t="s">
        <v>68</v>
      </c>
      <c r="C1752" s="20"/>
      <c r="D1752" s="20"/>
      <c r="E1752" s="20"/>
      <c r="F1752" s="20"/>
    </row>
    <row r="1753">
      <c r="A1753" s="5" t="s">
        <v>1379</v>
      </c>
      <c r="B1753" s="14" t="s">
        <v>70</v>
      </c>
      <c r="C1753" s="22">
        <f>(1)*(1)*(1)*(1)*(1 + (0))</f>
      </c>
      <c r="D1753" s="22" t="s">
        <v>71</v>
      </c>
      <c r="E1753" s="22"/>
      <c r="F1753" s="22">
        <f>C1753*E1753</f>
      </c>
    </row>
    <row r="1754">
      <c r="A1754" s="5" t="s">
        <v>1380</v>
      </c>
      <c r="B1754" s="14" t="s">
        <v>230</v>
      </c>
      <c r="C1754" s="22">
        <f>(1)*(1)*(1)*(1)*(1 + (0))</f>
      </c>
      <c r="D1754" s="22" t="s">
        <v>71</v>
      </c>
      <c r="E1754" s="22"/>
      <c r="F1754" s="22">
        <f>C1754*E1754</f>
      </c>
    </row>
    <row r="1755">
      <c r="A1755" s="5" t="s">
        <v>1381</v>
      </c>
      <c r="B1755" s="14" t="s">
        <v>136</v>
      </c>
      <c r="C1755" s="22">
        <f>(1)*(1)*(1)*(1)*(1 + (0))</f>
      </c>
      <c r="D1755" s="22" t="s">
        <v>71</v>
      </c>
      <c r="E1755" s="22"/>
      <c r="F1755" s="22">
        <f>C1755*E1755</f>
      </c>
    </row>
    <row r="1756">
      <c r="A1756" s="5" t="s">
        <v>1382</v>
      </c>
      <c r="B1756" s="14" t="s">
        <v>816</v>
      </c>
      <c r="C1756" s="22">
        <f>(1)*(1)*(1)*(1)*(1 + (0))</f>
      </c>
      <c r="D1756" s="22" t="s">
        <v>71</v>
      </c>
      <c r="E1756" s="22"/>
      <c r="F1756" s="22">
        <f>C1756*E1756</f>
      </c>
    </row>
    <row r="1757">
      <c r="A1757" s="5" t="s">
        <v>1383</v>
      </c>
      <c r="B1757" s="14" t="s">
        <v>665</v>
      </c>
      <c r="C1757" s="22">
        <f>(1)*(1)*(1)*(1)*(1 + (0))</f>
      </c>
      <c r="D1757" s="22" t="s">
        <v>71</v>
      </c>
      <c r="E1757" s="22"/>
      <c r="F1757" s="22">
        <f>C1757*E1757</f>
      </c>
    </row>
    <row r="1758">
      <c r="A1758" s="5" t="s">
        <v>1384</v>
      </c>
      <c r="B1758" s="14" t="s">
        <v>1385</v>
      </c>
      <c r="C1758" s="22">
        <f>(1)*(1)*(1)*(1)*(1 + (0))</f>
      </c>
      <c r="D1758" s="22" t="s">
        <v>71</v>
      </c>
      <c r="E1758" s="22"/>
      <c r="F1758" s="22">
        <f>C1758*E1758</f>
      </c>
    </row>
    <row r="1759">
      <c r="A1759" s="3"/>
      <c r="B1759" s="11" t="s">
        <v>106</v>
      </c>
      <c r="C1759" s="20"/>
      <c r="D1759" s="20"/>
      <c r="E1759" s="20"/>
      <c r="F1759" s="20"/>
    </row>
    <row r="1760">
      <c r="A1760" s="5"/>
      <c r="B1760" s="14" t="s">
        <v>1386</v>
      </c>
      <c r="C1760" s="22"/>
      <c r="D1760" s="22" t="s">
        <v>10</v>
      </c>
      <c r="E1760" s="22"/>
      <c r="F1760" s="22">
        <f>C1760*E1760</f>
      </c>
    </row>
    <row r="1761">
      <c r="A1761" s="5"/>
      <c r="B1761" s="14" t="s">
        <v>1387</v>
      </c>
      <c r="C1761" s="22"/>
      <c r="D1761" s="22" t="s">
        <v>10</v>
      </c>
      <c r="E1761" s="22"/>
      <c r="F1761" s="22">
        <f>C1761*E1761</f>
      </c>
    </row>
    <row r="1762">
      <c r="A1762" s="3"/>
      <c r="B1762" s="11" t="s">
        <v>1388</v>
      </c>
      <c r="C1762" s="20"/>
      <c r="D1762" s="20"/>
      <c r="E1762" s="20"/>
      <c r="F1762" s="20"/>
    </row>
    <row r="1763">
      <c r="A1763" s="5"/>
      <c r="B1763" s="14" t="s">
        <v>1389</v>
      </c>
      <c r="C1763" s="22">
        <f>(1)*(1)*(1)*(1)*(1 + (0))</f>
      </c>
      <c r="D1763" s="22" t="s">
        <v>162</v>
      </c>
      <c r="E1763" s="22"/>
      <c r="F1763" s="22">
        <f>C1763*E1763</f>
      </c>
    </row>
    <row r="1764">
      <c r="A1764" s="5"/>
      <c r="B1764" s="14" t="s">
        <v>1390</v>
      </c>
      <c r="C1764" s="22">
        <f>(2)*(1)*(1)*(1)*(1 + (0))</f>
      </c>
      <c r="D1764" s="22" t="s">
        <v>162</v>
      </c>
      <c r="E1764" s="22"/>
      <c r="F1764" s="22">
        <f>C1764*E1764</f>
      </c>
    </row>
    <row r="1765">
      <c r="A1765" s="5"/>
      <c r="B1765" s="14" t="s">
        <v>1391</v>
      </c>
      <c r="C1765" s="22">
        <f>(1)*(1)*(1)*(1)*(1 + (0))</f>
      </c>
      <c r="D1765" s="22" t="s">
        <v>162</v>
      </c>
      <c r="E1765" s="22"/>
      <c r="F1765" s="22">
        <f>C1765*E1765</f>
      </c>
    </row>
    <row r="1766">
      <c r="A1766" s="3"/>
      <c r="B1766" s="11" t="s">
        <v>1392</v>
      </c>
      <c r="C1766" s="20"/>
      <c r="D1766" s="20"/>
      <c r="E1766" s="20"/>
      <c r="F1766" s="20"/>
    </row>
    <row r="1767">
      <c r="A1767" s="5"/>
      <c r="B1767" s="14" t="s">
        <v>1393</v>
      </c>
      <c r="C1767" s="22">
        <f>(1)*(1)*(1)*(1)*(1 + (0))</f>
      </c>
      <c r="D1767" s="22" t="s">
        <v>162</v>
      </c>
      <c r="E1767" s="22"/>
      <c r="F1767" s="22">
        <f>C1767*E1767</f>
      </c>
    </row>
    <row r="1768">
      <c r="A1768" s="3"/>
      <c r="B1768" s="11" t="s">
        <v>1394</v>
      </c>
      <c r="C1768" s="20"/>
      <c r="D1768" s="20"/>
      <c r="E1768" s="20"/>
      <c r="F1768" s="20"/>
    </row>
    <row r="1769">
      <c r="A1769" s="5"/>
      <c r="B1769" s="14" t="s">
        <v>1395</v>
      </c>
      <c r="C1769" s="22">
        <f>(1)*(1)*(1)*(1)*(1 + (0))</f>
      </c>
      <c r="D1769" s="22" t="s">
        <v>162</v>
      </c>
      <c r="E1769" s="22"/>
      <c r="F1769" s="22">
        <f>C1769*E1769</f>
      </c>
    </row>
    <row r="1770">
      <c r="A1770" s="5"/>
      <c r="B1770" s="14" t="s">
        <v>1396</v>
      </c>
      <c r="C1770" s="22">
        <f>(1)*(1)*(1)*(1)*(1 + (0))</f>
      </c>
      <c r="D1770" s="22" t="s">
        <v>162</v>
      </c>
      <c r="E1770" s="22"/>
      <c r="F1770" s="22">
        <f>C1770*E1770</f>
      </c>
    </row>
    <row r="1771">
      <c r="A1771" s="3"/>
      <c r="B1771" s="11" t="s">
        <v>1397</v>
      </c>
      <c r="C1771" s="20"/>
      <c r="D1771" s="20"/>
      <c r="E1771" s="20"/>
      <c r="F1771" s="20"/>
    </row>
    <row r="1772">
      <c r="A1772" s="4"/>
      <c r="B1772" s="12" t="s">
        <v>1398</v>
      </c>
      <c r="C1772" s="21"/>
      <c r="D1772" s="21"/>
      <c r="E1772" s="21"/>
      <c r="F1772" s="21"/>
    </row>
    <row r="1773">
      <c r="A1773" s="6"/>
      <c r="B1773" s="15" t="s">
        <v>1399</v>
      </c>
      <c r="C1773" s="23"/>
      <c r="D1773" s="23"/>
      <c r="E1773" s="23"/>
      <c r="F1773" s="23"/>
    </row>
    <row r="1774">
      <c r="A1774" s="5"/>
      <c r="B1774" s="16" t="s">
        <v>1400</v>
      </c>
      <c r="C1774" s="22">
        <f>(1)*(1)*(1)*(1)*(1 + (0))</f>
      </c>
      <c r="D1774" s="22" t="s">
        <v>162</v>
      </c>
      <c r="E1774" s="22"/>
      <c r="F1774" s="22">
        <f>C1774*E1774</f>
      </c>
    </row>
    <row r="1775">
      <c r="A1775" s="5"/>
      <c r="B1775" s="16" t="s">
        <v>1401</v>
      </c>
      <c r="C1775" s="22">
        <f>(2)*(1)*(1)*(1)*(1 + (0))</f>
      </c>
      <c r="D1775" s="22" t="s">
        <v>162</v>
      </c>
      <c r="E1775" s="22"/>
      <c r="F1775" s="22">
        <f>C1775*E1775</f>
      </c>
    </row>
    <row r="1776">
      <c r="A1776" s="5"/>
      <c r="B1776" s="16" t="s">
        <v>1402</v>
      </c>
      <c r="C1776" s="22">
        <f>(1)*(1)*(1)*(1)*(1 + (0))</f>
      </c>
      <c r="D1776" s="22" t="s">
        <v>162</v>
      </c>
      <c r="E1776" s="22"/>
      <c r="F1776" s="22">
        <f>C1776*E1776</f>
      </c>
    </row>
    <row r="1777">
      <c r="A1777" s="5"/>
      <c r="B1777" s="16" t="s">
        <v>1403</v>
      </c>
      <c r="C1777" s="22">
        <f>(3)*(1)*(1)*(1)*(1 + (0))</f>
      </c>
      <c r="D1777" s="22" t="s">
        <v>162</v>
      </c>
      <c r="E1777" s="22"/>
      <c r="F1777" s="22">
        <f>C1777*E1777</f>
      </c>
    </row>
    <row r="1778">
      <c r="A1778" s="5"/>
      <c r="B1778" s="16" t="s">
        <v>1404</v>
      </c>
      <c r="C1778" s="22">
        <f>(1)*(1)*(1)*(1)*(1 + (0))</f>
      </c>
      <c r="D1778" s="22" t="s">
        <v>162</v>
      </c>
      <c r="E1778" s="22"/>
      <c r="F1778" s="22">
        <f>C1778*E1778</f>
      </c>
    </row>
    <row r="1779">
      <c r="A1779" s="5"/>
      <c r="B1779" s="16" t="s">
        <v>1405</v>
      </c>
      <c r="C1779" s="22">
        <f>(1)*(1)*(1)*(1)*(1 + (0))</f>
      </c>
      <c r="D1779" s="22" t="s">
        <v>162</v>
      </c>
      <c r="E1779" s="22"/>
      <c r="F1779" s="22">
        <f>C1779*E1779</f>
      </c>
    </row>
    <row r="1780">
      <c r="A1780" s="5"/>
      <c r="B1780" s="16" t="s">
        <v>1406</v>
      </c>
      <c r="C1780" s="22">
        <f>(4)*(1)*(1)*(1)*(1 + (0))</f>
      </c>
      <c r="D1780" s="22" t="s">
        <v>162</v>
      </c>
      <c r="E1780" s="22"/>
      <c r="F1780" s="22">
        <f>C1780*E1780</f>
      </c>
    </row>
    <row r="1781">
      <c r="A1781" s="5"/>
      <c r="B1781" s="16" t="s">
        <v>1407</v>
      </c>
      <c r="C1781" s="22">
        <f>(1)*(1)*(1)*(1)*(1 + (0))</f>
      </c>
      <c r="D1781" s="22" t="s">
        <v>162</v>
      </c>
      <c r="E1781" s="22"/>
      <c r="F1781" s="22">
        <f>C1781*E1781</f>
      </c>
    </row>
    <row r="1782">
      <c r="A1782" s="6"/>
      <c r="B1782" s="15" t="s">
        <v>1408</v>
      </c>
      <c r="C1782" s="23"/>
      <c r="D1782" s="23"/>
      <c r="E1782" s="23"/>
      <c r="F1782" s="23"/>
    </row>
    <row r="1783">
      <c r="A1783" s="5"/>
      <c r="B1783" s="16" t="s">
        <v>1409</v>
      </c>
      <c r="C1783" s="22">
        <f>(5)*(1)*(1)*(1)*(1 + (0))</f>
      </c>
      <c r="D1783" s="22" t="s">
        <v>162</v>
      </c>
      <c r="E1783" s="22"/>
      <c r="F1783" s="22">
        <f>C1783*E1783</f>
      </c>
    </row>
    <row r="1784">
      <c r="A1784" s="6"/>
      <c r="B1784" s="15" t="s">
        <v>1410</v>
      </c>
      <c r="C1784" s="23"/>
      <c r="D1784" s="23"/>
      <c r="E1784" s="23"/>
      <c r="F1784" s="23"/>
    </row>
    <row r="1785">
      <c r="A1785" s="5"/>
      <c r="B1785" s="16" t="s">
        <v>1411</v>
      </c>
      <c r="C1785" s="22">
        <f>(1)*(1)*(1)*(1)*(1 + (0))</f>
      </c>
      <c r="D1785" s="22" t="s">
        <v>162</v>
      </c>
      <c r="E1785" s="22"/>
      <c r="F1785" s="22">
        <f>C1785*E1785</f>
      </c>
    </row>
    <row r="1786">
      <c r="A1786" s="5"/>
      <c r="B1786" s="16" t="s">
        <v>1412</v>
      </c>
      <c r="C1786" s="22">
        <f>(1)*(1)*(1)*(1)*(1 + (0))</f>
      </c>
      <c r="D1786" s="22" t="s">
        <v>162</v>
      </c>
      <c r="E1786" s="22"/>
      <c r="F1786" s="22">
        <f>C1786*E1786</f>
      </c>
    </row>
    <row r="1787">
      <c r="A1787" s="5"/>
      <c r="B1787" s="16" t="s">
        <v>1413</v>
      </c>
      <c r="C1787" s="22">
        <f>(2)*(1)*(1)*(1)*(1 + (0))</f>
      </c>
      <c r="D1787" s="22" t="s">
        <v>162</v>
      </c>
      <c r="E1787" s="22"/>
      <c r="F1787" s="22">
        <f>C1787*E1787</f>
      </c>
    </row>
    <row r="1788">
      <c r="A1788" s="5"/>
      <c r="B1788" s="16" t="s">
        <v>1414</v>
      </c>
      <c r="C1788" s="22">
        <f>(3)*(1)*(1)*(1)*(1 + (0))</f>
      </c>
      <c r="D1788" s="22" t="s">
        <v>162</v>
      </c>
      <c r="E1788" s="22"/>
      <c r="F1788" s="22">
        <f>C1788*E1788</f>
      </c>
    </row>
    <row r="1789">
      <c r="A1789" s="5"/>
      <c r="B1789" s="16" t="s">
        <v>1415</v>
      </c>
      <c r="C1789" s="22">
        <f>(12)*(1)*(1)*(1)*(1 + (0))</f>
      </c>
      <c r="D1789" s="22" t="s">
        <v>162</v>
      </c>
      <c r="E1789" s="22"/>
      <c r="F1789" s="22">
        <f>C1789*E1789</f>
      </c>
    </row>
    <row r="1790">
      <c r="A1790" s="5"/>
      <c r="B1790" s="16" t="s">
        <v>1416</v>
      </c>
      <c r="C1790" s="22">
        <f>(1)*(1)*(1)*(1)*(1 + (0))</f>
      </c>
      <c r="D1790" s="22" t="s">
        <v>162</v>
      </c>
      <c r="E1790" s="22"/>
      <c r="F1790" s="22">
        <f>C1790*E1790</f>
      </c>
    </row>
    <row r="1791">
      <c r="A1791" s="5"/>
      <c r="B1791" s="16" t="s">
        <v>1417</v>
      </c>
      <c r="C1791" s="22">
        <f>(2)*(1)*(1)*(1)*(1 + (0))</f>
      </c>
      <c r="D1791" s="22" t="s">
        <v>162</v>
      </c>
      <c r="E1791" s="22"/>
      <c r="F1791" s="22">
        <f>C1791*E1791</f>
      </c>
    </row>
    <row r="1792">
      <c r="A1792" s="6"/>
      <c r="B1792" s="15" t="s">
        <v>1418</v>
      </c>
      <c r="C1792" s="23"/>
      <c r="D1792" s="23"/>
      <c r="E1792" s="23"/>
      <c r="F1792" s="23"/>
    </row>
    <row r="1793">
      <c r="A1793" s="5"/>
      <c r="B1793" s="16" t="s">
        <v>1419</v>
      </c>
      <c r="C1793" s="22">
        <f>(2)*(1)*(1)*(1)*(1 + (0))</f>
      </c>
      <c r="D1793" s="22" t="s">
        <v>162</v>
      </c>
      <c r="E1793" s="22"/>
      <c r="F1793" s="22">
        <f>C1793*E1793</f>
      </c>
    </row>
    <row r="1794">
      <c r="A1794" s="5"/>
      <c r="B1794" s="16" t="s">
        <v>1420</v>
      </c>
      <c r="C1794" s="22">
        <f>(2)*(1)*(1)*(1)*(1 + (0))</f>
      </c>
      <c r="D1794" s="22" t="s">
        <v>162</v>
      </c>
      <c r="E1794" s="22"/>
      <c r="F1794" s="22">
        <f>C1794*E1794</f>
      </c>
    </row>
    <row r="1795">
      <c r="A1795" s="5"/>
      <c r="B1795" s="16" t="s">
        <v>1421</v>
      </c>
      <c r="C1795" s="22">
        <f>(3)*(1)*(1)*(1)*(1 + (0))</f>
      </c>
      <c r="D1795" s="22" t="s">
        <v>162</v>
      </c>
      <c r="E1795" s="22"/>
      <c r="F1795" s="22">
        <f>C1795*E1795</f>
      </c>
    </row>
    <row r="1796">
      <c r="A1796" s="6"/>
      <c r="B1796" s="15" t="s">
        <v>1422</v>
      </c>
      <c r="C1796" s="23"/>
      <c r="D1796" s="23"/>
      <c r="E1796" s="23"/>
      <c r="F1796" s="23"/>
    </row>
    <row r="1797">
      <c r="A1797" s="5"/>
      <c r="B1797" s="16" t="s">
        <v>1423</v>
      </c>
      <c r="C1797" s="22">
        <f>(1)*(1)*(1)*(1)*(1 + (0))</f>
      </c>
      <c r="D1797" s="22" t="s">
        <v>162</v>
      </c>
      <c r="E1797" s="22"/>
      <c r="F1797" s="22">
        <f>C1797*E1797</f>
      </c>
    </row>
    <row r="1798">
      <c r="A1798" s="5"/>
      <c r="B1798" s="16" t="s">
        <v>1424</v>
      </c>
      <c r="C1798" s="22">
        <f>(1)*(1)*(1)*(1)*(1 + (0))</f>
      </c>
      <c r="D1798" s="22" t="s">
        <v>162</v>
      </c>
      <c r="E1798" s="22"/>
      <c r="F1798" s="22">
        <f>C1798*E1798</f>
      </c>
    </row>
    <row r="1799">
      <c r="A1799" s="6"/>
      <c r="B1799" s="15" t="s">
        <v>1425</v>
      </c>
      <c r="C1799" s="23"/>
      <c r="D1799" s="23"/>
      <c r="E1799" s="23"/>
      <c r="F1799" s="23"/>
    </row>
    <row r="1800">
      <c r="A1800" s="5"/>
      <c r="B1800" s="16" t="s">
        <v>1426</v>
      </c>
      <c r="C1800" s="22">
        <f>(1)*(1)*(1)*(1)*(1 + (0))</f>
      </c>
      <c r="D1800" s="22" t="s">
        <v>162</v>
      </c>
      <c r="E1800" s="22"/>
      <c r="F1800" s="22">
        <f>C1800*E1800</f>
      </c>
    </row>
    <row r="1801">
      <c r="A1801" s="4"/>
      <c r="B1801" s="12" t="s">
        <v>1427</v>
      </c>
      <c r="C1801" s="21"/>
      <c r="D1801" s="21"/>
      <c r="E1801" s="21"/>
      <c r="F1801" s="21"/>
    </row>
    <row r="1802">
      <c r="A1802" s="6"/>
      <c r="B1802" s="15" t="s">
        <v>1428</v>
      </c>
      <c r="C1802" s="23"/>
      <c r="D1802" s="23"/>
      <c r="E1802" s="23"/>
      <c r="F1802" s="23"/>
    </row>
    <row r="1803">
      <c r="A1803" s="5"/>
      <c r="B1803" s="16" t="s">
        <v>1429</v>
      </c>
      <c r="C1803" s="22">
        <f>(1)*(1)*(1)*(1)*(1 + (0))</f>
      </c>
      <c r="D1803" s="22" t="s">
        <v>162</v>
      </c>
      <c r="E1803" s="22"/>
      <c r="F1803" s="22">
        <f>C1803*E1803</f>
      </c>
    </row>
    <row r="1804">
      <c r="A1804" s="4"/>
      <c r="B1804" s="12" t="s">
        <v>1430</v>
      </c>
      <c r="C1804" s="21"/>
      <c r="D1804" s="21"/>
      <c r="E1804" s="21"/>
      <c r="F1804" s="21"/>
    </row>
    <row r="1805">
      <c r="A1805" s="6"/>
      <c r="B1805" s="15" t="s">
        <v>1431</v>
      </c>
      <c r="C1805" s="23"/>
      <c r="D1805" s="23"/>
      <c r="E1805" s="23"/>
      <c r="F1805" s="23"/>
    </row>
    <row r="1806">
      <c r="A1806" s="5"/>
      <c r="B1806" s="16" t="s">
        <v>1432</v>
      </c>
      <c r="C1806" s="22">
        <f>(1)*(1)*(1)*(1)*(1 + (0))</f>
      </c>
      <c r="D1806" s="22" t="s">
        <v>162</v>
      </c>
      <c r="E1806" s="22"/>
      <c r="F1806" s="22">
        <f>C1806*E1806</f>
      </c>
    </row>
    <row r="1807">
      <c r="A1807" s="4"/>
      <c r="B1807" s="12" t="s">
        <v>1433</v>
      </c>
      <c r="C1807" s="21"/>
      <c r="D1807" s="21"/>
      <c r="E1807" s="21"/>
      <c r="F1807" s="21"/>
    </row>
    <row r="1808">
      <c r="A1808" s="6"/>
      <c r="B1808" s="15" t="s">
        <v>1434</v>
      </c>
      <c r="C1808" s="23"/>
      <c r="D1808" s="23"/>
      <c r="E1808" s="23"/>
      <c r="F1808" s="23"/>
    </row>
    <row r="1809">
      <c r="A1809" s="5"/>
      <c r="B1809" s="16" t="s">
        <v>1435</v>
      </c>
      <c r="C1809" s="22">
        <f>(4)*(1)*(1)*(1)*(1 + (0))</f>
      </c>
      <c r="D1809" s="22" t="s">
        <v>162</v>
      </c>
      <c r="E1809" s="22"/>
      <c r="F1809" s="22">
        <f>C1809*E1809</f>
      </c>
    </row>
    <row r="1810">
      <c r="A1810" s="5"/>
      <c r="B1810" s="14" t="s">
        <v>1436</v>
      </c>
      <c r="C1810" s="22">
        <f>(1)*(1)*(1)*(1)*(1 + (0))</f>
      </c>
      <c r="D1810" s="22" t="s">
        <v>606</v>
      </c>
      <c r="E1810" s="22"/>
      <c r="F1810" s="22">
        <f>C1810*E1810</f>
      </c>
    </row>
    <row r="1811">
      <c r="A1811" s="5"/>
      <c r="B1811" s="7" t="s">
        <v>1437</v>
      </c>
      <c r="C1811" s="22"/>
      <c r="D1811" s="22"/>
      <c r="E1811" s="22"/>
      <c r="F1811" s="22">
        <f>C1811*E1811</f>
      </c>
    </row>
    <row r="1812">
      <c r="A1812" s="5"/>
      <c r="B1812" s="7" t="s">
        <v>1438</v>
      </c>
      <c r="C1812" s="22"/>
      <c r="D1812" s="22"/>
      <c r="E1812" s="22"/>
      <c r="F1812" s="22">
        <f>C1812*E1812</f>
      </c>
    </row>
    <row r="1813">
      <c r="A1813" s="5"/>
      <c r="B1813" s="7" t="s">
        <v>1439</v>
      </c>
      <c r="C1813" s="22"/>
      <c r="D1813" s="22"/>
      <c r="E1813" s="22"/>
      <c r="F1813" s="22">
        <f>C1813*E1813</f>
      </c>
    </row>
    <row r="1814">
      <c r="A1814" s="5"/>
      <c r="B1814" s="7" t="s">
        <v>1440</v>
      </c>
      <c r="C1814" s="22"/>
      <c r="D1814" s="22"/>
      <c r="E1814" s="22"/>
      <c r="F1814" s="22">
        <f>C1814*E1814</f>
      </c>
    </row>
    <row r="1815">
      <c r="A1815" s="2"/>
      <c r="B1815" s="10" t="s">
        <v>1441</v>
      </c>
      <c r="C1815" s="19"/>
      <c r="D1815" s="19"/>
      <c r="E1815" s="19"/>
      <c r="F1815" s="19"/>
    </row>
    <row r="1816">
      <c r="A1816" s="3"/>
      <c r="B1816" s="11" t="s">
        <v>37</v>
      </c>
      <c r="C1816" s="20"/>
      <c r="D1816" s="20"/>
      <c r="E1816" s="20"/>
      <c r="F1816" s="20"/>
    </row>
    <row r="1817">
      <c r="A1817" s="5" t="s">
        <v>1285</v>
      </c>
      <c r="B1817" s="14" t="s">
        <v>39</v>
      </c>
      <c r="C1817" s="22"/>
      <c r="D1817" s="22" t="s">
        <v>10</v>
      </c>
      <c r="E1817" s="22"/>
      <c r="F1817" s="22">
        <f>C1817*E1817</f>
      </c>
    </row>
    <row r="1818">
      <c r="A1818" s="5" t="s">
        <v>1286</v>
      </c>
      <c r="B1818" s="14" t="s">
        <v>41</v>
      </c>
      <c r="C1818" s="22"/>
      <c r="D1818" s="22" t="s">
        <v>10</v>
      </c>
      <c r="E1818" s="22"/>
      <c r="F1818" s="22">
        <f>C1818*E1818</f>
      </c>
    </row>
    <row r="1819">
      <c r="A1819" s="3"/>
      <c r="B1819" s="11" t="s">
        <v>42</v>
      </c>
      <c r="C1819" s="20"/>
      <c r="D1819" s="20"/>
      <c r="E1819" s="20"/>
      <c r="F1819" s="20"/>
    </row>
    <row r="1820">
      <c r="A1820" s="5"/>
      <c r="B1820" s="14" t="s">
        <v>1287</v>
      </c>
      <c r="C1820" s="22"/>
      <c r="D1820" s="22" t="s">
        <v>10</v>
      </c>
      <c r="E1820" s="22"/>
      <c r="F1820" s="22">
        <f>C1820*E1820</f>
      </c>
    </row>
    <row r="1821">
      <c r="A1821" s="5"/>
      <c r="B1821" s="14" t="s">
        <v>1288</v>
      </c>
      <c r="C1821" s="22"/>
      <c r="D1821" s="22" t="s">
        <v>10</v>
      </c>
      <c r="E1821" s="22"/>
      <c r="F1821" s="22">
        <f>C1821*E1821</f>
      </c>
    </row>
    <row r="1822">
      <c r="A1822" s="5"/>
      <c r="B1822" s="14" t="s">
        <v>1289</v>
      </c>
      <c r="C1822" s="22"/>
      <c r="D1822" s="22" t="s">
        <v>10</v>
      </c>
      <c r="E1822" s="22"/>
      <c r="F1822" s="22">
        <f>C1822*E1822</f>
      </c>
    </row>
    <row r="1823">
      <c r="A1823" s="5"/>
      <c r="B1823" s="14" t="s">
        <v>1290</v>
      </c>
      <c r="C1823" s="22"/>
      <c r="D1823" s="22" t="s">
        <v>10</v>
      </c>
      <c r="E1823" s="22"/>
      <c r="F1823" s="22">
        <f>C1823*E1823</f>
      </c>
    </row>
    <row r="1824">
      <c r="A1824" s="3"/>
      <c r="B1824" s="11" t="s">
        <v>44</v>
      </c>
      <c r="C1824" s="20"/>
      <c r="D1824" s="20"/>
      <c r="E1824" s="20"/>
      <c r="F1824" s="20"/>
    </row>
    <row r="1825">
      <c r="A1825" s="4"/>
      <c r="B1825" s="12" t="s">
        <v>45</v>
      </c>
      <c r="C1825" s="21"/>
      <c r="D1825" s="21"/>
      <c r="E1825" s="21"/>
      <c r="F1825" s="21"/>
    </row>
    <row r="1826">
      <c r="A1826" s="5" t="s">
        <v>1291</v>
      </c>
      <c r="B1826" s="13" t="s">
        <v>767</v>
      </c>
      <c r="C1826" s="22"/>
      <c r="D1826" s="22" t="s">
        <v>10</v>
      </c>
      <c r="E1826" s="22"/>
      <c r="F1826" s="22">
        <f>C1826*E1826</f>
      </c>
    </row>
    <row r="1827">
      <c r="A1827" s="5" t="s">
        <v>1292</v>
      </c>
      <c r="B1827" s="13" t="s">
        <v>123</v>
      </c>
      <c r="C1827" s="22"/>
      <c r="D1827" s="22" t="s">
        <v>10</v>
      </c>
      <c r="E1827" s="22"/>
      <c r="F1827" s="22">
        <f>C1827*E1827</f>
      </c>
    </row>
    <row r="1828">
      <c r="A1828" s="3"/>
      <c r="B1828" s="11" t="s">
        <v>68</v>
      </c>
      <c r="C1828" s="20"/>
      <c r="D1828" s="20"/>
      <c r="E1828" s="20"/>
      <c r="F1828" s="20"/>
    </row>
    <row r="1829">
      <c r="A1829" s="5" t="s">
        <v>1293</v>
      </c>
      <c r="B1829" s="14" t="s">
        <v>230</v>
      </c>
      <c r="C1829" s="22">
        <f>(1)*(1)*(1)*(1)*(1 + (0))</f>
      </c>
      <c r="D1829" s="22" t="s">
        <v>71</v>
      </c>
      <c r="E1829" s="22"/>
      <c r="F1829" s="22">
        <f>C1829*E1829</f>
      </c>
    </row>
    <row r="1830">
      <c r="A1830" s="5" t="s">
        <v>1294</v>
      </c>
      <c r="B1830" s="14" t="s">
        <v>70</v>
      </c>
      <c r="C1830" s="22">
        <f>(1)*(1)*(1)*(1)*(1 + (0))</f>
      </c>
      <c r="D1830" s="22" t="s">
        <v>71</v>
      </c>
      <c r="E1830" s="22"/>
      <c r="F1830" s="22">
        <f>C1830*E1830</f>
      </c>
    </row>
    <row r="1831">
      <c r="A1831" s="5" t="s">
        <v>1295</v>
      </c>
      <c r="B1831" s="14" t="s">
        <v>906</v>
      </c>
      <c r="C1831" s="22">
        <f>(1)*(1)*(1)*(1)*(1 + (0))</f>
      </c>
      <c r="D1831" s="22" t="s">
        <v>71</v>
      </c>
      <c r="E1831" s="22"/>
      <c r="F1831" s="22">
        <f>C1831*E1831</f>
      </c>
    </row>
    <row r="1832">
      <c r="A1832" s="5" t="s">
        <v>1296</v>
      </c>
      <c r="B1832" s="14" t="s">
        <v>665</v>
      </c>
      <c r="C1832" s="22">
        <f>(1)*(1)*(1)*(1)*(1 + (0))</f>
      </c>
      <c r="D1832" s="22" t="s">
        <v>71</v>
      </c>
      <c r="E1832" s="22"/>
      <c r="F1832" s="22">
        <f>C1832*E1832</f>
      </c>
    </row>
    <row r="1833">
      <c r="A1833" s="3"/>
      <c r="B1833" s="11" t="s">
        <v>1442</v>
      </c>
      <c r="C1833" s="20"/>
      <c r="D1833" s="20"/>
      <c r="E1833" s="20"/>
      <c r="F1833" s="20"/>
    </row>
    <row r="1834">
      <c r="A1834" s="5"/>
      <c r="B1834" s="14" t="s">
        <v>1443</v>
      </c>
      <c r="C1834" s="22">
        <f>(1)*(1)*(1)*(1)*(1 + (0))</f>
      </c>
      <c r="D1834" s="22" t="s">
        <v>162</v>
      </c>
      <c r="E1834" s="22"/>
      <c r="F1834" s="22">
        <f>C1834*E1834</f>
      </c>
    </row>
    <row r="1835">
      <c r="A1835" s="5"/>
      <c r="B1835" s="14" t="s">
        <v>1444</v>
      </c>
      <c r="C1835" s="22">
        <f>(2)*(1)*(1)*(1)*(1 + (0))</f>
      </c>
      <c r="D1835" s="22" t="s">
        <v>162</v>
      </c>
      <c r="E1835" s="22"/>
      <c r="F1835" s="22">
        <f>C1835*E1835</f>
      </c>
    </row>
    <row r="1836">
      <c r="A1836" s="5"/>
      <c r="B1836" s="14" t="s">
        <v>1445</v>
      </c>
      <c r="C1836" s="22">
        <f>(11)*(1)*(1)*(1)*(1 + (0))</f>
      </c>
      <c r="D1836" s="22" t="s">
        <v>162</v>
      </c>
      <c r="E1836" s="22"/>
      <c r="F1836" s="22">
        <f>C1836*E1836</f>
      </c>
    </row>
    <row r="1837">
      <c r="A1837" s="5"/>
      <c r="B1837" s="14" t="s">
        <v>1446</v>
      </c>
      <c r="C1837" s="22">
        <f>(3)*(1)*(1)*(1)*(1 + (0))</f>
      </c>
      <c r="D1837" s="22" t="s">
        <v>162</v>
      </c>
      <c r="E1837" s="22"/>
      <c r="F1837" s="22">
        <f>C1837*E1837</f>
      </c>
    </row>
    <row r="1838">
      <c r="A1838" s="5"/>
      <c r="B1838" s="14" t="s">
        <v>1447</v>
      </c>
      <c r="C1838" s="22">
        <f>(2)*(1)*(1)*(1)*(1 + (0))</f>
      </c>
      <c r="D1838" s="22" t="s">
        <v>1217</v>
      </c>
      <c r="E1838" s="22"/>
      <c r="F1838" s="22">
        <f>C1838*E1838</f>
      </c>
    </row>
    <row r="1839">
      <c r="A1839" s="5"/>
      <c r="B1839" s="14" t="s">
        <v>1448</v>
      </c>
      <c r="C1839" s="22">
        <f>(4)*(1)*(1)*(1)*(1 + (0))</f>
      </c>
      <c r="D1839" s="22" t="s">
        <v>162</v>
      </c>
      <c r="E1839" s="22"/>
      <c r="F1839" s="22">
        <f>C1839*E1839</f>
      </c>
    </row>
    <row r="1840">
      <c r="A1840" s="5"/>
      <c r="B1840" s="14" t="s">
        <v>1449</v>
      </c>
      <c r="C1840" s="22">
        <f>(1)*(1)*(1)*(1)*(1 + (0))</f>
      </c>
      <c r="D1840" s="22" t="s">
        <v>162</v>
      </c>
      <c r="E1840" s="22"/>
      <c r="F1840" s="22">
        <f>C1840*E1840</f>
      </c>
    </row>
    <row r="1841">
      <c r="A1841" s="5"/>
      <c r="B1841" s="14" t="s">
        <v>1450</v>
      </c>
      <c r="C1841" s="22">
        <f>(1)*(1)*(1)*(1)*(1 + (0))</f>
      </c>
      <c r="D1841" s="22" t="s">
        <v>1217</v>
      </c>
      <c r="E1841" s="22"/>
      <c r="F1841" s="22">
        <f>C1841*E1841</f>
      </c>
    </row>
    <row r="1842">
      <c r="A1842" s="5"/>
      <c r="B1842" s="14" t="s">
        <v>1451</v>
      </c>
      <c r="C1842" s="22">
        <f>(1)*(1)*(1)*(1)*(1 + (0))</f>
      </c>
      <c r="D1842" s="22" t="s">
        <v>1217</v>
      </c>
      <c r="E1842" s="22"/>
      <c r="F1842" s="22">
        <f>C1842*E1842</f>
      </c>
    </row>
    <row r="1843">
      <c r="A1843" s="5"/>
      <c r="B1843" s="7" t="s">
        <v>1452</v>
      </c>
      <c r="C1843" s="22"/>
      <c r="D1843" s="22"/>
      <c r="E1843" s="22"/>
      <c r="F1843" s="22">
        <f>C1843*E1843</f>
      </c>
    </row>
    <row r="1844">
      <c r="A1844" s="5"/>
      <c r="B1844" s="7" t="s">
        <v>1453</v>
      </c>
      <c r="C1844" s="22"/>
      <c r="D1844" s="22"/>
      <c r="E1844" s="22"/>
      <c r="F1844" s="22">
        <f>C1844*E1844</f>
      </c>
    </row>
    <row r="1845">
      <c r="A1845" s="2"/>
      <c r="B1845" s="10" t="s">
        <v>1454</v>
      </c>
      <c r="C1845" s="19"/>
      <c r="D1845" s="19"/>
      <c r="E1845" s="19"/>
      <c r="F1845" s="19"/>
    </row>
    <row r="1846">
      <c r="A1846" s="3"/>
      <c r="B1846" s="11" t="s">
        <v>37</v>
      </c>
      <c r="C1846" s="20"/>
      <c r="D1846" s="20"/>
      <c r="E1846" s="20"/>
      <c r="F1846" s="20"/>
    </row>
    <row r="1847">
      <c r="A1847" s="5" t="s">
        <v>1285</v>
      </c>
      <c r="B1847" s="14" t="s">
        <v>39</v>
      </c>
      <c r="C1847" s="22"/>
      <c r="D1847" s="22" t="s">
        <v>10</v>
      </c>
      <c r="E1847" s="22"/>
      <c r="F1847" s="22">
        <f>C1847*E1847</f>
      </c>
    </row>
    <row r="1848">
      <c r="A1848" s="5" t="s">
        <v>1286</v>
      </c>
      <c r="B1848" s="14" t="s">
        <v>41</v>
      </c>
      <c r="C1848" s="22"/>
      <c r="D1848" s="22" t="s">
        <v>10</v>
      </c>
      <c r="E1848" s="22"/>
      <c r="F1848" s="22">
        <f>C1848*E1848</f>
      </c>
    </row>
    <row r="1849">
      <c r="A1849" s="3"/>
      <c r="B1849" s="11" t="s">
        <v>42</v>
      </c>
      <c r="C1849" s="20"/>
      <c r="D1849" s="20"/>
      <c r="E1849" s="20"/>
      <c r="F1849" s="20"/>
    </row>
    <row r="1850">
      <c r="A1850" s="5"/>
      <c r="B1850" s="14" t="s">
        <v>1287</v>
      </c>
      <c r="C1850" s="22"/>
      <c r="D1850" s="22" t="s">
        <v>10</v>
      </c>
      <c r="E1850" s="22"/>
      <c r="F1850" s="22">
        <f>C1850*E1850</f>
      </c>
    </row>
    <row r="1851">
      <c r="A1851" s="5"/>
      <c r="B1851" s="14" t="s">
        <v>1288</v>
      </c>
      <c r="C1851" s="22"/>
      <c r="D1851" s="22" t="s">
        <v>10</v>
      </c>
      <c r="E1851" s="22"/>
      <c r="F1851" s="22">
        <f>C1851*E1851</f>
      </c>
    </row>
    <row r="1852">
      <c r="A1852" s="5"/>
      <c r="B1852" s="14" t="s">
        <v>1289</v>
      </c>
      <c r="C1852" s="22"/>
      <c r="D1852" s="22" t="s">
        <v>10</v>
      </c>
      <c r="E1852" s="22"/>
      <c r="F1852" s="22">
        <f>C1852*E1852</f>
      </c>
    </row>
    <row r="1853">
      <c r="A1853" s="5"/>
      <c r="B1853" s="14" t="s">
        <v>1290</v>
      </c>
      <c r="C1853" s="22"/>
      <c r="D1853" s="22" t="s">
        <v>10</v>
      </c>
      <c r="E1853" s="22"/>
      <c r="F1853" s="22">
        <f>C1853*E1853</f>
      </c>
    </row>
    <row r="1854">
      <c r="A1854" s="3"/>
      <c r="B1854" s="11" t="s">
        <v>44</v>
      </c>
      <c r="C1854" s="20"/>
      <c r="D1854" s="20"/>
      <c r="E1854" s="20"/>
      <c r="F1854" s="20"/>
    </row>
    <row r="1855">
      <c r="A1855" s="4"/>
      <c r="B1855" s="12" t="s">
        <v>45</v>
      </c>
      <c r="C1855" s="21"/>
      <c r="D1855" s="21"/>
      <c r="E1855" s="21"/>
      <c r="F1855" s="21"/>
    </row>
    <row r="1856">
      <c r="A1856" s="5" t="s">
        <v>1291</v>
      </c>
      <c r="B1856" s="13" t="s">
        <v>767</v>
      </c>
      <c r="C1856" s="22"/>
      <c r="D1856" s="22" t="s">
        <v>10</v>
      </c>
      <c r="E1856" s="22"/>
      <c r="F1856" s="22">
        <f>C1856*E1856</f>
      </c>
    </row>
    <row r="1857">
      <c r="A1857" s="5" t="s">
        <v>1292</v>
      </c>
      <c r="B1857" s="13" t="s">
        <v>123</v>
      </c>
      <c r="C1857" s="22"/>
      <c r="D1857" s="22" t="s">
        <v>10</v>
      </c>
      <c r="E1857" s="22"/>
      <c r="F1857" s="22">
        <f>C1857*E1857</f>
      </c>
    </row>
    <row r="1858">
      <c r="A1858" s="3"/>
      <c r="B1858" s="11" t="s">
        <v>68</v>
      </c>
      <c r="C1858" s="20"/>
      <c r="D1858" s="20"/>
      <c r="E1858" s="20"/>
      <c r="F1858" s="20"/>
    </row>
    <row r="1859">
      <c r="A1859" s="5" t="s">
        <v>1293</v>
      </c>
      <c r="B1859" s="14" t="s">
        <v>230</v>
      </c>
      <c r="C1859" s="22">
        <f>(1)*(1)*(1)*(1)*(1 + (0))</f>
      </c>
      <c r="D1859" s="22" t="s">
        <v>71</v>
      </c>
      <c r="E1859" s="22"/>
      <c r="F1859" s="22">
        <f>C1859*E1859</f>
      </c>
    </row>
    <row r="1860">
      <c r="A1860" s="5" t="s">
        <v>1294</v>
      </c>
      <c r="B1860" s="14" t="s">
        <v>70</v>
      </c>
      <c r="C1860" s="22">
        <f>(1)*(1)*(1)*(1)*(1 + (0))</f>
      </c>
      <c r="D1860" s="22" t="s">
        <v>71</v>
      </c>
      <c r="E1860" s="22"/>
      <c r="F1860" s="22">
        <f>C1860*E1860</f>
      </c>
    </row>
    <row r="1861">
      <c r="A1861" s="5" t="s">
        <v>1295</v>
      </c>
      <c r="B1861" s="14" t="s">
        <v>906</v>
      </c>
      <c r="C1861" s="22">
        <f>(1)*(1)*(1)*(1)*(1 + (0))</f>
      </c>
      <c r="D1861" s="22" t="s">
        <v>71</v>
      </c>
      <c r="E1861" s="22"/>
      <c r="F1861" s="22">
        <f>C1861*E1861</f>
      </c>
    </row>
    <row r="1862">
      <c r="A1862" s="5" t="s">
        <v>1296</v>
      </c>
      <c r="B1862" s="14" t="s">
        <v>665</v>
      </c>
      <c r="C1862" s="22">
        <f>(1)*(1)*(1)*(1)*(1 + (0))</f>
      </c>
      <c r="D1862" s="22" t="s">
        <v>71</v>
      </c>
      <c r="E1862" s="22"/>
      <c r="F1862" s="22">
        <f>C1862*E1862</f>
      </c>
    </row>
    <row r="1863">
      <c r="A1863" s="3"/>
      <c r="B1863" s="11" t="s">
        <v>106</v>
      </c>
      <c r="C1863" s="20"/>
      <c r="D1863" s="20"/>
      <c r="E1863" s="20"/>
      <c r="F1863" s="20"/>
    </row>
    <row r="1864">
      <c r="A1864" s="5"/>
      <c r="B1864" s="14" t="s">
        <v>1455</v>
      </c>
      <c r="C1864" s="22"/>
      <c r="D1864" s="22" t="s">
        <v>1335</v>
      </c>
      <c r="E1864" s="22"/>
      <c r="F1864" s="22">
        <f>C1864*E1864</f>
      </c>
    </row>
    <row r="1865">
      <c r="A1865" s="5"/>
      <c r="B1865" s="14" t="s">
        <v>1456</v>
      </c>
      <c r="C1865" s="22"/>
      <c r="D1865" s="22" t="s">
        <v>1335</v>
      </c>
      <c r="E1865" s="22"/>
      <c r="F1865" s="22">
        <f>C1865*E1865</f>
      </c>
    </row>
    <row r="1866">
      <c r="A1866" s="5"/>
      <c r="B1866" s="14" t="s">
        <v>1457</v>
      </c>
      <c r="C1866" s="22"/>
      <c r="D1866" s="22" t="s">
        <v>1335</v>
      </c>
      <c r="E1866" s="22"/>
      <c r="F1866" s="22">
        <f>C1866*E1866</f>
      </c>
    </row>
    <row r="1867">
      <c r="A1867" s="5"/>
      <c r="B1867" s="14" t="s">
        <v>1458</v>
      </c>
      <c r="C1867" s="22"/>
      <c r="D1867" s="22" t="s">
        <v>1335</v>
      </c>
      <c r="E1867" s="22"/>
      <c r="F1867" s="22">
        <f>C1867*E1867</f>
      </c>
    </row>
    <row r="1868">
      <c r="A1868" s="5"/>
      <c r="B1868" s="14" t="s">
        <v>1459</v>
      </c>
      <c r="C1868" s="22"/>
      <c r="D1868" s="22" t="s">
        <v>1335</v>
      </c>
      <c r="E1868" s="22"/>
      <c r="F1868" s="22">
        <f>C1868*E1868</f>
      </c>
    </row>
    <row r="1869">
      <c r="A1869" s="3"/>
      <c r="B1869" s="11" t="s">
        <v>1460</v>
      </c>
      <c r="C1869" s="20"/>
      <c r="D1869" s="20"/>
      <c r="E1869" s="20"/>
      <c r="F1869" s="20"/>
    </row>
    <row r="1870">
      <c r="A1870" s="4"/>
      <c r="B1870" s="12" t="s">
        <v>1461</v>
      </c>
      <c r="C1870" s="21"/>
      <c r="D1870" s="21"/>
      <c r="E1870" s="21"/>
      <c r="F1870" s="21"/>
    </row>
    <row r="1871">
      <c r="A1871" s="6"/>
      <c r="B1871" s="15" t="s">
        <v>1462</v>
      </c>
      <c r="C1871" s="23"/>
      <c r="D1871" s="23"/>
      <c r="E1871" s="23"/>
      <c r="F1871" s="23"/>
    </row>
    <row r="1872">
      <c r="A1872" s="5"/>
      <c r="B1872" s="16" t="s">
        <v>1463</v>
      </c>
      <c r="C1872" s="22">
        <f>(1)*(1)*(1)*(1)*(1 + (0))</f>
      </c>
      <c r="D1872" s="22" t="s">
        <v>162</v>
      </c>
      <c r="E1872" s="22"/>
      <c r="F1872" s="22">
        <f>C1872*E1872</f>
      </c>
    </row>
    <row r="1873">
      <c r="A1873" s="5"/>
      <c r="B1873" s="16" t="s">
        <v>1464</v>
      </c>
      <c r="C1873" s="22">
        <f>(24)*(1)*(1)*(1)*(1 + (0))</f>
      </c>
      <c r="D1873" s="22" t="s">
        <v>162</v>
      </c>
      <c r="E1873" s="22"/>
      <c r="F1873" s="22">
        <f>C1873*E1873</f>
      </c>
    </row>
    <row r="1874">
      <c r="A1874" s="5"/>
      <c r="B1874" s="16" t="s">
        <v>1465</v>
      </c>
      <c r="C1874" s="22">
        <f>(9)*(1)*(1)*(1)*(1 + (0))</f>
      </c>
      <c r="D1874" s="22" t="s">
        <v>162</v>
      </c>
      <c r="E1874" s="22"/>
      <c r="F1874" s="22">
        <f>C1874*E1874</f>
      </c>
    </row>
    <row r="1875">
      <c r="A1875" s="5"/>
      <c r="B1875" s="16" t="s">
        <v>1466</v>
      </c>
      <c r="C1875" s="22">
        <f>(1)*(1)*(1)*(1)*(1 + (0))</f>
      </c>
      <c r="D1875" s="22" t="s">
        <v>162</v>
      </c>
      <c r="E1875" s="22"/>
      <c r="F1875" s="22">
        <f>C1875*E1875</f>
      </c>
    </row>
    <row r="1876">
      <c r="A1876" s="4"/>
      <c r="B1876" s="12" t="s">
        <v>1467</v>
      </c>
      <c r="C1876" s="21"/>
      <c r="D1876" s="21"/>
      <c r="E1876" s="21"/>
      <c r="F1876" s="21"/>
    </row>
    <row r="1877">
      <c r="A1877" s="6"/>
      <c r="B1877" s="15" t="s">
        <v>1468</v>
      </c>
      <c r="C1877" s="23"/>
      <c r="D1877" s="23"/>
      <c r="E1877" s="23"/>
      <c r="F1877" s="23"/>
    </row>
    <row r="1878">
      <c r="A1878" s="5"/>
      <c r="B1878" s="16" t="s">
        <v>1469</v>
      </c>
      <c r="C1878" s="22">
        <f>(2)*(1)*(1)*(1)*(1 + (0))</f>
      </c>
      <c r="D1878" s="22" t="s">
        <v>162</v>
      </c>
      <c r="E1878" s="22"/>
      <c r="F1878" s="22">
        <f>C1878*E1878</f>
      </c>
    </row>
    <row r="1879">
      <c r="A1879" s="5"/>
      <c r="B1879" s="16" t="s">
        <v>1470</v>
      </c>
      <c r="C1879" s="22">
        <f>(6)*(1)*(1)*(1)*(1 + (0))</f>
      </c>
      <c r="D1879" s="22" t="s">
        <v>162</v>
      </c>
      <c r="E1879" s="22"/>
      <c r="F1879" s="22">
        <f>C1879*E1879</f>
      </c>
    </row>
    <row r="1880">
      <c r="A1880" s="5"/>
      <c r="B1880" s="16" t="s">
        <v>1471</v>
      </c>
      <c r="C1880" s="22">
        <f>(1)*(1)*(1)*(1)*(1 + (0))</f>
      </c>
      <c r="D1880" s="22" t="s">
        <v>162</v>
      </c>
      <c r="E1880" s="22"/>
      <c r="F1880" s="22">
        <f>C1880*E1880</f>
      </c>
    </row>
    <row r="1881">
      <c r="A1881" s="5"/>
      <c r="B1881" s="16" t="s">
        <v>1472</v>
      </c>
      <c r="C1881" s="22">
        <f>(2)*(1)*(1)*(1)*(1 + (0))</f>
      </c>
      <c r="D1881" s="22" t="s">
        <v>162</v>
      </c>
      <c r="E1881" s="22"/>
      <c r="F1881" s="22">
        <f>C1881*E1881</f>
      </c>
    </row>
    <row r="1882">
      <c r="A1882" s="5"/>
      <c r="B1882" s="16" t="s">
        <v>1473</v>
      </c>
      <c r="C1882" s="22">
        <f>(1)*(1)*(1)*(1)*(1 + (0))</f>
      </c>
      <c r="D1882" s="22" t="s">
        <v>162</v>
      </c>
      <c r="E1882" s="22"/>
      <c r="F1882" s="22">
        <f>C1882*E1882</f>
      </c>
    </row>
    <row r="1883">
      <c r="A1883" s="5"/>
      <c r="B1883" s="16" t="s">
        <v>1474</v>
      </c>
      <c r="C1883" s="22">
        <f>(4)*(1)*(1)*(1)*(1 + (0))</f>
      </c>
      <c r="D1883" s="22" t="s">
        <v>162</v>
      </c>
      <c r="E1883" s="22"/>
      <c r="F1883" s="22">
        <f>C1883*E1883</f>
      </c>
    </row>
    <row r="1884">
      <c r="A1884" s="5"/>
      <c r="B1884" s="16" t="s">
        <v>1475</v>
      </c>
      <c r="C1884" s="22">
        <f>(2)*(1)*(1)*(1)*(1 + (0))</f>
      </c>
      <c r="D1884" s="22" t="s">
        <v>162</v>
      </c>
      <c r="E1884" s="22"/>
      <c r="F1884" s="22">
        <f>C1884*E1884</f>
      </c>
    </row>
    <row r="1885">
      <c r="A1885" s="5"/>
      <c r="B1885" s="16" t="s">
        <v>1476</v>
      </c>
      <c r="C1885" s="22">
        <f>(6)*(1)*(1)*(1)*(1 + (0))</f>
      </c>
      <c r="D1885" s="22" t="s">
        <v>162</v>
      </c>
      <c r="E1885" s="22"/>
      <c r="F1885" s="22">
        <f>C1885*E1885</f>
      </c>
    </row>
    <row r="1886">
      <c r="A1886" s="5"/>
      <c r="B1886" s="16" t="s">
        <v>1477</v>
      </c>
      <c r="C1886" s="22">
        <f>(2)*(1)*(1)*(1)*(1 + (0))</f>
      </c>
      <c r="D1886" s="22" t="s">
        <v>162</v>
      </c>
      <c r="E1886" s="22"/>
      <c r="F1886" s="22">
        <f>C1886*E1886</f>
      </c>
    </row>
    <row r="1887">
      <c r="A1887" s="5"/>
      <c r="B1887" s="16" t="s">
        <v>1478</v>
      </c>
      <c r="C1887" s="22">
        <f>(1)*(1)*(1)*(1)*(1 + (0))</f>
      </c>
      <c r="D1887" s="22" t="s">
        <v>162</v>
      </c>
      <c r="E1887" s="22"/>
      <c r="F1887" s="22">
        <f>C1887*E1887</f>
      </c>
    </row>
    <row r="1888">
      <c r="A1888" s="6"/>
      <c r="B1888" s="15" t="s">
        <v>1479</v>
      </c>
      <c r="C1888" s="23"/>
      <c r="D1888" s="23"/>
      <c r="E1888" s="23"/>
      <c r="F1888" s="23"/>
    </row>
    <row r="1889">
      <c r="A1889" s="5"/>
      <c r="B1889" s="16" t="s">
        <v>1480</v>
      </c>
      <c r="C1889" s="22">
        <f>(2)*(1)*(1)*(1)*(1 + (0))</f>
      </c>
      <c r="D1889" s="22" t="s">
        <v>162</v>
      </c>
      <c r="E1889" s="22"/>
      <c r="F1889" s="22">
        <f>C1889*E1889</f>
      </c>
    </row>
    <row r="1890">
      <c r="A1890" s="5"/>
      <c r="B1890" s="16" t="s">
        <v>1481</v>
      </c>
      <c r="C1890" s="22">
        <f>(9)*(1)*(1)*(1)*(1 + (0))</f>
      </c>
      <c r="D1890" s="22" t="s">
        <v>162</v>
      </c>
      <c r="E1890" s="22"/>
      <c r="F1890" s="22">
        <f>C1890*E1890</f>
      </c>
    </row>
    <row r="1891">
      <c r="A1891" s="5"/>
      <c r="B1891" s="16" t="s">
        <v>1482</v>
      </c>
      <c r="C1891" s="22">
        <f>(9)*(1)*(1)*(1)*(1 + (0))</f>
      </c>
      <c r="D1891" s="22" t="s">
        <v>162</v>
      </c>
      <c r="E1891" s="22"/>
      <c r="F1891" s="22">
        <f>C1891*E1891</f>
      </c>
    </row>
    <row r="1892">
      <c r="A1892" s="5"/>
      <c r="B1892" s="16" t="s">
        <v>1483</v>
      </c>
      <c r="C1892" s="22">
        <f>(4)*(1)*(1)*(1)*(1 + (0))</f>
      </c>
      <c r="D1892" s="22" t="s">
        <v>162</v>
      </c>
      <c r="E1892" s="22"/>
      <c r="F1892" s="22">
        <f>C1892*E1892</f>
      </c>
    </row>
    <row r="1893">
      <c r="A1893" s="5"/>
      <c r="B1893" s="16" t="s">
        <v>1484</v>
      </c>
      <c r="C1893" s="22">
        <f>(5)*(1)*(1)*(1)*(1 + (0))</f>
      </c>
      <c r="D1893" s="22" t="s">
        <v>1217</v>
      </c>
      <c r="E1893" s="22"/>
      <c r="F1893" s="22">
        <f>C1893*E1893</f>
      </c>
    </row>
    <row r="1894">
      <c r="A1894" s="5"/>
      <c r="B1894" s="16" t="s">
        <v>1485</v>
      </c>
      <c r="C1894" s="22">
        <f>(1)*(1)*(1)*(1)*(1 + (0))</f>
      </c>
      <c r="D1894" s="22" t="s">
        <v>162</v>
      </c>
      <c r="E1894" s="22"/>
      <c r="F1894" s="22">
        <f>C1894*E1894</f>
      </c>
    </row>
    <row r="1895">
      <c r="A1895" s="5"/>
      <c r="B1895" s="16" t="s">
        <v>1486</v>
      </c>
      <c r="C1895" s="22">
        <f>(12)*(1)*(1)*(1)*(1 + (0))</f>
      </c>
      <c r="D1895" s="22" t="s">
        <v>162</v>
      </c>
      <c r="E1895" s="22"/>
      <c r="F1895" s="22">
        <f>C1895*E1895</f>
      </c>
    </row>
    <row r="1896">
      <c r="A1896" s="5"/>
      <c r="B1896" s="16" t="s">
        <v>1487</v>
      </c>
      <c r="C1896" s="22">
        <f>(6)*(1)*(1)*(1)*(1 + (0))</f>
      </c>
      <c r="D1896" s="22" t="s">
        <v>162</v>
      </c>
      <c r="E1896" s="22"/>
      <c r="F1896" s="22">
        <f>C1896*E1896</f>
      </c>
    </row>
    <row r="1897">
      <c r="A1897" s="5"/>
      <c r="B1897" s="16" t="s">
        <v>1488</v>
      </c>
      <c r="C1897" s="22">
        <f>(1)*(1)*(1)*(1)*(1 + (0))</f>
      </c>
      <c r="D1897" s="22" t="s">
        <v>162</v>
      </c>
      <c r="E1897" s="22"/>
      <c r="F1897" s="22">
        <f>C1897*E1897</f>
      </c>
    </row>
    <row r="1898">
      <c r="A1898" s="6"/>
      <c r="B1898" s="15" t="s">
        <v>1489</v>
      </c>
      <c r="C1898" s="23"/>
      <c r="D1898" s="23"/>
      <c r="E1898" s="23"/>
      <c r="F1898" s="23"/>
    </row>
    <row r="1899">
      <c r="A1899" s="5"/>
      <c r="B1899" s="16" t="s">
        <v>1490</v>
      </c>
      <c r="C1899" s="22">
        <f>(10)*(1)*(1)*(1)*(1 + (0))</f>
      </c>
      <c r="D1899" s="22" t="s">
        <v>162</v>
      </c>
      <c r="E1899" s="22"/>
      <c r="F1899" s="22">
        <f>C1899*E1899</f>
      </c>
    </row>
    <row r="1900">
      <c r="A1900" s="5"/>
      <c r="B1900" s="16" t="s">
        <v>1491</v>
      </c>
      <c r="C1900" s="22">
        <f>(6)*(1)*(1)*(1)*(1 + (0))</f>
      </c>
      <c r="D1900" s="22" t="s">
        <v>162</v>
      </c>
      <c r="E1900" s="22"/>
      <c r="F1900" s="22">
        <f>C1900*E1900</f>
      </c>
    </row>
    <row r="1901">
      <c r="A1901" s="5"/>
      <c r="B1901" s="16" t="s">
        <v>1492</v>
      </c>
      <c r="C1901" s="22">
        <f>(7)*(1)*(1)*(1)*(1 + (0))</f>
      </c>
      <c r="D1901" s="22" t="s">
        <v>162</v>
      </c>
      <c r="E1901" s="22"/>
      <c r="F1901" s="22">
        <f>C1901*E1901</f>
      </c>
    </row>
    <row r="1902">
      <c r="A1902" s="6"/>
      <c r="B1902" s="15" t="s">
        <v>1493</v>
      </c>
      <c r="C1902" s="23"/>
      <c r="D1902" s="23"/>
      <c r="E1902" s="23"/>
      <c r="F1902" s="23"/>
    </row>
    <row r="1903">
      <c r="A1903" s="5"/>
      <c r="B1903" s="16" t="s">
        <v>1494</v>
      </c>
      <c r="C1903" s="22">
        <f>(2)*(1)*(1)*(1)*(1 + (0))</f>
      </c>
      <c r="D1903" s="22" t="s">
        <v>162</v>
      </c>
      <c r="E1903" s="22"/>
      <c r="F1903" s="22">
        <f>C1903*E1903</f>
      </c>
    </row>
    <row r="1904">
      <c r="A1904" s="5"/>
      <c r="B1904" s="16" t="s">
        <v>1495</v>
      </c>
      <c r="C1904" s="22">
        <f>(2)*(1)*(1)*(1)*(1 + (0))</f>
      </c>
      <c r="D1904" s="22" t="s">
        <v>162</v>
      </c>
      <c r="E1904" s="22"/>
      <c r="F1904" s="22">
        <f>C1904*E1904</f>
      </c>
    </row>
    <row r="1905">
      <c r="A1905" s="6"/>
      <c r="B1905" s="15" t="s">
        <v>1496</v>
      </c>
      <c r="C1905" s="23"/>
      <c r="D1905" s="23"/>
      <c r="E1905" s="23"/>
      <c r="F1905" s="23"/>
    </row>
    <row r="1906">
      <c r="A1906" s="5"/>
      <c r="B1906" s="16" t="s">
        <v>1497</v>
      </c>
      <c r="C1906" s="22">
        <f>(23)*(1)*(1)*(1)*(1 + (0))</f>
      </c>
      <c r="D1906" s="22" t="s">
        <v>162</v>
      </c>
      <c r="E1906" s="22"/>
      <c r="F1906" s="22">
        <f>C1906*E1906</f>
      </c>
    </row>
    <row r="1907">
      <c r="A1907" s="5"/>
      <c r="B1907" s="16" t="s">
        <v>1498</v>
      </c>
      <c r="C1907" s="22">
        <f>(3)*(1)*(1)*(1)*(1 + (0))</f>
      </c>
      <c r="D1907" s="22" t="s">
        <v>162</v>
      </c>
      <c r="E1907" s="22"/>
      <c r="F1907" s="22">
        <f>C1907*E1907</f>
      </c>
    </row>
    <row r="1908">
      <c r="A1908" s="4"/>
      <c r="B1908" s="12" t="s">
        <v>1499</v>
      </c>
      <c r="C1908" s="21"/>
      <c r="D1908" s="21"/>
      <c r="E1908" s="21"/>
      <c r="F1908" s="21"/>
    </row>
    <row r="1909">
      <c r="A1909" s="6"/>
      <c r="B1909" s="15" t="s">
        <v>1500</v>
      </c>
      <c r="C1909" s="23"/>
      <c r="D1909" s="23"/>
      <c r="E1909" s="23"/>
      <c r="F1909" s="23"/>
    </row>
    <row r="1910">
      <c r="A1910" s="5"/>
      <c r="B1910" s="16" t="s">
        <v>1501</v>
      </c>
      <c r="C1910" s="22">
        <f>(14)*(1)*(1)*(1)*(1 + (0))</f>
      </c>
      <c r="D1910" s="22" t="s">
        <v>162</v>
      </c>
      <c r="E1910" s="22"/>
      <c r="F1910" s="22">
        <f>C1910*E1910</f>
      </c>
    </row>
    <row r="1911">
      <c r="A1911" s="5"/>
      <c r="B1911" s="16" t="s">
        <v>1502</v>
      </c>
      <c r="C1911" s="22">
        <f>(9)*(1)*(1)*(1)*(1 + (0))</f>
      </c>
      <c r="D1911" s="22" t="s">
        <v>162</v>
      </c>
      <c r="E1911" s="22"/>
      <c r="F1911" s="22">
        <f>C1911*E1911</f>
      </c>
    </row>
    <row r="1912">
      <c r="A1912" s="5"/>
      <c r="B1912" s="16" t="s">
        <v>1503</v>
      </c>
      <c r="C1912" s="22">
        <f>(20)*(1)*(1)*(1)*(1 + (0))</f>
      </c>
      <c r="D1912" s="22" t="s">
        <v>162</v>
      </c>
      <c r="E1912" s="22"/>
      <c r="F1912" s="22">
        <f>C1912*E1912</f>
      </c>
    </row>
    <row r="1913">
      <c r="A1913" s="5"/>
      <c r="B1913" s="16" t="s">
        <v>1504</v>
      </c>
      <c r="C1913" s="22">
        <f>(23)*(1)*(1)*(1)*(1 + (0))</f>
      </c>
      <c r="D1913" s="22" t="s">
        <v>162</v>
      </c>
      <c r="E1913" s="22"/>
      <c r="F1913" s="22">
        <f>C1913*E1913</f>
      </c>
    </row>
    <row r="1914">
      <c r="A1914" s="5"/>
      <c r="B1914" s="16" t="s">
        <v>1505</v>
      </c>
      <c r="C1914" s="22">
        <f>(2)*(1)*(1)*(1)*(1 + (0))</f>
      </c>
      <c r="D1914" s="22" t="s">
        <v>162</v>
      </c>
      <c r="E1914" s="22"/>
      <c r="F1914" s="22">
        <f>C1914*E1914</f>
      </c>
    </row>
    <row r="1915">
      <c r="A1915" s="5"/>
      <c r="B1915" s="16" t="s">
        <v>1506</v>
      </c>
      <c r="C1915" s="22">
        <f>(2)*(1)*(1)*(1)*(1 + (0))</f>
      </c>
      <c r="D1915" s="22" t="s">
        <v>162</v>
      </c>
      <c r="E1915" s="22"/>
      <c r="F1915" s="22">
        <f>C1915*E1915</f>
      </c>
    </row>
    <row r="1916">
      <c r="A1916" s="6"/>
      <c r="B1916" s="15" t="s">
        <v>1507</v>
      </c>
      <c r="C1916" s="23"/>
      <c r="D1916" s="23"/>
      <c r="E1916" s="23"/>
      <c r="F1916" s="23"/>
    </row>
    <row r="1917">
      <c r="A1917" s="5"/>
      <c r="B1917" s="16" t="s">
        <v>1508</v>
      </c>
      <c r="C1917" s="22">
        <f>(3)*(1)*(1)*(1)*(1 + (0))</f>
      </c>
      <c r="D1917" s="22" t="s">
        <v>162</v>
      </c>
      <c r="E1917" s="22"/>
      <c r="F1917" s="22">
        <f>C1917*E1917</f>
      </c>
    </row>
    <row r="1918">
      <c r="A1918" s="5"/>
      <c r="B1918" s="16" t="s">
        <v>1509</v>
      </c>
      <c r="C1918" s="22">
        <f>(4)*(1)*(1)*(1)*(1 + (0))</f>
      </c>
      <c r="D1918" s="22" t="s">
        <v>162</v>
      </c>
      <c r="E1918" s="22"/>
      <c r="F1918" s="22">
        <f>C1918*E1918</f>
      </c>
    </row>
    <row r="1919">
      <c r="A1919" s="5"/>
      <c r="B1919" s="16" t="s">
        <v>1510</v>
      </c>
      <c r="C1919" s="22">
        <f>(6)*(1)*(1)*(1)*(1 + (0))</f>
      </c>
      <c r="D1919" s="22" t="s">
        <v>162</v>
      </c>
      <c r="E1919" s="22"/>
      <c r="F1919" s="22">
        <f>C1919*E1919</f>
      </c>
    </row>
    <row r="1920">
      <c r="A1920" s="6"/>
      <c r="B1920" s="15" t="s">
        <v>1511</v>
      </c>
      <c r="C1920" s="23"/>
      <c r="D1920" s="23"/>
      <c r="E1920" s="23"/>
      <c r="F1920" s="23"/>
    </row>
    <row r="1921">
      <c r="A1921" s="5"/>
      <c r="B1921" s="16" t="s">
        <v>1512</v>
      </c>
      <c r="C1921" s="22">
        <f>(2)*(1)*(1)*(1)*(1 + (0))</f>
      </c>
      <c r="D1921" s="22" t="s">
        <v>162</v>
      </c>
      <c r="E1921" s="22"/>
      <c r="F1921" s="22">
        <f>C1921*E1921</f>
      </c>
    </row>
    <row r="1922">
      <c r="A1922" s="5"/>
      <c r="B1922" s="16" t="s">
        <v>1513</v>
      </c>
      <c r="C1922" s="22">
        <f>(14)*(1)*(1)*(1)*(1 + (0))</f>
      </c>
      <c r="D1922" s="22" t="s">
        <v>162</v>
      </c>
      <c r="E1922" s="22"/>
      <c r="F1922" s="22">
        <f>C1922*E1922</f>
      </c>
    </row>
    <row r="1923">
      <c r="A1923" s="5"/>
      <c r="B1923" s="16" t="s">
        <v>1514</v>
      </c>
      <c r="C1923" s="22">
        <f>(4)*(1)*(1)*(1)*(1 + (0))</f>
      </c>
      <c r="D1923" s="22" t="s">
        <v>162</v>
      </c>
      <c r="E1923" s="22"/>
      <c r="F1923" s="22">
        <f>C1923*E1923</f>
      </c>
    </row>
    <row r="1924">
      <c r="A1924" s="5"/>
      <c r="B1924" s="16" t="s">
        <v>1515</v>
      </c>
      <c r="C1924" s="22">
        <f>(6)*(1)*(1)*(1)*(1 + (0))</f>
      </c>
      <c r="D1924" s="22" t="s">
        <v>162</v>
      </c>
      <c r="E1924" s="22"/>
      <c r="F1924" s="22">
        <f>C1924*E1924</f>
      </c>
    </row>
    <row r="1925">
      <c r="A1925" s="6"/>
      <c r="B1925" s="15" t="s">
        <v>1516</v>
      </c>
      <c r="C1925" s="23"/>
      <c r="D1925" s="23"/>
      <c r="E1925" s="23"/>
      <c r="F1925" s="23"/>
    </row>
    <row r="1926">
      <c r="A1926" s="5"/>
      <c r="B1926" s="16" t="s">
        <v>1517</v>
      </c>
      <c r="C1926" s="22">
        <f>(4)*(1)*(1)*(1)*(1 + (0))</f>
      </c>
      <c r="D1926" s="22" t="s">
        <v>162</v>
      </c>
      <c r="E1926" s="22"/>
      <c r="F1926" s="22">
        <f>C1926*E1926</f>
      </c>
    </row>
    <row r="1927">
      <c r="A1927" s="5"/>
      <c r="B1927" s="16" t="s">
        <v>1518</v>
      </c>
      <c r="C1927" s="22">
        <f>(22)*(1)*(1)*(1)*(1 + (0))</f>
      </c>
      <c r="D1927" s="22" t="s">
        <v>162</v>
      </c>
      <c r="E1927" s="22"/>
      <c r="F1927" s="22">
        <f>C1927*E1927</f>
      </c>
    </row>
    <row r="1928">
      <c r="A1928" s="5"/>
      <c r="B1928" s="16" t="s">
        <v>1519</v>
      </c>
      <c r="C1928" s="22">
        <f>(9)*(1)*(1)*(1)*(1 + (0))</f>
      </c>
      <c r="D1928" s="22" t="s">
        <v>162</v>
      </c>
      <c r="E1928" s="22"/>
      <c r="F1928" s="22">
        <f>C1928*E1928</f>
      </c>
    </row>
    <row r="1929">
      <c r="A1929" s="6"/>
      <c r="B1929" s="15" t="s">
        <v>1520</v>
      </c>
      <c r="C1929" s="23"/>
      <c r="D1929" s="23"/>
      <c r="E1929" s="23"/>
      <c r="F1929" s="23"/>
    </row>
    <row r="1930">
      <c r="A1930" s="5"/>
      <c r="B1930" s="16" t="s">
        <v>1521</v>
      </c>
      <c r="C1930" s="22">
        <f>(2)*(1)*(1)*(1)*(1 + (0))</f>
      </c>
      <c r="D1930" s="22" t="s">
        <v>162</v>
      </c>
      <c r="E1930" s="22"/>
      <c r="F1930" s="22">
        <f>C1930*E1930</f>
      </c>
    </row>
    <row r="1931">
      <c r="A1931" s="5"/>
      <c r="B1931" s="16" t="s">
        <v>1522</v>
      </c>
      <c r="C1931" s="22">
        <f>(2)*(1)*(1)*(1)*(1 + (0))</f>
      </c>
      <c r="D1931" s="22" t="s">
        <v>162</v>
      </c>
      <c r="E1931" s="22"/>
      <c r="F1931" s="22">
        <f>C1931*E1931</f>
      </c>
    </row>
    <row r="1932">
      <c r="A1932" s="6"/>
      <c r="B1932" s="15" t="s">
        <v>1523</v>
      </c>
      <c r="C1932" s="23"/>
      <c r="D1932" s="23"/>
      <c r="E1932" s="23"/>
      <c r="F1932" s="23"/>
    </row>
    <row r="1933">
      <c r="A1933" s="5"/>
      <c r="B1933" s="16" t="s">
        <v>1524</v>
      </c>
      <c r="C1933" s="22">
        <f>(10)*(1)*(1)*(1)*(1 + (0))</f>
      </c>
      <c r="D1933" s="22" t="s">
        <v>162</v>
      </c>
      <c r="E1933" s="22"/>
      <c r="F1933" s="22">
        <f>C1933*E1933</f>
      </c>
    </row>
    <row r="1934">
      <c r="A1934" s="5"/>
      <c r="B1934" s="16" t="s">
        <v>1525</v>
      </c>
      <c r="C1934" s="22">
        <f>(2)*(1)*(1)*(1)*(1 + (0))</f>
      </c>
      <c r="D1934" s="22" t="s">
        <v>162</v>
      </c>
      <c r="E1934" s="22"/>
      <c r="F1934" s="22">
        <f>C1934*E1934</f>
      </c>
    </row>
    <row r="1935">
      <c r="A1935" s="5"/>
      <c r="B1935" s="16" t="s">
        <v>1526</v>
      </c>
      <c r="C1935" s="22">
        <f>(2)*(1)*(1)*(1)*(1 + (0))</f>
      </c>
      <c r="D1935" s="22" t="s">
        <v>162</v>
      </c>
      <c r="E1935" s="22"/>
      <c r="F1935" s="22">
        <f>C1935*E1935</f>
      </c>
    </row>
    <row r="1936">
      <c r="A1936" s="4"/>
      <c r="B1936" s="12" t="s">
        <v>1527</v>
      </c>
      <c r="C1936" s="21"/>
      <c r="D1936" s="21"/>
      <c r="E1936" s="21"/>
      <c r="F1936" s="21"/>
    </row>
    <row r="1937">
      <c r="A1937" s="5"/>
      <c r="B1937" s="13" t="s">
        <v>1528</v>
      </c>
      <c r="C1937" s="22">
        <f>(3)*(1)*(1)*(1)*(1 + (0))</f>
      </c>
      <c r="D1937" s="22" t="s">
        <v>162</v>
      </c>
      <c r="E1937" s="22"/>
      <c r="F1937" s="22">
        <f>C1937*E1937</f>
      </c>
    </row>
    <row r="1938">
      <c r="A1938" s="5"/>
      <c r="B1938" s="13" t="s">
        <v>1529</v>
      </c>
      <c r="C1938" s="22">
        <f>(1)*(1)*(1)*(1)*(1 + (0))</f>
      </c>
      <c r="D1938" s="22" t="s">
        <v>162</v>
      </c>
      <c r="E1938" s="22"/>
      <c r="F1938" s="22">
        <f>C1938*E1938</f>
      </c>
    </row>
    <row r="1939">
      <c r="A1939" s="5"/>
      <c r="B1939" s="13" t="s">
        <v>1530</v>
      </c>
      <c r="C1939" s="22">
        <f>(1)*(1)*(1)*(1)*(1 + (0))</f>
      </c>
      <c r="D1939" s="22" t="s">
        <v>162</v>
      </c>
      <c r="E1939" s="22"/>
      <c r="F1939" s="22">
        <f>C1939*E1939</f>
      </c>
    </row>
    <row r="1940">
      <c r="A1940" s="5"/>
      <c r="B1940" s="13" t="s">
        <v>1531</v>
      </c>
      <c r="C1940" s="22">
        <f>(2)*(1)*(1)*(1)*(1 + (0))</f>
      </c>
      <c r="D1940" s="22" t="s">
        <v>162</v>
      </c>
      <c r="E1940" s="22"/>
      <c r="F1940" s="22">
        <f>C1940*E1940</f>
      </c>
    </row>
    <row r="1941">
      <c r="A1941" s="5"/>
      <c r="B1941" s="13" t="s">
        <v>1532</v>
      </c>
      <c r="C1941" s="22">
        <f>(1)*(1)*(1)*(1)*(1 + (0))</f>
      </c>
      <c r="D1941" s="22" t="s">
        <v>162</v>
      </c>
      <c r="E1941" s="22"/>
      <c r="F1941" s="22">
        <f>C1941*E1941</f>
      </c>
    </row>
    <row r="1942">
      <c r="A1942" s="2"/>
      <c r="B1942" s="10" t="s">
        <v>1533</v>
      </c>
      <c r="C1942" s="19"/>
      <c r="D1942" s="19"/>
      <c r="E1942" s="19"/>
      <c r="F1942" s="19"/>
    </row>
    <row r="1943">
      <c r="A1943" s="3"/>
      <c r="B1943" s="11" t="s">
        <v>37</v>
      </c>
      <c r="C1943" s="20"/>
      <c r="D1943" s="20"/>
      <c r="E1943" s="20"/>
      <c r="F1943" s="20"/>
    </row>
    <row r="1944">
      <c r="A1944" s="5" t="s">
        <v>1285</v>
      </c>
      <c r="B1944" s="14" t="s">
        <v>39</v>
      </c>
      <c r="C1944" s="22"/>
      <c r="D1944" s="22" t="s">
        <v>10</v>
      </c>
      <c r="E1944" s="22"/>
      <c r="F1944" s="22">
        <f>C1944*E1944</f>
      </c>
    </row>
    <row r="1945">
      <c r="A1945" s="5" t="s">
        <v>1286</v>
      </c>
      <c r="B1945" s="14" t="s">
        <v>41</v>
      </c>
      <c r="C1945" s="22"/>
      <c r="D1945" s="22" t="s">
        <v>10</v>
      </c>
      <c r="E1945" s="22"/>
      <c r="F1945" s="22">
        <f>C1945*E1945</f>
      </c>
    </row>
    <row r="1946">
      <c r="A1946" s="3"/>
      <c r="B1946" s="11" t="s">
        <v>42</v>
      </c>
      <c r="C1946" s="20"/>
      <c r="D1946" s="20"/>
      <c r="E1946" s="20"/>
      <c r="F1946" s="20"/>
    </row>
    <row r="1947">
      <c r="A1947" s="5"/>
      <c r="B1947" s="14" t="s">
        <v>1287</v>
      </c>
      <c r="C1947" s="22"/>
      <c r="D1947" s="22" t="s">
        <v>10</v>
      </c>
      <c r="E1947" s="22"/>
      <c r="F1947" s="22">
        <f>C1947*E1947</f>
      </c>
    </row>
    <row r="1948">
      <c r="A1948" s="5"/>
      <c r="B1948" s="14" t="s">
        <v>1288</v>
      </c>
      <c r="C1948" s="22"/>
      <c r="D1948" s="22" t="s">
        <v>10</v>
      </c>
      <c r="E1948" s="22"/>
      <c r="F1948" s="22">
        <f>C1948*E1948</f>
      </c>
    </row>
    <row r="1949">
      <c r="A1949" s="5"/>
      <c r="B1949" s="14" t="s">
        <v>1289</v>
      </c>
      <c r="C1949" s="22"/>
      <c r="D1949" s="22" t="s">
        <v>10</v>
      </c>
      <c r="E1949" s="22"/>
      <c r="F1949" s="22">
        <f>C1949*E1949</f>
      </c>
    </row>
    <row r="1950">
      <c r="A1950" s="5"/>
      <c r="B1950" s="14" t="s">
        <v>1290</v>
      </c>
      <c r="C1950" s="22"/>
      <c r="D1950" s="22" t="s">
        <v>10</v>
      </c>
      <c r="E1950" s="22"/>
      <c r="F1950" s="22">
        <f>C1950*E1950</f>
      </c>
    </row>
    <row r="1951">
      <c r="A1951" s="3"/>
      <c r="B1951" s="11" t="s">
        <v>44</v>
      </c>
      <c r="C1951" s="20"/>
      <c r="D1951" s="20"/>
      <c r="E1951" s="20"/>
      <c r="F1951" s="20"/>
    </row>
    <row r="1952">
      <c r="A1952" s="4"/>
      <c r="B1952" s="12" t="s">
        <v>45</v>
      </c>
      <c r="C1952" s="21"/>
      <c r="D1952" s="21"/>
      <c r="E1952" s="21"/>
      <c r="F1952" s="21"/>
    </row>
    <row r="1953">
      <c r="A1953" s="5" t="s">
        <v>1291</v>
      </c>
      <c r="B1953" s="13" t="s">
        <v>767</v>
      </c>
      <c r="C1953" s="22"/>
      <c r="D1953" s="22" t="s">
        <v>10</v>
      </c>
      <c r="E1953" s="22"/>
      <c r="F1953" s="22">
        <f>C1953*E1953</f>
      </c>
    </row>
    <row r="1954">
      <c r="A1954" s="5" t="s">
        <v>1292</v>
      </c>
      <c r="B1954" s="13" t="s">
        <v>123</v>
      </c>
      <c r="C1954" s="22"/>
      <c r="D1954" s="22" t="s">
        <v>10</v>
      </c>
      <c r="E1954" s="22"/>
      <c r="F1954" s="22">
        <f>C1954*E1954</f>
      </c>
    </row>
    <row r="1955">
      <c r="A1955" s="3"/>
      <c r="B1955" s="11" t="s">
        <v>68</v>
      </c>
      <c r="C1955" s="20"/>
      <c r="D1955" s="20"/>
      <c r="E1955" s="20"/>
      <c r="F1955" s="20"/>
    </row>
    <row r="1956">
      <c r="A1956" s="5" t="s">
        <v>1293</v>
      </c>
      <c r="B1956" s="14" t="s">
        <v>230</v>
      </c>
      <c r="C1956" s="22">
        <f>(1)*(1)*(1)*(1)*(1 + (0))</f>
      </c>
      <c r="D1956" s="22" t="s">
        <v>71</v>
      </c>
      <c r="E1956" s="22"/>
      <c r="F1956" s="22">
        <f>C1956*E1956</f>
      </c>
    </row>
    <row r="1957">
      <c r="A1957" s="5" t="s">
        <v>1294</v>
      </c>
      <c r="B1957" s="14" t="s">
        <v>70</v>
      </c>
      <c r="C1957" s="22">
        <f>(1)*(1)*(1)*(1)*(1 + (0))</f>
      </c>
      <c r="D1957" s="22" t="s">
        <v>71</v>
      </c>
      <c r="E1957" s="22"/>
      <c r="F1957" s="22">
        <f>C1957*E1957</f>
      </c>
    </row>
    <row r="1958">
      <c r="A1958" s="5" t="s">
        <v>1295</v>
      </c>
      <c r="B1958" s="14" t="s">
        <v>906</v>
      </c>
      <c r="C1958" s="22">
        <f>(1)*(1)*(1)*(1)*(1 + (0))</f>
      </c>
      <c r="D1958" s="22" t="s">
        <v>71</v>
      </c>
      <c r="E1958" s="22"/>
      <c r="F1958" s="22">
        <f>C1958*E1958</f>
      </c>
    </row>
    <row r="1959">
      <c r="A1959" s="5" t="s">
        <v>1296</v>
      </c>
      <c r="B1959" s="14" t="s">
        <v>665</v>
      </c>
      <c r="C1959" s="22">
        <f>(1)*(1)*(1)*(1)*(1 + (0))</f>
      </c>
      <c r="D1959" s="22" t="s">
        <v>71</v>
      </c>
      <c r="E1959" s="22"/>
      <c r="F1959" s="22">
        <f>C1959*E1959</f>
      </c>
    </row>
    <row r="1960">
      <c r="A1960" s="3"/>
      <c r="B1960" s="11" t="s">
        <v>106</v>
      </c>
      <c r="C1960" s="20"/>
      <c r="D1960" s="20"/>
      <c r="E1960" s="20"/>
      <c r="F1960" s="20"/>
    </row>
    <row r="1961">
      <c r="A1961" s="5"/>
      <c r="B1961" s="14" t="s">
        <v>1455</v>
      </c>
      <c r="C1961" s="22"/>
      <c r="D1961" s="22" t="s">
        <v>1335</v>
      </c>
      <c r="E1961" s="22"/>
      <c r="F1961" s="22">
        <f>C1961*E1961</f>
      </c>
    </row>
    <row r="1962">
      <c r="A1962" s="3"/>
      <c r="B1962" s="11" t="s">
        <v>1534</v>
      </c>
      <c r="C1962" s="20"/>
      <c r="D1962" s="20"/>
      <c r="E1962" s="20"/>
      <c r="F1962" s="20"/>
    </row>
    <row r="1963">
      <c r="A1963" s="4"/>
      <c r="B1963" s="12" t="s">
        <v>1461</v>
      </c>
      <c r="C1963" s="21"/>
      <c r="D1963" s="21"/>
      <c r="E1963" s="21"/>
      <c r="F1963" s="21"/>
    </row>
    <row r="1964">
      <c r="A1964" s="6"/>
      <c r="B1964" s="15" t="s">
        <v>1535</v>
      </c>
      <c r="C1964" s="23"/>
      <c r="D1964" s="23"/>
      <c r="E1964" s="23"/>
      <c r="F1964" s="23"/>
    </row>
    <row r="1965">
      <c r="A1965" s="5"/>
      <c r="B1965" s="16" t="s">
        <v>1536</v>
      </c>
      <c r="C1965" s="22">
        <f>(440)*(1)*(1)*(1)*(1 + (0))</f>
      </c>
      <c r="D1965" s="22" t="s">
        <v>162</v>
      </c>
      <c r="E1965" s="22"/>
      <c r="F1965" s="22">
        <f>C1965*E1965</f>
      </c>
    </row>
    <row r="1966">
      <c r="A1966" s="5"/>
      <c r="B1966" s="16" t="s">
        <v>1537</v>
      </c>
      <c r="C1966" s="22">
        <f>(32)*(1)*(1)*(1)*(1 + (0))</f>
      </c>
      <c r="D1966" s="22" t="s">
        <v>1217</v>
      </c>
      <c r="E1966" s="22"/>
      <c r="F1966" s="22">
        <f>C1966*E1966</f>
      </c>
    </row>
    <row r="1967">
      <c r="A1967" s="5"/>
      <c r="B1967" s="16" t="s">
        <v>1538</v>
      </c>
      <c r="C1967" s="22">
        <f>(68)*(1)*(1)*(1)*(1 + (0))</f>
      </c>
      <c r="D1967" s="22" t="s">
        <v>1217</v>
      </c>
      <c r="E1967" s="22"/>
      <c r="F1967" s="22">
        <f>C1967*E1967</f>
      </c>
    </row>
    <row r="1968">
      <c r="A1968" s="5"/>
      <c r="B1968" s="16" t="s">
        <v>1539</v>
      </c>
      <c r="C1968" s="22">
        <f>(12)*(1)*(1)*(1)*(1 + (0))</f>
      </c>
      <c r="D1968" s="22" t="s">
        <v>162</v>
      </c>
      <c r="E1968" s="22"/>
      <c r="F1968" s="22">
        <f>C1968*E1968</f>
      </c>
    </row>
    <row r="1969">
      <c r="A1969" s="5"/>
      <c r="B1969" s="16" t="s">
        <v>1540</v>
      </c>
      <c r="C1969" s="22">
        <f>(5)*(1)*(1)*(1)*(1 + (0))</f>
      </c>
      <c r="D1969" s="22" t="s">
        <v>162</v>
      </c>
      <c r="E1969" s="22"/>
      <c r="F1969" s="22">
        <f>C1969*E1969</f>
      </c>
    </row>
    <row r="1970">
      <c r="A1970" s="5"/>
      <c r="B1970" s="16" t="s">
        <v>1541</v>
      </c>
      <c r="C1970" s="22">
        <f>(18)*(1)*(1)*(1)*(1 + (0))</f>
      </c>
      <c r="D1970" s="22" t="s">
        <v>162</v>
      </c>
      <c r="E1970" s="22"/>
      <c r="F1970" s="22">
        <f>C1970*E1970</f>
      </c>
    </row>
    <row r="1971">
      <c r="A1971" s="5"/>
      <c r="B1971" s="16" t="s">
        <v>1542</v>
      </c>
      <c r="C1971" s="22">
        <f>(33)*(1)*(1)*(1)*(1 + (0))</f>
      </c>
      <c r="D1971" s="22" t="s">
        <v>1217</v>
      </c>
      <c r="E1971" s="22"/>
      <c r="F1971" s="22">
        <f>C1971*E1971</f>
      </c>
    </row>
    <row r="1972">
      <c r="A1972" s="5"/>
      <c r="B1972" s="16" t="s">
        <v>1543</v>
      </c>
      <c r="C1972" s="22">
        <f>(6)*(1)*(1)*(1)*(1 + (0))</f>
      </c>
      <c r="D1972" s="22" t="s">
        <v>162</v>
      </c>
      <c r="E1972" s="22"/>
      <c r="F1972" s="22">
        <f>C1972*E1972</f>
      </c>
    </row>
    <row r="1973">
      <c r="A1973" s="5"/>
      <c r="B1973" s="16" t="s">
        <v>1544</v>
      </c>
      <c r="C1973" s="22">
        <f>(43)*(1)*(1)*(1)*(1 + (0))</f>
      </c>
      <c r="D1973" s="22" t="s">
        <v>162</v>
      </c>
      <c r="E1973" s="22"/>
      <c r="F1973" s="22">
        <f>C1973*E1973</f>
      </c>
    </row>
    <row r="1974">
      <c r="A1974" s="5"/>
      <c r="B1974" s="16" t="s">
        <v>1545</v>
      </c>
      <c r="C1974" s="22">
        <f>(24)*(1)*(1)*(1)*(1 + (0))</f>
      </c>
      <c r="D1974" s="22" t="s">
        <v>162</v>
      </c>
      <c r="E1974" s="22"/>
      <c r="F1974" s="22">
        <f>C1974*E1974</f>
      </c>
    </row>
    <row r="1975">
      <c r="A1975" s="5"/>
      <c r="B1975" s="16" t="s">
        <v>1546</v>
      </c>
      <c r="C1975" s="22">
        <f>(48)*(1)*(1)*(1)*(1 + (0))</f>
      </c>
      <c r="D1975" s="22" t="s">
        <v>162</v>
      </c>
      <c r="E1975" s="22"/>
      <c r="F1975" s="22">
        <f>C1975*E1975</f>
      </c>
    </row>
    <row r="1976">
      <c r="A1976" s="5"/>
      <c r="B1976" s="16" t="s">
        <v>1547</v>
      </c>
      <c r="C1976" s="22">
        <f>(54)*(1)*(1)*(1)*(1 + (0))</f>
      </c>
      <c r="D1976" s="22" t="s">
        <v>162</v>
      </c>
      <c r="E1976" s="22"/>
      <c r="F1976" s="22">
        <f>C1976*E1976</f>
      </c>
    </row>
    <row r="1977">
      <c r="A1977" s="5"/>
      <c r="B1977" s="16" t="s">
        <v>1548</v>
      </c>
      <c r="C1977" s="22">
        <f>(5)*(1)*(1)*(1)*(1 + (0))</f>
      </c>
      <c r="D1977" s="22" t="s">
        <v>1217</v>
      </c>
      <c r="E1977" s="22"/>
      <c r="F1977" s="22">
        <f>C1977*E1977</f>
      </c>
    </row>
    <row r="1978">
      <c r="A1978" s="5"/>
      <c r="B1978" s="16" t="s">
        <v>1549</v>
      </c>
      <c r="C1978" s="22">
        <f>(3)*(1)*(1)*(1)*(1 + (0))</f>
      </c>
      <c r="D1978" s="22" t="s">
        <v>1217</v>
      </c>
      <c r="E1978" s="22"/>
      <c r="F1978" s="22">
        <f>C1978*E1978</f>
      </c>
    </row>
    <row r="1979">
      <c r="A1979" s="5"/>
      <c r="B1979" s="16" t="s">
        <v>1550</v>
      </c>
      <c r="C1979" s="22">
        <f>(2)*(1)*(1)*(1)*(1 + (0))</f>
      </c>
      <c r="D1979" s="22" t="s">
        <v>1217</v>
      </c>
      <c r="E1979" s="22"/>
      <c r="F1979" s="22">
        <f>C1979*E1979</f>
      </c>
    </row>
    <row r="1980">
      <c r="A1980" s="5"/>
      <c r="B1980" s="16" t="s">
        <v>1551</v>
      </c>
      <c r="C1980" s="22">
        <f>(1)*(1)*(1)*(1)*(1 + (0))</f>
      </c>
      <c r="D1980" s="22" t="s">
        <v>1217</v>
      </c>
      <c r="E1980" s="22"/>
      <c r="F1980" s="22">
        <f>C1980*E1980</f>
      </c>
    </row>
    <row r="1981">
      <c r="A1981" s="5"/>
      <c r="B1981" s="16" t="s">
        <v>1552</v>
      </c>
      <c r="C1981" s="22">
        <f>(3)*(1)*(1)*(1)*(1 + (0))</f>
      </c>
      <c r="D1981" s="22" t="s">
        <v>1217</v>
      </c>
      <c r="E1981" s="22"/>
      <c r="F1981" s="22">
        <f>C1981*E1981</f>
      </c>
    </row>
    <row r="1982">
      <c r="A1982" s="6"/>
      <c r="B1982" s="15" t="s">
        <v>1553</v>
      </c>
      <c r="C1982" s="23"/>
      <c r="D1982" s="23"/>
      <c r="E1982" s="23"/>
      <c r="F1982" s="23"/>
    </row>
    <row r="1983">
      <c r="A1983" s="5"/>
      <c r="B1983" s="16" t="s">
        <v>1554</v>
      </c>
      <c r="C1983" s="22">
        <f>(4)*(1)*(1)*(1)*(1 + (0))</f>
      </c>
      <c r="D1983" s="22" t="s">
        <v>162</v>
      </c>
      <c r="E1983" s="22"/>
      <c r="F1983" s="22">
        <f>C1983*E1983</f>
      </c>
    </row>
    <row r="1984">
      <c r="A1984" s="5"/>
      <c r="B1984" s="16" t="s">
        <v>1555</v>
      </c>
      <c r="C1984" s="22">
        <f>(12)*(1)*(1)*(1)*(1 + (0))</f>
      </c>
      <c r="D1984" s="22" t="s">
        <v>162</v>
      </c>
      <c r="E1984" s="22"/>
      <c r="F1984" s="22">
        <f>C1984*E1984</f>
      </c>
    </row>
    <row r="1985">
      <c r="A1985" s="5"/>
      <c r="B1985" s="16" t="s">
        <v>1556</v>
      </c>
      <c r="C1985" s="22">
        <f>(5)*(1)*(1)*(1)*(1 + (0))</f>
      </c>
      <c r="D1985" s="22" t="s">
        <v>162</v>
      </c>
      <c r="E1985" s="22"/>
      <c r="F1985" s="22">
        <f>C1985*E1985</f>
      </c>
    </row>
    <row r="1986">
      <c r="A1986" s="5"/>
      <c r="B1986" s="16" t="s">
        <v>1557</v>
      </c>
      <c r="C1986" s="22">
        <f>(14)*(1)*(1)*(1)*(1 + (0))</f>
      </c>
      <c r="D1986" s="22" t="s">
        <v>162</v>
      </c>
      <c r="E1986" s="22"/>
      <c r="F1986" s="22">
        <f>C1986*E1986</f>
      </c>
    </row>
    <row r="1987">
      <c r="A1987" s="5"/>
      <c r="B1987" s="16" t="s">
        <v>1558</v>
      </c>
      <c r="C1987" s="22">
        <f>(3)*(1)*(1)*(1)*(1 + (0))</f>
      </c>
      <c r="D1987" s="22" t="s">
        <v>162</v>
      </c>
      <c r="E1987" s="22"/>
      <c r="F1987" s="22">
        <f>C1987*E1987</f>
      </c>
    </row>
    <row r="1988">
      <c r="A1988" s="5"/>
      <c r="B1988" s="16" t="s">
        <v>1559</v>
      </c>
      <c r="C1988" s="22">
        <f>(267)*(1)*(1)*(1)*(1 + (0))</f>
      </c>
      <c r="D1988" s="22" t="s">
        <v>162</v>
      </c>
      <c r="E1988" s="22"/>
      <c r="F1988" s="22">
        <f>C1988*E1988</f>
      </c>
    </row>
    <row r="1989">
      <c r="A1989" s="5"/>
      <c r="B1989" s="16" t="s">
        <v>1560</v>
      </c>
      <c r="C1989" s="22">
        <f>(16)*(1)*(1)*(1)*(1 + (0))</f>
      </c>
      <c r="D1989" s="22" t="s">
        <v>162</v>
      </c>
      <c r="E1989" s="22"/>
      <c r="F1989" s="22">
        <f>C1989*E1989</f>
      </c>
    </row>
    <row r="1990">
      <c r="A1990" s="5"/>
      <c r="B1990" s="16" t="s">
        <v>1561</v>
      </c>
      <c r="C1990" s="22">
        <f>(10)*(1)*(1)*(1)*(1 + (0))</f>
      </c>
      <c r="D1990" s="22" t="s">
        <v>162</v>
      </c>
      <c r="E1990" s="22"/>
      <c r="F1990" s="22">
        <f>C1990*E1990</f>
      </c>
    </row>
    <row r="1991">
      <c r="A1991" s="5"/>
      <c r="B1991" s="16" t="s">
        <v>1562</v>
      </c>
      <c r="C1991" s="22">
        <f>(24)*(1)*(1)*(1)*(1 + (0))</f>
      </c>
      <c r="D1991" s="22" t="s">
        <v>162</v>
      </c>
      <c r="E1991" s="22"/>
      <c r="F1991" s="22">
        <f>C1991*E1991</f>
      </c>
    </row>
    <row r="1992">
      <c r="A1992" s="5"/>
      <c r="B1992" s="16" t="s">
        <v>1563</v>
      </c>
      <c r="C1992" s="22">
        <f>(3)*(1)*(1)*(1)*(1 + (0))</f>
      </c>
      <c r="D1992" s="22" t="s">
        <v>162</v>
      </c>
      <c r="E1992" s="22"/>
      <c r="F1992" s="22">
        <f>C1992*E1992</f>
      </c>
    </row>
    <row r="1993">
      <c r="A1993" s="5"/>
      <c r="B1993" s="16" t="s">
        <v>1564</v>
      </c>
      <c r="C1993" s="22">
        <f>(15)*(1)*(1)*(1)*(1 + (0))</f>
      </c>
      <c r="D1993" s="22" t="s">
        <v>162</v>
      </c>
      <c r="E1993" s="22"/>
      <c r="F1993" s="22">
        <f>C1993*E1993</f>
      </c>
    </row>
    <row r="1994">
      <c r="A1994" s="5"/>
      <c r="B1994" s="16" t="s">
        <v>1565</v>
      </c>
      <c r="C1994" s="22">
        <f>(18)*(1)*(1)*(1)*(1 + (0))</f>
      </c>
      <c r="D1994" s="22" t="s">
        <v>162</v>
      </c>
      <c r="E1994" s="22"/>
      <c r="F1994" s="22">
        <f>C1994*E1994</f>
      </c>
    </row>
    <row r="1995">
      <c r="A1995" s="5"/>
      <c r="B1995" s="16" t="s">
        <v>1566</v>
      </c>
      <c r="C1995" s="22">
        <f>(3)*(1)*(1)*(1)*(1 + (0))</f>
      </c>
      <c r="D1995" s="22" t="s">
        <v>162</v>
      </c>
      <c r="E1995" s="22"/>
      <c r="F1995" s="22">
        <f>C1995*E1995</f>
      </c>
    </row>
    <row r="1996">
      <c r="A1996" s="6"/>
      <c r="B1996" s="15" t="s">
        <v>1462</v>
      </c>
      <c r="C1996" s="23"/>
      <c r="D1996" s="23"/>
      <c r="E1996" s="23"/>
      <c r="F1996" s="23"/>
    </row>
    <row r="1997">
      <c r="A1997" s="5"/>
      <c r="B1997" s="16" t="s">
        <v>1567</v>
      </c>
      <c r="C1997" s="22">
        <f>(21)*(1)*(1)*(1)*(1 + (0))</f>
      </c>
      <c r="D1997" s="22" t="s">
        <v>162</v>
      </c>
      <c r="E1997" s="22"/>
      <c r="F1997" s="22">
        <f>C1997*E1997</f>
      </c>
    </row>
    <row r="1998">
      <c r="A1998" s="5"/>
      <c r="B1998" s="16" t="s">
        <v>1568</v>
      </c>
      <c r="C1998" s="22">
        <f>(1)*(1)*(1)*(1)*(1 + (0))</f>
      </c>
      <c r="D1998" s="22" t="s">
        <v>162</v>
      </c>
      <c r="E1998" s="22"/>
      <c r="F1998" s="22">
        <f>C1998*E1998</f>
      </c>
    </row>
    <row r="1999">
      <c r="A1999" s="5"/>
      <c r="B1999" s="16" t="s">
        <v>1569</v>
      </c>
      <c r="C1999" s="22">
        <f>(22)*(1)*(1)*(1)*(1 + (0))</f>
      </c>
      <c r="D1999" s="22" t="s">
        <v>162</v>
      </c>
      <c r="E1999" s="22"/>
      <c r="F1999" s="22">
        <f>C1999*E1999</f>
      </c>
    </row>
    <row r="2000">
      <c r="A2000" s="5"/>
      <c r="B2000" s="16" t="s">
        <v>1570</v>
      </c>
      <c r="C2000" s="22">
        <f>(4)*(1)*(1)*(1)*(1 + (0))</f>
      </c>
      <c r="D2000" s="22" t="s">
        <v>162</v>
      </c>
      <c r="E2000" s="22"/>
      <c r="F2000" s="22">
        <f>C2000*E2000</f>
      </c>
    </row>
    <row r="2001">
      <c r="A2001" s="5"/>
      <c r="B2001" s="16" t="s">
        <v>1571</v>
      </c>
      <c r="C2001" s="22">
        <f>(5)*(1)*(1)*(1)*(1 + (0))</f>
      </c>
      <c r="D2001" s="22" t="s">
        <v>162</v>
      </c>
      <c r="E2001" s="22"/>
      <c r="F2001" s="22">
        <f>C2001*E2001</f>
      </c>
    </row>
    <row r="2002">
      <c r="A2002" s="5"/>
      <c r="B2002" s="16" t="s">
        <v>1572</v>
      </c>
      <c r="C2002" s="22">
        <f>(5)*(1)*(1)*(1)*(1 + (0))</f>
      </c>
      <c r="D2002" s="22" t="s">
        <v>162</v>
      </c>
      <c r="E2002" s="22"/>
      <c r="F2002" s="22">
        <f>C2002*E2002</f>
      </c>
    </row>
    <row r="2003">
      <c r="A2003" s="5"/>
      <c r="B2003" s="16" t="s">
        <v>1573</v>
      </c>
      <c r="C2003" s="22">
        <f>(4)*(1)*(1)*(1)*(1 + (0))</f>
      </c>
      <c r="D2003" s="22" t="s">
        <v>162</v>
      </c>
      <c r="E2003" s="22"/>
      <c r="F2003" s="22">
        <f>C2003*E2003</f>
      </c>
    </row>
    <row r="2004">
      <c r="A2004" s="5"/>
      <c r="B2004" s="16" t="s">
        <v>1574</v>
      </c>
      <c r="C2004" s="22">
        <f>(36)*(1)*(1)*(1)*(1 + (0))</f>
      </c>
      <c r="D2004" s="22" t="s">
        <v>162</v>
      </c>
      <c r="E2004" s="22"/>
      <c r="F2004" s="22">
        <f>C2004*E2004</f>
      </c>
    </row>
    <row r="2005">
      <c r="A2005" s="5"/>
      <c r="B2005" s="16" t="s">
        <v>1575</v>
      </c>
      <c r="C2005" s="22">
        <f>(3)*(1)*(1)*(1)*(1 + (0))</f>
      </c>
      <c r="D2005" s="22" t="s">
        <v>162</v>
      </c>
      <c r="E2005" s="22"/>
      <c r="F2005" s="22">
        <f>C2005*E2005</f>
      </c>
    </row>
    <row r="2006">
      <c r="A2006" s="5"/>
      <c r="B2006" s="16" t="s">
        <v>1576</v>
      </c>
      <c r="C2006" s="22">
        <f>(6)*(1)*(1)*(1)*(1 + (0))</f>
      </c>
      <c r="D2006" s="22" t="s">
        <v>162</v>
      </c>
      <c r="E2006" s="22"/>
      <c r="F2006" s="22">
        <f>C2006*E2006</f>
      </c>
    </row>
    <row r="2007">
      <c r="A2007" s="5"/>
      <c r="B2007" s="16" t="s">
        <v>1577</v>
      </c>
      <c r="C2007" s="22">
        <f>(4)*(1)*(1)*(1)*(1 + (0))</f>
      </c>
      <c r="D2007" s="22" t="s">
        <v>162</v>
      </c>
      <c r="E2007" s="22"/>
      <c r="F2007" s="22">
        <f>C2007*E2007</f>
      </c>
    </row>
    <row r="2008">
      <c r="A2008" s="5"/>
      <c r="B2008" s="16" t="s">
        <v>1578</v>
      </c>
      <c r="C2008" s="22">
        <f>(3)*(1)*(1)*(1)*(1 + (0))</f>
      </c>
      <c r="D2008" s="22" t="s">
        <v>162</v>
      </c>
      <c r="E2008" s="22"/>
      <c r="F2008" s="22">
        <f>C2008*E2008</f>
      </c>
    </row>
    <row r="2009">
      <c r="A2009" s="6"/>
      <c r="B2009" s="15" t="s">
        <v>1579</v>
      </c>
      <c r="C2009" s="23"/>
      <c r="D2009" s="23"/>
      <c r="E2009" s="23"/>
      <c r="F2009" s="23"/>
    </row>
    <row r="2010">
      <c r="A2010" s="5"/>
      <c r="B2010" s="16" t="s">
        <v>1580</v>
      </c>
      <c r="C2010" s="22">
        <f>(2)*(1)*(1)*(1)*(1 + (0))</f>
      </c>
      <c r="D2010" s="22" t="s">
        <v>162</v>
      </c>
      <c r="E2010" s="22"/>
      <c r="F2010" s="22">
        <f>C2010*E2010</f>
      </c>
    </row>
    <row r="2011">
      <c r="A2011" s="4"/>
      <c r="B2011" s="12" t="s">
        <v>1527</v>
      </c>
      <c r="C2011" s="21"/>
      <c r="D2011" s="21"/>
      <c r="E2011" s="21"/>
      <c r="F2011" s="21"/>
    </row>
    <row r="2012">
      <c r="A2012" s="5"/>
      <c r="B2012" s="13" t="s">
        <v>1581</v>
      </c>
      <c r="C2012" s="22">
        <f>(2)*(1)*(1)*(1)*(1 + (0))</f>
      </c>
      <c r="D2012" s="22" t="s">
        <v>162</v>
      </c>
      <c r="E2012" s="22"/>
      <c r="F2012" s="22">
        <f>C2012*E2012</f>
      </c>
    </row>
    <row r="2013">
      <c r="A2013" s="4"/>
      <c r="B2013" s="12" t="s">
        <v>1582</v>
      </c>
      <c r="C2013" s="21"/>
      <c r="D2013" s="21"/>
      <c r="E2013" s="21"/>
      <c r="F2013" s="21"/>
    </row>
    <row r="2014">
      <c r="A2014" s="5"/>
      <c r="B2014" s="13" t="s">
        <v>1583</v>
      </c>
      <c r="C2014" s="22">
        <f>(1)*(1)*(1)*(1)*(1 + (0))</f>
      </c>
      <c r="D2014" s="22" t="s">
        <v>162</v>
      </c>
      <c r="E2014" s="22"/>
      <c r="F2014" s="22">
        <f>C2014*E2014</f>
      </c>
    </row>
    <row r="2015">
      <c r="A2015" s="2"/>
      <c r="B2015" s="10" t="s">
        <v>1584</v>
      </c>
      <c r="C2015" s="19"/>
      <c r="D2015" s="19"/>
      <c r="E2015" s="19"/>
      <c r="F2015" s="19"/>
    </row>
    <row r="2016">
      <c r="A2016" s="3"/>
      <c r="B2016" s="11" t="s">
        <v>37</v>
      </c>
      <c r="C2016" s="20"/>
      <c r="D2016" s="20"/>
      <c r="E2016" s="20"/>
      <c r="F2016" s="20"/>
    </row>
    <row r="2017">
      <c r="A2017" s="5" t="s">
        <v>1285</v>
      </c>
      <c r="B2017" s="14" t="s">
        <v>39</v>
      </c>
      <c r="C2017" s="22"/>
      <c r="D2017" s="22" t="s">
        <v>10</v>
      </c>
      <c r="E2017" s="22"/>
      <c r="F2017" s="22">
        <f>C2017*E2017</f>
      </c>
    </row>
    <row r="2018">
      <c r="A2018" s="5" t="s">
        <v>1286</v>
      </c>
      <c r="B2018" s="14" t="s">
        <v>41</v>
      </c>
      <c r="C2018" s="22"/>
      <c r="D2018" s="22" t="s">
        <v>10</v>
      </c>
      <c r="E2018" s="22"/>
      <c r="F2018" s="22">
        <f>C2018*E2018</f>
      </c>
    </row>
    <row r="2019">
      <c r="A2019" s="3"/>
      <c r="B2019" s="11" t="s">
        <v>42</v>
      </c>
      <c r="C2019" s="20"/>
      <c r="D2019" s="20"/>
      <c r="E2019" s="20"/>
      <c r="F2019" s="20"/>
    </row>
    <row r="2020">
      <c r="A2020" s="5"/>
      <c r="B2020" s="14" t="s">
        <v>1287</v>
      </c>
      <c r="C2020" s="22"/>
      <c r="D2020" s="22" t="s">
        <v>10</v>
      </c>
      <c r="E2020" s="22"/>
      <c r="F2020" s="22">
        <f>C2020*E2020</f>
      </c>
    </row>
    <row r="2021">
      <c r="A2021" s="5"/>
      <c r="B2021" s="14" t="s">
        <v>1288</v>
      </c>
      <c r="C2021" s="22"/>
      <c r="D2021" s="22" t="s">
        <v>10</v>
      </c>
      <c r="E2021" s="22"/>
      <c r="F2021" s="22">
        <f>C2021*E2021</f>
      </c>
    </row>
    <row r="2022">
      <c r="A2022" s="5"/>
      <c r="B2022" s="14" t="s">
        <v>1289</v>
      </c>
      <c r="C2022" s="22"/>
      <c r="D2022" s="22" t="s">
        <v>10</v>
      </c>
      <c r="E2022" s="22"/>
      <c r="F2022" s="22">
        <f>C2022*E2022</f>
      </c>
    </row>
    <row r="2023">
      <c r="A2023" s="5"/>
      <c r="B2023" s="14" t="s">
        <v>1290</v>
      </c>
      <c r="C2023" s="22"/>
      <c r="D2023" s="22" t="s">
        <v>10</v>
      </c>
      <c r="E2023" s="22"/>
      <c r="F2023" s="22">
        <f>C2023*E2023</f>
      </c>
    </row>
    <row r="2024">
      <c r="A2024" s="3"/>
      <c r="B2024" s="11" t="s">
        <v>44</v>
      </c>
      <c r="C2024" s="20"/>
      <c r="D2024" s="20"/>
      <c r="E2024" s="20"/>
      <c r="F2024" s="20"/>
    </row>
    <row r="2025">
      <c r="A2025" s="4"/>
      <c r="B2025" s="12" t="s">
        <v>45</v>
      </c>
      <c r="C2025" s="21"/>
      <c r="D2025" s="21"/>
      <c r="E2025" s="21"/>
      <c r="F2025" s="21"/>
    </row>
    <row r="2026">
      <c r="A2026" s="5" t="s">
        <v>1291</v>
      </c>
      <c r="B2026" s="13" t="s">
        <v>767</v>
      </c>
      <c r="C2026" s="22"/>
      <c r="D2026" s="22" t="s">
        <v>10</v>
      </c>
      <c r="E2026" s="22"/>
      <c r="F2026" s="22">
        <f>C2026*E2026</f>
      </c>
    </row>
    <row r="2027">
      <c r="A2027" s="5" t="s">
        <v>1292</v>
      </c>
      <c r="B2027" s="13" t="s">
        <v>123</v>
      </c>
      <c r="C2027" s="22"/>
      <c r="D2027" s="22" t="s">
        <v>10</v>
      </c>
      <c r="E2027" s="22"/>
      <c r="F2027" s="22">
        <f>C2027*E2027</f>
      </c>
    </row>
    <row r="2028">
      <c r="A2028" s="3"/>
      <c r="B2028" s="11" t="s">
        <v>68</v>
      </c>
      <c r="C2028" s="20"/>
      <c r="D2028" s="20"/>
      <c r="E2028" s="20"/>
      <c r="F2028" s="20"/>
    </row>
    <row r="2029">
      <c r="A2029" s="5" t="s">
        <v>1293</v>
      </c>
      <c r="B2029" s="14" t="s">
        <v>230</v>
      </c>
      <c r="C2029" s="22">
        <f>(1)*(1)*(1)*(1)*(1 + (0))</f>
      </c>
      <c r="D2029" s="22" t="s">
        <v>71</v>
      </c>
      <c r="E2029" s="22"/>
      <c r="F2029" s="22">
        <f>C2029*E2029</f>
      </c>
    </row>
    <row r="2030">
      <c r="A2030" s="5" t="s">
        <v>1294</v>
      </c>
      <c r="B2030" s="14" t="s">
        <v>70</v>
      </c>
      <c r="C2030" s="22">
        <f>(1)*(1)*(1)*(1)*(1 + (0))</f>
      </c>
      <c r="D2030" s="22" t="s">
        <v>71</v>
      </c>
      <c r="E2030" s="22"/>
      <c r="F2030" s="22">
        <f>C2030*E2030</f>
      </c>
    </row>
    <row r="2031">
      <c r="A2031" s="5" t="s">
        <v>1295</v>
      </c>
      <c r="B2031" s="14" t="s">
        <v>906</v>
      </c>
      <c r="C2031" s="22">
        <f>(1)*(1)*(1)*(1)*(1 + (0))</f>
      </c>
      <c r="D2031" s="22" t="s">
        <v>71</v>
      </c>
      <c r="E2031" s="22"/>
      <c r="F2031" s="22">
        <f>C2031*E2031</f>
      </c>
    </row>
    <row r="2032">
      <c r="A2032" s="5" t="s">
        <v>1296</v>
      </c>
      <c r="B2032" s="14" t="s">
        <v>665</v>
      </c>
      <c r="C2032" s="22">
        <f>(1)*(1)*(1)*(1)*(1 + (0))</f>
      </c>
      <c r="D2032" s="22" t="s">
        <v>71</v>
      </c>
      <c r="E2032" s="22"/>
      <c r="F2032" s="22">
        <f>C2032*E2032</f>
      </c>
    </row>
    <row r="2033">
      <c r="A2033" s="3"/>
      <c r="B2033" s="11" t="s">
        <v>1585</v>
      </c>
      <c r="C2033" s="20"/>
      <c r="D2033" s="20"/>
      <c r="E2033" s="20"/>
      <c r="F2033" s="20"/>
    </row>
    <row r="2034">
      <c r="A2034" s="4"/>
      <c r="B2034" s="12" t="s">
        <v>1527</v>
      </c>
      <c r="C2034" s="21"/>
      <c r="D2034" s="21"/>
      <c r="E2034" s="21"/>
      <c r="F2034" s="21"/>
    </row>
    <row r="2035">
      <c r="A2035" s="5"/>
      <c r="B2035" s="13" t="s">
        <v>1586</v>
      </c>
      <c r="C2035" s="22">
        <f>(11)*(1)*(1)*(1)*(1 + (0))</f>
      </c>
      <c r="D2035" s="22" t="s">
        <v>162</v>
      </c>
      <c r="E2035" s="22"/>
      <c r="F2035" s="22">
        <f>C2035*E2035</f>
      </c>
    </row>
    <row r="2036">
      <c r="A2036" s="3"/>
      <c r="B2036" s="11" t="s">
        <v>1587</v>
      </c>
      <c r="C2036" s="20"/>
      <c r="D2036" s="20"/>
      <c r="E2036" s="20"/>
      <c r="F2036" s="20"/>
    </row>
    <row r="2037">
      <c r="A2037" s="4"/>
      <c r="B2037" s="12" t="s">
        <v>1461</v>
      </c>
      <c r="C2037" s="21"/>
      <c r="D2037" s="21"/>
      <c r="E2037" s="21"/>
      <c r="F2037" s="21"/>
    </row>
    <row r="2038">
      <c r="A2038" s="6"/>
      <c r="B2038" s="15" t="s">
        <v>1535</v>
      </c>
      <c r="C2038" s="23"/>
      <c r="D2038" s="23"/>
      <c r="E2038" s="23"/>
      <c r="F2038" s="23"/>
    </row>
    <row r="2039">
      <c r="A2039" s="5"/>
      <c r="B2039" s="16" t="s">
        <v>1588</v>
      </c>
      <c r="C2039" s="22">
        <f>(1)*(1)*(1)*(1)*(1 + (0))</f>
      </c>
      <c r="D2039" s="22" t="s">
        <v>162</v>
      </c>
      <c r="E2039" s="22"/>
      <c r="F2039" s="22">
        <f>C2039*E2039</f>
      </c>
    </row>
    <row r="2040">
      <c r="A2040" s="6"/>
      <c r="B2040" s="15" t="s">
        <v>1462</v>
      </c>
      <c r="C2040" s="23"/>
      <c r="D2040" s="23"/>
      <c r="E2040" s="23"/>
      <c r="F2040" s="23"/>
    </row>
    <row r="2041">
      <c r="A2041" s="5"/>
      <c r="B2041" s="16" t="s">
        <v>1589</v>
      </c>
      <c r="C2041" s="22">
        <f>(2)*(1)*(1)*(1)*(1 + (0))</f>
      </c>
      <c r="D2041" s="22" t="s">
        <v>162</v>
      </c>
      <c r="E2041" s="22"/>
      <c r="F2041" s="22">
        <f>C2041*E2041</f>
      </c>
    </row>
    <row r="2042">
      <c r="A2042" s="5"/>
      <c r="B2042" s="16" t="s">
        <v>1590</v>
      </c>
      <c r="C2042" s="22">
        <f>(8)*(1)*(1)*(1)*(1 + (0))</f>
      </c>
      <c r="D2042" s="22" t="s">
        <v>162</v>
      </c>
      <c r="E2042" s="22"/>
      <c r="F2042" s="22">
        <f>C2042*E2042</f>
      </c>
    </row>
    <row r="2043">
      <c r="A2043" s="4"/>
      <c r="B2043" s="12" t="s">
        <v>1591</v>
      </c>
      <c r="C2043" s="21"/>
      <c r="D2043" s="21"/>
      <c r="E2043" s="21"/>
      <c r="F2043" s="21"/>
    </row>
    <row r="2044">
      <c r="A2044" s="5"/>
      <c r="B2044" s="13" t="s">
        <v>1592</v>
      </c>
      <c r="C2044" s="22">
        <f>(3)*(1)*(1)*(1)*(1 + (0))</f>
      </c>
      <c r="D2044" s="22" t="s">
        <v>162</v>
      </c>
      <c r="E2044" s="22"/>
      <c r="F2044" s="22">
        <f>C2044*E2044</f>
      </c>
    </row>
    <row r="2045">
      <c r="A2045" s="2"/>
      <c r="B2045" s="10" t="s">
        <v>1593</v>
      </c>
      <c r="C2045" s="19"/>
      <c r="D2045" s="19"/>
      <c r="E2045" s="19"/>
      <c r="F2045" s="19"/>
    </row>
    <row r="2046">
      <c r="A2046" s="3"/>
      <c r="B2046" s="11" t="s">
        <v>37</v>
      </c>
      <c r="C2046" s="20"/>
      <c r="D2046" s="20"/>
      <c r="E2046" s="20"/>
      <c r="F2046" s="20"/>
    </row>
    <row r="2047">
      <c r="A2047" s="5" t="s">
        <v>1367</v>
      </c>
      <c r="B2047" s="14" t="s">
        <v>39</v>
      </c>
      <c r="C2047" s="22"/>
      <c r="D2047" s="22" t="s">
        <v>10</v>
      </c>
      <c r="E2047" s="22"/>
      <c r="F2047" s="22">
        <f>C2047*E2047</f>
      </c>
    </row>
    <row r="2048">
      <c r="A2048" s="5" t="s">
        <v>1368</v>
      </c>
      <c r="B2048" s="14" t="s">
        <v>41</v>
      </c>
      <c r="C2048" s="22"/>
      <c r="D2048" s="22" t="s">
        <v>10</v>
      </c>
      <c r="E2048" s="22"/>
      <c r="F2048" s="22">
        <f>C2048*E2048</f>
      </c>
    </row>
    <row r="2049">
      <c r="A2049" s="3"/>
      <c r="B2049" s="11" t="s">
        <v>44</v>
      </c>
      <c r="C2049" s="20"/>
      <c r="D2049" s="20"/>
      <c r="E2049" s="20"/>
      <c r="F2049" s="20"/>
    </row>
    <row r="2050">
      <c r="A2050" s="4"/>
      <c r="B2050" s="12" t="s">
        <v>45</v>
      </c>
      <c r="C2050" s="21"/>
      <c r="D2050" s="21"/>
      <c r="E2050" s="21"/>
      <c r="F2050" s="21"/>
    </row>
    <row r="2051">
      <c r="A2051" s="5"/>
      <c r="B2051" s="13" t="s">
        <v>1594</v>
      </c>
      <c r="C2051" s="22"/>
      <c r="D2051" s="22" t="s">
        <v>10</v>
      </c>
      <c r="E2051" s="22"/>
      <c r="F2051" s="22">
        <f>C2051*E2051</f>
      </c>
    </row>
    <row r="2052">
      <c r="A2052" s="5"/>
      <c r="B2052" s="13" t="s">
        <v>1595</v>
      </c>
      <c r="C2052" s="22"/>
      <c r="D2052" s="22" t="s">
        <v>10</v>
      </c>
      <c r="E2052" s="22"/>
      <c r="F2052" s="22">
        <f>C2052*E2052</f>
      </c>
    </row>
    <row r="2053">
      <c r="A2053" s="5"/>
      <c r="B2053" s="13" t="s">
        <v>123</v>
      </c>
      <c r="C2053" s="22"/>
      <c r="D2053" s="22" t="s">
        <v>10</v>
      </c>
      <c r="E2053" s="22"/>
      <c r="F2053" s="22">
        <f>C2053*E2053</f>
      </c>
    </row>
    <row r="2054">
      <c r="A2054" s="3"/>
      <c r="B2054" s="11" t="s">
        <v>68</v>
      </c>
      <c r="C2054" s="20"/>
      <c r="D2054" s="20"/>
      <c r="E2054" s="20"/>
      <c r="F2054" s="20"/>
    </row>
    <row r="2055">
      <c r="A2055" s="5"/>
      <c r="B2055" s="14" t="s">
        <v>1596</v>
      </c>
      <c r="C2055" s="22">
        <f>(1)*(1)*(1)*(1)*(1 + (0))</f>
      </c>
      <c r="D2055" s="22" t="s">
        <v>71</v>
      </c>
      <c r="E2055" s="22"/>
      <c r="F2055" s="22">
        <f>C2055*E2055</f>
      </c>
    </row>
    <row r="2056">
      <c r="A2056" s="5"/>
      <c r="B2056" s="14" t="s">
        <v>1597</v>
      </c>
      <c r="C2056" s="22">
        <f>(1)*(1)*(1)*(1)*(1 + (0))</f>
      </c>
      <c r="D2056" s="22" t="s">
        <v>71</v>
      </c>
      <c r="E2056" s="22"/>
      <c r="F2056" s="22">
        <f>C2056*E2056</f>
      </c>
    </row>
    <row r="2057">
      <c r="A2057" s="5"/>
      <c r="B2057" s="14" t="s">
        <v>665</v>
      </c>
      <c r="C2057" s="22">
        <f>(1)*(1)*(1)*(1)*(1 + (0))</f>
      </c>
      <c r="D2057" s="22" t="s">
        <v>71</v>
      </c>
      <c r="E2057" s="22"/>
      <c r="F2057" s="22">
        <f>C2057*E2057</f>
      </c>
    </row>
    <row r="2058">
      <c r="A2058" s="3"/>
      <c r="B2058" s="11" t="s">
        <v>1598</v>
      </c>
      <c r="C2058" s="20"/>
      <c r="D2058" s="20"/>
      <c r="E2058" s="20"/>
      <c r="F2058" s="20"/>
    </row>
    <row r="2059">
      <c r="A2059" s="5"/>
      <c r="B2059" s="14" t="s">
        <v>1599</v>
      </c>
      <c r="C2059" s="22">
        <f>(1)*(1)*(1)*(1)*(1 + (0))</f>
      </c>
      <c r="D2059" s="22" t="s">
        <v>162</v>
      </c>
      <c r="E2059" s="22"/>
      <c r="F2059" s="22">
        <f>C2059*E2059</f>
      </c>
    </row>
    <row r="2060">
      <c r="A2060" s="5"/>
      <c r="B2060" s="7"/>
      <c r="C2060" s="22"/>
      <c r="D2060" s="22"/>
      <c r="E2060" s="22"/>
      <c r="F2060" s="22">
        <f>C2060*E2060</f>
      </c>
    </row>
    <row r="2061">
      <c r="A2061" s="5"/>
      <c r="B2061" s="7"/>
      <c r="C2061" s="22"/>
      <c r="D2061" s="22"/>
      <c r="E2061" s="22"/>
      <c r="F2061" s="22">
        <f>C2061*E2061</f>
      </c>
    </row>
    <row r="2062">
      <c r="A2062" s="5"/>
      <c r="B2062" s="7"/>
      <c r="C2062" s="22"/>
      <c r="D2062" s="22"/>
      <c r="E2062" s="22"/>
      <c r="F2062" s="22">
        <f>C2062*E2062</f>
      </c>
    </row>
    <row r="2063">
      <c r="A2063" s="5"/>
      <c r="B2063" s="7" t="s">
        <v>26</v>
      </c>
      <c r="C2063" s="22"/>
      <c r="D2063" s="22"/>
      <c r="E2063" s="22"/>
      <c r="F2063" s="22">
        <f>C2063*E2063</f>
      </c>
    </row>
    <row r="2064">
      <c r="A2064" s="2"/>
      <c r="B2064" s="10" t="s">
        <v>36</v>
      </c>
      <c r="C2064" s="19"/>
      <c r="D2064" s="19"/>
      <c r="E2064" s="19"/>
      <c r="F2064" s="19"/>
    </row>
    <row r="2065">
      <c r="A2065" s="3"/>
      <c r="B2065" s="11" t="s">
        <v>37</v>
      </c>
      <c r="C2065" s="20"/>
      <c r="D2065" s="20"/>
      <c r="E2065" s="20"/>
      <c r="F2065" s="20"/>
    </row>
    <row r="2066">
      <c r="A2066" s="5" t="s">
        <v>38</v>
      </c>
      <c r="B2066" s="14" t="s">
        <v>39</v>
      </c>
      <c r="C2066" s="22"/>
      <c r="D2066" s="22" t="s">
        <v>10</v>
      </c>
      <c r="E2066" s="22"/>
      <c r="F2066" s="22">
        <f>C2066*E2066</f>
      </c>
    </row>
    <row r="2067">
      <c r="A2067" s="5" t="s">
        <v>40</v>
      </c>
      <c r="B2067" s="14" t="s">
        <v>41</v>
      </c>
      <c r="C2067" s="22"/>
      <c r="D2067" s="22" t="s">
        <v>10</v>
      </c>
      <c r="E2067" s="22"/>
      <c r="F2067" s="22">
        <f>C2067*E2067</f>
      </c>
    </row>
    <row r="2068">
      <c r="A2068" s="3"/>
      <c r="B2068" s="11" t="s">
        <v>42</v>
      </c>
      <c r="C2068" s="20"/>
      <c r="D2068" s="20"/>
      <c r="E2068" s="20"/>
      <c r="F2068" s="20"/>
    </row>
    <row r="2069">
      <c r="A2069" s="5"/>
      <c r="B2069" s="14" t="s">
        <v>43</v>
      </c>
      <c r="C2069" s="22"/>
      <c r="D2069" s="22" t="s">
        <v>10</v>
      </c>
      <c r="E2069" s="22"/>
      <c r="F2069" s="22">
        <f>C2069*E2069</f>
      </c>
    </row>
    <row r="2070">
      <c r="A2070" s="3"/>
      <c r="B2070" s="11" t="s">
        <v>44</v>
      </c>
      <c r="C2070" s="20"/>
      <c r="D2070" s="20"/>
      <c r="E2070" s="20"/>
      <c r="F2070" s="20"/>
    </row>
    <row r="2071">
      <c r="A2071" s="4"/>
      <c r="B2071" s="12" t="s">
        <v>45</v>
      </c>
      <c r="C2071" s="21"/>
      <c r="D2071" s="21"/>
      <c r="E2071" s="21"/>
      <c r="F2071" s="21"/>
    </row>
    <row r="2072">
      <c r="A2072" s="5" t="s">
        <v>46</v>
      </c>
      <c r="B2072" s="13" t="s">
        <v>47</v>
      </c>
      <c r="C2072" s="22"/>
      <c r="D2072" s="22" t="s">
        <v>10</v>
      </c>
      <c r="E2072" s="22"/>
      <c r="F2072" s="22">
        <f>C2072*E2072</f>
      </c>
    </row>
    <row r="2073">
      <c r="A2073" s="5" t="s">
        <v>48</v>
      </c>
      <c r="B2073" s="13" t="s">
        <v>49</v>
      </c>
      <c r="C2073" s="22"/>
      <c r="D2073" s="22" t="s">
        <v>10</v>
      </c>
      <c r="E2073" s="22"/>
      <c r="F2073" s="22">
        <f>C2073*E2073</f>
      </c>
    </row>
    <row r="2074">
      <c r="A2074" s="5" t="s">
        <v>50</v>
      </c>
      <c r="B2074" s="13" t="s">
        <v>51</v>
      </c>
      <c r="C2074" s="22"/>
      <c r="D2074" s="22" t="s">
        <v>10</v>
      </c>
      <c r="E2074" s="22"/>
      <c r="F2074" s="22">
        <f>C2074*E2074</f>
      </c>
    </row>
    <row r="2075">
      <c r="A2075" s="5" t="s">
        <v>52</v>
      </c>
      <c r="B2075" s="13" t="s">
        <v>53</v>
      </c>
      <c r="C2075" s="22"/>
      <c r="D2075" s="22" t="s">
        <v>10</v>
      </c>
      <c r="E2075" s="22"/>
      <c r="F2075" s="22">
        <f>C2075*E2075</f>
      </c>
    </row>
    <row r="2076">
      <c r="A2076" s="5" t="s">
        <v>54</v>
      </c>
      <c r="B2076" s="13" t="s">
        <v>55</v>
      </c>
      <c r="C2076" s="22"/>
      <c r="D2076" s="22" t="s">
        <v>10</v>
      </c>
      <c r="E2076" s="22"/>
      <c r="F2076" s="22">
        <f>C2076*E2076</f>
      </c>
    </row>
    <row r="2077">
      <c r="A2077" s="5" t="s">
        <v>56</v>
      </c>
      <c r="B2077" s="13" t="s">
        <v>57</v>
      </c>
      <c r="C2077" s="22"/>
      <c r="D2077" s="22" t="s">
        <v>10</v>
      </c>
      <c r="E2077" s="22"/>
      <c r="F2077" s="22">
        <f>C2077*E2077</f>
      </c>
    </row>
    <row r="2078">
      <c r="A2078" s="5" t="s">
        <v>58</v>
      </c>
      <c r="B2078" s="13" t="s">
        <v>59</v>
      </c>
      <c r="C2078" s="22"/>
      <c r="D2078" s="22" t="s">
        <v>10</v>
      </c>
      <c r="E2078" s="22"/>
      <c r="F2078" s="22">
        <f>C2078*E2078</f>
      </c>
    </row>
    <row r="2079">
      <c r="A2079" s="5" t="s">
        <v>60</v>
      </c>
      <c r="B2079" s="13" t="s">
        <v>61</v>
      </c>
      <c r="C2079" s="22"/>
      <c r="D2079" s="22" t="s">
        <v>10</v>
      </c>
      <c r="E2079" s="22"/>
      <c r="F2079" s="22">
        <f>C2079*E2079</f>
      </c>
    </row>
    <row r="2080">
      <c r="A2080" s="5" t="s">
        <v>62</v>
      </c>
      <c r="B2080" s="13" t="s">
        <v>63</v>
      </c>
      <c r="C2080" s="22"/>
      <c r="D2080" s="22" t="s">
        <v>10</v>
      </c>
      <c r="E2080" s="22"/>
      <c r="F2080" s="22">
        <f>C2080*E2080</f>
      </c>
    </row>
    <row r="2081">
      <c r="A2081" s="5" t="s">
        <v>64</v>
      </c>
      <c r="B2081" s="13" t="s">
        <v>65</v>
      </c>
      <c r="C2081" s="22"/>
      <c r="D2081" s="22" t="s">
        <v>10</v>
      </c>
      <c r="E2081" s="22"/>
      <c r="F2081" s="22">
        <f>C2081*E2081</f>
      </c>
    </row>
    <row r="2082">
      <c r="A2082" s="5" t="s">
        <v>66</v>
      </c>
      <c r="B2082" s="13" t="s">
        <v>67</v>
      </c>
      <c r="C2082" s="22"/>
      <c r="D2082" s="22" t="s">
        <v>10</v>
      </c>
      <c r="E2082" s="22"/>
      <c r="F2082" s="22">
        <f>C2082*E2082</f>
      </c>
    </row>
    <row r="2083">
      <c r="A2083" s="3"/>
      <c r="B2083" s="11" t="s">
        <v>68</v>
      </c>
      <c r="C2083" s="20"/>
      <c r="D2083" s="20"/>
      <c r="E2083" s="20"/>
      <c r="F2083" s="20"/>
    </row>
    <row r="2084">
      <c r="A2084" s="5" t="s">
        <v>69</v>
      </c>
      <c r="B2084" s="14" t="s">
        <v>70</v>
      </c>
      <c r="C2084" s="22">
        <f>(1)*(1)*(1)*(1)*(1 + (0))</f>
      </c>
      <c r="D2084" s="22" t="s">
        <v>71</v>
      </c>
      <c r="E2084" s="22"/>
      <c r="F2084" s="22">
        <f>C2084*E2084</f>
      </c>
    </row>
    <row r="2085">
      <c r="A2085" s="5" t="s">
        <v>72</v>
      </c>
      <c r="B2085" s="14" t="s">
        <v>73</v>
      </c>
      <c r="C2085" s="22">
        <f>(1)*(1)*(1)*(1)*(1 + (0))</f>
      </c>
      <c r="D2085" s="22" t="s">
        <v>71</v>
      </c>
      <c r="E2085" s="22"/>
      <c r="F2085" s="22">
        <f>C2085*E2085</f>
      </c>
    </row>
    <row r="2086">
      <c r="A2086" s="5" t="s">
        <v>74</v>
      </c>
      <c r="B2086" s="14" t="s">
        <v>75</v>
      </c>
      <c r="C2086" s="22">
        <f>(1)*(1)*(1)*(1)*(1 + (0))</f>
      </c>
      <c r="D2086" s="22" t="s">
        <v>71</v>
      </c>
      <c r="E2086" s="22"/>
      <c r="F2086" s="22">
        <f>C2086*E2086</f>
      </c>
    </row>
    <row r="2087">
      <c r="A2087" s="5" t="s">
        <v>76</v>
      </c>
      <c r="B2087" s="14" t="s">
        <v>77</v>
      </c>
      <c r="C2087" s="22">
        <f>(1)*(1)*(1)*(1)*(1 + (0))</f>
      </c>
      <c r="D2087" s="22" t="s">
        <v>71</v>
      </c>
      <c r="E2087" s="22"/>
      <c r="F2087" s="22">
        <f>C2087*E2087</f>
      </c>
    </row>
    <row r="2088">
      <c r="A2088" s="5" t="s">
        <v>78</v>
      </c>
      <c r="B2088" s="14" t="s">
        <v>79</v>
      </c>
      <c r="C2088" s="22">
        <f>(1)*(1)*(1)*(1)*(1 + (0))</f>
      </c>
      <c r="D2088" s="22" t="s">
        <v>71</v>
      </c>
      <c r="E2088" s="22"/>
      <c r="F2088" s="22">
        <f>C2088*E2088</f>
      </c>
    </row>
    <row r="2089">
      <c r="A2089" s="5" t="s">
        <v>80</v>
      </c>
      <c r="B2089" s="14" t="s">
        <v>81</v>
      </c>
      <c r="C2089" s="22">
        <f>(1)*(1)*(1)*(1)*(1 + (0))</f>
      </c>
      <c r="D2089" s="22" t="s">
        <v>71</v>
      </c>
      <c r="E2089" s="22"/>
      <c r="F2089" s="22">
        <f>C2089*E2089</f>
      </c>
    </row>
    <row r="2090">
      <c r="A2090" s="5" t="s">
        <v>82</v>
      </c>
      <c r="B2090" s="14" t="s">
        <v>83</v>
      </c>
      <c r="C2090" s="22">
        <f>(1)*(1)*(1)*(1)*(1 + (0))</f>
      </c>
      <c r="D2090" s="22" t="s">
        <v>71</v>
      </c>
      <c r="E2090" s="22"/>
      <c r="F2090" s="22">
        <f>C2090*E2090</f>
      </c>
    </row>
    <row r="2091">
      <c r="A2091" s="5" t="s">
        <v>84</v>
      </c>
      <c r="B2091" s="14" t="s">
        <v>85</v>
      </c>
      <c r="C2091" s="22">
        <f>(1)*(1)*(1)*(1)*(1 + (0))</f>
      </c>
      <c r="D2091" s="22" t="s">
        <v>71</v>
      </c>
      <c r="E2091" s="22"/>
      <c r="F2091" s="22">
        <f>C2091*E2091</f>
      </c>
    </row>
    <row r="2092">
      <c r="A2092" s="5" t="s">
        <v>86</v>
      </c>
      <c r="B2092" s="14" t="s">
        <v>87</v>
      </c>
      <c r="C2092" s="22">
        <f>(1)*(1)*(1)*(1)*(1 + (0))</f>
      </c>
      <c r="D2092" s="22" t="s">
        <v>71</v>
      </c>
      <c r="E2092" s="22"/>
      <c r="F2092" s="22">
        <f>C2092*E2092</f>
      </c>
    </row>
    <row r="2093">
      <c r="A2093" s="5" t="s">
        <v>88</v>
      </c>
      <c r="B2093" s="14" t="s">
        <v>89</v>
      </c>
      <c r="C2093" s="22">
        <f>(1)*(1)*(1)*(1)*(1 + (0))</f>
      </c>
      <c r="D2093" s="22" t="s">
        <v>71</v>
      </c>
      <c r="E2093" s="22"/>
      <c r="F2093" s="22">
        <f>C2093*E2093</f>
      </c>
    </row>
    <row r="2094">
      <c r="A2094" s="5" t="s">
        <v>90</v>
      </c>
      <c r="B2094" s="14" t="s">
        <v>91</v>
      </c>
      <c r="C2094" s="22">
        <f>(1)*(1)*(1)*(1)*(1 + (0))</f>
      </c>
      <c r="D2094" s="22" t="s">
        <v>71</v>
      </c>
      <c r="E2094" s="22"/>
      <c r="F2094" s="22">
        <f>C2094*E2094</f>
      </c>
    </row>
    <row r="2095">
      <c r="A2095" s="5" t="s">
        <v>92</v>
      </c>
      <c r="B2095" s="14" t="s">
        <v>93</v>
      </c>
      <c r="C2095" s="22">
        <f>(1)*(1)*(1)*(1)*(1 + (0))</f>
      </c>
      <c r="D2095" s="22" t="s">
        <v>71</v>
      </c>
      <c r="E2095" s="22"/>
      <c r="F2095" s="22">
        <f>C2095*E2095</f>
      </c>
    </row>
    <row r="2096">
      <c r="A2096" s="5" t="s">
        <v>94</v>
      </c>
      <c r="B2096" s="14" t="s">
        <v>95</v>
      </c>
      <c r="C2096" s="22">
        <f>(1)*(1)*(1)*(1)*(1 + (0))</f>
      </c>
      <c r="D2096" s="22" t="s">
        <v>71</v>
      </c>
      <c r="E2096" s="22"/>
      <c r="F2096" s="22">
        <f>C2096*E2096</f>
      </c>
    </row>
    <row r="2097">
      <c r="A2097" s="5" t="s">
        <v>96</v>
      </c>
      <c r="B2097" s="14" t="s">
        <v>97</v>
      </c>
      <c r="C2097" s="22">
        <f>(1)*(1)*(1)*(1)*(1 + (0))</f>
      </c>
      <c r="D2097" s="22" t="s">
        <v>71</v>
      </c>
      <c r="E2097" s="22"/>
      <c r="F2097" s="22">
        <f>C2097*E2097</f>
      </c>
    </row>
    <row r="2098">
      <c r="A2098" s="5" t="s">
        <v>98</v>
      </c>
      <c r="B2098" s="14" t="s">
        <v>99</v>
      </c>
      <c r="C2098" s="22">
        <f>(1)*(1)*(1)*(1)*(1 + (0))</f>
      </c>
      <c r="D2098" s="22" t="s">
        <v>71</v>
      </c>
      <c r="E2098" s="22"/>
      <c r="F2098" s="22">
        <f>C2098*E2098</f>
      </c>
    </row>
    <row r="2099">
      <c r="A2099" s="5" t="s">
        <v>100</v>
      </c>
      <c r="B2099" s="14" t="s">
        <v>101</v>
      </c>
      <c r="C2099" s="22">
        <f>(1)*(1)*(1)*(1)*(1 + (0))</f>
      </c>
      <c r="D2099" s="22" t="s">
        <v>71</v>
      </c>
      <c r="E2099" s="22"/>
      <c r="F2099" s="22">
        <f>C2099*E2099</f>
      </c>
    </row>
    <row r="2100">
      <c r="A2100" s="5" t="s">
        <v>102</v>
      </c>
      <c r="B2100" s="14" t="s">
        <v>103</v>
      </c>
      <c r="C2100" s="22">
        <f>(1)*(1)*(1)*(1)*(1 + (0))</f>
      </c>
      <c r="D2100" s="22" t="s">
        <v>71</v>
      </c>
      <c r="E2100" s="22"/>
      <c r="F2100" s="22">
        <f>C2100*E2100</f>
      </c>
    </row>
    <row r="2101">
      <c r="A2101" s="5" t="s">
        <v>104</v>
      </c>
      <c r="B2101" s="14" t="s">
        <v>105</v>
      </c>
      <c r="C2101" s="22">
        <f>(1)*(1)*(1)*(1)*(1 + (0))</f>
      </c>
      <c r="D2101" s="22" t="s">
        <v>71</v>
      </c>
      <c r="E2101" s="22"/>
      <c r="F2101" s="22">
        <f>C2101*E2101</f>
      </c>
    </row>
    <row r="2102">
      <c r="A2102" s="3"/>
      <c r="B2102" s="11" t="s">
        <v>106</v>
      </c>
      <c r="C2102" s="20"/>
      <c r="D2102" s="20"/>
      <c r="E2102" s="20"/>
      <c r="F2102" s="20"/>
    </row>
    <row r="2103">
      <c r="A2103" s="5"/>
      <c r="B2103" s="14" t="s">
        <v>107</v>
      </c>
      <c r="C2103" s="22"/>
      <c r="D2103" s="22" t="s">
        <v>10</v>
      </c>
      <c r="E2103" s="22"/>
      <c r="F2103" s="22">
        <f>C2103*E2103</f>
      </c>
    </row>
    <row r="2104">
      <c r="A2104" s="3"/>
      <c r="B2104" s="11" t="s">
        <v>108</v>
      </c>
      <c r="C2104" s="20"/>
      <c r="D2104" s="20"/>
      <c r="E2104" s="20"/>
      <c r="F2104" s="20"/>
    </row>
    <row r="2105">
      <c r="A2105" s="4"/>
      <c r="B2105" s="12" t="s">
        <v>109</v>
      </c>
      <c r="C2105" s="21"/>
      <c r="D2105" s="21"/>
      <c r="E2105" s="21"/>
      <c r="F2105" s="21"/>
    </row>
    <row r="2106">
      <c r="A2106" s="5"/>
      <c r="B2106" s="13" t="s">
        <v>110</v>
      </c>
      <c r="C2106" s="22">
        <f>(19)*(1)*(1)*(1)*(1 + (0))</f>
      </c>
      <c r="D2106" s="22" t="s">
        <v>111</v>
      </c>
      <c r="E2106" s="22"/>
      <c r="F2106" s="22">
        <f>C2106*E2106</f>
      </c>
    </row>
    <row r="2107">
      <c r="A2107" s="5"/>
      <c r="B2107" s="13" t="s">
        <v>113</v>
      </c>
      <c r="C2107" s="22">
        <f>(22)*(1)*(1)*(1)*(1 + (0))</f>
      </c>
      <c r="D2107" s="22" t="s">
        <v>111</v>
      </c>
      <c r="E2107" s="22"/>
      <c r="F2107" s="22">
        <f>C2107*E2107</f>
      </c>
    </row>
    <row r="2108">
      <c r="A2108" s="5"/>
      <c r="B2108" s="13" t="s">
        <v>114</v>
      </c>
      <c r="C2108" s="22">
        <f>(47)*(1)*(1)*(1)*(1 + (0))</f>
      </c>
      <c r="D2108" s="22" t="s">
        <v>111</v>
      </c>
      <c r="E2108" s="22"/>
      <c r="F2108" s="22">
        <f>C2108*E2108</f>
      </c>
    </row>
    <row r="2109">
      <c r="A2109" s="2"/>
      <c r="B2109" s="10" t="s">
        <v>115</v>
      </c>
      <c r="C2109" s="19"/>
      <c r="D2109" s="19"/>
      <c r="E2109" s="19"/>
      <c r="F2109" s="19"/>
    </row>
    <row r="2110">
      <c r="A2110" s="3"/>
      <c r="B2110" s="11" t="s">
        <v>37</v>
      </c>
      <c r="C2110" s="20"/>
      <c r="D2110" s="20"/>
      <c r="E2110" s="20"/>
      <c r="F2110" s="20"/>
    </row>
    <row r="2111">
      <c r="A2111" s="5" t="s">
        <v>116</v>
      </c>
      <c r="B2111" s="14" t="s">
        <v>39</v>
      </c>
      <c r="C2111" s="22"/>
      <c r="D2111" s="22" t="s">
        <v>10</v>
      </c>
      <c r="E2111" s="22"/>
      <c r="F2111" s="22">
        <f>C2111*E2111</f>
      </c>
    </row>
    <row r="2112">
      <c r="A2112" s="5" t="s">
        <v>117</v>
      </c>
      <c r="B2112" s="14" t="s">
        <v>41</v>
      </c>
      <c r="C2112" s="22"/>
      <c r="D2112" s="22" t="s">
        <v>10</v>
      </c>
      <c r="E2112" s="22"/>
      <c r="F2112" s="22">
        <f>C2112*E2112</f>
      </c>
    </row>
    <row r="2113">
      <c r="A2113" s="3"/>
      <c r="B2113" s="11" t="s">
        <v>42</v>
      </c>
      <c r="C2113" s="20"/>
      <c r="D2113" s="20"/>
      <c r="E2113" s="20"/>
      <c r="F2113" s="20"/>
    </row>
    <row r="2114">
      <c r="A2114" s="5"/>
      <c r="B2114" s="14" t="s">
        <v>118</v>
      </c>
      <c r="C2114" s="22"/>
      <c r="D2114" s="22" t="s">
        <v>10</v>
      </c>
      <c r="E2114" s="22"/>
      <c r="F2114" s="22">
        <f>C2114*E2114</f>
      </c>
    </row>
    <row r="2115">
      <c r="A2115" s="5"/>
      <c r="B2115" s="14" t="s">
        <v>1600</v>
      </c>
      <c r="C2115" s="22"/>
      <c r="D2115" s="22" t="s">
        <v>10</v>
      </c>
      <c r="E2115" s="22"/>
      <c r="F2115" s="22">
        <f>C2115*E2115</f>
      </c>
    </row>
    <row r="2116">
      <c r="A2116" s="3"/>
      <c r="B2116" s="11" t="s">
        <v>44</v>
      </c>
      <c r="C2116" s="20"/>
      <c r="D2116" s="20"/>
      <c r="E2116" s="20"/>
      <c r="F2116" s="20"/>
    </row>
    <row r="2117">
      <c r="A2117" s="4"/>
      <c r="B2117" s="12" t="s">
        <v>45</v>
      </c>
      <c r="C2117" s="21"/>
      <c r="D2117" s="21"/>
      <c r="E2117" s="21"/>
      <c r="F2117" s="21"/>
    </row>
    <row r="2118">
      <c r="A2118" s="5" t="s">
        <v>120</v>
      </c>
      <c r="B2118" s="13" t="s">
        <v>121</v>
      </c>
      <c r="C2118" s="22"/>
      <c r="D2118" s="22" t="s">
        <v>10</v>
      </c>
      <c r="E2118" s="22"/>
      <c r="F2118" s="22">
        <f>C2118*E2118</f>
      </c>
    </row>
    <row r="2119">
      <c r="A2119" s="5" t="s">
        <v>122</v>
      </c>
      <c r="B2119" s="13" t="s">
        <v>123</v>
      </c>
      <c r="C2119" s="22"/>
      <c r="D2119" s="22" t="s">
        <v>10</v>
      </c>
      <c r="E2119" s="22"/>
      <c r="F2119" s="22">
        <f>C2119*E2119</f>
      </c>
    </row>
    <row r="2120">
      <c r="A2120" s="5" t="s">
        <v>124</v>
      </c>
      <c r="B2120" s="13" t="s">
        <v>125</v>
      </c>
      <c r="C2120" s="22"/>
      <c r="D2120" s="22" t="s">
        <v>10</v>
      </c>
      <c r="E2120" s="22"/>
      <c r="F2120" s="22">
        <f>C2120*E2120</f>
      </c>
    </row>
    <row r="2121">
      <c r="A2121" s="5" t="s">
        <v>126</v>
      </c>
      <c r="B2121" s="13" t="s">
        <v>127</v>
      </c>
      <c r="C2121" s="22"/>
      <c r="D2121" s="22" t="s">
        <v>10</v>
      </c>
      <c r="E2121" s="22"/>
      <c r="F2121" s="22">
        <f>C2121*E2121</f>
      </c>
    </row>
    <row r="2122">
      <c r="A2122" s="3"/>
      <c r="B2122" s="11" t="s">
        <v>68</v>
      </c>
      <c r="C2122" s="20"/>
      <c r="D2122" s="20"/>
      <c r="E2122" s="20"/>
      <c r="F2122" s="20"/>
    </row>
    <row r="2123">
      <c r="A2123" s="5" t="s">
        <v>128</v>
      </c>
      <c r="B2123" s="14" t="s">
        <v>129</v>
      </c>
      <c r="C2123" s="22">
        <f>(1)*(1)*(1)*(1)*(1 + (0))</f>
      </c>
      <c r="D2123" s="22" t="s">
        <v>71</v>
      </c>
      <c r="E2123" s="22"/>
      <c r="F2123" s="22">
        <f>C2123*E2123</f>
      </c>
    </row>
    <row r="2124">
      <c r="A2124" s="5" t="s">
        <v>130</v>
      </c>
      <c r="B2124" s="14" t="s">
        <v>131</v>
      </c>
      <c r="C2124" s="22">
        <f>(1)*(1)*(1)*(1)*(1 + (0))</f>
      </c>
      <c r="D2124" s="22" t="s">
        <v>71</v>
      </c>
      <c r="E2124" s="22"/>
      <c r="F2124" s="22">
        <f>C2124*E2124</f>
      </c>
    </row>
    <row r="2125">
      <c r="A2125" s="5" t="s">
        <v>132</v>
      </c>
      <c r="B2125" s="14" t="s">
        <v>73</v>
      </c>
      <c r="C2125" s="22">
        <f>(1)*(1)*(1)*(1)*(1 + (0))</f>
      </c>
      <c r="D2125" s="22" t="s">
        <v>71</v>
      </c>
      <c r="E2125" s="22"/>
      <c r="F2125" s="22">
        <f>C2125*E2125</f>
      </c>
    </row>
    <row r="2126">
      <c r="A2126" s="5" t="s">
        <v>133</v>
      </c>
      <c r="B2126" s="14" t="s">
        <v>134</v>
      </c>
      <c r="C2126" s="22">
        <f>(1)*(1)*(1)*(1)*(1 + (0))</f>
      </c>
      <c r="D2126" s="22" t="s">
        <v>71</v>
      </c>
      <c r="E2126" s="22"/>
      <c r="F2126" s="22">
        <f>C2126*E2126</f>
      </c>
    </row>
    <row r="2127">
      <c r="A2127" s="5" t="s">
        <v>135</v>
      </c>
      <c r="B2127" s="14" t="s">
        <v>136</v>
      </c>
      <c r="C2127" s="22">
        <f>(1)*(1)*(1)*(1)*(1 + (0))</f>
      </c>
      <c r="D2127" s="22" t="s">
        <v>71</v>
      </c>
      <c r="E2127" s="22"/>
      <c r="F2127" s="22">
        <f>C2127*E2127</f>
      </c>
    </row>
    <row r="2128">
      <c r="A2128" s="5" t="s">
        <v>137</v>
      </c>
      <c r="B2128" s="14" t="s">
        <v>138</v>
      </c>
      <c r="C2128" s="22">
        <f>(1)*(1)*(1)*(1)*(1 + (0))</f>
      </c>
      <c r="D2128" s="22" t="s">
        <v>71</v>
      </c>
      <c r="E2128" s="22"/>
      <c r="F2128" s="22">
        <f>C2128*E2128</f>
      </c>
    </row>
    <row r="2129">
      <c r="A2129" s="5" t="s">
        <v>139</v>
      </c>
      <c r="B2129" s="14" t="s">
        <v>140</v>
      </c>
      <c r="C2129" s="22">
        <f>(1)*(1)*(1)*(1)*(1 + (0))</f>
      </c>
      <c r="D2129" s="22" t="s">
        <v>71</v>
      </c>
      <c r="E2129" s="22"/>
      <c r="F2129" s="22">
        <f>C2129*E2129</f>
      </c>
    </row>
    <row r="2130">
      <c r="A2130" s="5" t="s">
        <v>141</v>
      </c>
      <c r="B2130" s="14" t="s">
        <v>142</v>
      </c>
      <c r="C2130" s="22">
        <f>(1)*(1)*(1)*(1)*(1 + (0))</f>
      </c>
      <c r="D2130" s="22" t="s">
        <v>71</v>
      </c>
      <c r="E2130" s="22"/>
      <c r="F2130" s="22">
        <f>C2130*E2130</f>
      </c>
    </row>
    <row r="2131">
      <c r="A2131" s="5" t="s">
        <v>143</v>
      </c>
      <c r="B2131" s="14" t="s">
        <v>144</v>
      </c>
      <c r="C2131" s="22">
        <f>(1)*(1)*(1)*(1)*(1 + (0))</f>
      </c>
      <c r="D2131" s="22" t="s">
        <v>71</v>
      </c>
      <c r="E2131" s="22"/>
      <c r="F2131" s="22">
        <f>C2131*E2131</f>
      </c>
    </row>
    <row r="2132">
      <c r="A2132" s="5" t="s">
        <v>145</v>
      </c>
      <c r="B2132" s="14" t="s">
        <v>146</v>
      </c>
      <c r="C2132" s="22">
        <f>(1)*(1)*(1)*(1)*(1 + (0))</f>
      </c>
      <c r="D2132" s="22" t="s">
        <v>71</v>
      </c>
      <c r="E2132" s="22"/>
      <c r="F2132" s="22">
        <f>C2132*E2132</f>
      </c>
    </row>
    <row r="2133">
      <c r="A2133" s="5" t="s">
        <v>147</v>
      </c>
      <c r="B2133" s="14" t="s">
        <v>148</v>
      </c>
      <c r="C2133" s="22">
        <f>(1)*(1)*(1)*(1)*(1 + (0))</f>
      </c>
      <c r="D2133" s="22" t="s">
        <v>71</v>
      </c>
      <c r="E2133" s="22"/>
      <c r="F2133" s="22">
        <f>C2133*E2133</f>
      </c>
    </row>
    <row r="2134">
      <c r="A2134" s="5"/>
      <c r="B2134" s="14" t="s">
        <v>149</v>
      </c>
      <c r="C2134" s="22">
        <f>(1)*(1)*(1)*(1)*(1 + (0))</f>
      </c>
      <c r="D2134" s="22" t="s">
        <v>71</v>
      </c>
      <c r="E2134" s="22"/>
      <c r="F2134" s="22">
        <f>C2134*E2134</f>
      </c>
    </row>
    <row r="2135">
      <c r="A2135" s="3"/>
      <c r="B2135" s="11" t="s">
        <v>150</v>
      </c>
      <c r="C2135" s="20"/>
      <c r="D2135" s="20"/>
      <c r="E2135" s="20"/>
      <c r="F2135" s="20"/>
    </row>
    <row r="2136">
      <c r="A2136" s="4"/>
      <c r="B2136" s="12" t="s">
        <v>151</v>
      </c>
      <c r="C2136" s="21"/>
      <c r="D2136" s="21"/>
      <c r="E2136" s="21"/>
      <c r="F2136" s="21"/>
    </row>
    <row r="2137">
      <c r="A2137" s="5"/>
      <c r="B2137" s="13" t="s">
        <v>1601</v>
      </c>
      <c r="C2137" s="22">
        <f>(136)*(1)*(1)*(1)*(1 + (0))</f>
      </c>
      <c r="D2137" s="22" t="s">
        <v>153</v>
      </c>
      <c r="E2137" s="22"/>
      <c r="F2137" s="22">
        <f>C2137*E2137</f>
      </c>
    </row>
    <row r="2138">
      <c r="A2138" s="5"/>
      <c r="B2138" s="13" t="s">
        <v>1602</v>
      </c>
      <c r="C2138" s="22">
        <f>(96)*(1)*(1)*(1)*(1 + (0))</f>
      </c>
      <c r="D2138" s="22" t="s">
        <v>153</v>
      </c>
      <c r="E2138" s="22"/>
      <c r="F2138" s="22">
        <f>C2138*E2138</f>
      </c>
    </row>
    <row r="2139">
      <c r="A2139" s="5"/>
      <c r="B2139" s="13" t="s">
        <v>1603</v>
      </c>
      <c r="C2139" s="22">
        <f>(72)*(1)*(1)*(1)*(1 + (0))</f>
      </c>
      <c r="D2139" s="22" t="s">
        <v>153</v>
      </c>
      <c r="E2139" s="22"/>
      <c r="F2139" s="22">
        <f>C2139*E2139</f>
      </c>
    </row>
    <row r="2140">
      <c r="A2140" s="5"/>
      <c r="B2140" s="13" t="s">
        <v>1604</v>
      </c>
      <c r="C2140" s="22">
        <f>(54)*(1)*(1)*(1)*(1 + (0))</f>
      </c>
      <c r="D2140" s="22" t="s">
        <v>153</v>
      </c>
      <c r="E2140" s="22"/>
      <c r="F2140" s="22">
        <f>C2140*E2140</f>
      </c>
    </row>
    <row r="2141">
      <c r="A2141" s="5"/>
      <c r="B2141" s="13" t="s">
        <v>1605</v>
      </c>
      <c r="C2141" s="22">
        <f>(104)*(1)*(1)*(1)*(1 + (0))</f>
      </c>
      <c r="D2141" s="22" t="s">
        <v>153</v>
      </c>
      <c r="E2141" s="22"/>
      <c r="F2141" s="22">
        <f>C2141*E2141</f>
      </c>
    </row>
    <row r="2142">
      <c r="A2142" s="4"/>
      <c r="B2142" s="12" t="s">
        <v>160</v>
      </c>
      <c r="C2142" s="21"/>
      <c r="D2142" s="21"/>
      <c r="E2142" s="21"/>
      <c r="F2142" s="21"/>
    </row>
    <row r="2143">
      <c r="A2143" s="5"/>
      <c r="B2143" s="13" t="s">
        <v>161</v>
      </c>
      <c r="C2143" s="22">
        <f>(17)*(1)*(1)*(1)*(1 + (0))</f>
      </c>
      <c r="D2143" s="22" t="s">
        <v>162</v>
      </c>
      <c r="E2143" s="22"/>
      <c r="F2143" s="22">
        <f>C2143*E2143</f>
      </c>
    </row>
    <row r="2144">
      <c r="A2144" s="5"/>
      <c r="B2144" s="13" t="s">
        <v>1606</v>
      </c>
      <c r="C2144" s="22">
        <f>(12)*(1)*(1)*(1)*(1 + (0))</f>
      </c>
      <c r="D2144" s="22" t="s">
        <v>162</v>
      </c>
      <c r="E2144" s="22"/>
      <c r="F2144" s="22">
        <f>C2144*E2144</f>
      </c>
    </row>
    <row r="2145">
      <c r="A2145" s="5"/>
      <c r="B2145" s="13" t="s">
        <v>1607</v>
      </c>
      <c r="C2145" s="22">
        <f>(8)*(1)*(1)*(1)*(1 + (0))</f>
      </c>
      <c r="D2145" s="22" t="s">
        <v>162</v>
      </c>
      <c r="E2145" s="22"/>
      <c r="F2145" s="22">
        <f>C2145*E2145</f>
      </c>
    </row>
    <row r="2146">
      <c r="A2146" s="5"/>
      <c r="B2146" s="13" t="s">
        <v>1608</v>
      </c>
      <c r="C2146" s="22">
        <f>(6)*(1)*(1)*(1)*(1 + (0))</f>
      </c>
      <c r="D2146" s="22" t="s">
        <v>162</v>
      </c>
      <c r="E2146" s="22"/>
      <c r="F2146" s="22">
        <f>C2146*E2146</f>
      </c>
    </row>
    <row r="2147">
      <c r="A2147" s="5"/>
      <c r="B2147" s="13" t="s">
        <v>167</v>
      </c>
      <c r="C2147" s="22">
        <f>(13)*(1)*(1)*(1)*(1 + (0))</f>
      </c>
      <c r="D2147" s="22" t="s">
        <v>162</v>
      </c>
      <c r="E2147" s="22"/>
      <c r="F2147" s="22">
        <f>C2147*E2147</f>
      </c>
    </row>
    <row r="2148">
      <c r="A2148" s="4"/>
      <c r="B2148" s="12" t="s">
        <v>169</v>
      </c>
      <c r="C2148" s="21"/>
      <c r="D2148" s="21"/>
      <c r="E2148" s="21"/>
      <c r="F2148" s="21"/>
    </row>
    <row r="2149">
      <c r="A2149" s="6"/>
      <c r="B2149" s="15" t="s">
        <v>170</v>
      </c>
      <c r="C2149" s="23"/>
      <c r="D2149" s="23"/>
      <c r="E2149" s="23"/>
      <c r="F2149" s="23"/>
    </row>
    <row r="2150">
      <c r="A2150" s="5"/>
      <c r="B2150" s="16" t="s">
        <v>1609</v>
      </c>
      <c r="C2150" s="22">
        <f>(39)*(1)*(1)*(1)*(1 + (0))</f>
      </c>
      <c r="D2150" s="22" t="s">
        <v>111</v>
      </c>
      <c r="E2150" s="22"/>
      <c r="F2150" s="22">
        <f>C2150*E2150</f>
      </c>
    </row>
    <row r="2151">
      <c r="A2151" s="5"/>
      <c r="B2151" s="16" t="s">
        <v>1610</v>
      </c>
      <c r="C2151" s="22">
        <f>(62)*(1)*(1)*(1)*(1 + (0))</f>
      </c>
      <c r="D2151" s="22" t="s">
        <v>111</v>
      </c>
      <c r="E2151" s="22"/>
      <c r="F2151" s="22">
        <f>C2151*E2151</f>
      </c>
    </row>
    <row r="2152">
      <c r="A2152" s="5"/>
      <c r="B2152" s="16" t="s">
        <v>1611</v>
      </c>
      <c r="C2152" s="22">
        <f>(46)*(1)*(1)*(1)*(1 + (0))</f>
      </c>
      <c r="D2152" s="22" t="s">
        <v>111</v>
      </c>
      <c r="E2152" s="22"/>
      <c r="F2152" s="22">
        <f>C2152*E2152</f>
      </c>
    </row>
    <row r="2153">
      <c r="A2153" s="5"/>
      <c r="B2153" s="16" t="s">
        <v>1612</v>
      </c>
      <c r="C2153" s="22">
        <f>(35)*(1)*(1)*(1)*(1 + (0))</f>
      </c>
      <c r="D2153" s="22" t="s">
        <v>111</v>
      </c>
      <c r="E2153" s="22"/>
      <c r="F2153" s="22">
        <f>C2153*E2153</f>
      </c>
    </row>
    <row r="2154">
      <c r="A2154" s="5"/>
      <c r="B2154" s="16" t="s">
        <v>1613</v>
      </c>
      <c r="C2154" s="22">
        <f>(17)*(1)*(1)*(1)*(1 + (0))</f>
      </c>
      <c r="D2154" s="22" t="s">
        <v>111</v>
      </c>
      <c r="E2154" s="22"/>
      <c r="F2154" s="22">
        <f>C2154*E2154</f>
      </c>
    </row>
    <row r="2155">
      <c r="A2155" s="4"/>
      <c r="B2155" s="12" t="s">
        <v>178</v>
      </c>
      <c r="C2155" s="21"/>
      <c r="D2155" s="21"/>
      <c r="E2155" s="21"/>
      <c r="F2155" s="21"/>
    </row>
    <row r="2156">
      <c r="A2156" s="6"/>
      <c r="B2156" s="15" t="s">
        <v>179</v>
      </c>
      <c r="C2156" s="23"/>
      <c r="D2156" s="23"/>
      <c r="E2156" s="23"/>
      <c r="F2156" s="23"/>
    </row>
    <row r="2157">
      <c r="A2157" s="5"/>
      <c r="B2157" s="16" t="s">
        <v>180</v>
      </c>
      <c r="C2157" s="22"/>
      <c r="D2157" s="22"/>
      <c r="E2157" s="22"/>
      <c r="F2157" s="22"/>
    </row>
    <row r="2158">
      <c r="A2158" s="5"/>
      <c r="B2158" s="17" t="s">
        <v>181</v>
      </c>
      <c r="C2158" s="22">
        <f>(3.84336)*(1)*(1)*(1)*(1 + (0))</f>
      </c>
      <c r="D2158" s="22" t="s">
        <v>182</v>
      </c>
      <c r="E2158" s="22"/>
      <c r="F2158" s="22">
        <f>C2158*E2158</f>
      </c>
    </row>
    <row r="2159">
      <c r="A2159" s="5"/>
      <c r="B2159" s="17" t="s">
        <v>1614</v>
      </c>
      <c r="C2159" s="22">
        <f>(6.10416)*(1)*(1)*(1)*(1 + (0))</f>
      </c>
      <c r="D2159" s="22" t="s">
        <v>182</v>
      </c>
      <c r="E2159" s="22"/>
      <c r="F2159" s="22">
        <f>C2159*E2159</f>
      </c>
    </row>
    <row r="2160">
      <c r="A2160" s="5"/>
      <c r="B2160" s="17" t="s">
        <v>1615</v>
      </c>
      <c r="C2160" s="22">
        <f>(12.818736)*(1)*(1)*(1)*(1 + (0))</f>
      </c>
      <c r="D2160" s="22" t="s">
        <v>182</v>
      </c>
      <c r="E2160" s="22"/>
      <c r="F2160" s="22">
        <f>C2160*E2160</f>
      </c>
    </row>
    <row r="2161">
      <c r="A2161" s="5"/>
      <c r="B2161" s="17" t="s">
        <v>1616</v>
      </c>
      <c r="C2161" s="22">
        <f>(9.614052)*(1)*(1)*(1)*(1 + (0))</f>
      </c>
      <c r="D2161" s="22" t="s">
        <v>182</v>
      </c>
      <c r="E2161" s="22"/>
      <c r="F2161" s="22">
        <f>C2161*E2161</f>
      </c>
    </row>
    <row r="2162">
      <c r="A2162" s="5"/>
      <c r="B2162" s="17" t="s">
        <v>187</v>
      </c>
      <c r="C2162" s="22">
        <f>(1.65321)*(1)*(1)*(1)*(1 + (0))</f>
      </c>
      <c r="D2162" s="22" t="s">
        <v>182</v>
      </c>
      <c r="E2162" s="22"/>
      <c r="F2162" s="22">
        <f>C2162*E2162</f>
      </c>
    </row>
    <row r="2163">
      <c r="A2163" s="4"/>
      <c r="B2163" s="12" t="s">
        <v>189</v>
      </c>
      <c r="C2163" s="21"/>
      <c r="D2163" s="21"/>
      <c r="E2163" s="21"/>
      <c r="F2163" s="21"/>
    </row>
    <row r="2164">
      <c r="A2164" s="5"/>
      <c r="B2164" s="13" t="s">
        <v>190</v>
      </c>
      <c r="C2164" s="22">
        <f>(39)*(1)*(1)*(1)*(1 + (0))</f>
      </c>
      <c r="D2164" s="22" t="s">
        <v>111</v>
      </c>
      <c r="E2164" s="22"/>
      <c r="F2164" s="22">
        <f>C2164*E2164</f>
      </c>
    </row>
    <row r="2165">
      <c r="A2165" s="5"/>
      <c r="B2165" s="13" t="s">
        <v>1617</v>
      </c>
      <c r="C2165" s="22">
        <f>(62)*(1)*(1)*(1)*(1 + (0))</f>
      </c>
      <c r="D2165" s="22" t="s">
        <v>111</v>
      </c>
      <c r="E2165" s="22"/>
      <c r="F2165" s="22">
        <f>C2165*E2165</f>
      </c>
    </row>
    <row r="2166">
      <c r="A2166" s="5"/>
      <c r="B2166" s="13" t="s">
        <v>1618</v>
      </c>
      <c r="C2166" s="22">
        <f>(46)*(1)*(1)*(1)*(1 + (0))</f>
      </c>
      <c r="D2166" s="22" t="s">
        <v>111</v>
      </c>
      <c r="E2166" s="22"/>
      <c r="F2166" s="22">
        <f>C2166*E2166</f>
      </c>
    </row>
    <row r="2167">
      <c r="A2167" s="5"/>
      <c r="B2167" s="13" t="s">
        <v>1619</v>
      </c>
      <c r="C2167" s="22">
        <f>(35)*(1)*(1)*(1)*(1 + (0))</f>
      </c>
      <c r="D2167" s="22" t="s">
        <v>111</v>
      </c>
      <c r="E2167" s="22"/>
      <c r="F2167" s="22">
        <f>C2167*E2167</f>
      </c>
    </row>
    <row r="2168">
      <c r="A2168" s="5"/>
      <c r="B2168" s="13" t="s">
        <v>195</v>
      </c>
      <c r="C2168" s="22">
        <f>(17)*(1)*(1)*(1)*(1 + (0))</f>
      </c>
      <c r="D2168" s="22" t="s">
        <v>111</v>
      </c>
      <c r="E2168" s="22"/>
      <c r="F2168" s="22">
        <f>C2168*E2168</f>
      </c>
    </row>
    <row r="2169">
      <c r="A2169" s="4"/>
      <c r="B2169" s="12" t="s">
        <v>197</v>
      </c>
      <c r="C2169" s="21"/>
      <c r="D2169" s="21"/>
      <c r="E2169" s="21"/>
      <c r="F2169" s="21"/>
    </row>
    <row r="2170">
      <c r="A2170" s="6"/>
      <c r="B2170" s="15" t="s">
        <v>198</v>
      </c>
      <c r="C2170" s="23"/>
      <c r="D2170" s="23"/>
      <c r="E2170" s="23"/>
      <c r="F2170" s="23"/>
    </row>
    <row r="2171">
      <c r="A2171" s="5"/>
      <c r="B2171" s="16" t="s">
        <v>199</v>
      </c>
      <c r="C2171" s="22">
        <f>(17)*(1)*(1)*(1)*(1 + (0))</f>
      </c>
      <c r="D2171" s="22" t="s">
        <v>162</v>
      </c>
      <c r="E2171" s="22"/>
      <c r="F2171" s="22">
        <f>C2171*E2171</f>
      </c>
    </row>
    <row r="2172">
      <c r="A2172" s="5"/>
      <c r="B2172" s="16" t="s">
        <v>1620</v>
      </c>
      <c r="C2172" s="22">
        <f>(12)*(1)*(1)*(1)*(1 + (0))</f>
      </c>
      <c r="D2172" s="22" t="s">
        <v>162</v>
      </c>
      <c r="E2172" s="22"/>
      <c r="F2172" s="22">
        <f>C2172*E2172</f>
      </c>
    </row>
    <row r="2173">
      <c r="A2173" s="5"/>
      <c r="B2173" s="16" t="s">
        <v>1621</v>
      </c>
      <c r="C2173" s="22">
        <f>(8)*(1)*(1)*(1)*(1 + (0))</f>
      </c>
      <c r="D2173" s="22" t="s">
        <v>162</v>
      </c>
      <c r="E2173" s="22"/>
      <c r="F2173" s="22">
        <f>C2173*E2173</f>
      </c>
    </row>
    <row r="2174">
      <c r="A2174" s="5"/>
      <c r="B2174" s="16" t="s">
        <v>1622</v>
      </c>
      <c r="C2174" s="22">
        <f>(6)*(1)*(1)*(1)*(1 + (0))</f>
      </c>
      <c r="D2174" s="22" t="s">
        <v>162</v>
      </c>
      <c r="E2174" s="22"/>
      <c r="F2174" s="22">
        <f>C2174*E2174</f>
      </c>
    </row>
    <row r="2175">
      <c r="A2175" s="5"/>
      <c r="B2175" s="16" t="s">
        <v>204</v>
      </c>
      <c r="C2175" s="22">
        <f>(13)*(1)*(1)*(1)*(1 + (0))</f>
      </c>
      <c r="D2175" s="22" t="s">
        <v>162</v>
      </c>
      <c r="E2175" s="22"/>
      <c r="F2175" s="22">
        <f>C2175*E2175</f>
      </c>
    </row>
    <row r="2176">
      <c r="A2176" s="6"/>
      <c r="B2176" s="15" t="s">
        <v>206</v>
      </c>
      <c r="C2176" s="23"/>
      <c r="D2176" s="23"/>
      <c r="E2176" s="23"/>
      <c r="F2176" s="23"/>
    </row>
    <row r="2177">
      <c r="A2177" s="5"/>
      <c r="B2177" s="16" t="s">
        <v>199</v>
      </c>
      <c r="C2177" s="22">
        <f>(17)*(1)*(1)*(1)*(1 + (0))</f>
      </c>
      <c r="D2177" s="22" t="s">
        <v>162</v>
      </c>
      <c r="E2177" s="22"/>
      <c r="F2177" s="22">
        <f>C2177*E2177</f>
      </c>
    </row>
    <row r="2178">
      <c r="A2178" s="5"/>
      <c r="B2178" s="16" t="s">
        <v>1620</v>
      </c>
      <c r="C2178" s="22">
        <f>(12)*(1)*(1)*(1)*(1 + (0))</f>
      </c>
      <c r="D2178" s="22" t="s">
        <v>162</v>
      </c>
      <c r="E2178" s="22"/>
      <c r="F2178" s="22">
        <f>C2178*E2178</f>
      </c>
    </row>
    <row r="2179">
      <c r="A2179" s="5"/>
      <c r="B2179" s="16" t="s">
        <v>1621</v>
      </c>
      <c r="C2179" s="22">
        <f>(8)*(1)*(1)*(1)*(1 + (0))</f>
      </c>
      <c r="D2179" s="22" t="s">
        <v>162</v>
      </c>
      <c r="E2179" s="22"/>
      <c r="F2179" s="22">
        <f>C2179*E2179</f>
      </c>
    </row>
    <row r="2180">
      <c r="A2180" s="5"/>
      <c r="B2180" s="16" t="s">
        <v>1622</v>
      </c>
      <c r="C2180" s="22">
        <f>(6)*(1)*(1)*(1)*(1 + (0))</f>
      </c>
      <c r="D2180" s="22" t="s">
        <v>162</v>
      </c>
      <c r="E2180" s="22"/>
      <c r="F2180" s="22">
        <f>C2180*E2180</f>
      </c>
    </row>
    <row r="2181">
      <c r="A2181" s="5"/>
      <c r="B2181" s="16" t="s">
        <v>204</v>
      </c>
      <c r="C2181" s="22">
        <f>(13)*(1)*(1)*(1)*(1 + (0))</f>
      </c>
      <c r="D2181" s="22" t="s">
        <v>162</v>
      </c>
      <c r="E2181" s="22"/>
      <c r="F2181" s="22">
        <f>C2181*E2181</f>
      </c>
    </row>
    <row r="2182">
      <c r="A2182" s="2"/>
      <c r="B2182" s="10" t="s">
        <v>207</v>
      </c>
      <c r="C2182" s="19"/>
      <c r="D2182" s="19"/>
      <c r="E2182" s="19"/>
      <c r="F2182" s="19"/>
    </row>
    <row r="2183">
      <c r="A2183" s="3"/>
      <c r="B2183" s="11" t="s">
        <v>37</v>
      </c>
      <c r="C2183" s="20"/>
      <c r="D2183" s="20"/>
      <c r="E2183" s="20"/>
      <c r="F2183" s="20"/>
    </row>
    <row r="2184">
      <c r="A2184" s="5" t="s">
        <v>208</v>
      </c>
      <c r="B2184" s="14" t="s">
        <v>39</v>
      </c>
      <c r="C2184" s="22"/>
      <c r="D2184" s="22" t="s">
        <v>10</v>
      </c>
      <c r="E2184" s="22"/>
      <c r="F2184" s="22">
        <f>C2184*E2184</f>
      </c>
    </row>
    <row r="2185">
      <c r="A2185" s="5" t="s">
        <v>209</v>
      </c>
      <c r="B2185" s="14" t="s">
        <v>41</v>
      </c>
      <c r="C2185" s="22"/>
      <c r="D2185" s="22" t="s">
        <v>10</v>
      </c>
      <c r="E2185" s="22"/>
      <c r="F2185" s="22">
        <f>C2185*E2185</f>
      </c>
    </row>
    <row r="2186">
      <c r="A2186" s="3"/>
      <c r="B2186" s="11" t="s">
        <v>42</v>
      </c>
      <c r="C2186" s="20"/>
      <c r="D2186" s="20"/>
      <c r="E2186" s="20"/>
      <c r="F2186" s="20"/>
    </row>
    <row r="2187">
      <c r="A2187" s="5"/>
      <c r="B2187" s="14" t="s">
        <v>118</v>
      </c>
      <c r="C2187" s="22"/>
      <c r="D2187" s="22" t="s">
        <v>10</v>
      </c>
      <c r="E2187" s="22"/>
      <c r="F2187" s="22">
        <f>C2187*E2187</f>
      </c>
    </row>
    <row r="2188">
      <c r="A2188" s="5"/>
      <c r="B2188" s="14" t="s">
        <v>43</v>
      </c>
      <c r="C2188" s="22"/>
      <c r="D2188" s="22" t="s">
        <v>10</v>
      </c>
      <c r="E2188" s="22"/>
      <c r="F2188" s="22">
        <f>C2188*E2188</f>
      </c>
    </row>
    <row r="2189">
      <c r="A2189" s="5"/>
      <c r="B2189" s="14" t="s">
        <v>210</v>
      </c>
      <c r="C2189" s="22"/>
      <c r="D2189" s="22" t="s">
        <v>10</v>
      </c>
      <c r="E2189" s="22"/>
      <c r="F2189" s="22">
        <f>C2189*E2189</f>
      </c>
    </row>
    <row r="2190">
      <c r="A2190" s="3"/>
      <c r="B2190" s="11" t="s">
        <v>44</v>
      </c>
      <c r="C2190" s="20"/>
      <c r="D2190" s="20"/>
      <c r="E2190" s="20"/>
      <c r="F2190" s="20"/>
    </row>
    <row r="2191">
      <c r="A2191" s="4"/>
      <c r="B2191" s="12" t="s">
        <v>45</v>
      </c>
      <c r="C2191" s="21"/>
      <c r="D2191" s="21"/>
      <c r="E2191" s="21"/>
      <c r="F2191" s="21"/>
    </row>
    <row r="2192">
      <c r="A2192" s="5" t="s">
        <v>211</v>
      </c>
      <c r="B2192" s="13" t="s">
        <v>212</v>
      </c>
      <c r="C2192" s="22"/>
      <c r="D2192" s="22" t="s">
        <v>10</v>
      </c>
      <c r="E2192" s="22"/>
      <c r="F2192" s="22">
        <f>C2192*E2192</f>
      </c>
    </row>
    <row r="2193">
      <c r="A2193" s="5" t="s">
        <v>213</v>
      </c>
      <c r="B2193" s="13" t="s">
        <v>214</v>
      </c>
      <c r="C2193" s="22"/>
      <c r="D2193" s="22" t="s">
        <v>10</v>
      </c>
      <c r="E2193" s="22"/>
      <c r="F2193" s="22">
        <f>C2193*E2193</f>
      </c>
    </row>
    <row r="2194">
      <c r="A2194" s="5" t="s">
        <v>215</v>
      </c>
      <c r="B2194" s="13" t="s">
        <v>216</v>
      </c>
      <c r="C2194" s="22"/>
      <c r="D2194" s="22" t="s">
        <v>10</v>
      </c>
      <c r="E2194" s="22"/>
      <c r="F2194" s="22">
        <f>C2194*E2194</f>
      </c>
    </row>
    <row r="2195">
      <c r="A2195" s="5" t="s">
        <v>217</v>
      </c>
      <c r="B2195" s="13" t="s">
        <v>218</v>
      </c>
      <c r="C2195" s="22"/>
      <c r="D2195" s="22" t="s">
        <v>10</v>
      </c>
      <c r="E2195" s="22"/>
      <c r="F2195" s="22">
        <f>C2195*E2195</f>
      </c>
    </row>
    <row r="2196">
      <c r="A2196" s="5" t="s">
        <v>219</v>
      </c>
      <c r="B2196" s="13" t="s">
        <v>220</v>
      </c>
      <c r="C2196" s="22"/>
      <c r="D2196" s="22" t="s">
        <v>10</v>
      </c>
      <c r="E2196" s="22"/>
      <c r="F2196" s="22">
        <f>C2196*E2196</f>
      </c>
    </row>
    <row r="2197">
      <c r="A2197" s="5" t="s">
        <v>221</v>
      </c>
      <c r="B2197" s="13" t="s">
        <v>123</v>
      </c>
      <c r="C2197" s="22"/>
      <c r="D2197" s="22" t="s">
        <v>10</v>
      </c>
      <c r="E2197" s="22"/>
      <c r="F2197" s="22">
        <f>C2197*E2197</f>
      </c>
    </row>
    <row r="2198">
      <c r="A2198" s="3"/>
      <c r="B2198" s="11" t="s">
        <v>68</v>
      </c>
      <c r="C2198" s="20"/>
      <c r="D2198" s="20"/>
      <c r="E2198" s="20"/>
      <c r="F2198" s="20"/>
    </row>
    <row r="2199">
      <c r="A2199" s="5" t="s">
        <v>222</v>
      </c>
      <c r="B2199" s="14" t="s">
        <v>223</v>
      </c>
      <c r="C2199" s="22">
        <f>(1)*(1)*(1)*(1)*(1 + (0))</f>
      </c>
      <c r="D2199" s="22" t="s">
        <v>71</v>
      </c>
      <c r="E2199" s="22"/>
      <c r="F2199" s="22">
        <f>C2199*E2199</f>
      </c>
    </row>
    <row r="2200">
      <c r="A2200" s="5" t="s">
        <v>224</v>
      </c>
      <c r="B2200" s="14" t="s">
        <v>70</v>
      </c>
      <c r="C2200" s="22">
        <f>(1)*(1)*(1)*(1)*(1 + (0))</f>
      </c>
      <c r="D2200" s="22" t="s">
        <v>71</v>
      </c>
      <c r="E2200" s="22"/>
      <c r="F2200" s="22">
        <f>C2200*E2200</f>
      </c>
    </row>
    <row r="2201">
      <c r="A2201" s="5" t="s">
        <v>225</v>
      </c>
      <c r="B2201" s="14" t="s">
        <v>73</v>
      </c>
      <c r="C2201" s="22">
        <f>(1)*(1)*(1)*(1)*(1 + (0))</f>
      </c>
      <c r="D2201" s="22" t="s">
        <v>71</v>
      </c>
      <c r="E2201" s="22"/>
      <c r="F2201" s="22">
        <f>C2201*E2201</f>
      </c>
    </row>
    <row r="2202">
      <c r="A2202" s="5" t="s">
        <v>226</v>
      </c>
      <c r="B2202" s="14" t="s">
        <v>134</v>
      </c>
      <c r="C2202" s="22">
        <f>(1)*(1)*(1)*(1)*(1 + (0))</f>
      </c>
      <c r="D2202" s="22" t="s">
        <v>71</v>
      </c>
      <c r="E2202" s="22"/>
      <c r="F2202" s="22">
        <f>C2202*E2202</f>
      </c>
    </row>
    <row r="2203">
      <c r="A2203" s="5" t="s">
        <v>227</v>
      </c>
      <c r="B2203" s="14" t="s">
        <v>228</v>
      </c>
      <c r="C2203" s="22">
        <f>(1)*(1)*(1)*(1)*(1 + (0))</f>
      </c>
      <c r="D2203" s="22" t="s">
        <v>71</v>
      </c>
      <c r="E2203" s="22"/>
      <c r="F2203" s="22">
        <f>C2203*E2203</f>
      </c>
    </row>
    <row r="2204">
      <c r="A2204" s="5" t="s">
        <v>229</v>
      </c>
      <c r="B2204" s="14" t="s">
        <v>230</v>
      </c>
      <c r="C2204" s="22">
        <f>(1)*(1)*(1)*(1)*(1 + (0))</f>
      </c>
      <c r="D2204" s="22" t="s">
        <v>71</v>
      </c>
      <c r="E2204" s="22"/>
      <c r="F2204" s="22">
        <f>C2204*E2204</f>
      </c>
    </row>
    <row r="2205">
      <c r="A2205" s="5" t="s">
        <v>231</v>
      </c>
      <c r="B2205" s="14" t="s">
        <v>232</v>
      </c>
      <c r="C2205" s="22">
        <f>(1)*(1)*(1)*(1)*(1 + (0))</f>
      </c>
      <c r="D2205" s="22" t="s">
        <v>71</v>
      </c>
      <c r="E2205" s="22"/>
      <c r="F2205" s="22">
        <f>C2205*E2205</f>
      </c>
    </row>
    <row r="2206">
      <c r="A2206" s="5" t="s">
        <v>233</v>
      </c>
      <c r="B2206" s="14" t="s">
        <v>234</v>
      </c>
      <c r="C2206" s="22">
        <f>(1)*(1)*(1)*(1)*(1 + (0))</f>
      </c>
      <c r="D2206" s="22" t="s">
        <v>71</v>
      </c>
      <c r="E2206" s="22"/>
      <c r="F2206" s="22">
        <f>C2206*E2206</f>
      </c>
    </row>
    <row r="2207">
      <c r="A2207" s="5" t="s">
        <v>235</v>
      </c>
      <c r="B2207" s="14" t="s">
        <v>236</v>
      </c>
      <c r="C2207" s="22">
        <f>(1)*(1)*(1)*(1)*(1 + (0))</f>
      </c>
      <c r="D2207" s="22" t="s">
        <v>71</v>
      </c>
      <c r="E2207" s="22"/>
      <c r="F2207" s="22">
        <f>C2207*E2207</f>
      </c>
    </row>
    <row r="2208">
      <c r="A2208" s="5" t="s">
        <v>237</v>
      </c>
      <c r="B2208" s="14" t="s">
        <v>238</v>
      </c>
      <c r="C2208" s="22">
        <f>(1)*(1)*(1)*(1)*(1 + (0))</f>
      </c>
      <c r="D2208" s="22" t="s">
        <v>71</v>
      </c>
      <c r="E2208" s="22"/>
      <c r="F2208" s="22">
        <f>C2208*E2208</f>
      </c>
    </row>
    <row r="2209">
      <c r="A2209" s="5" t="s">
        <v>239</v>
      </c>
      <c r="B2209" s="14" t="s">
        <v>240</v>
      </c>
      <c r="C2209" s="22">
        <f>(1)*(1)*(1)*(1)*(1 + (0))</f>
      </c>
      <c r="D2209" s="22" t="s">
        <v>71</v>
      </c>
      <c r="E2209" s="22"/>
      <c r="F2209" s="22">
        <f>C2209*E2209</f>
      </c>
    </row>
    <row r="2210">
      <c r="A2210" s="3"/>
      <c r="B2210" s="11" t="s">
        <v>106</v>
      </c>
      <c r="C2210" s="20"/>
      <c r="D2210" s="20"/>
      <c r="E2210" s="20"/>
      <c r="F2210" s="20"/>
    </row>
    <row r="2211">
      <c r="A2211" s="5"/>
      <c r="B2211" s="14" t="s">
        <v>241</v>
      </c>
      <c r="C2211" s="22"/>
      <c r="D2211" s="22" t="s">
        <v>10</v>
      </c>
      <c r="E2211" s="22"/>
      <c r="F2211" s="22">
        <f>C2211*E2211</f>
      </c>
    </row>
    <row r="2212">
      <c r="A2212" s="3"/>
      <c r="B2212" s="11" t="s">
        <v>242</v>
      </c>
      <c r="C2212" s="20"/>
      <c r="D2212" s="20"/>
      <c r="E2212" s="20"/>
      <c r="F2212" s="20"/>
    </row>
    <row r="2213">
      <c r="A2213" s="5"/>
      <c r="B2213" s="14" t="s">
        <v>1623</v>
      </c>
      <c r="C2213" s="22">
        <f>(650)*(1)*(1)*(1)*(1 + (0))</f>
      </c>
      <c r="D2213" s="22" t="s">
        <v>111</v>
      </c>
      <c r="E2213" s="22"/>
      <c r="F2213" s="22">
        <f>C2213*E2213</f>
      </c>
    </row>
    <row r="2214">
      <c r="A2214" s="5"/>
      <c r="B2214" s="14" t="s">
        <v>244</v>
      </c>
      <c r="C2214" s="22">
        <f>(82)*(1)*(1)*(1)*(1 + (0))</f>
      </c>
      <c r="D2214" s="22" t="s">
        <v>111</v>
      </c>
      <c r="E2214" s="22"/>
      <c r="F2214" s="22">
        <f>C2214*E2214</f>
      </c>
    </row>
    <row r="2215">
      <c r="A2215" s="3"/>
      <c r="B2215" s="11" t="s">
        <v>245</v>
      </c>
      <c r="C2215" s="20"/>
      <c r="D2215" s="20"/>
      <c r="E2215" s="20"/>
      <c r="F2215" s="20"/>
    </row>
    <row r="2216">
      <c r="A2216" s="4"/>
      <c r="B2216" s="12" t="s">
        <v>246</v>
      </c>
      <c r="C2216" s="21"/>
      <c r="D2216" s="21"/>
      <c r="E2216" s="21"/>
      <c r="F2216" s="21"/>
    </row>
    <row r="2217">
      <c r="A2217" s="6"/>
      <c r="B2217" s="15" t="s">
        <v>252</v>
      </c>
      <c r="C2217" s="23"/>
      <c r="D2217" s="23"/>
      <c r="E2217" s="23"/>
      <c r="F2217" s="23"/>
    </row>
    <row r="2218">
      <c r="A2218" s="5"/>
      <c r="B2218" s="16" t="s">
        <v>1624</v>
      </c>
      <c r="C2218" s="22">
        <f>(8)*(1)*(1)*(1)*(1 + (0))</f>
      </c>
      <c r="D2218" s="22" t="s">
        <v>111</v>
      </c>
      <c r="E2218" s="22"/>
      <c r="F2218" s="22">
        <f>C2218*E2218</f>
      </c>
    </row>
    <row r="2219">
      <c r="A2219" s="5"/>
      <c r="B2219" s="16" t="s">
        <v>1625</v>
      </c>
      <c r="C2219" s="22">
        <f>(11)*(1)*(1)*(1)*(1 + (0))</f>
      </c>
      <c r="D2219" s="22" t="s">
        <v>111</v>
      </c>
      <c r="E2219" s="22"/>
      <c r="F2219" s="22">
        <f>C2219*E2219</f>
      </c>
    </row>
    <row r="2220">
      <c r="A2220" s="4"/>
      <c r="B2220" s="12" t="s">
        <v>254</v>
      </c>
      <c r="C2220" s="21"/>
      <c r="D2220" s="21"/>
      <c r="E2220" s="21"/>
      <c r="F2220" s="21"/>
    </row>
    <row r="2221">
      <c r="A2221" s="6"/>
      <c r="B2221" s="15" t="s">
        <v>252</v>
      </c>
      <c r="C2221" s="23"/>
      <c r="D2221" s="23"/>
      <c r="E2221" s="23"/>
      <c r="F2221" s="23"/>
    </row>
    <row r="2222">
      <c r="A2222" s="5"/>
      <c r="B2222" s="16" t="s">
        <v>1626</v>
      </c>
      <c r="C2222" s="22">
        <f>(22)*(1)*(1)*(1)*(1 + (0))</f>
      </c>
      <c r="D2222" s="22" t="s">
        <v>111</v>
      </c>
      <c r="E2222" s="22"/>
      <c r="F2222" s="22">
        <f>C2222*E2222</f>
      </c>
    </row>
    <row r="2223">
      <c r="A2223" s="4"/>
      <c r="B2223" s="12" t="s">
        <v>256</v>
      </c>
      <c r="C2223" s="21"/>
      <c r="D2223" s="21"/>
      <c r="E2223" s="21"/>
      <c r="F2223" s="21"/>
    </row>
    <row r="2224">
      <c r="A2224" s="6"/>
      <c r="B2224" s="15" t="s">
        <v>252</v>
      </c>
      <c r="C2224" s="23"/>
      <c r="D2224" s="23"/>
      <c r="E2224" s="23"/>
      <c r="F2224" s="23"/>
    </row>
    <row r="2225">
      <c r="A2225" s="5"/>
      <c r="B2225" s="16" t="s">
        <v>1627</v>
      </c>
      <c r="C2225" s="22">
        <f>(21)*(1)*(1)*(1)*(1 + (0))</f>
      </c>
      <c r="D2225" s="22" t="s">
        <v>111</v>
      </c>
      <c r="E2225" s="22"/>
      <c r="F2225" s="22">
        <f>C2225*E2225</f>
      </c>
    </row>
    <row r="2226">
      <c r="A2226" s="5"/>
      <c r="B2226" s="16" t="s">
        <v>1628</v>
      </c>
      <c r="C2226" s="22">
        <f>(27)*(1)*(1)*(1)*(1 + (0))</f>
      </c>
      <c r="D2226" s="22" t="s">
        <v>111</v>
      </c>
      <c r="E2226" s="22"/>
      <c r="F2226" s="22">
        <f>C2226*E2226</f>
      </c>
    </row>
    <row r="2227">
      <c r="A2227" s="4"/>
      <c r="B2227" s="12" t="s">
        <v>261</v>
      </c>
      <c r="C2227" s="21"/>
      <c r="D2227" s="21"/>
      <c r="E2227" s="21"/>
      <c r="F2227" s="21"/>
    </row>
    <row r="2228">
      <c r="A2228" s="6"/>
      <c r="B2228" s="15" t="s">
        <v>252</v>
      </c>
      <c r="C2228" s="23"/>
      <c r="D2228" s="23"/>
      <c r="E2228" s="23"/>
      <c r="F2228" s="23"/>
    </row>
    <row r="2229">
      <c r="A2229" s="5"/>
      <c r="B2229" s="16" t="s">
        <v>1629</v>
      </c>
      <c r="C2229" s="22">
        <f>(9)*(1)*(1)*(1)*(1 + (0))</f>
      </c>
      <c r="D2229" s="22" t="s">
        <v>111</v>
      </c>
      <c r="E2229" s="22"/>
      <c r="F2229" s="22">
        <f>C2229*E2229</f>
      </c>
    </row>
    <row r="2230">
      <c r="A2230" s="5"/>
      <c r="B2230" s="16" t="s">
        <v>1630</v>
      </c>
      <c r="C2230" s="22">
        <f>(226)*(1)*(1)*(1)*(1 + (0))</f>
      </c>
      <c r="D2230" s="22" t="s">
        <v>111</v>
      </c>
      <c r="E2230" s="22"/>
      <c r="F2230" s="22">
        <f>C2230*E2230</f>
      </c>
    </row>
    <row r="2231">
      <c r="A2231" s="5"/>
      <c r="B2231" s="16" t="s">
        <v>1631</v>
      </c>
      <c r="C2231" s="22">
        <f>(15)*(1)*(1)*(1)*(1 + (0))</f>
      </c>
      <c r="D2231" s="22" t="s">
        <v>111</v>
      </c>
      <c r="E2231" s="22"/>
      <c r="F2231" s="22">
        <f>C2231*E2231</f>
      </c>
    </row>
    <row r="2232">
      <c r="A2232" s="5"/>
      <c r="B2232" s="16" t="s">
        <v>1632</v>
      </c>
      <c r="C2232" s="22">
        <f>(3)*(1)*(1)*(1)*(1 + (0))</f>
      </c>
      <c r="D2232" s="22" t="s">
        <v>111</v>
      </c>
      <c r="E2232" s="22"/>
      <c r="F2232" s="22">
        <f>C2232*E2232</f>
      </c>
    </row>
    <row r="2233">
      <c r="A2233" s="5"/>
      <c r="B2233" s="16" t="s">
        <v>1633</v>
      </c>
      <c r="C2233" s="22">
        <f>(2)*(1)*(1)*(1)*(1 + (0))</f>
      </c>
      <c r="D2233" s="22" t="s">
        <v>111</v>
      </c>
      <c r="E2233" s="22"/>
      <c r="F2233" s="22">
        <f>C2233*E2233</f>
      </c>
    </row>
    <row r="2234">
      <c r="A2234" s="5"/>
      <c r="B2234" s="16" t="s">
        <v>268</v>
      </c>
      <c r="C2234" s="22">
        <f>(5)*(1)*(1)*(1)*(1 + (0))</f>
      </c>
      <c r="D2234" s="22" t="s">
        <v>111</v>
      </c>
      <c r="E2234" s="22"/>
      <c r="F2234" s="22">
        <f>C2234*E2234</f>
      </c>
    </row>
    <row r="2235">
      <c r="A2235" s="5"/>
      <c r="B2235" s="16" t="s">
        <v>1634</v>
      </c>
      <c r="C2235" s="22">
        <f>(149)*(1)*(1)*(1)*(1 + (0))</f>
      </c>
      <c r="D2235" s="22" t="s">
        <v>24</v>
      </c>
      <c r="E2235" s="22"/>
      <c r="F2235" s="22">
        <f>C2235*E2235</f>
      </c>
    </row>
    <row r="2236">
      <c r="A2236" s="4"/>
      <c r="B2236" s="12" t="s">
        <v>271</v>
      </c>
      <c r="C2236" s="21"/>
      <c r="D2236" s="21"/>
      <c r="E2236" s="21"/>
      <c r="F2236" s="21"/>
    </row>
    <row r="2237">
      <c r="A2237" s="6"/>
      <c r="B2237" s="15" t="s">
        <v>311</v>
      </c>
      <c r="C2237" s="23"/>
      <c r="D2237" s="23"/>
      <c r="E2237" s="23"/>
      <c r="F2237" s="23"/>
    </row>
    <row r="2238">
      <c r="A2238" s="5"/>
      <c r="B2238" s="16" t="s">
        <v>1635</v>
      </c>
      <c r="C2238" s="22">
        <f>(22)*(1)*(1)*(1)*(1 + (0))</f>
      </c>
      <c r="D2238" s="22" t="s">
        <v>111</v>
      </c>
      <c r="E2238" s="22"/>
      <c r="F2238" s="22">
        <f>C2238*E2238</f>
      </c>
    </row>
    <row r="2239">
      <c r="A2239" s="5"/>
      <c r="B2239" s="16" t="s">
        <v>1636</v>
      </c>
      <c r="C2239" s="22">
        <f>(193)*(1)*(1)*(1)*(1 + (0))</f>
      </c>
      <c r="D2239" s="22" t="s">
        <v>111</v>
      </c>
      <c r="E2239" s="22"/>
      <c r="F2239" s="22">
        <f>C2239*E2239</f>
      </c>
    </row>
    <row r="2240">
      <c r="A2240" s="5"/>
      <c r="B2240" s="16" t="s">
        <v>1637</v>
      </c>
      <c r="C2240" s="22">
        <f>(20)*(1)*(1)*(1)*(1 + (0))</f>
      </c>
      <c r="D2240" s="22" t="s">
        <v>111</v>
      </c>
      <c r="E2240" s="22"/>
      <c r="F2240" s="22">
        <f>C2240*E2240</f>
      </c>
    </row>
    <row r="2241">
      <c r="A2241" s="5"/>
      <c r="B2241" s="16" t="s">
        <v>1638</v>
      </c>
      <c r="C2241" s="22">
        <f>(11)*(1)*(1)*(1)*(1 + (0))</f>
      </c>
      <c r="D2241" s="22" t="s">
        <v>111</v>
      </c>
      <c r="E2241" s="22"/>
      <c r="F2241" s="22">
        <f>C2241*E2241</f>
      </c>
    </row>
    <row r="2242">
      <c r="A2242" s="5"/>
      <c r="B2242" s="16" t="s">
        <v>1639</v>
      </c>
      <c r="C2242" s="22">
        <f>(5)*(1)*(1)*(1)*(1 + (0))</f>
      </c>
      <c r="D2242" s="22" t="s">
        <v>111</v>
      </c>
      <c r="E2242" s="22"/>
      <c r="F2242" s="22">
        <f>C2242*E2242</f>
      </c>
    </row>
    <row r="2243">
      <c r="A2243" s="5"/>
      <c r="B2243" s="16" t="s">
        <v>1640</v>
      </c>
      <c r="C2243" s="22">
        <f>(1)*(1)*(1)*(1)*(1 + (0))</f>
      </c>
      <c r="D2243" s="22" t="s">
        <v>111</v>
      </c>
      <c r="E2243" s="22"/>
      <c r="F2243" s="22">
        <f>C2243*E2243</f>
      </c>
    </row>
    <row r="2244">
      <c r="A2244" s="5"/>
      <c r="B2244" s="16" t="s">
        <v>1641</v>
      </c>
      <c r="C2244" s="22">
        <f>(1)*(1)*(1)*(1)*(1 + (0))</f>
      </c>
      <c r="D2244" s="22" t="s">
        <v>111</v>
      </c>
      <c r="E2244" s="22"/>
      <c r="F2244" s="22">
        <f>C2244*E2244</f>
      </c>
    </row>
    <row r="2245">
      <c r="A2245" s="5"/>
      <c r="B2245" s="16" t="s">
        <v>1642</v>
      </c>
      <c r="C2245" s="22">
        <f>(5)*(1)*(1)*(1)*(1 + (0))</f>
      </c>
      <c r="D2245" s="22" t="s">
        <v>111</v>
      </c>
      <c r="E2245" s="22"/>
      <c r="F2245" s="22">
        <f>C2245*E2245</f>
      </c>
    </row>
    <row r="2246">
      <c r="A2246" s="5"/>
      <c r="B2246" s="16" t="s">
        <v>1643</v>
      </c>
      <c r="C2246" s="22">
        <f>(5)*(1)*(1)*(1)*(1 + (0))</f>
      </c>
      <c r="D2246" s="22" t="s">
        <v>111</v>
      </c>
      <c r="E2246" s="22"/>
      <c r="F2246" s="22">
        <f>C2246*E2246</f>
      </c>
    </row>
    <row r="2247">
      <c r="A2247" s="5"/>
      <c r="B2247" s="16" t="s">
        <v>1644</v>
      </c>
      <c r="C2247" s="22">
        <f>(4)*(1)*(1)*(1)*(1 + (0))</f>
      </c>
      <c r="D2247" s="22" t="s">
        <v>111</v>
      </c>
      <c r="E2247" s="22"/>
      <c r="F2247" s="22">
        <f>C2247*E2247</f>
      </c>
    </row>
    <row r="2248">
      <c r="A2248" s="5"/>
      <c r="B2248" s="16" t="s">
        <v>1645</v>
      </c>
      <c r="C2248" s="22">
        <f>(2)*(1)*(1)*(1)*(1 + (0))</f>
      </c>
      <c r="D2248" s="22" t="s">
        <v>111</v>
      </c>
      <c r="E2248" s="22"/>
      <c r="F2248" s="22">
        <f>C2248*E2248</f>
      </c>
    </row>
    <row r="2249">
      <c r="A2249" s="5"/>
      <c r="B2249" s="16" t="s">
        <v>1646</v>
      </c>
      <c r="C2249" s="22">
        <f>(98)*(1)*(1)*(1)*(1 + (0))</f>
      </c>
      <c r="D2249" s="22" t="s">
        <v>24</v>
      </c>
      <c r="E2249" s="22"/>
      <c r="F2249" s="22">
        <f>C2249*E2249</f>
      </c>
    </row>
    <row r="2250">
      <c r="A2250" s="5"/>
      <c r="B2250" s="16" t="s">
        <v>286</v>
      </c>
      <c r="C2250" s="22">
        <f>(53)*(1)*(1)*(1)*(1 + (0))</f>
      </c>
      <c r="D2250" s="22" t="s">
        <v>153</v>
      </c>
      <c r="E2250" s="22"/>
      <c r="F2250" s="22">
        <f>C2250*E2250</f>
      </c>
    </row>
    <row r="2251">
      <c r="A2251" s="4"/>
      <c r="B2251" s="12" t="s">
        <v>290</v>
      </c>
      <c r="C2251" s="21"/>
      <c r="D2251" s="21"/>
      <c r="E2251" s="21"/>
      <c r="F2251" s="21"/>
    </row>
    <row r="2252">
      <c r="A2252" s="6"/>
      <c r="B2252" s="15" t="s">
        <v>311</v>
      </c>
      <c r="C2252" s="23"/>
      <c r="D2252" s="23"/>
      <c r="E2252" s="23"/>
      <c r="F2252" s="23"/>
    </row>
    <row r="2253">
      <c r="A2253" s="5"/>
      <c r="B2253" s="16" t="s">
        <v>1647</v>
      </c>
      <c r="C2253" s="22">
        <f>(3)*(1)*(1)*(1)*(1 + (0))</f>
      </c>
      <c r="D2253" s="22" t="s">
        <v>111</v>
      </c>
      <c r="E2253" s="22"/>
      <c r="F2253" s="22">
        <f>C2253*E2253</f>
      </c>
    </row>
    <row r="2254">
      <c r="A2254" s="4"/>
      <c r="B2254" s="12" t="s">
        <v>292</v>
      </c>
      <c r="C2254" s="21"/>
      <c r="D2254" s="21"/>
      <c r="E2254" s="21"/>
      <c r="F2254" s="21"/>
    </row>
    <row r="2255">
      <c r="A2255" s="6"/>
      <c r="B2255" s="15" t="s">
        <v>1648</v>
      </c>
      <c r="C2255" s="23"/>
      <c r="D2255" s="23"/>
      <c r="E2255" s="23"/>
      <c r="F2255" s="23"/>
    </row>
    <row r="2256">
      <c r="A2256" s="5"/>
      <c r="B2256" s="16" t="s">
        <v>1649</v>
      </c>
      <c r="C2256" s="22">
        <f>(2)*(1)*(1)*(1)*(1 + (0))</f>
      </c>
      <c r="D2256" s="22" t="s">
        <v>111</v>
      </c>
      <c r="E2256" s="22"/>
      <c r="F2256" s="22">
        <f>C2256*E2256</f>
      </c>
    </row>
    <row r="2257">
      <c r="A2257" s="5"/>
      <c r="B2257" s="16" t="s">
        <v>297</v>
      </c>
      <c r="C2257" s="22">
        <f>(2)*(1)*(1)*(1)*(1 + (0))</f>
      </c>
      <c r="D2257" s="22" t="s">
        <v>111</v>
      </c>
      <c r="E2257" s="22"/>
      <c r="F2257" s="22">
        <f>C2257*E2257</f>
      </c>
    </row>
    <row r="2258">
      <c r="A2258" s="5"/>
      <c r="B2258" s="16" t="s">
        <v>1650</v>
      </c>
      <c r="C2258" s="22">
        <f>(15)*(1)*(1)*(1)*(1 + (0))</f>
      </c>
      <c r="D2258" s="22" t="s">
        <v>111</v>
      </c>
      <c r="E2258" s="22"/>
      <c r="F2258" s="22">
        <f>C2258*E2258</f>
      </c>
    </row>
    <row r="2259">
      <c r="A2259" s="5"/>
      <c r="B2259" s="16" t="s">
        <v>1651</v>
      </c>
      <c r="C2259" s="22">
        <f>(6)*(1)*(1)*(1)*(1 + (0))</f>
      </c>
      <c r="D2259" s="22" t="s">
        <v>111</v>
      </c>
      <c r="E2259" s="22"/>
      <c r="F2259" s="22">
        <f>C2259*E2259</f>
      </c>
    </row>
    <row r="2260">
      <c r="A2260" s="6"/>
      <c r="B2260" s="15" t="s">
        <v>311</v>
      </c>
      <c r="C2260" s="23"/>
      <c r="D2260" s="23"/>
      <c r="E2260" s="23"/>
      <c r="F2260" s="23"/>
    </row>
    <row r="2261">
      <c r="A2261" s="5"/>
      <c r="B2261" s="16" t="s">
        <v>1649</v>
      </c>
      <c r="C2261" s="22">
        <f>(2)*(1)*(1)*(1)*(1 + (0))</f>
      </c>
      <c r="D2261" s="22" t="s">
        <v>111</v>
      </c>
      <c r="E2261" s="22"/>
      <c r="F2261" s="22">
        <f>C2261*E2261</f>
      </c>
    </row>
    <row r="2262">
      <c r="A2262" s="5"/>
      <c r="B2262" s="16" t="s">
        <v>299</v>
      </c>
      <c r="C2262" s="22">
        <f>(1)*(1)*(1)*(1)*(1 + (0))</f>
      </c>
      <c r="D2262" s="22" t="s">
        <v>111</v>
      </c>
      <c r="E2262" s="22"/>
      <c r="F2262" s="22">
        <f>C2262*E2262</f>
      </c>
    </row>
    <row r="2263">
      <c r="A2263" s="5"/>
      <c r="B2263" s="16" t="s">
        <v>1652</v>
      </c>
      <c r="C2263" s="22">
        <f>(3)*(1)*(1)*(1)*(1 + (0))</f>
      </c>
      <c r="D2263" s="22" t="s">
        <v>111</v>
      </c>
      <c r="E2263" s="22"/>
      <c r="F2263" s="22">
        <f>C2263*E2263</f>
      </c>
    </row>
    <row r="2264">
      <c r="A2264" s="5"/>
      <c r="B2264" s="16" t="s">
        <v>1653</v>
      </c>
      <c r="C2264" s="22">
        <f>(18)*(1)*(1)*(1)*(1 + (0))</f>
      </c>
      <c r="D2264" s="22" t="s">
        <v>111</v>
      </c>
      <c r="E2264" s="22"/>
      <c r="F2264" s="22">
        <f>C2264*E2264</f>
      </c>
    </row>
    <row r="2265">
      <c r="A2265" s="4"/>
      <c r="B2265" s="12" t="s">
        <v>303</v>
      </c>
      <c r="C2265" s="21"/>
      <c r="D2265" s="21"/>
      <c r="E2265" s="21"/>
      <c r="F2265" s="21"/>
    </row>
    <row r="2266">
      <c r="A2266" s="6"/>
      <c r="B2266" s="15" t="s">
        <v>304</v>
      </c>
      <c r="C2266" s="23"/>
      <c r="D2266" s="23"/>
      <c r="E2266" s="23"/>
      <c r="F2266" s="23"/>
    </row>
    <row r="2267">
      <c r="A2267" s="5"/>
      <c r="B2267" s="16" t="s">
        <v>252</v>
      </c>
      <c r="C2267" s="22"/>
      <c r="D2267" s="22"/>
      <c r="E2267" s="22"/>
      <c r="F2267" s="22"/>
    </row>
    <row r="2268">
      <c r="A2268" s="5"/>
      <c r="B2268" s="17" t="s">
        <v>1654</v>
      </c>
      <c r="C2268" s="22">
        <f>(14)*(1)*(1)*(1)*(1 + (0))</f>
      </c>
      <c r="D2268" s="22" t="s">
        <v>111</v>
      </c>
      <c r="E2268" s="22"/>
      <c r="F2268" s="22">
        <f>C2268*E2268</f>
      </c>
    </row>
    <row r="2269">
      <c r="A2269" s="5"/>
      <c r="B2269" s="17" t="s">
        <v>1655</v>
      </c>
      <c r="C2269" s="22">
        <f>(3)*(1)*(1)*(1)*(1 + (0))</f>
      </c>
      <c r="D2269" s="22" t="s">
        <v>111</v>
      </c>
      <c r="E2269" s="22"/>
      <c r="F2269" s="22">
        <f>C2269*E2269</f>
      </c>
    </row>
    <row r="2270">
      <c r="A2270" s="6"/>
      <c r="B2270" s="15" t="s">
        <v>307</v>
      </c>
      <c r="C2270" s="23"/>
      <c r="D2270" s="23"/>
      <c r="E2270" s="23"/>
      <c r="F2270" s="23"/>
    </row>
    <row r="2271">
      <c r="A2271" s="5"/>
      <c r="B2271" s="16" t="s">
        <v>252</v>
      </c>
      <c r="C2271" s="22"/>
      <c r="D2271" s="22"/>
      <c r="E2271" s="22"/>
      <c r="F2271" s="22"/>
    </row>
    <row r="2272">
      <c r="A2272" s="5"/>
      <c r="B2272" s="17" t="s">
        <v>310</v>
      </c>
      <c r="C2272" s="22">
        <f>(16)*(1)*(1)*(1)*(1 + (0))</f>
      </c>
      <c r="D2272" s="22" t="s">
        <v>111</v>
      </c>
      <c r="E2272" s="22"/>
      <c r="F2272" s="22">
        <f>C2272*E2272</f>
      </c>
    </row>
    <row r="2273">
      <c r="A2273" s="4"/>
      <c r="B2273" s="12" t="s">
        <v>312</v>
      </c>
      <c r="C2273" s="21"/>
      <c r="D2273" s="21"/>
      <c r="E2273" s="21"/>
      <c r="F2273" s="21"/>
    </row>
    <row r="2274">
      <c r="A2274" s="6"/>
      <c r="B2274" s="15" t="s">
        <v>1656</v>
      </c>
      <c r="C2274" s="23"/>
      <c r="D2274" s="23"/>
      <c r="E2274" s="23"/>
      <c r="F2274" s="23"/>
    </row>
    <row r="2275">
      <c r="A2275" s="5"/>
      <c r="B2275" s="16" t="s">
        <v>1657</v>
      </c>
      <c r="C2275" s="22">
        <f>(3)*(1)*(1)*(1)*(1 + (0))</f>
      </c>
      <c r="D2275" s="22" t="s">
        <v>111</v>
      </c>
      <c r="E2275" s="22"/>
      <c r="F2275" s="22">
        <f>C2275*E2275</f>
      </c>
    </row>
    <row r="2276">
      <c r="A2276" s="6"/>
      <c r="B2276" s="15" t="s">
        <v>1658</v>
      </c>
      <c r="C2276" s="23"/>
      <c r="D2276" s="23"/>
      <c r="E2276" s="23"/>
      <c r="F2276" s="23"/>
    </row>
    <row r="2277">
      <c r="A2277" s="5"/>
      <c r="B2277" s="16" t="s">
        <v>317</v>
      </c>
      <c r="C2277" s="22">
        <f>(1)*(1)*(1)*(1)*(1 + (0))</f>
      </c>
      <c r="D2277" s="22" t="s">
        <v>111</v>
      </c>
      <c r="E2277" s="22"/>
      <c r="F2277" s="22">
        <f>C2277*E2277</f>
      </c>
    </row>
    <row r="2278">
      <c r="A2278" s="5"/>
      <c r="B2278" s="16" t="s">
        <v>1659</v>
      </c>
      <c r="C2278" s="22">
        <f>(1)*(1)*(1)*(1)*(1 + (0))</f>
      </c>
      <c r="D2278" s="22" t="s">
        <v>111</v>
      </c>
      <c r="E2278" s="22"/>
      <c r="F2278" s="22">
        <f>C2278*E2278</f>
      </c>
    </row>
    <row r="2279">
      <c r="A2279" s="5"/>
      <c r="B2279" s="16" t="s">
        <v>319</v>
      </c>
      <c r="C2279" s="22">
        <f>(1)*(1)*(1)*(1)*(1 + (0))</f>
      </c>
      <c r="D2279" s="22" t="s">
        <v>111</v>
      </c>
      <c r="E2279" s="22"/>
      <c r="F2279" s="22">
        <f>C2279*E2279</f>
      </c>
    </row>
    <row r="2280">
      <c r="A2280" s="5"/>
      <c r="B2280" s="16" t="s">
        <v>1660</v>
      </c>
      <c r="C2280" s="22">
        <f>(1)*(1)*(1)*(1)*(1 + (0))</f>
      </c>
      <c r="D2280" s="22" t="s">
        <v>111</v>
      </c>
      <c r="E2280" s="22"/>
      <c r="F2280" s="22">
        <f>C2280*E2280</f>
      </c>
    </row>
    <row r="2281">
      <c r="A2281" s="4"/>
      <c r="B2281" s="12" t="s">
        <v>1661</v>
      </c>
      <c r="C2281" s="21"/>
      <c r="D2281" s="21"/>
      <c r="E2281" s="21"/>
      <c r="F2281" s="21"/>
    </row>
    <row r="2282">
      <c r="A2282" s="5"/>
      <c r="B2282" s="13" t="s">
        <v>323</v>
      </c>
      <c r="C2282" s="22">
        <f>(11)*(1)*(1)*(1)*(1 + (0))</f>
      </c>
      <c r="D2282" s="22" t="s">
        <v>111</v>
      </c>
      <c r="E2282" s="22"/>
      <c r="F2282" s="22">
        <f>C2282*E2282</f>
      </c>
    </row>
    <row r="2283">
      <c r="A2283" s="5"/>
      <c r="B2283" s="13" t="s">
        <v>1662</v>
      </c>
      <c r="C2283" s="22">
        <f>(11)*(1)*(1)*(1)*(1 + (0))</f>
      </c>
      <c r="D2283" s="22" t="s">
        <v>111</v>
      </c>
      <c r="E2283" s="22"/>
      <c r="F2283" s="22">
        <f>C2283*E2283</f>
      </c>
    </row>
    <row r="2284">
      <c r="A2284" s="3"/>
      <c r="B2284" s="11" t="s">
        <v>325</v>
      </c>
      <c r="C2284" s="20"/>
      <c r="D2284" s="20"/>
      <c r="E2284" s="20"/>
      <c r="F2284" s="20"/>
    </row>
    <row r="2285">
      <c r="A2285" s="4"/>
      <c r="B2285" s="12" t="s">
        <v>326</v>
      </c>
      <c r="C2285" s="21"/>
      <c r="D2285" s="21"/>
      <c r="E2285" s="21"/>
      <c r="F2285" s="21"/>
    </row>
    <row r="2286">
      <c r="A2286" s="5"/>
      <c r="B2286" s="13" t="s">
        <v>327</v>
      </c>
      <c r="C2286" s="22">
        <f>(987)*(1)*(1)*(1)*(1 + (0))</f>
      </c>
      <c r="D2286" s="22" t="s">
        <v>24</v>
      </c>
      <c r="E2286" s="22"/>
      <c r="F2286" s="22">
        <f>C2286*E2286</f>
      </c>
    </row>
    <row r="2287">
      <c r="A2287" s="5"/>
      <c r="B2287" s="13" t="s">
        <v>328</v>
      </c>
      <c r="C2287" s="22">
        <f>(1071)*(1)*(1)*(1)*(1 + (0))</f>
      </c>
      <c r="D2287" s="22" t="s">
        <v>24</v>
      </c>
      <c r="E2287" s="22"/>
      <c r="F2287" s="22">
        <f>C2287*E2287</f>
      </c>
    </row>
    <row r="2288">
      <c r="A2288" s="5"/>
      <c r="B2288" s="13" t="s">
        <v>329</v>
      </c>
      <c r="C2288" s="22">
        <f>(83)*(1)*(1)*(1)*(1 + (0))</f>
      </c>
      <c r="D2288" s="22" t="s">
        <v>24</v>
      </c>
      <c r="E2288" s="22"/>
      <c r="F2288" s="22">
        <f>C2288*E2288</f>
      </c>
    </row>
    <row r="2289">
      <c r="A2289" s="4"/>
      <c r="B2289" s="12" t="s">
        <v>330</v>
      </c>
      <c r="C2289" s="21"/>
      <c r="D2289" s="21"/>
      <c r="E2289" s="21"/>
      <c r="F2289" s="21"/>
    </row>
    <row r="2290">
      <c r="A2290" s="5"/>
      <c r="B2290" s="13" t="s">
        <v>331</v>
      </c>
      <c r="C2290" s="22">
        <f>(1820)*(1)*(1)*(1)*(1 + (0))</f>
      </c>
      <c r="D2290" s="22" t="s">
        <v>24</v>
      </c>
      <c r="E2290" s="22"/>
      <c r="F2290" s="22">
        <f>C2290*E2290</f>
      </c>
    </row>
    <row r="2291">
      <c r="A2291" s="5"/>
      <c r="B2291" s="13" t="s">
        <v>332</v>
      </c>
      <c r="C2291" s="22">
        <f>(239)*(1)*(1)*(1)*(1 + (0))</f>
      </c>
      <c r="D2291" s="22" t="s">
        <v>24</v>
      </c>
      <c r="E2291" s="22"/>
      <c r="F2291" s="22">
        <f>C2291*E2291</f>
      </c>
    </row>
    <row r="2292">
      <c r="A2292" s="5"/>
      <c r="B2292" s="13" t="s">
        <v>333</v>
      </c>
      <c r="C2292" s="22">
        <f>(128)*(1)*(1)*(1)*(1 + (0))</f>
      </c>
      <c r="D2292" s="22" t="s">
        <v>24</v>
      </c>
      <c r="E2292" s="22"/>
      <c r="F2292" s="22">
        <f>C2292*E2292</f>
      </c>
    </row>
    <row r="2293">
      <c r="A2293" s="6"/>
      <c r="B2293" s="15" t="s">
        <v>334</v>
      </c>
      <c r="C2293" s="23"/>
      <c r="D2293" s="23"/>
      <c r="E2293" s="23"/>
      <c r="F2293" s="23"/>
    </row>
    <row r="2294">
      <c r="A2294" s="5"/>
      <c r="B2294" s="16" t="s">
        <v>335</v>
      </c>
      <c r="C2294" s="22">
        <f>(102)*(1)*(1)*(1)*(1 + (0))</f>
      </c>
      <c r="D2294" s="22" t="s">
        <v>153</v>
      </c>
      <c r="E2294" s="22"/>
      <c r="F2294" s="22">
        <f>C2294*E2294</f>
      </c>
    </row>
    <row r="2295">
      <c r="A2295" s="5"/>
      <c r="B2295" s="16" t="s">
        <v>336</v>
      </c>
      <c r="C2295" s="22">
        <f>(54)*(1)*(1)*(1)*(1 + (0))</f>
      </c>
      <c r="D2295" s="22" t="s">
        <v>24</v>
      </c>
      <c r="E2295" s="22"/>
      <c r="F2295" s="22">
        <f>C2295*E2295</f>
      </c>
    </row>
    <row r="2296">
      <c r="A2296" s="4"/>
      <c r="B2296" s="12" t="s">
        <v>337</v>
      </c>
      <c r="C2296" s="21"/>
      <c r="D2296" s="21"/>
      <c r="E2296" s="21"/>
      <c r="F2296" s="21"/>
    </row>
    <row r="2297">
      <c r="A2297" s="5"/>
      <c r="B2297" s="13" t="s">
        <v>342</v>
      </c>
      <c r="C2297" s="22">
        <f>(1)*(1)*(1)*(1)*(1 + (0))</f>
      </c>
      <c r="D2297" s="22" t="s">
        <v>111</v>
      </c>
      <c r="E2297" s="22"/>
      <c r="F2297" s="22">
        <f>C2297*E2297</f>
      </c>
    </row>
    <row r="2298">
      <c r="A2298" s="5"/>
      <c r="B2298" s="13" t="s">
        <v>340</v>
      </c>
      <c r="C2298" s="22">
        <f>(7)*(1)*(1)*(1)*(1 + (0))</f>
      </c>
      <c r="D2298" s="22" t="s">
        <v>24</v>
      </c>
      <c r="E2298" s="22"/>
      <c r="F2298" s="22">
        <f>C2298*E2298</f>
      </c>
    </row>
    <row r="2299">
      <c r="A2299" s="3"/>
      <c r="B2299" s="11" t="s">
        <v>344</v>
      </c>
      <c r="C2299" s="20"/>
      <c r="D2299" s="20"/>
      <c r="E2299" s="20"/>
      <c r="F2299" s="20"/>
    </row>
    <row r="2300">
      <c r="A2300" s="5"/>
      <c r="B2300" s="14" t="s">
        <v>345</v>
      </c>
      <c r="C2300" s="22">
        <f>(31)*(1)*(1)*(1)*(1 + (0))</f>
      </c>
      <c r="D2300" s="22" t="s">
        <v>153</v>
      </c>
      <c r="E2300" s="22"/>
      <c r="F2300" s="22">
        <f>C2300*E2300</f>
      </c>
    </row>
    <row r="2301">
      <c r="A2301" s="5"/>
      <c r="B2301" s="14" t="s">
        <v>1663</v>
      </c>
      <c r="C2301" s="22">
        <f>(20)*(1)*(1)*(1)*(1 + (0))</f>
      </c>
      <c r="D2301" s="22" t="s">
        <v>153</v>
      </c>
      <c r="E2301" s="22"/>
      <c r="F2301" s="22">
        <f>C2301*E2301</f>
      </c>
    </row>
    <row r="2302">
      <c r="A2302" s="5"/>
      <c r="B2302" s="14" t="s">
        <v>346</v>
      </c>
      <c r="C2302" s="22">
        <f>(3)*(1)*(1)*(1)*(1 + (0))</f>
      </c>
      <c r="D2302" s="22" t="s">
        <v>153</v>
      </c>
      <c r="E2302" s="22"/>
      <c r="F2302" s="22">
        <f>C2302*E2302</f>
      </c>
    </row>
    <row r="2303">
      <c r="A2303" s="3"/>
      <c r="B2303" s="11" t="s">
        <v>347</v>
      </c>
      <c r="C2303" s="20"/>
      <c r="D2303" s="20"/>
      <c r="E2303" s="20"/>
      <c r="F2303" s="20"/>
    </row>
    <row r="2304">
      <c r="A2304" s="5"/>
      <c r="B2304" s="14" t="s">
        <v>348</v>
      </c>
      <c r="C2304" s="22">
        <f>(987)*(1)*(1)*(1)*(1 + (0))</f>
      </c>
      <c r="D2304" s="22" t="s">
        <v>24</v>
      </c>
      <c r="E2304" s="22"/>
      <c r="F2304" s="22">
        <f>C2304*E2304</f>
      </c>
    </row>
    <row r="2305">
      <c r="A2305" s="5"/>
      <c r="B2305" s="14" t="s">
        <v>349</v>
      </c>
      <c r="C2305" s="22">
        <f>(987)*(1)*(1)*(1)*(1 + (0))</f>
      </c>
      <c r="D2305" s="22" t="s">
        <v>24</v>
      </c>
      <c r="E2305" s="22"/>
      <c r="F2305" s="22">
        <f>C2305*E2305</f>
      </c>
    </row>
    <row r="2306">
      <c r="A2306" s="2"/>
      <c r="B2306" s="10" t="s">
        <v>350</v>
      </c>
      <c r="C2306" s="19"/>
      <c r="D2306" s="19"/>
      <c r="E2306" s="19"/>
      <c r="F2306" s="19"/>
    </row>
    <row r="2307">
      <c r="A2307" s="3"/>
      <c r="B2307" s="11" t="s">
        <v>37</v>
      </c>
      <c r="C2307" s="20"/>
      <c r="D2307" s="20"/>
      <c r="E2307" s="20"/>
      <c r="F2307" s="20"/>
    </row>
    <row r="2308">
      <c r="A2308" s="5" t="s">
        <v>351</v>
      </c>
      <c r="B2308" s="14" t="s">
        <v>39</v>
      </c>
      <c r="C2308" s="22"/>
      <c r="D2308" s="22" t="s">
        <v>10</v>
      </c>
      <c r="E2308" s="22"/>
      <c r="F2308" s="22">
        <f>C2308*E2308</f>
      </c>
    </row>
    <row r="2309">
      <c r="A2309" s="5" t="s">
        <v>352</v>
      </c>
      <c r="B2309" s="14" t="s">
        <v>41</v>
      </c>
      <c r="C2309" s="22"/>
      <c r="D2309" s="22" t="s">
        <v>10</v>
      </c>
      <c r="E2309" s="22"/>
      <c r="F2309" s="22">
        <f>C2309*E2309</f>
      </c>
    </row>
    <row r="2310">
      <c r="A2310" s="3"/>
      <c r="B2310" s="11" t="s">
        <v>42</v>
      </c>
      <c r="C2310" s="20"/>
      <c r="D2310" s="20"/>
      <c r="E2310" s="20"/>
      <c r="F2310" s="20"/>
    </row>
    <row r="2311">
      <c r="A2311" s="5"/>
      <c r="B2311" s="14" t="s">
        <v>118</v>
      </c>
      <c r="C2311" s="22"/>
      <c r="D2311" s="22" t="s">
        <v>10</v>
      </c>
      <c r="E2311" s="22"/>
      <c r="F2311" s="22">
        <f>C2311*E2311</f>
      </c>
    </row>
    <row r="2312">
      <c r="A2312" s="5"/>
      <c r="B2312" s="14" t="s">
        <v>43</v>
      </c>
      <c r="C2312" s="22"/>
      <c r="D2312" s="22" t="s">
        <v>10</v>
      </c>
      <c r="E2312" s="22"/>
      <c r="F2312" s="22">
        <f>C2312*E2312</f>
      </c>
    </row>
    <row r="2313">
      <c r="A2313" s="5"/>
      <c r="B2313" s="14" t="s">
        <v>210</v>
      </c>
      <c r="C2313" s="22"/>
      <c r="D2313" s="22" t="s">
        <v>10</v>
      </c>
      <c r="E2313" s="22"/>
      <c r="F2313" s="22">
        <f>C2313*E2313</f>
      </c>
    </row>
    <row r="2314">
      <c r="A2314" s="3"/>
      <c r="B2314" s="11" t="s">
        <v>44</v>
      </c>
      <c r="C2314" s="20"/>
      <c r="D2314" s="20"/>
      <c r="E2314" s="20"/>
      <c r="F2314" s="20"/>
    </row>
    <row r="2315">
      <c r="A2315" s="4"/>
      <c r="B2315" s="12" t="s">
        <v>45</v>
      </c>
      <c r="C2315" s="21"/>
      <c r="D2315" s="21"/>
      <c r="E2315" s="21"/>
      <c r="F2315" s="21"/>
    </row>
    <row r="2316">
      <c r="A2316" s="5" t="s">
        <v>353</v>
      </c>
      <c r="B2316" s="13" t="s">
        <v>354</v>
      </c>
      <c r="C2316" s="22"/>
      <c r="D2316" s="22" t="s">
        <v>10</v>
      </c>
      <c r="E2316" s="22"/>
      <c r="F2316" s="22">
        <f>C2316*E2316</f>
      </c>
    </row>
    <row r="2317">
      <c r="A2317" s="5" t="s">
        <v>355</v>
      </c>
      <c r="B2317" s="13" t="s">
        <v>356</v>
      </c>
      <c r="C2317" s="22"/>
      <c r="D2317" s="22" t="s">
        <v>10</v>
      </c>
      <c r="E2317" s="22"/>
      <c r="F2317" s="22">
        <f>C2317*E2317</f>
      </c>
    </row>
    <row r="2318">
      <c r="A2318" s="5" t="s">
        <v>357</v>
      </c>
      <c r="B2318" s="13" t="s">
        <v>358</v>
      </c>
      <c r="C2318" s="22"/>
      <c r="D2318" s="22" t="s">
        <v>10</v>
      </c>
      <c r="E2318" s="22"/>
      <c r="F2318" s="22">
        <f>C2318*E2318</f>
      </c>
    </row>
    <row r="2319">
      <c r="A2319" s="5" t="s">
        <v>359</v>
      </c>
      <c r="B2319" s="13" t="s">
        <v>360</v>
      </c>
      <c r="C2319" s="22"/>
      <c r="D2319" s="22" t="s">
        <v>10</v>
      </c>
      <c r="E2319" s="22"/>
      <c r="F2319" s="22">
        <f>C2319*E2319</f>
      </c>
    </row>
    <row r="2320">
      <c r="A2320" s="5" t="s">
        <v>361</v>
      </c>
      <c r="B2320" s="13" t="s">
        <v>362</v>
      </c>
      <c r="C2320" s="22"/>
      <c r="D2320" s="22" t="s">
        <v>10</v>
      </c>
      <c r="E2320" s="22"/>
      <c r="F2320" s="22">
        <f>C2320*E2320</f>
      </c>
    </row>
    <row r="2321">
      <c r="A2321" s="5" t="s">
        <v>363</v>
      </c>
      <c r="B2321" s="13" t="s">
        <v>364</v>
      </c>
      <c r="C2321" s="22"/>
      <c r="D2321" s="22" t="s">
        <v>10</v>
      </c>
      <c r="E2321" s="22"/>
      <c r="F2321" s="22">
        <f>C2321*E2321</f>
      </c>
    </row>
    <row r="2322">
      <c r="A2322" s="5" t="s">
        <v>365</v>
      </c>
      <c r="B2322" s="13" t="s">
        <v>366</v>
      </c>
      <c r="C2322" s="22"/>
      <c r="D2322" s="22" t="s">
        <v>10</v>
      </c>
      <c r="E2322" s="22"/>
      <c r="F2322" s="22">
        <f>C2322*E2322</f>
      </c>
    </row>
    <row r="2323">
      <c r="A2323" s="5" t="s">
        <v>367</v>
      </c>
      <c r="B2323" s="13" t="s">
        <v>368</v>
      </c>
      <c r="C2323" s="22"/>
      <c r="D2323" s="22" t="s">
        <v>10</v>
      </c>
      <c r="E2323" s="22"/>
      <c r="F2323" s="22">
        <f>C2323*E2323</f>
      </c>
    </row>
    <row r="2324">
      <c r="A2324" s="5" t="s">
        <v>369</v>
      </c>
      <c r="B2324" s="13" t="s">
        <v>370</v>
      </c>
      <c r="C2324" s="22"/>
      <c r="D2324" s="22" t="s">
        <v>10</v>
      </c>
      <c r="E2324" s="22"/>
      <c r="F2324" s="22">
        <f>C2324*E2324</f>
      </c>
    </row>
    <row r="2325">
      <c r="A2325" s="5" t="s">
        <v>371</v>
      </c>
      <c r="B2325" s="13" t="s">
        <v>123</v>
      </c>
      <c r="C2325" s="22"/>
      <c r="D2325" s="22" t="s">
        <v>10</v>
      </c>
      <c r="E2325" s="22"/>
      <c r="F2325" s="22">
        <f>C2325*E2325</f>
      </c>
    </row>
    <row r="2326">
      <c r="A2326" s="3"/>
      <c r="B2326" s="11" t="s">
        <v>68</v>
      </c>
      <c r="C2326" s="20"/>
      <c r="D2326" s="20"/>
      <c r="E2326" s="20"/>
      <c r="F2326" s="20"/>
    </row>
    <row r="2327">
      <c r="A2327" s="5" t="s">
        <v>372</v>
      </c>
      <c r="B2327" s="14" t="s">
        <v>70</v>
      </c>
      <c r="C2327" s="22">
        <f>(1)*(1)*(1)*(1)*(1 + (0))</f>
      </c>
      <c r="D2327" s="22" t="s">
        <v>71</v>
      </c>
      <c r="E2327" s="22"/>
      <c r="F2327" s="22">
        <f>C2327*E2327</f>
      </c>
    </row>
    <row r="2328">
      <c r="A2328" s="5" t="s">
        <v>373</v>
      </c>
      <c r="B2328" s="14" t="s">
        <v>73</v>
      </c>
      <c r="C2328" s="22">
        <f>(1)*(1)*(1)*(1)*(1 + (0))</f>
      </c>
      <c r="D2328" s="22" t="s">
        <v>71</v>
      </c>
      <c r="E2328" s="22"/>
      <c r="F2328" s="22">
        <f>C2328*E2328</f>
      </c>
    </row>
    <row r="2329">
      <c r="A2329" s="5" t="s">
        <v>374</v>
      </c>
      <c r="B2329" s="14" t="s">
        <v>79</v>
      </c>
      <c r="C2329" s="22">
        <f>(1)*(1)*(1)*(1)*(1 + (0))</f>
      </c>
      <c r="D2329" s="22" t="s">
        <v>71</v>
      </c>
      <c r="E2329" s="22"/>
      <c r="F2329" s="22">
        <f>C2329*E2329</f>
      </c>
    </row>
    <row r="2330">
      <c r="A2330" s="5" t="s">
        <v>375</v>
      </c>
      <c r="B2330" s="14" t="s">
        <v>376</v>
      </c>
      <c r="C2330" s="22">
        <f>(1)*(1)*(1)*(1)*(1 + (0))</f>
      </c>
      <c r="D2330" s="22" t="s">
        <v>71</v>
      </c>
      <c r="E2330" s="22"/>
      <c r="F2330" s="22">
        <f>C2330*E2330</f>
      </c>
    </row>
    <row r="2331">
      <c r="A2331" s="5" t="s">
        <v>377</v>
      </c>
      <c r="B2331" s="14" t="s">
        <v>378</v>
      </c>
      <c r="C2331" s="22">
        <f>(1)*(1)*(1)*(1)*(1 + (0))</f>
      </c>
      <c r="D2331" s="22" t="s">
        <v>71</v>
      </c>
      <c r="E2331" s="22"/>
      <c r="F2331" s="22">
        <f>C2331*E2331</f>
      </c>
    </row>
    <row r="2332">
      <c r="A2332" s="3"/>
      <c r="B2332" s="11" t="s">
        <v>106</v>
      </c>
      <c r="C2332" s="20"/>
      <c r="D2332" s="20"/>
      <c r="E2332" s="20"/>
      <c r="F2332" s="20"/>
    </row>
    <row r="2333">
      <c r="A2333" s="5"/>
      <c r="B2333" s="14" t="s">
        <v>379</v>
      </c>
      <c r="C2333" s="22"/>
      <c r="D2333" s="22" t="s">
        <v>10</v>
      </c>
      <c r="E2333" s="22"/>
      <c r="F2333" s="22">
        <f>C2333*E2333</f>
      </c>
    </row>
    <row r="2334">
      <c r="A2334" s="5"/>
      <c r="B2334" s="14" t="s">
        <v>380</v>
      </c>
      <c r="C2334" s="22"/>
      <c r="D2334" s="22" t="s">
        <v>10</v>
      </c>
      <c r="E2334" s="22"/>
      <c r="F2334" s="22">
        <f>C2334*E2334</f>
      </c>
    </row>
    <row r="2335">
      <c r="A2335" s="3"/>
      <c r="B2335" s="11" t="s">
        <v>381</v>
      </c>
      <c r="C2335" s="20"/>
      <c r="D2335" s="20"/>
      <c r="E2335" s="20"/>
      <c r="F2335" s="20"/>
    </row>
    <row r="2336">
      <c r="A2336" s="4"/>
      <c r="B2336" s="12" t="s">
        <v>382</v>
      </c>
      <c r="C2336" s="21"/>
      <c r="D2336" s="21"/>
      <c r="E2336" s="21"/>
      <c r="F2336" s="21"/>
    </row>
    <row r="2337">
      <c r="A2337" s="6"/>
      <c r="B2337" s="15" t="s">
        <v>311</v>
      </c>
      <c r="C2337" s="23"/>
      <c r="D2337" s="23"/>
      <c r="E2337" s="23"/>
      <c r="F2337" s="23"/>
    </row>
    <row r="2338">
      <c r="A2338" s="5"/>
      <c r="B2338" s="16" t="s">
        <v>383</v>
      </c>
      <c r="C2338" s="22">
        <f>(1071)*(1)*(1)*(1)*(1 + (0))</f>
      </c>
      <c r="D2338" s="22" t="s">
        <v>24</v>
      </c>
      <c r="E2338" s="22"/>
      <c r="F2338" s="22">
        <f>C2338*E2338</f>
      </c>
    </row>
    <row r="2339">
      <c r="A2339" s="5"/>
      <c r="B2339" s="16" t="s">
        <v>384</v>
      </c>
      <c r="C2339" s="22">
        <f>(142)*(1)*(1)*(1)*(1 + (0))</f>
      </c>
      <c r="D2339" s="22" t="s">
        <v>153</v>
      </c>
      <c r="E2339" s="22"/>
      <c r="F2339" s="22">
        <f>C2339*E2339</f>
      </c>
    </row>
    <row r="2340">
      <c r="A2340" s="5"/>
      <c r="B2340" s="16" t="s">
        <v>385</v>
      </c>
      <c r="C2340" s="22">
        <f>(3)*(1)*(1)*(1)*(1 + (0))</f>
      </c>
      <c r="D2340" s="22" t="s">
        <v>24</v>
      </c>
      <c r="E2340" s="22"/>
      <c r="F2340" s="22">
        <f>C2340*E2340</f>
      </c>
    </row>
    <row r="2341">
      <c r="A2341" s="5"/>
      <c r="B2341" s="16" t="s">
        <v>386</v>
      </c>
      <c r="C2341" s="22">
        <f>(114)*(1)*(1)*(1)*(1 + (0))</f>
      </c>
      <c r="D2341" s="22" t="s">
        <v>153</v>
      </c>
      <c r="E2341" s="22"/>
      <c r="F2341" s="22">
        <f>C2341*E2341</f>
      </c>
    </row>
    <row r="2342">
      <c r="A2342" s="5"/>
      <c r="B2342" s="16" t="s">
        <v>387</v>
      </c>
      <c r="C2342" s="22">
        <f>(136)*(1)*(1)*(1)*(1 + (0))</f>
      </c>
      <c r="D2342" s="22" t="s">
        <v>153</v>
      </c>
      <c r="E2342" s="22"/>
      <c r="F2342" s="22">
        <f>C2342*E2342</f>
      </c>
    </row>
    <row r="2343">
      <c r="A2343" s="4"/>
      <c r="B2343" s="12" t="s">
        <v>389</v>
      </c>
      <c r="C2343" s="21"/>
      <c r="D2343" s="21"/>
      <c r="E2343" s="21"/>
      <c r="F2343" s="21"/>
    </row>
    <row r="2344">
      <c r="A2344" s="6"/>
      <c r="B2344" s="15" t="s">
        <v>311</v>
      </c>
      <c r="C2344" s="23"/>
      <c r="D2344" s="23"/>
      <c r="E2344" s="23"/>
      <c r="F2344" s="23"/>
    </row>
    <row r="2345">
      <c r="A2345" s="5"/>
      <c r="B2345" s="16" t="s">
        <v>390</v>
      </c>
      <c r="C2345" s="22">
        <f>(21)*(1)*(1)*(1)*(1 + (0))</f>
      </c>
      <c r="D2345" s="22" t="s">
        <v>153</v>
      </c>
      <c r="E2345" s="22"/>
      <c r="F2345" s="22">
        <f>C2345*E2345</f>
      </c>
    </row>
    <row r="2346">
      <c r="A2346" s="4"/>
      <c r="B2346" s="12" t="s">
        <v>1664</v>
      </c>
      <c r="C2346" s="21"/>
      <c r="D2346" s="21"/>
      <c r="E2346" s="21"/>
      <c r="F2346" s="21"/>
    </row>
    <row r="2347">
      <c r="A2347" s="6"/>
      <c r="B2347" s="15" t="s">
        <v>252</v>
      </c>
      <c r="C2347" s="23"/>
      <c r="D2347" s="23"/>
      <c r="E2347" s="23"/>
      <c r="F2347" s="23"/>
    </row>
    <row r="2348">
      <c r="A2348" s="5"/>
      <c r="B2348" s="16" t="s">
        <v>1665</v>
      </c>
      <c r="C2348" s="22">
        <f>(24)*(1)*(1)*(1)*(1 + (0))</f>
      </c>
      <c r="D2348" s="22" t="s">
        <v>24</v>
      </c>
      <c r="E2348" s="22"/>
      <c r="F2348" s="22">
        <f>C2348*E2348</f>
      </c>
    </row>
    <row r="2349">
      <c r="A2349" s="5"/>
      <c r="B2349" s="16" t="s">
        <v>1666</v>
      </c>
      <c r="C2349" s="22">
        <f>(6)*(1)*(1)*(1)*(1 + (0))</f>
      </c>
      <c r="D2349" s="22" t="s">
        <v>24</v>
      </c>
      <c r="E2349" s="22"/>
      <c r="F2349" s="22">
        <f>C2349*E2349</f>
      </c>
    </row>
    <row r="2350">
      <c r="A2350" s="5"/>
      <c r="B2350" s="16" t="s">
        <v>1667</v>
      </c>
      <c r="C2350" s="22">
        <f>(128)*(1)*(1)*(1)*(1 + (0))</f>
      </c>
      <c r="D2350" s="22" t="s">
        <v>24</v>
      </c>
      <c r="E2350" s="22"/>
      <c r="F2350" s="22">
        <f>C2350*E2350</f>
      </c>
    </row>
    <row r="2351">
      <c r="A2351" s="6"/>
      <c r="B2351" s="15" t="s">
        <v>311</v>
      </c>
      <c r="C2351" s="23"/>
      <c r="D2351" s="23"/>
      <c r="E2351" s="23"/>
      <c r="F2351" s="23"/>
    </row>
    <row r="2352">
      <c r="A2352" s="5"/>
      <c r="B2352" s="16" t="s">
        <v>1665</v>
      </c>
      <c r="C2352" s="22">
        <f>(7)*(1)*(1)*(1)*(1 + (0))</f>
      </c>
      <c r="D2352" s="22" t="s">
        <v>24</v>
      </c>
      <c r="E2352" s="22"/>
      <c r="F2352" s="22">
        <f>C2352*E2352</f>
      </c>
    </row>
    <row r="2353">
      <c r="A2353" s="5"/>
      <c r="B2353" s="16" t="s">
        <v>1667</v>
      </c>
      <c r="C2353" s="22">
        <f>(159)*(1)*(1)*(1)*(1 + (0))</f>
      </c>
      <c r="D2353" s="22" t="s">
        <v>24</v>
      </c>
      <c r="E2353" s="22"/>
      <c r="F2353" s="22">
        <f>C2353*E2353</f>
      </c>
    </row>
    <row r="2354">
      <c r="A2354" s="4"/>
      <c r="B2354" s="12" t="s">
        <v>1668</v>
      </c>
      <c r="C2354" s="21"/>
      <c r="D2354" s="21"/>
      <c r="E2354" s="21"/>
      <c r="F2354" s="21"/>
    </row>
    <row r="2355">
      <c r="A2355" s="6"/>
      <c r="B2355" s="15" t="s">
        <v>304</v>
      </c>
      <c r="C2355" s="23"/>
      <c r="D2355" s="23"/>
      <c r="E2355" s="23"/>
      <c r="F2355" s="23"/>
    </row>
    <row r="2356">
      <c r="A2356" s="5"/>
      <c r="B2356" s="16" t="s">
        <v>252</v>
      </c>
      <c r="C2356" s="22"/>
      <c r="D2356" s="22"/>
      <c r="E2356" s="22"/>
      <c r="F2356" s="22"/>
    </row>
    <row r="2357">
      <c r="A2357" s="5"/>
      <c r="B2357" s="17" t="s">
        <v>1669</v>
      </c>
      <c r="C2357" s="22">
        <f>(28)*(1)*(1)*(1)*(1 + (0))</f>
      </c>
      <c r="D2357" s="22" t="s">
        <v>24</v>
      </c>
      <c r="E2357" s="22"/>
      <c r="F2357" s="22">
        <f>C2357*E2357</f>
      </c>
    </row>
    <row r="2358">
      <c r="A2358" s="6"/>
      <c r="B2358" s="15" t="s">
        <v>307</v>
      </c>
      <c r="C2358" s="23"/>
      <c r="D2358" s="23"/>
      <c r="E2358" s="23"/>
      <c r="F2358" s="23"/>
    </row>
    <row r="2359">
      <c r="A2359" s="5"/>
      <c r="B2359" s="16" t="s">
        <v>1648</v>
      </c>
      <c r="C2359" s="22"/>
      <c r="D2359" s="22"/>
      <c r="E2359" s="22"/>
      <c r="F2359" s="22"/>
    </row>
    <row r="2360">
      <c r="A2360" s="5"/>
      <c r="B2360" s="17" t="s">
        <v>1669</v>
      </c>
      <c r="C2360" s="22">
        <f>(159)*(1)*(1)*(1)*(1 + (0))</f>
      </c>
      <c r="D2360" s="22" t="s">
        <v>24</v>
      </c>
      <c r="E2360" s="22"/>
      <c r="F2360" s="22">
        <f>C2360*E2360</f>
      </c>
    </row>
    <row r="2361">
      <c r="A2361" s="4"/>
      <c r="B2361" s="12" t="s">
        <v>397</v>
      </c>
      <c r="C2361" s="21"/>
      <c r="D2361" s="21"/>
      <c r="E2361" s="21"/>
      <c r="F2361" s="21"/>
    </row>
    <row r="2362">
      <c r="A2362" s="6"/>
      <c r="B2362" s="15" t="s">
        <v>1656</v>
      </c>
      <c r="C2362" s="23"/>
      <c r="D2362" s="23"/>
      <c r="E2362" s="23"/>
      <c r="F2362" s="23"/>
    </row>
    <row r="2363">
      <c r="A2363" s="5"/>
      <c r="B2363" s="16" t="s">
        <v>398</v>
      </c>
      <c r="C2363" s="22">
        <f>(204)*(1)*(1)*(1)*(1 + (0))</f>
      </c>
      <c r="D2363" s="22" t="s">
        <v>153</v>
      </c>
      <c r="E2363" s="22"/>
      <c r="F2363" s="22">
        <f>C2363*E2363</f>
      </c>
    </row>
    <row r="2364">
      <c r="A2364" s="6"/>
      <c r="B2364" s="15" t="s">
        <v>1658</v>
      </c>
      <c r="C2364" s="23"/>
      <c r="D2364" s="23"/>
      <c r="E2364" s="23"/>
      <c r="F2364" s="23"/>
    </row>
    <row r="2365">
      <c r="A2365" s="5"/>
      <c r="B2365" s="16" t="s">
        <v>398</v>
      </c>
      <c r="C2365" s="22">
        <f>(73)*(1)*(1)*(1)*(1 + (0))</f>
      </c>
      <c r="D2365" s="22" t="s">
        <v>153</v>
      </c>
      <c r="E2365" s="22"/>
      <c r="F2365" s="22">
        <f>C2365*E2365</f>
      </c>
    </row>
    <row r="2366">
      <c r="A2366" s="3"/>
      <c r="B2366" s="11" t="s">
        <v>399</v>
      </c>
      <c r="C2366" s="20"/>
      <c r="D2366" s="20"/>
      <c r="E2366" s="20"/>
      <c r="F2366" s="20"/>
    </row>
    <row r="2367">
      <c r="A2367" s="4"/>
      <c r="B2367" s="12" t="s">
        <v>400</v>
      </c>
      <c r="C2367" s="21"/>
      <c r="D2367" s="21"/>
      <c r="E2367" s="21"/>
      <c r="F2367" s="21"/>
    </row>
    <row r="2368">
      <c r="A2368" s="6"/>
      <c r="B2368" s="15" t="s">
        <v>252</v>
      </c>
      <c r="C2368" s="23"/>
      <c r="D2368" s="23"/>
      <c r="E2368" s="23"/>
      <c r="F2368" s="23"/>
    </row>
    <row r="2369">
      <c r="A2369" s="5"/>
      <c r="B2369" s="16" t="s">
        <v>401</v>
      </c>
      <c r="C2369" s="22">
        <f>(35)*(1)*(1)*(1)*(1 + (0))</f>
      </c>
      <c r="D2369" s="22" t="s">
        <v>24</v>
      </c>
      <c r="E2369" s="22"/>
      <c r="F2369" s="22">
        <f>C2369*E2369</f>
      </c>
    </row>
    <row r="2370">
      <c r="A2370" s="5"/>
      <c r="B2370" s="16" t="s">
        <v>402</v>
      </c>
      <c r="C2370" s="22">
        <f>(35)*(1)*(1)*(1)*(1 + (0))</f>
      </c>
      <c r="D2370" s="22" t="s">
        <v>24</v>
      </c>
      <c r="E2370" s="22"/>
      <c r="F2370" s="22">
        <f>C2370*E2370</f>
      </c>
    </row>
    <row r="2371">
      <c r="A2371" s="4"/>
      <c r="B2371" s="12" t="s">
        <v>406</v>
      </c>
      <c r="C2371" s="21"/>
      <c r="D2371" s="21"/>
      <c r="E2371" s="21"/>
      <c r="F2371" s="21"/>
    </row>
    <row r="2372">
      <c r="A2372" s="6"/>
      <c r="B2372" s="15" t="s">
        <v>406</v>
      </c>
      <c r="C2372" s="23"/>
      <c r="D2372" s="23"/>
      <c r="E2372" s="23"/>
      <c r="F2372" s="23"/>
    </row>
    <row r="2373">
      <c r="A2373" s="5"/>
      <c r="B2373" s="16" t="s">
        <v>252</v>
      </c>
      <c r="C2373" s="22"/>
      <c r="D2373" s="22"/>
      <c r="E2373" s="22"/>
      <c r="F2373" s="22"/>
    </row>
    <row r="2374">
      <c r="A2374" s="5"/>
      <c r="B2374" s="17" t="s">
        <v>407</v>
      </c>
      <c r="C2374" s="22">
        <f>(47)*(1)*(1)*(1)*(1 + (0))</f>
      </c>
      <c r="D2374" s="22" t="s">
        <v>24</v>
      </c>
      <c r="E2374" s="22"/>
      <c r="F2374" s="22">
        <f>C2374*E2374</f>
      </c>
    </row>
    <row r="2375">
      <c r="A2375" s="4"/>
      <c r="B2375" s="12" t="s">
        <v>408</v>
      </c>
      <c r="C2375" s="21"/>
      <c r="D2375" s="21"/>
      <c r="E2375" s="21"/>
      <c r="F2375" s="21"/>
    </row>
    <row r="2376">
      <c r="A2376" s="6"/>
      <c r="B2376" s="15" t="s">
        <v>252</v>
      </c>
      <c r="C2376" s="23"/>
      <c r="D2376" s="23"/>
      <c r="E2376" s="23"/>
      <c r="F2376" s="23"/>
    </row>
    <row r="2377">
      <c r="A2377" s="5"/>
      <c r="B2377" s="16" t="s">
        <v>1670</v>
      </c>
      <c r="C2377" s="22">
        <f>(329)*(1)*(1)*(1)*(1 + (0))</f>
      </c>
      <c r="D2377" s="22" t="s">
        <v>153</v>
      </c>
      <c r="E2377" s="22"/>
      <c r="F2377" s="22">
        <f>C2377*E2377</f>
      </c>
    </row>
    <row r="2378">
      <c r="A2378" s="5"/>
      <c r="B2378" s="16" t="s">
        <v>1671</v>
      </c>
      <c r="C2378" s="22">
        <f>(44)*(1)*(1)*(1)*(1 + (0))</f>
      </c>
      <c r="D2378" s="22" t="s">
        <v>24</v>
      </c>
      <c r="E2378" s="22"/>
      <c r="F2378" s="22">
        <f>C2378*E2378</f>
      </c>
    </row>
    <row r="2379">
      <c r="A2379" s="4"/>
      <c r="B2379" s="12" t="s">
        <v>411</v>
      </c>
      <c r="C2379" s="21"/>
      <c r="D2379" s="21"/>
      <c r="E2379" s="21"/>
      <c r="F2379" s="21"/>
    </row>
    <row r="2380">
      <c r="A2380" s="6"/>
      <c r="B2380" s="15" t="s">
        <v>252</v>
      </c>
      <c r="C2380" s="23"/>
      <c r="D2380" s="23"/>
      <c r="E2380" s="23"/>
      <c r="F2380" s="23"/>
    </row>
    <row r="2381">
      <c r="A2381" s="5"/>
      <c r="B2381" s="16" t="s">
        <v>413</v>
      </c>
      <c r="C2381" s="22">
        <f>(163)*(1)*(1)*(1)*(1 + (0))</f>
      </c>
      <c r="D2381" s="22" t="s">
        <v>153</v>
      </c>
      <c r="E2381" s="22"/>
      <c r="F2381" s="22">
        <f>C2381*E2381</f>
      </c>
    </row>
    <row r="2382">
      <c r="A2382" s="5"/>
      <c r="B2382" s="16" t="s">
        <v>414</v>
      </c>
      <c r="C2382" s="22">
        <f>(115)*(1)*(1)*(1)*(1 + (0))</f>
      </c>
      <c r="D2382" s="22" t="s">
        <v>153</v>
      </c>
      <c r="E2382" s="22"/>
      <c r="F2382" s="22">
        <f>C2382*E2382</f>
      </c>
    </row>
    <row r="2383">
      <c r="A2383" s="5"/>
      <c r="B2383" s="16" t="s">
        <v>415</v>
      </c>
      <c r="C2383" s="22">
        <f>(72)*(1)*(1)*(1)*(1 + (0))</f>
      </c>
      <c r="D2383" s="22" t="s">
        <v>153</v>
      </c>
      <c r="E2383" s="22"/>
      <c r="F2383" s="22">
        <f>C2383*E2383</f>
      </c>
    </row>
    <row r="2384">
      <c r="A2384" s="5"/>
      <c r="B2384" s="16" t="s">
        <v>416</v>
      </c>
      <c r="C2384" s="22">
        <f>(987)*(1)*(1)*(1)*(1 + (0))</f>
      </c>
      <c r="D2384" s="22" t="s">
        <v>24</v>
      </c>
      <c r="E2384" s="22"/>
      <c r="F2384" s="22">
        <f>C2384*E2384</f>
      </c>
    </row>
    <row r="2385">
      <c r="A2385" s="4"/>
      <c r="B2385" s="12" t="s">
        <v>1664</v>
      </c>
      <c r="C2385" s="21"/>
      <c r="D2385" s="21"/>
      <c r="E2385" s="21"/>
      <c r="F2385" s="21"/>
    </row>
    <row r="2386">
      <c r="A2386" s="6"/>
      <c r="B2386" s="15" t="s">
        <v>252</v>
      </c>
      <c r="C2386" s="23"/>
      <c r="D2386" s="23"/>
      <c r="E2386" s="23"/>
      <c r="F2386" s="23"/>
    </row>
    <row r="2387">
      <c r="A2387" s="5"/>
      <c r="B2387" s="16" t="s">
        <v>1666</v>
      </c>
      <c r="C2387" s="22">
        <f>(17)*(1)*(1)*(1)*(1 + (0))</f>
      </c>
      <c r="D2387" s="22" t="s">
        <v>24</v>
      </c>
      <c r="E2387" s="22"/>
      <c r="F2387" s="22">
        <f>C2387*E2387</f>
      </c>
    </row>
    <row r="2388">
      <c r="A2388" s="5"/>
      <c r="B2388" s="16" t="s">
        <v>1672</v>
      </c>
      <c r="C2388" s="22">
        <f>(40)*(1)*(1)*(1)*(1 + (0))</f>
      </c>
      <c r="D2388" s="22" t="s">
        <v>24</v>
      </c>
      <c r="E2388" s="22"/>
      <c r="F2388" s="22">
        <f>C2388*E2388</f>
      </c>
    </row>
    <row r="2389">
      <c r="A2389" s="6"/>
      <c r="B2389" s="15" t="s">
        <v>311</v>
      </c>
      <c r="C2389" s="23"/>
      <c r="D2389" s="23"/>
      <c r="E2389" s="23"/>
      <c r="F2389" s="23"/>
    </row>
    <row r="2390">
      <c r="A2390" s="5"/>
      <c r="B2390" s="16" t="s">
        <v>1666</v>
      </c>
      <c r="C2390" s="22">
        <f>(18)*(1)*(1)*(1)*(1 + (0))</f>
      </c>
      <c r="D2390" s="22" t="s">
        <v>24</v>
      </c>
      <c r="E2390" s="22"/>
      <c r="F2390" s="22">
        <f>C2390*E2390</f>
      </c>
    </row>
    <row r="2391">
      <c r="A2391" s="5"/>
      <c r="B2391" s="16" t="s">
        <v>1672</v>
      </c>
      <c r="C2391" s="22">
        <f>(20)*(1)*(1)*(1)*(1 + (0))</f>
      </c>
      <c r="D2391" s="22" t="s">
        <v>24</v>
      </c>
      <c r="E2391" s="22"/>
      <c r="F2391" s="22">
        <f>C2391*E2391</f>
      </c>
    </row>
    <row r="2392">
      <c r="A2392" s="4"/>
      <c r="B2392" s="12" t="s">
        <v>1668</v>
      </c>
      <c r="C2392" s="21"/>
      <c r="D2392" s="21"/>
      <c r="E2392" s="21"/>
      <c r="F2392" s="21"/>
    </row>
    <row r="2393">
      <c r="A2393" s="6"/>
      <c r="B2393" s="15" t="s">
        <v>304</v>
      </c>
      <c r="C2393" s="23"/>
      <c r="D2393" s="23"/>
      <c r="E2393" s="23"/>
      <c r="F2393" s="23"/>
    </row>
    <row r="2394">
      <c r="A2394" s="5"/>
      <c r="B2394" s="16" t="s">
        <v>252</v>
      </c>
      <c r="C2394" s="22"/>
      <c r="D2394" s="22"/>
      <c r="E2394" s="22"/>
      <c r="F2394" s="22"/>
    </row>
    <row r="2395">
      <c r="A2395" s="5"/>
      <c r="B2395" s="17" t="s">
        <v>1673</v>
      </c>
      <c r="C2395" s="22">
        <f>(133)*(1)*(1)*(1)*(1 + (0))</f>
      </c>
      <c r="D2395" s="22" t="s">
        <v>24</v>
      </c>
      <c r="E2395" s="22"/>
      <c r="F2395" s="22">
        <f>C2395*E2395</f>
      </c>
    </row>
    <row r="2396">
      <c r="A2396" s="4"/>
      <c r="B2396" s="12" t="s">
        <v>424</v>
      </c>
      <c r="C2396" s="21"/>
      <c r="D2396" s="21"/>
      <c r="E2396" s="21"/>
      <c r="F2396" s="21"/>
    </row>
    <row r="2397">
      <c r="A2397" s="6"/>
      <c r="B2397" s="15" t="s">
        <v>323</v>
      </c>
      <c r="C2397" s="23"/>
      <c r="D2397" s="23"/>
      <c r="E2397" s="23"/>
      <c r="F2397" s="23"/>
    </row>
    <row r="2398">
      <c r="A2398" s="5"/>
      <c r="B2398" s="16" t="s">
        <v>425</v>
      </c>
      <c r="C2398" s="22">
        <f>(16)*(1)*(1)*(1)*(1 + (0))</f>
      </c>
      <c r="D2398" s="22" t="s">
        <v>24</v>
      </c>
      <c r="E2398" s="22"/>
      <c r="F2398" s="22">
        <f>C2398*E2398</f>
      </c>
    </row>
    <row r="2399">
      <c r="A2399" s="5"/>
      <c r="B2399" s="16" t="s">
        <v>426</v>
      </c>
      <c r="C2399" s="22">
        <f>(14)*(1)*(1)*(1)*(1 + (0))</f>
      </c>
      <c r="D2399" s="22" t="s">
        <v>153</v>
      </c>
      <c r="E2399" s="22"/>
      <c r="F2399" s="22">
        <f>C2399*E2399</f>
      </c>
    </row>
    <row r="2400">
      <c r="A2400" s="5"/>
      <c r="B2400" s="16" t="s">
        <v>427</v>
      </c>
      <c r="C2400" s="22">
        <f>(51)*(1)*(1)*(1)*(1 + (0))</f>
      </c>
      <c r="D2400" s="22" t="s">
        <v>153</v>
      </c>
      <c r="E2400" s="22"/>
      <c r="F2400" s="22">
        <f>C2400*E2400</f>
      </c>
    </row>
    <row r="2401">
      <c r="A2401" s="5"/>
      <c r="B2401" s="16" t="s">
        <v>428</v>
      </c>
      <c r="C2401" s="22">
        <f>(27)*(1)*(1)*(1)*(1 + (0))</f>
      </c>
      <c r="D2401" s="22" t="s">
        <v>24</v>
      </c>
      <c r="E2401" s="22"/>
      <c r="F2401" s="22">
        <f>C2401*E2401</f>
      </c>
    </row>
    <row r="2402">
      <c r="A2402" s="5"/>
      <c r="B2402" s="16" t="s">
        <v>429</v>
      </c>
      <c r="C2402" s="22">
        <f>(31)*(1)*(1)*(1)*(1 + (0))</f>
      </c>
      <c r="D2402" s="22" t="s">
        <v>153</v>
      </c>
      <c r="E2402" s="22"/>
      <c r="F2402" s="22">
        <f>C2402*E2402</f>
      </c>
    </row>
    <row r="2403">
      <c r="A2403" s="5"/>
      <c r="B2403" s="16" t="s">
        <v>430</v>
      </c>
      <c r="C2403" s="22">
        <f>(8)*(1)*(1)*(1)*(1 + (0))</f>
      </c>
      <c r="D2403" s="22" t="s">
        <v>153</v>
      </c>
      <c r="E2403" s="22"/>
      <c r="F2403" s="22">
        <f>C2403*E2403</f>
      </c>
    </row>
    <row r="2404">
      <c r="A2404" s="6"/>
      <c r="B2404" s="15" t="s">
        <v>1662</v>
      </c>
      <c r="C2404" s="23"/>
      <c r="D2404" s="23"/>
      <c r="E2404" s="23"/>
      <c r="F2404" s="23"/>
    </row>
    <row r="2405">
      <c r="A2405" s="5"/>
      <c r="B2405" s="16" t="s">
        <v>425</v>
      </c>
      <c r="C2405" s="22">
        <f>(16)*(1)*(1)*(1)*(1 + (0))</f>
      </c>
      <c r="D2405" s="22" t="s">
        <v>24</v>
      </c>
      <c r="E2405" s="22"/>
      <c r="F2405" s="22">
        <f>C2405*E2405</f>
      </c>
    </row>
    <row r="2406">
      <c r="A2406" s="5"/>
      <c r="B2406" s="16" t="s">
        <v>426</v>
      </c>
      <c r="C2406" s="22">
        <f>(14)*(1)*(1)*(1)*(1 + (0))</f>
      </c>
      <c r="D2406" s="22" t="s">
        <v>153</v>
      </c>
      <c r="E2406" s="22"/>
      <c r="F2406" s="22">
        <f>C2406*E2406</f>
      </c>
    </row>
    <row r="2407">
      <c r="A2407" s="5"/>
      <c r="B2407" s="16" t="s">
        <v>427</v>
      </c>
      <c r="C2407" s="22">
        <f>(51)*(1)*(1)*(1)*(1 + (0))</f>
      </c>
      <c r="D2407" s="22" t="s">
        <v>153</v>
      </c>
      <c r="E2407" s="22"/>
      <c r="F2407" s="22">
        <f>C2407*E2407</f>
      </c>
    </row>
    <row r="2408">
      <c r="A2408" s="5"/>
      <c r="B2408" s="16" t="s">
        <v>428</v>
      </c>
      <c r="C2408" s="22">
        <f>(27)*(1)*(1)*(1)*(1 + (0))</f>
      </c>
      <c r="D2408" s="22" t="s">
        <v>24</v>
      </c>
      <c r="E2408" s="22"/>
      <c r="F2408" s="22">
        <f>C2408*E2408</f>
      </c>
    </row>
    <row r="2409">
      <c r="A2409" s="5"/>
      <c r="B2409" s="16" t="s">
        <v>429</v>
      </c>
      <c r="C2409" s="22">
        <f>(31)*(1)*(1)*(1)*(1 + (0))</f>
      </c>
      <c r="D2409" s="22" t="s">
        <v>153</v>
      </c>
      <c r="E2409" s="22"/>
      <c r="F2409" s="22">
        <f>C2409*E2409</f>
      </c>
    </row>
    <row r="2410">
      <c r="A2410" s="5"/>
      <c r="B2410" s="16" t="s">
        <v>430</v>
      </c>
      <c r="C2410" s="22">
        <f>(8)*(1)*(1)*(1)*(1 + (0))</f>
      </c>
      <c r="D2410" s="22" t="s">
        <v>153</v>
      </c>
      <c r="E2410" s="22"/>
      <c r="F2410" s="22">
        <f>C2410*E2410</f>
      </c>
    </row>
    <row r="2411">
      <c r="A2411" s="2"/>
      <c r="B2411" s="10" t="s">
        <v>178</v>
      </c>
      <c r="C2411" s="19"/>
      <c r="D2411" s="19"/>
      <c r="E2411" s="19"/>
      <c r="F2411" s="19"/>
    </row>
    <row r="2412">
      <c r="A2412" s="3"/>
      <c r="B2412" s="11" t="s">
        <v>37</v>
      </c>
      <c r="C2412" s="20"/>
      <c r="D2412" s="20"/>
      <c r="E2412" s="20"/>
      <c r="F2412" s="20"/>
    </row>
    <row r="2413">
      <c r="A2413" s="5" t="s">
        <v>431</v>
      </c>
      <c r="B2413" s="14" t="s">
        <v>39</v>
      </c>
      <c r="C2413" s="22"/>
      <c r="D2413" s="22" t="s">
        <v>10</v>
      </c>
      <c r="E2413" s="22"/>
      <c r="F2413" s="22">
        <f>C2413*E2413</f>
      </c>
    </row>
    <row r="2414">
      <c r="A2414" s="5" t="s">
        <v>432</v>
      </c>
      <c r="B2414" s="14" t="s">
        <v>41</v>
      </c>
      <c r="C2414" s="22"/>
      <c r="D2414" s="22" t="s">
        <v>10</v>
      </c>
      <c r="E2414" s="22"/>
      <c r="F2414" s="22">
        <f>C2414*E2414</f>
      </c>
    </row>
    <row r="2415">
      <c r="A2415" s="3"/>
      <c r="B2415" s="11" t="s">
        <v>42</v>
      </c>
      <c r="C2415" s="20"/>
      <c r="D2415" s="20"/>
      <c r="E2415" s="20"/>
      <c r="F2415" s="20"/>
    </row>
    <row r="2416">
      <c r="A2416" s="5"/>
      <c r="B2416" s="14" t="s">
        <v>118</v>
      </c>
      <c r="C2416" s="22"/>
      <c r="D2416" s="22" t="s">
        <v>10</v>
      </c>
      <c r="E2416" s="22"/>
      <c r="F2416" s="22">
        <f>C2416*E2416</f>
      </c>
    </row>
    <row r="2417">
      <c r="A2417" s="5"/>
      <c r="B2417" s="14" t="s">
        <v>43</v>
      </c>
      <c r="C2417" s="22"/>
      <c r="D2417" s="22" t="s">
        <v>10</v>
      </c>
      <c r="E2417" s="22"/>
      <c r="F2417" s="22">
        <f>C2417*E2417</f>
      </c>
    </row>
    <row r="2418">
      <c r="A2418" s="5"/>
      <c r="B2418" s="14" t="s">
        <v>210</v>
      </c>
      <c r="C2418" s="22"/>
      <c r="D2418" s="22" t="s">
        <v>10</v>
      </c>
      <c r="E2418" s="22"/>
      <c r="F2418" s="22">
        <f>C2418*E2418</f>
      </c>
    </row>
    <row r="2419">
      <c r="A2419" s="3"/>
      <c r="B2419" s="11" t="s">
        <v>44</v>
      </c>
      <c r="C2419" s="20"/>
      <c r="D2419" s="20"/>
      <c r="E2419" s="20"/>
      <c r="F2419" s="20"/>
    </row>
    <row r="2420">
      <c r="A2420" s="4"/>
      <c r="B2420" s="12" t="s">
        <v>45</v>
      </c>
      <c r="C2420" s="21"/>
      <c r="D2420" s="21"/>
      <c r="E2420" s="21"/>
      <c r="F2420" s="21"/>
    </row>
    <row r="2421">
      <c r="A2421" s="5" t="s">
        <v>433</v>
      </c>
      <c r="B2421" s="13" t="s">
        <v>434</v>
      </c>
      <c r="C2421" s="22"/>
      <c r="D2421" s="22" t="s">
        <v>10</v>
      </c>
      <c r="E2421" s="22"/>
      <c r="F2421" s="22">
        <f>C2421*E2421</f>
      </c>
    </row>
    <row r="2422">
      <c r="A2422" s="5" t="s">
        <v>435</v>
      </c>
      <c r="B2422" s="13" t="s">
        <v>436</v>
      </c>
      <c r="C2422" s="22"/>
      <c r="D2422" s="22" t="s">
        <v>10</v>
      </c>
      <c r="E2422" s="22"/>
      <c r="F2422" s="22">
        <f>C2422*E2422</f>
      </c>
    </row>
    <row r="2423">
      <c r="A2423" s="5" t="s">
        <v>437</v>
      </c>
      <c r="B2423" s="13" t="s">
        <v>438</v>
      </c>
      <c r="C2423" s="22"/>
      <c r="D2423" s="22" t="s">
        <v>10</v>
      </c>
      <c r="E2423" s="22"/>
      <c r="F2423" s="22">
        <f>C2423*E2423</f>
      </c>
    </row>
    <row r="2424">
      <c r="A2424" s="5" t="s">
        <v>439</v>
      </c>
      <c r="B2424" s="13" t="s">
        <v>440</v>
      </c>
      <c r="C2424" s="22"/>
      <c r="D2424" s="22" t="s">
        <v>10</v>
      </c>
      <c r="E2424" s="22"/>
      <c r="F2424" s="22">
        <f>C2424*E2424</f>
      </c>
    </row>
    <row r="2425">
      <c r="A2425" s="5" t="s">
        <v>441</v>
      </c>
      <c r="B2425" s="13" t="s">
        <v>123</v>
      </c>
      <c r="C2425" s="22"/>
      <c r="D2425" s="22" t="s">
        <v>10</v>
      </c>
      <c r="E2425" s="22"/>
      <c r="F2425" s="22">
        <f>C2425*E2425</f>
      </c>
    </row>
    <row r="2426">
      <c r="A2426" s="3"/>
      <c r="B2426" s="11" t="s">
        <v>68</v>
      </c>
      <c r="C2426" s="20"/>
      <c r="D2426" s="20"/>
      <c r="E2426" s="20"/>
      <c r="F2426" s="20"/>
    </row>
    <row r="2427">
      <c r="A2427" s="5" t="s">
        <v>442</v>
      </c>
      <c r="B2427" s="14" t="s">
        <v>70</v>
      </c>
      <c r="C2427" s="22">
        <f>(1)*(1)*(1)*(1)*(1 + (0))</f>
      </c>
      <c r="D2427" s="22" t="s">
        <v>71</v>
      </c>
      <c r="E2427" s="22"/>
      <c r="F2427" s="22">
        <f>C2427*E2427</f>
      </c>
    </row>
    <row r="2428">
      <c r="A2428" s="5" t="s">
        <v>443</v>
      </c>
      <c r="B2428" s="14" t="s">
        <v>73</v>
      </c>
      <c r="C2428" s="22">
        <f>(1)*(1)*(1)*(1)*(1 + (0))</f>
      </c>
      <c r="D2428" s="22" t="s">
        <v>71</v>
      </c>
      <c r="E2428" s="22"/>
      <c r="F2428" s="22">
        <f>C2428*E2428</f>
      </c>
    </row>
    <row r="2429">
      <c r="A2429" s="5" t="s">
        <v>444</v>
      </c>
      <c r="B2429" s="14" t="s">
        <v>445</v>
      </c>
      <c r="C2429" s="22">
        <f>(1)*(1)*(1)*(1)*(1 + (0))</f>
      </c>
      <c r="D2429" s="22" t="s">
        <v>71</v>
      </c>
      <c r="E2429" s="22"/>
      <c r="F2429" s="22">
        <f>C2429*E2429</f>
      </c>
    </row>
    <row r="2430">
      <c r="A2430" s="5" t="s">
        <v>446</v>
      </c>
      <c r="B2430" s="14" t="s">
        <v>447</v>
      </c>
      <c r="C2430" s="22">
        <f>(1)*(1)*(1)*(1)*(1 + (0))</f>
      </c>
      <c r="D2430" s="22" t="s">
        <v>71</v>
      </c>
      <c r="E2430" s="22"/>
      <c r="F2430" s="22">
        <f>C2430*E2430</f>
      </c>
    </row>
    <row r="2431">
      <c r="A2431" s="5" t="s">
        <v>448</v>
      </c>
      <c r="B2431" s="14" t="s">
        <v>449</v>
      </c>
      <c r="C2431" s="22">
        <f>(1)*(1)*(1)*(1)*(1 + (0))</f>
      </c>
      <c r="D2431" s="22" t="s">
        <v>71</v>
      </c>
      <c r="E2431" s="22"/>
      <c r="F2431" s="22">
        <f>C2431*E2431</f>
      </c>
    </row>
    <row r="2432">
      <c r="A2432" s="5" t="s">
        <v>450</v>
      </c>
      <c r="B2432" s="14" t="s">
        <v>451</v>
      </c>
      <c r="C2432" s="22">
        <f>(1)*(1)*(1)*(1)*(1 + (0))</f>
      </c>
      <c r="D2432" s="22" t="s">
        <v>71</v>
      </c>
      <c r="E2432" s="22"/>
      <c r="F2432" s="22">
        <f>C2432*E2432</f>
      </c>
    </row>
    <row r="2433">
      <c r="A2433" s="3"/>
      <c r="B2433" s="11" t="s">
        <v>106</v>
      </c>
      <c r="C2433" s="20"/>
      <c r="D2433" s="20"/>
      <c r="E2433" s="20"/>
      <c r="F2433" s="20"/>
    </row>
    <row r="2434">
      <c r="A2434" s="5"/>
      <c r="B2434" s="14" t="s">
        <v>452</v>
      </c>
      <c r="C2434" s="22"/>
      <c r="D2434" s="22" t="s">
        <v>10</v>
      </c>
      <c r="E2434" s="22"/>
      <c r="F2434" s="22">
        <f>C2434*E2434</f>
      </c>
    </row>
    <row r="2435">
      <c r="A2435" s="3"/>
      <c r="B2435" s="11" t="s">
        <v>453</v>
      </c>
      <c r="C2435" s="20"/>
      <c r="D2435" s="20"/>
      <c r="E2435" s="20"/>
      <c r="F2435" s="20"/>
    </row>
    <row r="2436">
      <c r="A2436" s="5"/>
      <c r="B2436" s="14" t="s">
        <v>454</v>
      </c>
      <c r="C2436" s="22">
        <f>(0.8)*(1)*(1)*(1)*(1 + (0))</f>
      </c>
      <c r="D2436" s="22" t="s">
        <v>182</v>
      </c>
      <c r="E2436" s="22"/>
      <c r="F2436" s="22">
        <f>C2436*E2436</f>
      </c>
    </row>
    <row r="2437">
      <c r="A2437" s="5"/>
      <c r="B2437" s="14" t="s">
        <v>455</v>
      </c>
      <c r="C2437" s="22">
        <f>(71.66)*(1)*(1)*(1)*(1 + (0))</f>
      </c>
      <c r="D2437" s="22" t="s">
        <v>182</v>
      </c>
      <c r="E2437" s="22"/>
      <c r="F2437" s="22">
        <f>C2437*E2437</f>
      </c>
    </row>
    <row r="2438">
      <c r="A2438" s="3"/>
      <c r="B2438" s="11" t="s">
        <v>457</v>
      </c>
      <c r="C2438" s="20"/>
      <c r="D2438" s="20"/>
      <c r="E2438" s="20"/>
      <c r="F2438" s="20"/>
    </row>
    <row r="2439">
      <c r="A2439" s="4"/>
      <c r="B2439" s="12" t="s">
        <v>397</v>
      </c>
      <c r="C2439" s="21"/>
      <c r="D2439" s="21"/>
      <c r="E2439" s="21"/>
      <c r="F2439" s="21"/>
    </row>
    <row r="2440">
      <c r="A2440" s="6"/>
      <c r="B2440" s="15" t="s">
        <v>1656</v>
      </c>
      <c r="C2440" s="23"/>
      <c r="D2440" s="23"/>
      <c r="E2440" s="23"/>
      <c r="F2440" s="23"/>
    </row>
    <row r="2441">
      <c r="A2441" s="5"/>
      <c r="B2441" s="16" t="s">
        <v>458</v>
      </c>
      <c r="C2441" s="22">
        <f>(0.59334465)*(1)*(1)*(1)*(1 + (0))</f>
      </c>
      <c r="D2441" s="22" t="s">
        <v>182</v>
      </c>
      <c r="E2441" s="22"/>
      <c r="F2441" s="22">
        <f>C2441*E2441</f>
      </c>
    </row>
    <row r="2442">
      <c r="A2442" s="6"/>
      <c r="B2442" s="15" t="s">
        <v>1658</v>
      </c>
      <c r="C2442" s="23"/>
      <c r="D2442" s="23"/>
      <c r="E2442" s="23"/>
      <c r="F2442" s="23"/>
    </row>
    <row r="2443">
      <c r="A2443" s="5"/>
      <c r="B2443" s="16" t="s">
        <v>458</v>
      </c>
      <c r="C2443" s="22">
        <f>(0.209948652)*(1)*(1)*(1)*(1 + (0))</f>
      </c>
      <c r="D2443" s="22" t="s">
        <v>182</v>
      </c>
      <c r="E2443" s="22"/>
      <c r="F2443" s="22">
        <f>C2443*E2443</f>
      </c>
    </row>
    <row r="2444">
      <c r="A2444" s="3"/>
      <c r="B2444" s="11" t="s">
        <v>459</v>
      </c>
      <c r="C2444" s="20"/>
      <c r="D2444" s="20"/>
      <c r="E2444" s="20"/>
      <c r="F2444" s="20"/>
    </row>
    <row r="2445">
      <c r="A2445" s="4"/>
      <c r="B2445" s="12" t="s">
        <v>400</v>
      </c>
      <c r="C2445" s="21"/>
      <c r="D2445" s="21"/>
      <c r="E2445" s="21"/>
      <c r="F2445" s="21"/>
    </row>
    <row r="2446">
      <c r="A2446" s="6"/>
      <c r="B2446" s="15" t="s">
        <v>252</v>
      </c>
      <c r="C2446" s="23"/>
      <c r="D2446" s="23"/>
      <c r="E2446" s="23"/>
      <c r="F2446" s="23"/>
    </row>
    <row r="2447">
      <c r="A2447" s="5"/>
      <c r="B2447" s="16" t="s">
        <v>460</v>
      </c>
      <c r="C2447" s="22">
        <f>(2.7216)*(1)*(1)*(1)*(1 + (0))</f>
      </c>
      <c r="D2447" s="22" t="s">
        <v>182</v>
      </c>
      <c r="E2447" s="22"/>
      <c r="F2447" s="22">
        <f>C2447*E2447</f>
      </c>
    </row>
    <row r="2448">
      <c r="A2448" s="4"/>
      <c r="B2448" s="12" t="s">
        <v>406</v>
      </c>
      <c r="C2448" s="21"/>
      <c r="D2448" s="21"/>
      <c r="E2448" s="21"/>
      <c r="F2448" s="21"/>
    </row>
    <row r="2449">
      <c r="A2449" s="6"/>
      <c r="B2449" s="15" t="s">
        <v>252</v>
      </c>
      <c r="C2449" s="23"/>
      <c r="D2449" s="23"/>
      <c r="E2449" s="23"/>
      <c r="F2449" s="23"/>
    </row>
    <row r="2450">
      <c r="A2450" s="5"/>
      <c r="B2450" s="16" t="s">
        <v>462</v>
      </c>
      <c r="C2450" s="22">
        <f>(3.16008130037361)*(1)*(1)*(1)*(1 + (0))</f>
      </c>
      <c r="D2450" s="22" t="s">
        <v>182</v>
      </c>
      <c r="E2450" s="22"/>
      <c r="F2450" s="22">
        <f>C2450*E2450</f>
      </c>
    </row>
    <row r="2451">
      <c r="A2451" s="4"/>
      <c r="B2451" s="12" t="s">
        <v>408</v>
      </c>
      <c r="C2451" s="21"/>
      <c r="D2451" s="21"/>
      <c r="E2451" s="21"/>
      <c r="F2451" s="21"/>
    </row>
    <row r="2452">
      <c r="A2452" s="6"/>
      <c r="B2452" s="15" t="s">
        <v>252</v>
      </c>
      <c r="C2452" s="23"/>
      <c r="D2452" s="23"/>
      <c r="E2452" s="23"/>
      <c r="F2452" s="23"/>
    </row>
    <row r="2453">
      <c r="A2453" s="5"/>
      <c r="B2453" s="16" t="s">
        <v>463</v>
      </c>
      <c r="C2453" s="22">
        <f>(14.0683416466153)*(1)*(1)*(1)*(1 + (0))</f>
      </c>
      <c r="D2453" s="22" t="s">
        <v>182</v>
      </c>
      <c r="E2453" s="22"/>
      <c r="F2453" s="22">
        <f>C2453*E2453</f>
      </c>
    </row>
    <row r="2454">
      <c r="A2454" s="4"/>
      <c r="B2454" s="12" t="s">
        <v>411</v>
      </c>
      <c r="C2454" s="21"/>
      <c r="D2454" s="21"/>
      <c r="E2454" s="21"/>
      <c r="F2454" s="21"/>
    </row>
    <row r="2455">
      <c r="A2455" s="6"/>
      <c r="B2455" s="15" t="s">
        <v>252</v>
      </c>
      <c r="C2455" s="23"/>
      <c r="D2455" s="23"/>
      <c r="E2455" s="23"/>
      <c r="F2455" s="23"/>
    </row>
    <row r="2456">
      <c r="A2456" s="5"/>
      <c r="B2456" s="16" t="s">
        <v>464</v>
      </c>
      <c r="C2456" s="22">
        <f>(14.8534536536809)*(1)*(1)*(1)*(1 + (0))</f>
      </c>
      <c r="D2456" s="22" t="s">
        <v>182</v>
      </c>
      <c r="E2456" s="22"/>
      <c r="F2456" s="22">
        <f>C2456*E2456</f>
      </c>
    </row>
    <row r="2457">
      <c r="A2457" s="5"/>
      <c r="B2457" s="16" t="s">
        <v>465</v>
      </c>
      <c r="C2457" s="22">
        <f>(0.170950215627614)*(1)*(1)*(1)*(1 + (0))</f>
      </c>
      <c r="D2457" s="22" t="s">
        <v>182</v>
      </c>
      <c r="E2457" s="22"/>
      <c r="F2457" s="22">
        <f>C2457*E2457</f>
      </c>
    </row>
    <row r="2458">
      <c r="A2458" s="4"/>
      <c r="B2458" s="12" t="s">
        <v>382</v>
      </c>
      <c r="C2458" s="21"/>
      <c r="D2458" s="21"/>
      <c r="E2458" s="21"/>
      <c r="F2458" s="21"/>
    </row>
    <row r="2459">
      <c r="A2459" s="6"/>
      <c r="B2459" s="15" t="s">
        <v>311</v>
      </c>
      <c r="C2459" s="23"/>
      <c r="D2459" s="23"/>
      <c r="E2459" s="23"/>
      <c r="F2459" s="23"/>
    </row>
    <row r="2460">
      <c r="A2460" s="5"/>
      <c r="B2460" s="16" t="s">
        <v>466</v>
      </c>
      <c r="C2460" s="22">
        <f>(12.4297623824048)*(1)*(1)*(1)*(1 + (0))</f>
      </c>
      <c r="D2460" s="22" t="s">
        <v>182</v>
      </c>
      <c r="E2460" s="22"/>
      <c r="F2460" s="22">
        <f>C2460*E2460</f>
      </c>
    </row>
    <row r="2461">
      <c r="A2461" s="5"/>
      <c r="B2461" s="16" t="s">
        <v>467</v>
      </c>
      <c r="C2461" s="22">
        <f>(0.227170504654322)*(1)*(1)*(1)*(1 + (0))</f>
      </c>
      <c r="D2461" s="22" t="s">
        <v>182</v>
      </c>
      <c r="E2461" s="22"/>
      <c r="F2461" s="22">
        <f>C2461*E2461</f>
      </c>
    </row>
    <row r="2462">
      <c r="A2462" s="4"/>
      <c r="B2462" s="12" t="s">
        <v>389</v>
      </c>
      <c r="C2462" s="21"/>
      <c r="D2462" s="21"/>
      <c r="E2462" s="21"/>
      <c r="F2462" s="21"/>
    </row>
    <row r="2463">
      <c r="A2463" s="6"/>
      <c r="B2463" s="15" t="s">
        <v>311</v>
      </c>
      <c r="C2463" s="23"/>
      <c r="D2463" s="23"/>
      <c r="E2463" s="23"/>
      <c r="F2463" s="23"/>
    </row>
    <row r="2464">
      <c r="A2464" s="5"/>
      <c r="B2464" s="16" t="s">
        <v>470</v>
      </c>
      <c r="C2464" s="22">
        <f>(0.809452077976895)*(1)*(1)*(1)*(1 + (0))</f>
      </c>
      <c r="D2464" s="22" t="s">
        <v>182</v>
      </c>
      <c r="E2464" s="22"/>
      <c r="F2464" s="22">
        <f>C2464*E2464</f>
      </c>
    </row>
    <row r="2465">
      <c r="A2465" s="4"/>
      <c r="B2465" s="12" t="s">
        <v>1664</v>
      </c>
      <c r="C2465" s="21"/>
      <c r="D2465" s="21"/>
      <c r="E2465" s="21"/>
      <c r="F2465" s="21"/>
    </row>
    <row r="2466">
      <c r="A2466" s="6"/>
      <c r="B2466" s="15" t="s">
        <v>252</v>
      </c>
      <c r="C2466" s="23"/>
      <c r="D2466" s="23"/>
      <c r="E2466" s="23"/>
      <c r="F2466" s="23"/>
    </row>
    <row r="2467">
      <c r="A2467" s="5"/>
      <c r="B2467" s="16" t="s">
        <v>471</v>
      </c>
      <c r="C2467" s="22">
        <f>(0.483875)*(1)*(1)*(1)*(1 + (0))</f>
      </c>
      <c r="D2467" s="22" t="s">
        <v>182</v>
      </c>
      <c r="E2467" s="22"/>
      <c r="F2467" s="22">
        <f>C2467*E2467</f>
      </c>
    </row>
    <row r="2468">
      <c r="A2468" s="5"/>
      <c r="B2468" s="16" t="s">
        <v>474</v>
      </c>
      <c r="C2468" s="22">
        <f>(0.474)*(1)*(1)*(1)*(1 + (0))</f>
      </c>
      <c r="D2468" s="22" t="s">
        <v>182</v>
      </c>
      <c r="E2468" s="22"/>
      <c r="F2468" s="22">
        <f>C2468*E2468</f>
      </c>
    </row>
    <row r="2469">
      <c r="A2469" s="5"/>
      <c r="B2469" s="16" t="s">
        <v>472</v>
      </c>
      <c r="C2469" s="22">
        <f>(3.5933625)*(1)*(1)*(1)*(1 + (0))</f>
      </c>
      <c r="D2469" s="22" t="s">
        <v>182</v>
      </c>
      <c r="E2469" s="22"/>
      <c r="F2469" s="22">
        <f>C2469*E2469</f>
      </c>
    </row>
    <row r="2470">
      <c r="A2470" s="5"/>
      <c r="B2470" s="16" t="s">
        <v>473</v>
      </c>
      <c r="C2470" s="22">
        <f>(1.304)*(1)*(1)*(1)*(1 + (0))</f>
      </c>
      <c r="D2470" s="22" t="s">
        <v>182</v>
      </c>
      <c r="E2470" s="22"/>
      <c r="F2470" s="22">
        <f>C2470*E2470</f>
      </c>
    </row>
    <row r="2471">
      <c r="A2471" s="6"/>
      <c r="B2471" s="15" t="s">
        <v>311</v>
      </c>
      <c r="C2471" s="23"/>
      <c r="D2471" s="23"/>
      <c r="E2471" s="23"/>
      <c r="F2471" s="23"/>
    </row>
    <row r="2472">
      <c r="A2472" s="5"/>
      <c r="B2472" s="16" t="s">
        <v>471</v>
      </c>
      <c r="C2472" s="22">
        <f>(0.37975)*(1)*(1)*(1)*(1 + (0))</f>
      </c>
      <c r="D2472" s="22" t="s">
        <v>182</v>
      </c>
      <c r="E2472" s="22"/>
      <c r="F2472" s="22">
        <f>C2472*E2472</f>
      </c>
    </row>
    <row r="2473">
      <c r="A2473" s="5"/>
      <c r="B2473" s="16" t="s">
        <v>474</v>
      </c>
      <c r="C2473" s="22">
        <f>(0.124)*(1)*(1)*(1)*(1 + (0))</f>
      </c>
      <c r="D2473" s="22" t="s">
        <v>182</v>
      </c>
      <c r="E2473" s="22"/>
      <c r="F2473" s="22">
        <f>C2473*E2473</f>
      </c>
    </row>
    <row r="2474">
      <c r="A2474" s="5"/>
      <c r="B2474" s="16" t="s">
        <v>473</v>
      </c>
      <c r="C2474" s="22">
        <f>(0.64)*(1)*(1)*(1)*(1 + (0))</f>
      </c>
      <c r="D2474" s="22" t="s">
        <v>182</v>
      </c>
      <c r="E2474" s="22"/>
      <c r="F2474" s="22">
        <f>C2474*E2474</f>
      </c>
    </row>
    <row r="2475">
      <c r="A2475" s="5"/>
      <c r="B2475" s="16" t="s">
        <v>472</v>
      </c>
      <c r="C2475" s="22">
        <f>(4.465125)*(1)*(1)*(1)*(1 + (0))</f>
      </c>
      <c r="D2475" s="22" t="s">
        <v>182</v>
      </c>
      <c r="E2475" s="22"/>
      <c r="F2475" s="22">
        <f>C2475*E2475</f>
      </c>
    </row>
    <row r="2476">
      <c r="A2476" s="4"/>
      <c r="B2476" s="12" t="s">
        <v>1668</v>
      </c>
      <c r="C2476" s="21"/>
      <c r="D2476" s="21"/>
      <c r="E2476" s="21"/>
      <c r="F2476" s="21"/>
    </row>
    <row r="2477">
      <c r="A2477" s="6"/>
      <c r="B2477" s="15" t="s">
        <v>304</v>
      </c>
      <c r="C2477" s="23"/>
      <c r="D2477" s="23"/>
      <c r="E2477" s="23"/>
      <c r="F2477" s="23"/>
    </row>
    <row r="2478">
      <c r="A2478" s="5"/>
      <c r="B2478" s="16" t="s">
        <v>252</v>
      </c>
      <c r="C2478" s="22"/>
      <c r="D2478" s="22"/>
      <c r="E2478" s="22"/>
      <c r="F2478" s="22"/>
    </row>
    <row r="2479">
      <c r="A2479" s="5"/>
      <c r="B2479" s="17" t="s">
        <v>476</v>
      </c>
      <c r="C2479" s="22">
        <f>(3.5142542377562)*(1)*(1)*(1)*(1 + (0))</f>
      </c>
      <c r="D2479" s="22" t="s">
        <v>182</v>
      </c>
      <c r="E2479" s="22"/>
      <c r="F2479" s="22">
        <f>C2479*E2479</f>
      </c>
    </row>
    <row r="2480">
      <c r="A2480" s="5"/>
      <c r="B2480" s="17" t="s">
        <v>477</v>
      </c>
      <c r="C2480" s="22">
        <f>(0.740931083109927)*(1)*(1)*(1)*(1 + (0))</f>
      </c>
      <c r="D2480" s="22" t="s">
        <v>182</v>
      </c>
      <c r="E2480" s="22"/>
      <c r="F2480" s="22">
        <f>C2480*E2480</f>
      </c>
    </row>
    <row r="2481">
      <c r="A2481" s="6"/>
      <c r="B2481" s="15" t="s">
        <v>307</v>
      </c>
      <c r="C2481" s="23"/>
      <c r="D2481" s="23"/>
      <c r="E2481" s="23"/>
      <c r="F2481" s="23"/>
    </row>
    <row r="2482">
      <c r="A2482" s="5"/>
      <c r="B2482" s="16" t="s">
        <v>1648</v>
      </c>
      <c r="C2482" s="22"/>
      <c r="D2482" s="22"/>
      <c r="E2482" s="22"/>
      <c r="F2482" s="22"/>
    </row>
    <row r="2483">
      <c r="A2483" s="5"/>
      <c r="B2483" s="17" t="s">
        <v>477</v>
      </c>
      <c r="C2483" s="22">
        <f>(4.22539729020177)*(1)*(1)*(1)*(1 + (0))</f>
      </c>
      <c r="D2483" s="22" t="s">
        <v>182</v>
      </c>
      <c r="E2483" s="22"/>
      <c r="F2483" s="22">
        <f>C2483*E2483</f>
      </c>
    </row>
    <row r="2484">
      <c r="A2484" s="4"/>
      <c r="B2484" s="12" t="s">
        <v>1674</v>
      </c>
      <c r="C2484" s="21"/>
      <c r="D2484" s="21"/>
      <c r="E2484" s="21"/>
      <c r="F2484" s="21"/>
    </row>
    <row r="2485">
      <c r="A2485" s="5"/>
      <c r="B2485" s="13" t="s">
        <v>480</v>
      </c>
      <c r="C2485" s="22">
        <f>(1.63241053833778)*(1)*(1)*(1)*(1 + (0))</f>
      </c>
      <c r="D2485" s="22" t="s">
        <v>182</v>
      </c>
      <c r="E2485" s="22"/>
      <c r="F2485" s="22">
        <f>C2485*E2485</f>
      </c>
    </row>
    <row r="2486">
      <c r="A2486" s="5"/>
      <c r="B2486" s="13" t="s">
        <v>481</v>
      </c>
      <c r="C2486" s="22">
        <f>(1.62505189609136)*(1)*(1)*(1)*(1 + (0))</f>
      </c>
      <c r="D2486" s="22" t="s">
        <v>182</v>
      </c>
      <c r="E2486" s="22"/>
      <c r="F2486" s="22">
        <f>C2486*E2486</f>
      </c>
    </row>
    <row r="2487">
      <c r="A2487" s="2"/>
      <c r="B2487" s="10" t="s">
        <v>484</v>
      </c>
      <c r="C2487" s="19"/>
      <c r="D2487" s="19"/>
      <c r="E2487" s="19"/>
      <c r="F2487" s="19"/>
    </row>
    <row r="2488">
      <c r="A2488" s="3"/>
      <c r="B2488" s="11" t="s">
        <v>37</v>
      </c>
      <c r="C2488" s="20"/>
      <c r="D2488" s="20"/>
      <c r="E2488" s="20"/>
      <c r="F2488" s="20"/>
    </row>
    <row r="2489">
      <c r="A2489" s="5" t="s">
        <v>485</v>
      </c>
      <c r="B2489" s="14" t="s">
        <v>39</v>
      </c>
      <c r="C2489" s="22"/>
      <c r="D2489" s="22" t="s">
        <v>10</v>
      </c>
      <c r="E2489" s="22"/>
      <c r="F2489" s="22">
        <f>C2489*E2489</f>
      </c>
    </row>
    <row r="2490">
      <c r="A2490" s="5" t="s">
        <v>486</v>
      </c>
      <c r="B2490" s="14" t="s">
        <v>41</v>
      </c>
      <c r="C2490" s="22"/>
      <c r="D2490" s="22" t="s">
        <v>10</v>
      </c>
      <c r="E2490" s="22"/>
      <c r="F2490" s="22">
        <f>C2490*E2490</f>
      </c>
    </row>
    <row r="2491">
      <c r="A2491" s="3"/>
      <c r="B2491" s="11" t="s">
        <v>42</v>
      </c>
      <c r="C2491" s="20"/>
      <c r="D2491" s="20"/>
      <c r="E2491" s="20"/>
      <c r="F2491" s="20"/>
    </row>
    <row r="2492">
      <c r="A2492" s="5"/>
      <c r="B2492" s="14" t="s">
        <v>118</v>
      </c>
      <c r="C2492" s="22"/>
      <c r="D2492" s="22" t="s">
        <v>10</v>
      </c>
      <c r="E2492" s="22"/>
      <c r="F2492" s="22">
        <f>C2492*E2492</f>
      </c>
    </row>
    <row r="2493">
      <c r="A2493" s="5"/>
      <c r="B2493" s="14" t="s">
        <v>43</v>
      </c>
      <c r="C2493" s="22"/>
      <c r="D2493" s="22" t="s">
        <v>10</v>
      </c>
      <c r="E2493" s="22"/>
      <c r="F2493" s="22">
        <f>C2493*E2493</f>
      </c>
    </row>
    <row r="2494">
      <c r="A2494" s="3"/>
      <c r="B2494" s="11" t="s">
        <v>44</v>
      </c>
      <c r="C2494" s="20"/>
      <c r="D2494" s="20"/>
      <c r="E2494" s="20"/>
      <c r="F2494" s="20"/>
    </row>
    <row r="2495">
      <c r="A2495" s="4"/>
      <c r="B2495" s="12" t="s">
        <v>45</v>
      </c>
      <c r="C2495" s="21"/>
      <c r="D2495" s="21"/>
      <c r="E2495" s="21"/>
      <c r="F2495" s="21"/>
    </row>
    <row r="2496">
      <c r="A2496" s="5" t="s">
        <v>487</v>
      </c>
      <c r="B2496" s="13" t="s">
        <v>488</v>
      </c>
      <c r="C2496" s="22"/>
      <c r="D2496" s="22" t="s">
        <v>10</v>
      </c>
      <c r="E2496" s="22"/>
      <c r="F2496" s="22">
        <f>C2496*E2496</f>
      </c>
    </row>
    <row r="2497">
      <c r="A2497" s="5" t="s">
        <v>489</v>
      </c>
      <c r="B2497" s="13" t="s">
        <v>123</v>
      </c>
      <c r="C2497" s="22"/>
      <c r="D2497" s="22" t="s">
        <v>10</v>
      </c>
      <c r="E2497" s="22"/>
      <c r="F2497" s="22">
        <f>C2497*E2497</f>
      </c>
    </row>
    <row r="2498">
      <c r="A2498" s="3"/>
      <c r="B2498" s="11" t="s">
        <v>68</v>
      </c>
      <c r="C2498" s="20"/>
      <c r="D2498" s="20"/>
      <c r="E2498" s="20"/>
      <c r="F2498" s="20"/>
    </row>
    <row r="2499">
      <c r="A2499" s="5" t="s">
        <v>490</v>
      </c>
      <c r="B2499" s="14" t="s">
        <v>70</v>
      </c>
      <c r="C2499" s="22">
        <f>(1)*(1)*(1)*(1)*(1 + (0))</f>
      </c>
      <c r="D2499" s="22" t="s">
        <v>71</v>
      </c>
      <c r="E2499" s="22"/>
      <c r="F2499" s="22">
        <f>C2499*E2499</f>
      </c>
    </row>
    <row r="2500">
      <c r="A2500" s="5" t="s">
        <v>491</v>
      </c>
      <c r="B2500" s="14" t="s">
        <v>492</v>
      </c>
      <c r="C2500" s="22">
        <f>(1)*(1)*(1)*(1)*(1 + (0))</f>
      </c>
      <c r="D2500" s="22" t="s">
        <v>71</v>
      </c>
      <c r="E2500" s="22"/>
      <c r="F2500" s="22">
        <f>C2500*E2500</f>
      </c>
    </row>
    <row r="2501">
      <c r="A2501" s="5" t="s">
        <v>493</v>
      </c>
      <c r="B2501" s="14" t="s">
        <v>73</v>
      </c>
      <c r="C2501" s="22">
        <f>(1)*(1)*(1)*(1)*(1 + (0))</f>
      </c>
      <c r="D2501" s="22" t="s">
        <v>71</v>
      </c>
      <c r="E2501" s="22"/>
      <c r="F2501" s="22">
        <f>C2501*E2501</f>
      </c>
    </row>
    <row r="2502">
      <c r="A2502" s="5" t="s">
        <v>494</v>
      </c>
      <c r="B2502" s="14" t="s">
        <v>495</v>
      </c>
      <c r="C2502" s="22">
        <f>(1)*(1)*(1)*(1)*(1 + (0))</f>
      </c>
      <c r="D2502" s="22" t="s">
        <v>71</v>
      </c>
      <c r="E2502" s="22"/>
      <c r="F2502" s="22">
        <f>C2502*E2502</f>
      </c>
    </row>
    <row r="2503">
      <c r="A2503" s="5" t="s">
        <v>496</v>
      </c>
      <c r="B2503" s="14" t="s">
        <v>497</v>
      </c>
      <c r="C2503" s="22">
        <f>(1)*(1)*(1)*(1)*(1 + (0))</f>
      </c>
      <c r="D2503" s="22" t="s">
        <v>71</v>
      </c>
      <c r="E2503" s="22"/>
      <c r="F2503" s="22">
        <f>C2503*E2503</f>
      </c>
    </row>
    <row r="2504">
      <c r="A2504" s="5" t="s">
        <v>498</v>
      </c>
      <c r="B2504" s="14" t="s">
        <v>499</v>
      </c>
      <c r="C2504" s="22">
        <f>(1)*(1)*(1)*(1)*(1 + (0))</f>
      </c>
      <c r="D2504" s="22" t="s">
        <v>71</v>
      </c>
      <c r="E2504" s="22"/>
      <c r="F2504" s="22">
        <f>C2504*E2504</f>
      </c>
    </row>
    <row r="2505">
      <c r="A2505" s="5" t="s">
        <v>500</v>
      </c>
      <c r="B2505" s="14" t="s">
        <v>501</v>
      </c>
      <c r="C2505" s="22">
        <f>(1)*(1)*(1)*(1)*(1 + (0))</f>
      </c>
      <c r="D2505" s="22" t="s">
        <v>71</v>
      </c>
      <c r="E2505" s="22"/>
      <c r="F2505" s="22">
        <f>C2505*E2505</f>
      </c>
    </row>
    <row r="2506">
      <c r="A2506" s="5" t="s">
        <v>502</v>
      </c>
      <c r="B2506" s="14" t="s">
        <v>503</v>
      </c>
      <c r="C2506" s="22">
        <f>(1)*(1)*(1)*(1)*(1 + (0))</f>
      </c>
      <c r="D2506" s="22" t="s">
        <v>71</v>
      </c>
      <c r="E2506" s="22"/>
      <c r="F2506" s="22">
        <f>C2506*E2506</f>
      </c>
    </row>
    <row r="2507">
      <c r="A2507" s="5" t="s">
        <v>504</v>
      </c>
      <c r="B2507" s="14" t="s">
        <v>505</v>
      </c>
      <c r="C2507" s="22">
        <f>(1)*(1)*(1)*(1)*(1 + (0))</f>
      </c>
      <c r="D2507" s="22" t="s">
        <v>71</v>
      </c>
      <c r="E2507" s="22"/>
      <c r="F2507" s="22">
        <f>C2507*E2507</f>
      </c>
    </row>
    <row r="2508">
      <c r="A2508" s="5" t="s">
        <v>506</v>
      </c>
      <c r="B2508" s="14" t="s">
        <v>507</v>
      </c>
      <c r="C2508" s="22">
        <f>(1)*(1)*(1)*(1)*(1 + (0))</f>
      </c>
      <c r="D2508" s="22" t="s">
        <v>71</v>
      </c>
      <c r="E2508" s="22"/>
      <c r="F2508" s="22">
        <f>C2508*E2508</f>
      </c>
    </row>
    <row r="2509">
      <c r="A2509" s="5" t="s">
        <v>508</v>
      </c>
      <c r="B2509" s="14" t="s">
        <v>509</v>
      </c>
      <c r="C2509" s="22">
        <f>(1)*(1)*(1)*(1)*(1 + (0))</f>
      </c>
      <c r="D2509" s="22" t="s">
        <v>71</v>
      </c>
      <c r="E2509" s="22"/>
      <c r="F2509" s="22">
        <f>C2509*E2509</f>
      </c>
    </row>
    <row r="2510">
      <c r="A2510" s="5" t="s">
        <v>510</v>
      </c>
      <c r="B2510" s="14" t="s">
        <v>511</v>
      </c>
      <c r="C2510" s="22">
        <f>(1)*(1)*(1)*(1)*(1 + (0))</f>
      </c>
      <c r="D2510" s="22" t="s">
        <v>71</v>
      </c>
      <c r="E2510" s="22"/>
      <c r="F2510" s="22">
        <f>C2510*E2510</f>
      </c>
    </row>
    <row r="2511">
      <c r="A2511" s="5" t="s">
        <v>512</v>
      </c>
      <c r="B2511" s="14" t="s">
        <v>513</v>
      </c>
      <c r="C2511" s="22">
        <f>(1)*(1)*(1)*(1)*(1 + (0))</f>
      </c>
      <c r="D2511" s="22" t="s">
        <v>71</v>
      </c>
      <c r="E2511" s="22"/>
      <c r="F2511" s="22">
        <f>C2511*E2511</f>
      </c>
    </row>
    <row r="2512">
      <c r="A2512" s="3"/>
      <c r="B2512" s="11" t="s">
        <v>514</v>
      </c>
      <c r="C2512" s="20"/>
      <c r="D2512" s="20"/>
      <c r="E2512" s="20"/>
      <c r="F2512" s="20"/>
    </row>
    <row r="2513">
      <c r="A2513" s="5"/>
      <c r="B2513" s="14" t="s">
        <v>515</v>
      </c>
      <c r="C2513" s="22">
        <f>(6.71)*(1)*(1)*(1)*(1 + (0))</f>
      </c>
      <c r="D2513" s="22" t="s">
        <v>182</v>
      </c>
      <c r="E2513" s="22"/>
      <c r="F2513" s="22">
        <f>C2513*E2513</f>
      </c>
    </row>
    <row r="2514">
      <c r="A2514" s="3"/>
      <c r="B2514" s="11" t="s">
        <v>516</v>
      </c>
      <c r="C2514" s="20"/>
      <c r="D2514" s="20"/>
      <c r="E2514" s="20"/>
      <c r="F2514" s="20"/>
    </row>
    <row r="2515">
      <c r="A2515" s="4"/>
      <c r="B2515" s="12" t="s">
        <v>382</v>
      </c>
      <c r="C2515" s="21"/>
      <c r="D2515" s="21"/>
      <c r="E2515" s="21"/>
      <c r="F2515" s="21"/>
    </row>
    <row r="2516">
      <c r="A2516" s="6"/>
      <c r="B2516" s="15" t="s">
        <v>311</v>
      </c>
      <c r="C2516" s="23"/>
      <c r="D2516" s="23"/>
      <c r="E2516" s="23"/>
      <c r="F2516" s="23"/>
    </row>
    <row r="2517">
      <c r="A2517" s="5"/>
      <c r="B2517" s="16" t="s">
        <v>517</v>
      </c>
      <c r="C2517" s="22">
        <f>(6.7120716864986)*(1)*(1)*(1)*(1 + (0))</f>
      </c>
      <c r="D2517" s="22" t="s">
        <v>182</v>
      </c>
      <c r="E2517" s="22"/>
      <c r="F2517" s="22">
        <f>C2517*E2517</f>
      </c>
    </row>
    <row r="2518">
      <c r="A2518" s="5"/>
      <c r="B2518" s="7" t="s">
        <v>519</v>
      </c>
      <c r="C2518" s="22"/>
      <c r="D2518" s="22"/>
      <c r="E2518" s="22"/>
      <c r="F2518" s="22">
        <f>C2518*E2518</f>
      </c>
    </row>
    <row r="2519">
      <c r="A2519" s="2"/>
      <c r="B2519" s="10" t="s">
        <v>520</v>
      </c>
      <c r="C2519" s="19"/>
      <c r="D2519" s="19"/>
      <c r="E2519" s="19"/>
      <c r="F2519" s="19"/>
    </row>
    <row r="2520">
      <c r="A2520" s="3"/>
      <c r="B2520" s="11" t="s">
        <v>37</v>
      </c>
      <c r="C2520" s="20"/>
      <c r="D2520" s="20"/>
      <c r="E2520" s="20"/>
      <c r="F2520" s="20"/>
    </row>
    <row r="2521">
      <c r="A2521" s="5" t="s">
        <v>521</v>
      </c>
      <c r="B2521" s="14" t="s">
        <v>39</v>
      </c>
      <c r="C2521" s="22"/>
      <c r="D2521" s="22" t="s">
        <v>10</v>
      </c>
      <c r="E2521" s="22"/>
      <c r="F2521" s="22">
        <f>C2521*E2521</f>
      </c>
    </row>
    <row r="2522">
      <c r="A2522" s="5" t="s">
        <v>522</v>
      </c>
      <c r="B2522" s="14" t="s">
        <v>41</v>
      </c>
      <c r="C2522" s="22"/>
      <c r="D2522" s="22" t="s">
        <v>10</v>
      </c>
      <c r="E2522" s="22"/>
      <c r="F2522" s="22">
        <f>C2522*E2522</f>
      </c>
    </row>
    <row r="2523">
      <c r="A2523" s="3"/>
      <c r="B2523" s="11" t="s">
        <v>523</v>
      </c>
      <c r="C2523" s="20"/>
      <c r="D2523" s="20"/>
      <c r="E2523" s="20"/>
      <c r="F2523" s="20"/>
    </row>
    <row r="2524">
      <c r="A2524" s="5"/>
      <c r="B2524" s="14" t="s">
        <v>524</v>
      </c>
      <c r="C2524" s="22"/>
      <c r="D2524" s="22" t="s">
        <v>10</v>
      </c>
      <c r="E2524" s="22"/>
      <c r="F2524" s="22">
        <f>C2524*E2524</f>
      </c>
    </row>
    <row r="2525">
      <c r="A2525" s="5"/>
      <c r="B2525" s="14" t="s">
        <v>1675</v>
      </c>
      <c r="C2525" s="22"/>
      <c r="D2525" s="22" t="s">
        <v>10</v>
      </c>
      <c r="E2525" s="22"/>
      <c r="F2525" s="22">
        <f>C2525*E2525</f>
      </c>
    </row>
    <row r="2526">
      <c r="A2526" s="3"/>
      <c r="B2526" s="11" t="s">
        <v>44</v>
      </c>
      <c r="C2526" s="20"/>
      <c r="D2526" s="20"/>
      <c r="E2526" s="20"/>
      <c r="F2526" s="20"/>
    </row>
    <row r="2527">
      <c r="A2527" s="4"/>
      <c r="B2527" s="12" t="s">
        <v>45</v>
      </c>
      <c r="C2527" s="21"/>
      <c r="D2527" s="21"/>
      <c r="E2527" s="21"/>
      <c r="F2527" s="21"/>
    </row>
    <row r="2528">
      <c r="A2528" s="5" t="s">
        <v>527</v>
      </c>
      <c r="B2528" s="13" t="s">
        <v>528</v>
      </c>
      <c r="C2528" s="22"/>
      <c r="D2528" s="22" t="s">
        <v>10</v>
      </c>
      <c r="E2528" s="22"/>
      <c r="F2528" s="22">
        <f>C2528*E2528</f>
      </c>
    </row>
    <row r="2529">
      <c r="A2529" s="5" t="s">
        <v>529</v>
      </c>
      <c r="B2529" s="13" t="s">
        <v>530</v>
      </c>
      <c r="C2529" s="22"/>
      <c r="D2529" s="22" t="s">
        <v>10</v>
      </c>
      <c r="E2529" s="22"/>
      <c r="F2529" s="22">
        <f>C2529*E2529</f>
      </c>
    </row>
    <row r="2530">
      <c r="A2530" s="5" t="s">
        <v>531</v>
      </c>
      <c r="B2530" s="13" t="s">
        <v>532</v>
      </c>
      <c r="C2530" s="22"/>
      <c r="D2530" s="22" t="s">
        <v>10</v>
      </c>
      <c r="E2530" s="22"/>
      <c r="F2530" s="22">
        <f>C2530*E2530</f>
      </c>
    </row>
    <row r="2531">
      <c r="A2531" s="5" t="s">
        <v>533</v>
      </c>
      <c r="B2531" s="13" t="s">
        <v>534</v>
      </c>
      <c r="C2531" s="22"/>
      <c r="D2531" s="22" t="s">
        <v>10</v>
      </c>
      <c r="E2531" s="22"/>
      <c r="F2531" s="22">
        <f>C2531*E2531</f>
      </c>
    </row>
    <row r="2532">
      <c r="A2532" s="5" t="s">
        <v>535</v>
      </c>
      <c r="B2532" s="13" t="s">
        <v>536</v>
      </c>
      <c r="C2532" s="22"/>
      <c r="D2532" s="22" t="s">
        <v>10</v>
      </c>
      <c r="E2532" s="22"/>
      <c r="F2532" s="22">
        <f>C2532*E2532</f>
      </c>
    </row>
    <row r="2533">
      <c r="A2533" s="5" t="s">
        <v>537</v>
      </c>
      <c r="B2533" s="13" t="s">
        <v>538</v>
      </c>
      <c r="C2533" s="22"/>
      <c r="D2533" s="22" t="s">
        <v>10</v>
      </c>
      <c r="E2533" s="22"/>
      <c r="F2533" s="22">
        <f>C2533*E2533</f>
      </c>
    </row>
    <row r="2534">
      <c r="A2534" s="5" t="s">
        <v>539</v>
      </c>
      <c r="B2534" s="13" t="s">
        <v>123</v>
      </c>
      <c r="C2534" s="22"/>
      <c r="D2534" s="22" t="s">
        <v>10</v>
      </c>
      <c r="E2534" s="22"/>
      <c r="F2534" s="22">
        <f>C2534*E2534</f>
      </c>
    </row>
    <row r="2535">
      <c r="A2535" s="3"/>
      <c r="B2535" s="11" t="s">
        <v>68</v>
      </c>
      <c r="C2535" s="20"/>
      <c r="D2535" s="20"/>
      <c r="E2535" s="20"/>
      <c r="F2535" s="20"/>
    </row>
    <row r="2536">
      <c r="A2536" s="5" t="s">
        <v>540</v>
      </c>
      <c r="B2536" s="14" t="s">
        <v>70</v>
      </c>
      <c r="C2536" s="22">
        <f>(1)*(1)*(1)*(1)*(1 + (0))</f>
      </c>
      <c r="D2536" s="22" t="s">
        <v>71</v>
      </c>
      <c r="E2536" s="22"/>
      <c r="F2536" s="22">
        <f>C2536*E2536</f>
      </c>
    </row>
    <row r="2537">
      <c r="A2537" s="5" t="s">
        <v>541</v>
      </c>
      <c r="B2537" s="14" t="s">
        <v>73</v>
      </c>
      <c r="C2537" s="22">
        <f>(1)*(1)*(1)*(1)*(1 + (0))</f>
      </c>
      <c r="D2537" s="22" t="s">
        <v>71</v>
      </c>
      <c r="E2537" s="22"/>
      <c r="F2537" s="22">
        <f>C2537*E2537</f>
      </c>
    </row>
    <row r="2538">
      <c r="A2538" s="5" t="s">
        <v>542</v>
      </c>
      <c r="B2538" s="14" t="s">
        <v>543</v>
      </c>
      <c r="C2538" s="22">
        <f>(1)*(1)*(1)*(1)*(1 + (0))</f>
      </c>
      <c r="D2538" s="22" t="s">
        <v>71</v>
      </c>
      <c r="E2538" s="22"/>
      <c r="F2538" s="22">
        <f>C2538*E2538</f>
      </c>
    </row>
    <row r="2539">
      <c r="A2539" s="5" t="s">
        <v>544</v>
      </c>
      <c r="B2539" s="14" t="s">
        <v>545</v>
      </c>
      <c r="C2539" s="22">
        <f>(1)*(1)*(1)*(1)*(1 + (0))</f>
      </c>
      <c r="D2539" s="22" t="s">
        <v>71</v>
      </c>
      <c r="E2539" s="22"/>
      <c r="F2539" s="22">
        <f>C2539*E2539</f>
      </c>
    </row>
    <row r="2540">
      <c r="A2540" s="5" t="s">
        <v>546</v>
      </c>
      <c r="B2540" s="14" t="s">
        <v>547</v>
      </c>
      <c r="C2540" s="22">
        <f>(1)*(1)*(1)*(1)*(1 + (0))</f>
      </c>
      <c r="D2540" s="22" t="s">
        <v>71</v>
      </c>
      <c r="E2540" s="22"/>
      <c r="F2540" s="22">
        <f>C2540*E2540</f>
      </c>
    </row>
    <row r="2541">
      <c r="A2541" s="5" t="s">
        <v>548</v>
      </c>
      <c r="B2541" s="14" t="s">
        <v>549</v>
      </c>
      <c r="C2541" s="22">
        <f>(1)*(1)*(1)*(1)*(1 + (0))</f>
      </c>
      <c r="D2541" s="22" t="s">
        <v>71</v>
      </c>
      <c r="E2541" s="22"/>
      <c r="F2541" s="22">
        <f>C2541*E2541</f>
      </c>
    </row>
    <row r="2542">
      <c r="A2542" s="5" t="s">
        <v>550</v>
      </c>
      <c r="B2542" s="14" t="s">
        <v>551</v>
      </c>
      <c r="C2542" s="22">
        <f>(1)*(1)*(1)*(1)*(1 + (0))</f>
      </c>
      <c r="D2542" s="22" t="s">
        <v>71</v>
      </c>
      <c r="E2542" s="22"/>
      <c r="F2542" s="22">
        <f>C2542*E2542</f>
      </c>
    </row>
    <row r="2543">
      <c r="A2543" s="5" t="s">
        <v>552</v>
      </c>
      <c r="B2543" s="14" t="s">
        <v>553</v>
      </c>
      <c r="C2543" s="22">
        <f>(1)*(1)*(1)*(1)*(1 + (0))</f>
      </c>
      <c r="D2543" s="22" t="s">
        <v>71</v>
      </c>
      <c r="E2543" s="22"/>
      <c r="F2543" s="22">
        <f>C2543*E2543</f>
      </c>
    </row>
    <row r="2544">
      <c r="A2544" s="5" t="s">
        <v>554</v>
      </c>
      <c r="B2544" s="14" t="s">
        <v>555</v>
      </c>
      <c r="C2544" s="22">
        <f>(1)*(1)*(1)*(1)*(1 + (0))</f>
      </c>
      <c r="D2544" s="22" t="s">
        <v>71</v>
      </c>
      <c r="E2544" s="22"/>
      <c r="F2544" s="22">
        <f>C2544*E2544</f>
      </c>
    </row>
    <row r="2545">
      <c r="A2545" s="5" t="s">
        <v>556</v>
      </c>
      <c r="B2545" s="14" t="s">
        <v>447</v>
      </c>
      <c r="C2545" s="22">
        <f>(1)*(1)*(1)*(1)*(1 + (0))</f>
      </c>
      <c r="D2545" s="22" t="s">
        <v>71</v>
      </c>
      <c r="E2545" s="22"/>
      <c r="F2545" s="22">
        <f>C2545*E2545</f>
      </c>
    </row>
    <row r="2546">
      <c r="A2546" s="5" t="s">
        <v>557</v>
      </c>
      <c r="B2546" s="14" t="s">
        <v>558</v>
      </c>
      <c r="C2546" s="22">
        <f>(1)*(1)*(1)*(1)*(1 + (0))</f>
      </c>
      <c r="D2546" s="22" t="s">
        <v>71</v>
      </c>
      <c r="E2546" s="22"/>
      <c r="F2546" s="22">
        <f>C2546*E2546</f>
      </c>
    </row>
    <row r="2547">
      <c r="A2547" s="3"/>
      <c r="B2547" s="11" t="s">
        <v>560</v>
      </c>
      <c r="C2547" s="20"/>
      <c r="D2547" s="20"/>
      <c r="E2547" s="20"/>
      <c r="F2547" s="20"/>
    </row>
    <row r="2548">
      <c r="A2548" s="4"/>
      <c r="B2548" s="12" t="s">
        <v>392</v>
      </c>
      <c r="C2548" s="21"/>
      <c r="D2548" s="21"/>
      <c r="E2548" s="21"/>
      <c r="F2548" s="21"/>
    </row>
    <row r="2549">
      <c r="A2549" s="6"/>
      <c r="B2549" s="15" t="s">
        <v>311</v>
      </c>
      <c r="C2549" s="23"/>
      <c r="D2549" s="23"/>
      <c r="E2549" s="23"/>
      <c r="F2549" s="23"/>
    </row>
    <row r="2550">
      <c r="A2550" s="5"/>
      <c r="B2550" s="16" t="s">
        <v>1676</v>
      </c>
      <c r="C2550" s="22">
        <f>(0.55335)*(1)*(1)*(1)*(1 + (0))</f>
      </c>
      <c r="D2550" s="22" t="s">
        <v>182</v>
      </c>
      <c r="E2550" s="22"/>
      <c r="F2550" s="22">
        <f>C2550*E2550</f>
      </c>
    </row>
    <row r="2551">
      <c r="A2551" s="5"/>
      <c r="B2551" s="16" t="s">
        <v>563</v>
      </c>
      <c r="C2551" s="22">
        <f>(0.0825)*(1)*(1)*(1)*(1 + (0))</f>
      </c>
      <c r="D2551" s="22" t="s">
        <v>182</v>
      </c>
      <c r="E2551" s="22"/>
      <c r="F2551" s="22">
        <f>C2551*E2551</f>
      </c>
    </row>
    <row r="2552">
      <c r="A2552" s="5"/>
      <c r="B2552" s="16" t="s">
        <v>564</v>
      </c>
      <c r="C2552" s="22">
        <f>(3)*(1)*(1)*(1)*(1 + (0))</f>
      </c>
      <c r="D2552" s="22" t="s">
        <v>162</v>
      </c>
      <c r="E2552" s="22"/>
      <c r="F2552" s="22">
        <f>C2552*E2552</f>
      </c>
    </row>
    <row r="2553">
      <c r="A2553" s="4"/>
      <c r="B2553" s="12" t="s">
        <v>565</v>
      </c>
      <c r="C2553" s="21"/>
      <c r="D2553" s="21"/>
      <c r="E2553" s="21"/>
      <c r="F2553" s="21"/>
    </row>
    <row r="2554">
      <c r="A2554" s="6"/>
      <c r="B2554" s="15" t="s">
        <v>1677</v>
      </c>
      <c r="C2554" s="23"/>
      <c r="D2554" s="23"/>
      <c r="E2554" s="23"/>
      <c r="F2554" s="23"/>
    </row>
    <row r="2555">
      <c r="A2555" s="5"/>
      <c r="B2555" s="16" t="s">
        <v>578</v>
      </c>
      <c r="C2555" s="22">
        <f>(9.14031519568526)*(1)*(1)*(1)*(1 + (0))</f>
      </c>
      <c r="D2555" s="22" t="s">
        <v>182</v>
      </c>
      <c r="E2555" s="22"/>
      <c r="F2555" s="22">
        <f>C2555*E2555</f>
      </c>
    </row>
    <row r="2556">
      <c r="A2556" s="5"/>
      <c r="B2556" s="16" t="s">
        <v>582</v>
      </c>
      <c r="C2556" s="22">
        <f>(0.449888725891746)*(1)*(1)*(1)*(1 + (0))</f>
      </c>
      <c r="D2556" s="22" t="s">
        <v>182</v>
      </c>
      <c r="E2556" s="22"/>
      <c r="F2556" s="22">
        <f>C2556*E2556</f>
      </c>
    </row>
    <row r="2557">
      <c r="A2557" s="5"/>
      <c r="B2557" s="16" t="s">
        <v>580</v>
      </c>
      <c r="C2557" s="22">
        <f>(3.20680764177705)*(1)*(1)*(1)*(1 + (0))</f>
      </c>
      <c r="D2557" s="22" t="s">
        <v>182</v>
      </c>
      <c r="E2557" s="22"/>
      <c r="F2557" s="22">
        <f>C2557*E2557</f>
      </c>
    </row>
    <row r="2558">
      <c r="A2558" s="5"/>
      <c r="B2558" s="16" t="s">
        <v>581</v>
      </c>
      <c r="C2558" s="22">
        <f>(0.756848978340131)*(1)*(1)*(1)*(1 + (0))</f>
      </c>
      <c r="D2558" s="22" t="s">
        <v>182</v>
      </c>
      <c r="E2558" s="22"/>
      <c r="F2558" s="22">
        <f>C2558*E2558</f>
      </c>
    </row>
    <row r="2559">
      <c r="A2559" s="5"/>
      <c r="B2559" s="16" t="s">
        <v>563</v>
      </c>
      <c r="C2559" s="22">
        <f>(2.034)*(1)*(1)*(1)*(1 + (0))</f>
      </c>
      <c r="D2559" s="22" t="s">
        <v>182</v>
      </c>
      <c r="E2559" s="22"/>
      <c r="F2559" s="22">
        <f>C2559*E2559</f>
      </c>
    </row>
    <row r="2560">
      <c r="A2560" s="6"/>
      <c r="B2560" s="15" t="s">
        <v>566</v>
      </c>
      <c r="C2560" s="23"/>
      <c r="D2560" s="23"/>
      <c r="E2560" s="23"/>
      <c r="F2560" s="23"/>
    </row>
    <row r="2561">
      <c r="A2561" s="5"/>
      <c r="B2561" s="16" t="s">
        <v>567</v>
      </c>
      <c r="C2561" s="22">
        <f>(0.541080939119569)*(1)*(1)*(1)*(1 + (0))</f>
      </c>
      <c r="D2561" s="22" t="s">
        <v>182</v>
      </c>
      <c r="E2561" s="22"/>
      <c r="F2561" s="22">
        <f>C2561*E2561</f>
      </c>
    </row>
    <row r="2562">
      <c r="A2562" s="5"/>
      <c r="B2562" s="16" t="s">
        <v>568</v>
      </c>
      <c r="C2562" s="22">
        <f>(0.344067560596461)*(1)*(1)*(1)*(1 + (0))</f>
      </c>
      <c r="D2562" s="22" t="s">
        <v>182</v>
      </c>
      <c r="E2562" s="22"/>
      <c r="F2562" s="22">
        <f>C2562*E2562</f>
      </c>
    </row>
    <row r="2563">
      <c r="A2563" s="5"/>
      <c r="B2563" s="16" t="s">
        <v>570</v>
      </c>
      <c r="C2563" s="22">
        <f>(0.784990512895251)*(1)*(1)*(1)*(1 + (0))</f>
      </c>
      <c r="D2563" s="22" t="s">
        <v>182</v>
      </c>
      <c r="E2563" s="22"/>
      <c r="F2563" s="22">
        <f>C2563*E2563</f>
      </c>
    </row>
    <row r="2564">
      <c r="A2564" s="5"/>
      <c r="B2564" s="16" t="s">
        <v>569</v>
      </c>
      <c r="C2564" s="22">
        <f>(0.130019500204903)*(1)*(1)*(1)*(1 + (0))</f>
      </c>
      <c r="D2564" s="22" t="s">
        <v>182</v>
      </c>
      <c r="E2564" s="22"/>
      <c r="F2564" s="22">
        <f>C2564*E2564</f>
      </c>
    </row>
    <row r="2565">
      <c r="A2565" s="5"/>
      <c r="B2565" s="16" t="s">
        <v>563</v>
      </c>
      <c r="C2565" s="22">
        <f>(0.2685)*(1)*(1)*(1)*(1 + (0))</f>
      </c>
      <c r="D2565" s="22" t="s">
        <v>182</v>
      </c>
      <c r="E2565" s="22"/>
      <c r="F2565" s="22">
        <f>C2565*E2565</f>
      </c>
    </row>
    <row r="2566">
      <c r="A2566" s="5"/>
      <c r="B2566" s="16" t="s">
        <v>571</v>
      </c>
      <c r="C2566" s="22">
        <f>(1)*(1)*(1)*(1)*(1 + (0))</f>
      </c>
      <c r="D2566" s="22" t="s">
        <v>162</v>
      </c>
      <c r="E2566" s="22"/>
      <c r="F2566" s="22">
        <f>C2566*E2566</f>
      </c>
    </row>
    <row r="2567">
      <c r="A2567" s="5"/>
      <c r="B2567" s="16" t="s">
        <v>572</v>
      </c>
      <c r="C2567" s="22">
        <f>(1)*(1)*(1)*(1)*(1 + (0))</f>
      </c>
      <c r="D2567" s="22" t="s">
        <v>162</v>
      </c>
      <c r="E2567" s="22"/>
      <c r="F2567" s="22">
        <f>C2567*E2567</f>
      </c>
    </row>
    <row r="2568">
      <c r="A2568" s="6"/>
      <c r="B2568" s="15" t="s">
        <v>1678</v>
      </c>
      <c r="C2568" s="23"/>
      <c r="D2568" s="23"/>
      <c r="E2568" s="23"/>
      <c r="F2568" s="23"/>
    </row>
    <row r="2569">
      <c r="A2569" s="5"/>
      <c r="B2569" s="16" t="s">
        <v>567</v>
      </c>
      <c r="C2569" s="22">
        <f>(0.524699590670407)*(1)*(1)*(1)*(1 + (0))</f>
      </c>
      <c r="D2569" s="22" t="s">
        <v>182</v>
      </c>
      <c r="E2569" s="22"/>
      <c r="F2569" s="22">
        <f>C2569*E2569</f>
      </c>
    </row>
    <row r="2570">
      <c r="A2570" s="5"/>
      <c r="B2570" s="16" t="s">
        <v>568</v>
      </c>
      <c r="C2570" s="22">
        <f>(0.346051651285597)*(1)*(1)*(1)*(1 + (0))</f>
      </c>
      <c r="D2570" s="22" t="s">
        <v>182</v>
      </c>
      <c r="E2570" s="22"/>
      <c r="F2570" s="22">
        <f>C2570*E2570</f>
      </c>
    </row>
    <row r="2571">
      <c r="A2571" s="5"/>
      <c r="B2571" s="16" t="s">
        <v>1679</v>
      </c>
      <c r="C2571" s="22">
        <f>(0.396101211453154)*(1)*(1)*(1)*(1 + (0))</f>
      </c>
      <c r="D2571" s="22" t="s">
        <v>182</v>
      </c>
      <c r="E2571" s="22"/>
      <c r="F2571" s="22">
        <f>C2571*E2571</f>
      </c>
    </row>
    <row r="2572">
      <c r="A2572" s="5"/>
      <c r="B2572" s="16" t="s">
        <v>570</v>
      </c>
      <c r="C2572" s="22">
        <f>(1.07276849095538)*(1)*(1)*(1)*(1 + (0))</f>
      </c>
      <c r="D2572" s="22" t="s">
        <v>182</v>
      </c>
      <c r="E2572" s="22"/>
      <c r="F2572" s="22">
        <f>C2572*E2572</f>
      </c>
    </row>
    <row r="2573">
      <c r="A2573" s="5"/>
      <c r="B2573" s="16" t="s">
        <v>578</v>
      </c>
      <c r="C2573" s="22">
        <f>(0.405008547372627)*(1)*(1)*(1)*(1 + (0))</f>
      </c>
      <c r="D2573" s="22" t="s">
        <v>182</v>
      </c>
      <c r="E2573" s="22"/>
      <c r="F2573" s="22">
        <f>C2573*E2573</f>
      </c>
    </row>
    <row r="2574">
      <c r="A2574" s="5"/>
      <c r="B2574" s="16" t="s">
        <v>569</v>
      </c>
      <c r="C2574" s="22">
        <f>(0.378881779085543)*(1)*(1)*(1)*(1 + (0))</f>
      </c>
      <c r="D2574" s="22" t="s">
        <v>182</v>
      </c>
      <c r="E2574" s="22"/>
      <c r="F2574" s="22">
        <f>C2574*E2574</f>
      </c>
    </row>
    <row r="2575">
      <c r="A2575" s="5"/>
      <c r="B2575" s="16" t="s">
        <v>563</v>
      </c>
      <c r="C2575" s="22">
        <f>(0.4695)*(1)*(1)*(1)*(1 + (0))</f>
      </c>
      <c r="D2575" s="22" t="s">
        <v>182</v>
      </c>
      <c r="E2575" s="22"/>
      <c r="F2575" s="22">
        <f>C2575*E2575</f>
      </c>
    </row>
    <row r="2576">
      <c r="A2576" s="5"/>
      <c r="B2576" s="16" t="s">
        <v>571</v>
      </c>
      <c r="C2576" s="22">
        <f>(1)*(1)*(1)*(1)*(1 + (0))</f>
      </c>
      <c r="D2576" s="22" t="s">
        <v>162</v>
      </c>
      <c r="E2576" s="22"/>
      <c r="F2576" s="22">
        <f>C2576*E2576</f>
      </c>
    </row>
    <row r="2577">
      <c r="A2577" s="5"/>
      <c r="B2577" s="16" t="s">
        <v>572</v>
      </c>
      <c r="C2577" s="22">
        <f>(1)*(1)*(1)*(1)*(1 + (0))</f>
      </c>
      <c r="D2577" s="22" t="s">
        <v>162</v>
      </c>
      <c r="E2577" s="22"/>
      <c r="F2577" s="22">
        <f>C2577*E2577</f>
      </c>
    </row>
    <row r="2578">
      <c r="A2578" s="4"/>
      <c r="B2578" s="12" t="s">
        <v>583</v>
      </c>
      <c r="C2578" s="21"/>
      <c r="D2578" s="21"/>
      <c r="E2578" s="21"/>
      <c r="F2578" s="21"/>
    </row>
    <row r="2579">
      <c r="A2579" s="6"/>
      <c r="B2579" s="15" t="s">
        <v>1677</v>
      </c>
      <c r="C2579" s="23"/>
      <c r="D2579" s="23"/>
      <c r="E2579" s="23"/>
      <c r="F2579" s="23"/>
    </row>
    <row r="2580">
      <c r="A2580" s="5"/>
      <c r="B2580" s="16" t="s">
        <v>584</v>
      </c>
      <c r="C2580" s="22">
        <f>(0.521479561153789)*(1)*(1)*(1)*(1 + (0))</f>
      </c>
      <c r="D2580" s="22" t="s">
        <v>182</v>
      </c>
      <c r="E2580" s="22"/>
      <c r="F2580" s="22">
        <f>C2580*E2580</f>
      </c>
    </row>
    <row r="2581">
      <c r="A2581" s="5"/>
      <c r="B2581" s="16" t="s">
        <v>585</v>
      </c>
      <c r="C2581" s="22">
        <f>(0.26656)*(1)*(1)*(1)*(1 + (0))</f>
      </c>
      <c r="D2581" s="22" t="s">
        <v>182</v>
      </c>
      <c r="E2581" s="22"/>
      <c r="F2581" s="22">
        <f>C2581*E2581</f>
      </c>
    </row>
    <row r="2582">
      <c r="A2582" s="5"/>
      <c r="B2582" s="16" t="s">
        <v>563</v>
      </c>
      <c r="C2582" s="22">
        <f>(0.1185)*(1)*(1)*(1)*(1 + (0))</f>
      </c>
      <c r="D2582" s="22" t="s">
        <v>182</v>
      </c>
      <c r="E2582" s="22"/>
      <c r="F2582" s="22">
        <f>C2582*E2582</f>
      </c>
    </row>
    <row r="2583">
      <c r="A2583" s="6"/>
      <c r="B2583" s="15" t="s">
        <v>566</v>
      </c>
      <c r="C2583" s="23"/>
      <c r="D2583" s="23"/>
      <c r="E2583" s="23"/>
      <c r="F2583" s="23"/>
    </row>
    <row r="2584">
      <c r="A2584" s="5"/>
      <c r="B2584" s="16" t="s">
        <v>584</v>
      </c>
      <c r="C2584" s="22">
        <f>(0.0645409883396892)*(1)*(1)*(1)*(1 + (0))</f>
      </c>
      <c r="D2584" s="22" t="s">
        <v>182</v>
      </c>
      <c r="E2584" s="22"/>
      <c r="F2584" s="22">
        <f>C2584*E2584</f>
      </c>
    </row>
    <row r="2585">
      <c r="A2585" s="5"/>
      <c r="B2585" s="16" t="s">
        <v>585</v>
      </c>
      <c r="C2585" s="22">
        <f>(0.02856)*(1)*(1)*(1)*(1 + (0))</f>
      </c>
      <c r="D2585" s="22" t="s">
        <v>182</v>
      </c>
      <c r="E2585" s="22"/>
      <c r="F2585" s="22">
        <f>C2585*E2585</f>
      </c>
    </row>
    <row r="2586">
      <c r="A2586" s="5"/>
      <c r="B2586" s="16" t="s">
        <v>563</v>
      </c>
      <c r="C2586" s="22">
        <f>(0.0135)*(1)*(1)*(1)*(1 + (0))</f>
      </c>
      <c r="D2586" s="22" t="s">
        <v>182</v>
      </c>
      <c r="E2586" s="22"/>
      <c r="F2586" s="22">
        <f>C2586*E2586</f>
      </c>
    </row>
    <row r="2587">
      <c r="A2587" s="6"/>
      <c r="B2587" s="15" t="s">
        <v>1678</v>
      </c>
      <c r="C2587" s="23"/>
      <c r="D2587" s="23"/>
      <c r="E2587" s="23"/>
      <c r="F2587" s="23"/>
    </row>
    <row r="2588">
      <c r="A2588" s="5"/>
      <c r="B2588" s="16" t="s">
        <v>584</v>
      </c>
      <c r="C2588" s="22">
        <f>(0.146230534098293)*(1)*(1)*(1)*(1 + (0))</f>
      </c>
      <c r="D2588" s="22" t="s">
        <v>182</v>
      </c>
      <c r="E2588" s="22"/>
      <c r="F2588" s="22">
        <f>C2588*E2588</f>
      </c>
    </row>
    <row r="2589">
      <c r="A2589" s="5"/>
      <c r="B2589" s="16" t="s">
        <v>585</v>
      </c>
      <c r="C2589" s="22">
        <f>(0.02856)*(1)*(1)*(1)*(1 + (0))</f>
      </c>
      <c r="D2589" s="22" t="s">
        <v>182</v>
      </c>
      <c r="E2589" s="22"/>
      <c r="F2589" s="22">
        <f>C2589*E2589</f>
      </c>
    </row>
    <row r="2590">
      <c r="A2590" s="5"/>
      <c r="B2590" s="16" t="s">
        <v>563</v>
      </c>
      <c r="C2590" s="22">
        <f>(0.027)*(1)*(1)*(1)*(1 + (0))</f>
      </c>
      <c r="D2590" s="22" t="s">
        <v>182</v>
      </c>
      <c r="E2590" s="22"/>
      <c r="F2590" s="22">
        <f>C2590*E2590</f>
      </c>
    </row>
    <row r="2591">
      <c r="A2591" s="4"/>
      <c r="B2591" s="12" t="s">
        <v>586</v>
      </c>
      <c r="C2591" s="21"/>
      <c r="D2591" s="21"/>
      <c r="E2591" s="21"/>
      <c r="F2591" s="21"/>
    </row>
    <row r="2592">
      <c r="A2592" s="6"/>
      <c r="B2592" s="15" t="s">
        <v>1677</v>
      </c>
      <c r="C2592" s="23"/>
      <c r="D2592" s="23"/>
      <c r="E2592" s="23"/>
      <c r="F2592" s="23"/>
    </row>
    <row r="2593">
      <c r="A2593" s="5"/>
      <c r="B2593" s="16" t="s">
        <v>595</v>
      </c>
      <c r="C2593" s="22">
        <f>(240)*(1)*(1)*(1)*(1 + (0))</f>
      </c>
      <c r="D2593" s="22" t="s">
        <v>153</v>
      </c>
      <c r="E2593" s="22"/>
      <c r="F2593" s="22">
        <f>C2593*E2593</f>
      </c>
    </row>
    <row r="2594">
      <c r="A2594" s="5"/>
      <c r="B2594" s="16" t="s">
        <v>594</v>
      </c>
      <c r="C2594" s="22">
        <f>(404)*(1)*(1)*(1)*(1 + (0))</f>
      </c>
      <c r="D2594" s="22" t="s">
        <v>153</v>
      </c>
      <c r="E2594" s="22"/>
      <c r="F2594" s="22">
        <f>C2594*E2594</f>
      </c>
    </row>
    <row r="2595">
      <c r="A2595" s="5"/>
      <c r="B2595" s="16" t="s">
        <v>596</v>
      </c>
      <c r="C2595" s="22">
        <f>(173)*(1)*(1)*(1)*(1 + (0))</f>
      </c>
      <c r="D2595" s="22" t="s">
        <v>153</v>
      </c>
      <c r="E2595" s="22"/>
      <c r="F2595" s="22">
        <f>C2595*E2595</f>
      </c>
    </row>
    <row r="2596">
      <c r="A2596" s="5"/>
      <c r="B2596" s="16" t="s">
        <v>597</v>
      </c>
      <c r="C2596" s="22">
        <f>(1075)*(1)*(1)*(1)*(1 + (0))</f>
      </c>
      <c r="D2596" s="22" t="s">
        <v>153</v>
      </c>
      <c r="E2596" s="22"/>
      <c r="F2596" s="22">
        <f>C2596*E2596</f>
      </c>
    </row>
    <row r="2597">
      <c r="A2597" s="5"/>
      <c r="B2597" s="16" t="s">
        <v>1680</v>
      </c>
      <c r="C2597" s="22">
        <f>(72)*(1)*(1)*(1)*(1 + (0))</f>
      </c>
      <c r="D2597" s="22" t="s">
        <v>153</v>
      </c>
      <c r="E2597" s="22"/>
      <c r="F2597" s="22">
        <f>C2597*E2597</f>
      </c>
    </row>
    <row r="2598">
      <c r="A2598" s="5"/>
      <c r="B2598" s="16" t="s">
        <v>1681</v>
      </c>
      <c r="C2598" s="22">
        <f>(216)*(1)*(1)*(1)*(1 + (0))</f>
      </c>
      <c r="D2598" s="22" t="s">
        <v>153</v>
      </c>
      <c r="E2598" s="22"/>
      <c r="F2598" s="22">
        <f>C2598*E2598</f>
      </c>
    </row>
    <row r="2599">
      <c r="A2599" s="6"/>
      <c r="B2599" s="15" t="s">
        <v>566</v>
      </c>
      <c r="C2599" s="23"/>
      <c r="D2599" s="23"/>
      <c r="E2599" s="23"/>
      <c r="F2599" s="23"/>
    </row>
    <row r="2600">
      <c r="A2600" s="5"/>
      <c r="B2600" s="16" t="s">
        <v>587</v>
      </c>
      <c r="C2600" s="22">
        <f>(8)*(1)*(1)*(1)*(1 + (0))</f>
      </c>
      <c r="D2600" s="22" t="s">
        <v>153</v>
      </c>
      <c r="E2600" s="22"/>
      <c r="F2600" s="22">
        <f>C2600*E2600</f>
      </c>
    </row>
    <row r="2601">
      <c r="A2601" s="5"/>
      <c r="B2601" s="16" t="s">
        <v>588</v>
      </c>
      <c r="C2601" s="22">
        <f>(31)*(1)*(1)*(1)*(1 + (0))</f>
      </c>
      <c r="D2601" s="22" t="s">
        <v>153</v>
      </c>
      <c r="E2601" s="22"/>
      <c r="F2601" s="22">
        <f>C2601*E2601</f>
      </c>
    </row>
    <row r="2602">
      <c r="A2602" s="5"/>
      <c r="B2602" s="16" t="s">
        <v>1682</v>
      </c>
      <c r="C2602" s="22">
        <f>(11)*(1)*(1)*(1)*(1 + (0))</f>
      </c>
      <c r="D2602" s="22" t="s">
        <v>153</v>
      </c>
      <c r="E2602" s="22"/>
      <c r="F2602" s="22">
        <f>C2602*E2602</f>
      </c>
    </row>
    <row r="2603">
      <c r="A2603" s="5"/>
      <c r="B2603" s="16" t="s">
        <v>1683</v>
      </c>
      <c r="C2603" s="22">
        <f>(19)*(1)*(1)*(1)*(1 + (0))</f>
      </c>
      <c r="D2603" s="22" t="s">
        <v>153</v>
      </c>
      <c r="E2603" s="22"/>
      <c r="F2603" s="22">
        <f>C2603*E2603</f>
      </c>
    </row>
    <row r="2604">
      <c r="A2604" s="6"/>
      <c r="B2604" s="15" t="s">
        <v>1678</v>
      </c>
      <c r="C2604" s="23"/>
      <c r="D2604" s="23"/>
      <c r="E2604" s="23"/>
      <c r="F2604" s="23"/>
    </row>
    <row r="2605">
      <c r="A2605" s="5"/>
      <c r="B2605" s="16" t="s">
        <v>1684</v>
      </c>
      <c r="C2605" s="22">
        <f>(8)*(1)*(1)*(1)*(1 + (0))</f>
      </c>
      <c r="D2605" s="22" t="s">
        <v>153</v>
      </c>
      <c r="E2605" s="22"/>
      <c r="F2605" s="22">
        <f>C2605*E2605</f>
      </c>
    </row>
    <row r="2606">
      <c r="A2606" s="5"/>
      <c r="B2606" s="16" t="s">
        <v>587</v>
      </c>
      <c r="C2606" s="22">
        <f>(22)*(1)*(1)*(1)*(1 + (0))</f>
      </c>
      <c r="D2606" s="22" t="s">
        <v>153</v>
      </c>
      <c r="E2606" s="22"/>
      <c r="F2606" s="22">
        <f>C2606*E2606</f>
      </c>
    </row>
    <row r="2607">
      <c r="A2607" s="5"/>
      <c r="B2607" s="16" t="s">
        <v>588</v>
      </c>
      <c r="C2607" s="22">
        <f>(20)*(1)*(1)*(1)*(1 + (0))</f>
      </c>
      <c r="D2607" s="22" t="s">
        <v>153</v>
      </c>
      <c r="E2607" s="22"/>
      <c r="F2607" s="22">
        <f>C2607*E2607</f>
      </c>
    </row>
    <row r="2608">
      <c r="A2608" s="5"/>
      <c r="B2608" s="16" t="s">
        <v>593</v>
      </c>
      <c r="C2608" s="22">
        <f>(36)*(1)*(1)*(1)*(1 + (0))</f>
      </c>
      <c r="D2608" s="22" t="s">
        <v>153</v>
      </c>
      <c r="E2608" s="22"/>
      <c r="F2608" s="22">
        <f>C2608*E2608</f>
      </c>
    </row>
    <row r="2609">
      <c r="A2609" s="5"/>
      <c r="B2609" s="16" t="s">
        <v>1682</v>
      </c>
      <c r="C2609" s="22">
        <f>(11)*(1)*(1)*(1)*(1 + (0))</f>
      </c>
      <c r="D2609" s="22" t="s">
        <v>153</v>
      </c>
      <c r="E2609" s="22"/>
      <c r="F2609" s="22">
        <f>C2609*E2609</f>
      </c>
    </row>
    <row r="2610">
      <c r="A2610" s="5"/>
      <c r="B2610" s="16" t="s">
        <v>1683</v>
      </c>
      <c r="C2610" s="22">
        <f>(19)*(1)*(1)*(1)*(1 + (0))</f>
      </c>
      <c r="D2610" s="22" t="s">
        <v>153</v>
      </c>
      <c r="E2610" s="22"/>
      <c r="F2610" s="22">
        <f>C2610*E2610</f>
      </c>
    </row>
    <row r="2611">
      <c r="A2611" s="5"/>
      <c r="B2611" s="16" t="s">
        <v>1685</v>
      </c>
      <c r="C2611" s="22">
        <f>(15)*(1)*(1)*(1)*(1 + (0))</f>
      </c>
      <c r="D2611" s="22" t="s">
        <v>153</v>
      </c>
      <c r="E2611" s="22"/>
      <c r="F2611" s="22">
        <f>C2611*E2611</f>
      </c>
    </row>
    <row r="2612">
      <c r="A2612" s="4"/>
      <c r="B2612" s="12" t="s">
        <v>598</v>
      </c>
      <c r="C2612" s="21"/>
      <c r="D2612" s="21"/>
      <c r="E2612" s="21"/>
      <c r="F2612" s="21"/>
    </row>
    <row r="2613">
      <c r="A2613" s="6"/>
      <c r="B2613" s="15" t="s">
        <v>252</v>
      </c>
      <c r="C2613" s="23"/>
      <c r="D2613" s="23"/>
      <c r="E2613" s="23"/>
      <c r="F2613" s="23"/>
    </row>
    <row r="2614">
      <c r="A2614" s="5"/>
      <c r="B2614" s="16" t="s">
        <v>1686</v>
      </c>
      <c r="C2614" s="22">
        <f>(1.92885)*(1)*(1)*(1)*(1 + (0))</f>
      </c>
      <c r="D2614" s="22" t="s">
        <v>182</v>
      </c>
      <c r="E2614" s="22"/>
      <c r="F2614" s="22">
        <f>C2614*E2614</f>
      </c>
    </row>
    <row r="2615">
      <c r="A2615" s="5"/>
      <c r="B2615" s="16" t="s">
        <v>1687</v>
      </c>
      <c r="C2615" s="22">
        <f>(0.1834)*(1)*(1)*(1)*(1 + (0))</f>
      </c>
      <c r="D2615" s="22" t="s">
        <v>182</v>
      </c>
      <c r="E2615" s="22"/>
      <c r="F2615" s="22">
        <f>C2615*E2615</f>
      </c>
    </row>
    <row r="2616">
      <c r="A2616" s="5"/>
      <c r="B2616" s="16" t="s">
        <v>1688</v>
      </c>
      <c r="C2616" s="22">
        <f>(0.154748837560336)*(1)*(1)*(1)*(1 + (0))</f>
      </c>
      <c r="D2616" s="22" t="s">
        <v>182</v>
      </c>
      <c r="E2616" s="22"/>
      <c r="F2616" s="22">
        <f>C2616*E2616</f>
      </c>
    </row>
    <row r="2617">
      <c r="A2617" s="5"/>
      <c r="B2617" s="16" t="s">
        <v>563</v>
      </c>
      <c r="C2617" s="22">
        <f>(0.3255)*(1)*(1)*(1)*(1 + (0))</f>
      </c>
      <c r="D2617" s="22"/>
      <c r="E2617" s="22"/>
      <c r="F2617" s="22">
        <f>C2617*E2617</f>
      </c>
    </row>
    <row r="2618">
      <c r="A2618" s="5"/>
      <c r="B2618" s="16" t="s">
        <v>1689</v>
      </c>
      <c r="C2618" s="22">
        <f>(66)*(1)*(1)*(1)*(1 + (0))</f>
      </c>
      <c r="D2618" s="22" t="s">
        <v>162</v>
      </c>
      <c r="E2618" s="22"/>
      <c r="F2618" s="22">
        <f>C2618*E2618</f>
      </c>
    </row>
    <row r="2619">
      <c r="A2619" s="5"/>
      <c r="B2619" s="16" t="s">
        <v>1690</v>
      </c>
      <c r="C2619" s="22">
        <f>(2)*(1)*(1)*(1)*(1 + (0))</f>
      </c>
      <c r="D2619" s="22" t="s">
        <v>162</v>
      </c>
      <c r="E2619" s="22"/>
      <c r="F2619" s="22">
        <f>C2619*E2619</f>
      </c>
    </row>
    <row r="2620">
      <c r="A2620" s="5"/>
      <c r="B2620" s="16" t="s">
        <v>1691</v>
      </c>
      <c r="C2620" s="22">
        <f>(1)*(1)*(1)*(1)*(1 + (0))</f>
      </c>
      <c r="D2620" s="22" t="s">
        <v>162</v>
      </c>
      <c r="E2620" s="22"/>
      <c r="F2620" s="22">
        <f>C2620*E2620</f>
      </c>
    </row>
    <row r="2621">
      <c r="A2621" s="6"/>
      <c r="B2621" s="15" t="s">
        <v>311</v>
      </c>
      <c r="C2621" s="23"/>
      <c r="D2621" s="23"/>
      <c r="E2621" s="23"/>
      <c r="F2621" s="23"/>
    </row>
    <row r="2622">
      <c r="A2622" s="5"/>
      <c r="B2622" s="16" t="s">
        <v>1692</v>
      </c>
      <c r="C2622" s="22">
        <f>(1.06713)*(1)*(1)*(1)*(1 + (0))</f>
      </c>
      <c r="D2622" s="22" t="s">
        <v>182</v>
      </c>
      <c r="E2622" s="22"/>
      <c r="F2622" s="22">
        <f>C2622*E2622</f>
      </c>
    </row>
    <row r="2623">
      <c r="A2623" s="5"/>
      <c r="B2623" s="16" t="s">
        <v>1693</v>
      </c>
      <c r="C2623" s="22">
        <f>(2.03886)*(1)*(1)*(1)*(1 + (0))</f>
      </c>
      <c r="D2623" s="22" t="s">
        <v>182</v>
      </c>
      <c r="E2623" s="22"/>
      <c r="F2623" s="22">
        <f>C2623*E2623</f>
      </c>
    </row>
    <row r="2624">
      <c r="A2624" s="5"/>
      <c r="B2624" s="16" t="s">
        <v>563</v>
      </c>
      <c r="C2624" s="22">
        <f>(0.4665)*(1)*(1)*(1)*(1 + (0))</f>
      </c>
      <c r="D2624" s="22"/>
      <c r="E2624" s="22"/>
      <c r="F2624" s="22">
        <f>C2624*E2624</f>
      </c>
    </row>
    <row r="2625">
      <c r="A2625" s="5"/>
      <c r="B2625" s="16" t="s">
        <v>1689</v>
      </c>
      <c r="C2625" s="22">
        <f>(18)*(1)*(1)*(1)*(1 + (0))</f>
      </c>
      <c r="D2625" s="22" t="s">
        <v>162</v>
      </c>
      <c r="E2625" s="22"/>
      <c r="F2625" s="22">
        <f>C2625*E2625</f>
      </c>
    </row>
    <row r="2626">
      <c r="A2626" s="5"/>
      <c r="B2626" s="16" t="s">
        <v>1694</v>
      </c>
      <c r="C2626" s="22">
        <f>(18)*(1)*(1)*(1)*(1 + (0))</f>
      </c>
      <c r="D2626" s="22" t="s">
        <v>162</v>
      </c>
      <c r="E2626" s="22"/>
      <c r="F2626" s="22">
        <f>C2626*E2626</f>
      </c>
    </row>
    <row r="2627">
      <c r="A2627" s="4"/>
      <c r="B2627" s="12" t="s">
        <v>610</v>
      </c>
      <c r="C2627" s="21"/>
      <c r="D2627" s="21"/>
      <c r="E2627" s="21"/>
      <c r="F2627" s="21"/>
    </row>
    <row r="2628">
      <c r="A2628" s="6"/>
      <c r="B2628" s="15" t="s">
        <v>311</v>
      </c>
      <c r="C2628" s="23"/>
      <c r="D2628" s="23"/>
      <c r="E2628" s="23"/>
      <c r="F2628" s="23"/>
    </row>
    <row r="2629">
      <c r="A2629" s="5"/>
      <c r="B2629" s="16" t="s">
        <v>611</v>
      </c>
      <c r="C2629" s="22">
        <f>(67)*(1)*(1)*(1)*(1 + (0))</f>
      </c>
      <c r="D2629" s="22" t="s">
        <v>24</v>
      </c>
      <c r="E2629" s="22"/>
      <c r="F2629" s="22">
        <f>C2629*E2629</f>
      </c>
    </row>
    <row r="2630">
      <c r="A2630" s="6"/>
      <c r="B2630" s="15" t="s">
        <v>566</v>
      </c>
      <c r="C2630" s="23"/>
      <c r="D2630" s="23"/>
      <c r="E2630" s="23"/>
      <c r="F2630" s="23"/>
    </row>
    <row r="2631">
      <c r="A2631" s="5"/>
      <c r="B2631" s="16" t="s">
        <v>611</v>
      </c>
      <c r="C2631" s="22">
        <f>(82)*(1)*(1)*(1)*(1 + (0))</f>
      </c>
      <c r="D2631" s="22" t="s">
        <v>24</v>
      </c>
      <c r="E2631" s="22"/>
      <c r="F2631" s="22">
        <f>C2631*E2631</f>
      </c>
    </row>
    <row r="2632">
      <c r="A2632" s="6"/>
      <c r="B2632" s="15" t="s">
        <v>1678</v>
      </c>
      <c r="C2632" s="23"/>
      <c r="D2632" s="23"/>
      <c r="E2632" s="23"/>
      <c r="F2632" s="23"/>
    </row>
    <row r="2633">
      <c r="A2633" s="5"/>
      <c r="B2633" s="16" t="s">
        <v>611</v>
      </c>
      <c r="C2633" s="22">
        <f>(80)*(1)*(1)*(1)*(1 + (0))</f>
      </c>
      <c r="D2633" s="22" t="s">
        <v>24</v>
      </c>
      <c r="E2633" s="22"/>
      <c r="F2633" s="22">
        <f>C2633*E2633</f>
      </c>
    </row>
    <row r="2634">
      <c r="A2634" s="4"/>
      <c r="B2634" s="12" t="s">
        <v>612</v>
      </c>
      <c r="C2634" s="21"/>
      <c r="D2634" s="21"/>
      <c r="E2634" s="21"/>
      <c r="F2634" s="21"/>
    </row>
    <row r="2635">
      <c r="A2635" s="6"/>
      <c r="B2635" s="15" t="s">
        <v>1695</v>
      </c>
      <c r="C2635" s="23"/>
      <c r="D2635" s="23"/>
      <c r="E2635" s="23"/>
      <c r="F2635" s="23"/>
    </row>
    <row r="2636">
      <c r="A2636" s="5"/>
      <c r="B2636" s="16" t="s">
        <v>614</v>
      </c>
      <c r="C2636" s="22">
        <f>(1.1718)*(1)*(1)*(1)*(1 + (0))</f>
      </c>
      <c r="D2636" s="22" t="s">
        <v>182</v>
      </c>
      <c r="E2636" s="22"/>
      <c r="F2636" s="22">
        <f>C2636*E2636</f>
      </c>
    </row>
    <row r="2637">
      <c r="A2637" s="5"/>
      <c r="B2637" s="16" t="s">
        <v>1696</v>
      </c>
      <c r="C2637" s="22">
        <f>(9)*(1)*(1)*(1)*(1 + (0))</f>
      </c>
      <c r="D2637" s="22" t="s">
        <v>162</v>
      </c>
      <c r="E2637" s="22"/>
      <c r="F2637" s="22">
        <f>C2637*E2637</f>
      </c>
    </row>
    <row r="2638">
      <c r="A2638" s="5"/>
      <c r="B2638" s="16" t="s">
        <v>616</v>
      </c>
      <c r="C2638" s="22">
        <f>(0.815870105265143)*(1)*(1)*(1)*(1 + (0))</f>
      </c>
      <c r="D2638" s="22" t="s">
        <v>182</v>
      </c>
      <c r="E2638" s="22"/>
      <c r="F2638" s="22">
        <f>C2638*E2638</f>
      </c>
    </row>
    <row r="2639">
      <c r="A2639" s="5"/>
      <c r="B2639" s="16" t="s">
        <v>1697</v>
      </c>
      <c r="C2639" s="22">
        <f>(7)*(1)*(1)*(1)*(1 + (0))</f>
      </c>
      <c r="D2639" s="22" t="s">
        <v>162</v>
      </c>
      <c r="E2639" s="22"/>
      <c r="F2639" s="22">
        <f>C2639*E2639</f>
      </c>
    </row>
    <row r="2640">
      <c r="A2640" s="5"/>
      <c r="B2640" s="16" t="s">
        <v>615</v>
      </c>
      <c r="C2640" s="22">
        <f>(0.549513791514708)*(1)*(1)*(1)*(1 + (0))</f>
      </c>
      <c r="D2640" s="22" t="s">
        <v>182</v>
      </c>
      <c r="E2640" s="22"/>
      <c r="F2640" s="22">
        <f>C2640*E2640</f>
      </c>
    </row>
    <row r="2641">
      <c r="A2641" s="5"/>
      <c r="B2641" s="16" t="s">
        <v>563</v>
      </c>
      <c r="C2641" s="22">
        <f>(0.381)*(1)*(1)*(1)*(1 + (0))</f>
      </c>
      <c r="D2641" s="22" t="s">
        <v>182</v>
      </c>
      <c r="E2641" s="22"/>
      <c r="F2641" s="22">
        <f>C2641*E2641</f>
      </c>
    </row>
    <row r="2642">
      <c r="A2642" s="6"/>
      <c r="B2642" s="15" t="s">
        <v>1698</v>
      </c>
      <c r="C2642" s="23"/>
      <c r="D2642" s="23"/>
      <c r="E2642" s="23"/>
      <c r="F2642" s="23"/>
    </row>
    <row r="2643">
      <c r="A2643" s="5"/>
      <c r="B2643" s="16" t="s">
        <v>1699</v>
      </c>
      <c r="C2643" s="22">
        <f>(2.232)*(1)*(1)*(1)*(1 + (0))</f>
      </c>
      <c r="D2643" s="22" t="s">
        <v>182</v>
      </c>
      <c r="E2643" s="22"/>
      <c r="F2643" s="22">
        <f>C2643*E2643</f>
      </c>
    </row>
    <row r="2644">
      <c r="A2644" s="5"/>
      <c r="B2644" s="16" t="s">
        <v>1696</v>
      </c>
      <c r="C2644" s="22">
        <f>(12)*(1)*(1)*(1)*(1 + (0))</f>
      </c>
      <c r="D2644" s="22" t="s">
        <v>162</v>
      </c>
      <c r="E2644" s="22"/>
      <c r="F2644" s="22">
        <f>C2644*E2644</f>
      </c>
    </row>
    <row r="2645">
      <c r="A2645" s="5"/>
      <c r="B2645" s="16" t="s">
        <v>1700</v>
      </c>
      <c r="C2645" s="22">
        <f>(1.11017617318495)*(1)*(1)*(1)*(1 + (0))</f>
      </c>
      <c r="D2645" s="22" t="s">
        <v>182</v>
      </c>
      <c r="E2645" s="22"/>
      <c r="F2645" s="22">
        <f>C2645*E2645</f>
      </c>
    </row>
    <row r="2646">
      <c r="A2646" s="5"/>
      <c r="B2646" s="16" t="s">
        <v>1697</v>
      </c>
      <c r="C2646" s="22">
        <f>(12)*(1)*(1)*(1)*(1 + (0))</f>
      </c>
      <c r="D2646" s="22" t="s">
        <v>162</v>
      </c>
      <c r="E2646" s="22"/>
      <c r="F2646" s="22">
        <f>C2646*E2646</f>
      </c>
    </row>
    <row r="2647">
      <c r="A2647" s="5"/>
      <c r="B2647" s="16" t="s">
        <v>1701</v>
      </c>
      <c r="C2647" s="22">
        <f>(0.547968820088969)*(1)*(1)*(1)*(1 + (0))</f>
      </c>
      <c r="D2647" s="22" t="s">
        <v>182</v>
      </c>
      <c r="E2647" s="22"/>
      <c r="F2647" s="22">
        <f>C2647*E2647</f>
      </c>
    </row>
    <row r="2648">
      <c r="A2648" s="5"/>
      <c r="B2648" s="16" t="s">
        <v>563</v>
      </c>
      <c r="C2648" s="22">
        <f>(0.5835)*(1)*(1)*(1)*(1 + (0))</f>
      </c>
      <c r="D2648" s="22" t="s">
        <v>182</v>
      </c>
      <c r="E2648" s="22"/>
      <c r="F2648" s="22">
        <f>C2648*E2648</f>
      </c>
    </row>
    <row r="2649">
      <c r="A2649" s="3"/>
      <c r="B2649" s="11" t="s">
        <v>619</v>
      </c>
      <c r="C2649" s="20"/>
      <c r="D2649" s="20"/>
      <c r="E2649" s="20"/>
      <c r="F2649" s="20"/>
    </row>
    <row r="2650">
      <c r="A2650" s="4"/>
      <c r="B2650" s="12" t="s">
        <v>620</v>
      </c>
      <c r="C2650" s="21"/>
      <c r="D2650" s="21"/>
      <c r="E2650" s="21"/>
      <c r="F2650" s="21"/>
    </row>
    <row r="2651">
      <c r="A2651" s="5"/>
      <c r="B2651" s="13" t="s">
        <v>621</v>
      </c>
      <c r="C2651" s="22">
        <f>(0.63)*(1)*(1)*(1)*(1 + (0))</f>
      </c>
      <c r="D2651" s="22" t="s">
        <v>182</v>
      </c>
      <c r="E2651" s="22"/>
      <c r="F2651" s="22">
        <f>C2651*E2651</f>
      </c>
    </row>
    <row r="2652">
      <c r="A2652" s="5"/>
      <c r="B2652" s="13" t="s">
        <v>623</v>
      </c>
      <c r="C2652" s="22">
        <f>(21.25)*(1)*(1)*(1)*(1 + (0))</f>
      </c>
      <c r="D2652" s="22" t="s">
        <v>182</v>
      </c>
      <c r="E2652" s="22"/>
      <c r="F2652" s="22">
        <f>C2652*E2652</f>
      </c>
    </row>
    <row r="2653">
      <c r="A2653" s="5"/>
      <c r="B2653" s="13" t="s">
        <v>1702</v>
      </c>
      <c r="C2653" s="22">
        <f>(1.22)*(1)*(1)*(1)*(1 + (0))</f>
      </c>
      <c r="D2653" s="22" t="s">
        <v>182</v>
      </c>
      <c r="E2653" s="22"/>
      <c r="F2653" s="22">
        <f>C2653*E2653</f>
      </c>
    </row>
    <row r="2654">
      <c r="A2654" s="5"/>
      <c r="B2654" s="13" t="s">
        <v>622</v>
      </c>
      <c r="C2654" s="22">
        <f>(6.16)*(1)*(1)*(1)*(1 + (0))</f>
      </c>
      <c r="D2654" s="22" t="s">
        <v>182</v>
      </c>
      <c r="E2654" s="22"/>
      <c r="F2654" s="22">
        <f>C2654*E2654</f>
      </c>
    </row>
    <row r="2655">
      <c r="A2655" s="5"/>
      <c r="B2655" s="13" t="s">
        <v>624</v>
      </c>
      <c r="C2655" s="22">
        <f>(7.39)*(1)*(1)*(1)*(1 + (0))</f>
      </c>
      <c r="D2655" s="22" t="s">
        <v>182</v>
      </c>
      <c r="E2655" s="22"/>
      <c r="F2655" s="22">
        <f>C2655*E2655</f>
      </c>
    </row>
    <row r="2656">
      <c r="A2656" s="4"/>
      <c r="B2656" s="12" t="s">
        <v>625</v>
      </c>
      <c r="C2656" s="21"/>
      <c r="D2656" s="21"/>
      <c r="E2656" s="21"/>
      <c r="F2656" s="21"/>
    </row>
    <row r="2657">
      <c r="A2657" s="5"/>
      <c r="B2657" s="13" t="s">
        <v>1703</v>
      </c>
      <c r="C2657" s="22">
        <f>(0.63)*(1)*(1)*(1)*(1 + (0))</f>
      </c>
      <c r="D2657" s="22" t="s">
        <v>182</v>
      </c>
      <c r="E2657" s="22"/>
      <c r="F2657" s="22">
        <f>C2657*E2657</f>
      </c>
    </row>
    <row r="2658">
      <c r="A2658" s="5"/>
      <c r="B2658" s="13" t="s">
        <v>628</v>
      </c>
      <c r="C2658" s="22">
        <f>(21.25)*(1)*(1)*(1)*(1 + (0))</f>
      </c>
      <c r="D2658" s="22" t="s">
        <v>182</v>
      </c>
      <c r="E2658" s="22"/>
      <c r="F2658" s="22">
        <f>C2658*E2658</f>
      </c>
    </row>
    <row r="2659">
      <c r="A2659" s="5"/>
      <c r="B2659" s="13" t="s">
        <v>1704</v>
      </c>
      <c r="C2659" s="22">
        <f>(1.22)*(1)*(1)*(1)*(1 + (0))</f>
      </c>
      <c r="D2659" s="22" t="s">
        <v>182</v>
      </c>
      <c r="E2659" s="22"/>
      <c r="F2659" s="22">
        <f>C2659*E2659</f>
      </c>
    </row>
    <row r="2660">
      <c r="A2660" s="5"/>
      <c r="B2660" s="13" t="s">
        <v>627</v>
      </c>
      <c r="C2660" s="22">
        <f>(6.16)*(1)*(1)*(1)*(1 + (0))</f>
      </c>
      <c r="D2660" s="22" t="s">
        <v>182</v>
      </c>
      <c r="E2660" s="22"/>
      <c r="F2660" s="22">
        <f>C2660*E2660</f>
      </c>
    </row>
    <row r="2661">
      <c r="A2661" s="5"/>
      <c r="B2661" s="13" t="s">
        <v>1705</v>
      </c>
      <c r="C2661" s="22">
        <f>(7.39)*(1)*(1)*(1)*(1 + (0))</f>
      </c>
      <c r="D2661" s="22" t="s">
        <v>182</v>
      </c>
      <c r="E2661" s="22"/>
      <c r="F2661" s="22">
        <f>C2661*E2661</f>
      </c>
    </row>
    <row r="2662">
      <c r="A2662" s="4"/>
      <c r="B2662" s="12" t="s">
        <v>629</v>
      </c>
      <c r="C2662" s="21"/>
      <c r="D2662" s="21"/>
      <c r="E2662" s="21"/>
      <c r="F2662" s="21"/>
    </row>
    <row r="2663">
      <c r="A2663" s="5"/>
      <c r="B2663" s="13" t="s">
        <v>1706</v>
      </c>
      <c r="C2663" s="22">
        <f>(0.63)*(1)*(1)*(1)*(1 + (0))</f>
      </c>
      <c r="D2663" s="22" t="s">
        <v>182</v>
      </c>
      <c r="E2663" s="22"/>
      <c r="F2663" s="22">
        <f>C2663*E2663</f>
      </c>
    </row>
    <row r="2664">
      <c r="A2664" s="5"/>
      <c r="B2664" s="13" t="s">
        <v>1707</v>
      </c>
      <c r="C2664" s="22">
        <f>(21.25)*(1)*(1)*(1)*(1 + (0))</f>
      </c>
      <c r="D2664" s="22" t="s">
        <v>182</v>
      </c>
      <c r="E2664" s="22"/>
      <c r="F2664" s="22">
        <f>C2664*E2664</f>
      </c>
    </row>
    <row r="2665">
      <c r="A2665" s="5"/>
      <c r="B2665" s="13" t="s">
        <v>1708</v>
      </c>
      <c r="C2665" s="22">
        <f>(1.22)*(1)*(1)*(1)*(1 + (0))</f>
      </c>
      <c r="D2665" s="22" t="s">
        <v>182</v>
      </c>
      <c r="E2665" s="22"/>
      <c r="F2665" s="22">
        <f>C2665*E2665</f>
      </c>
    </row>
    <row r="2666">
      <c r="A2666" s="5"/>
      <c r="B2666" s="13" t="s">
        <v>630</v>
      </c>
      <c r="C2666" s="22">
        <f>(7.39)*(1)*(1)*(1)*(1 + (0))</f>
      </c>
      <c r="D2666" s="22" t="s">
        <v>182</v>
      </c>
      <c r="E2666" s="22"/>
      <c r="F2666" s="22">
        <f>C2666*E2666</f>
      </c>
    </row>
    <row r="2667">
      <c r="A2667" s="2"/>
      <c r="B2667" s="10" t="s">
        <v>631</v>
      </c>
      <c r="C2667" s="19"/>
      <c r="D2667" s="19"/>
      <c r="E2667" s="19"/>
      <c r="F2667" s="19"/>
    </row>
    <row r="2668">
      <c r="A2668" s="3"/>
      <c r="B2668" s="11" t="s">
        <v>37</v>
      </c>
      <c r="C2668" s="20"/>
      <c r="D2668" s="20"/>
      <c r="E2668" s="20"/>
      <c r="F2668" s="20"/>
    </row>
    <row r="2669">
      <c r="A2669" s="5" t="s">
        <v>632</v>
      </c>
      <c r="B2669" s="14" t="s">
        <v>39</v>
      </c>
      <c r="C2669" s="22"/>
      <c r="D2669" s="22" t="s">
        <v>10</v>
      </c>
      <c r="E2669" s="22"/>
      <c r="F2669" s="22">
        <f>C2669*E2669</f>
      </c>
    </row>
    <row r="2670">
      <c r="A2670" s="5" t="s">
        <v>633</v>
      </c>
      <c r="B2670" s="14" t="s">
        <v>41</v>
      </c>
      <c r="C2670" s="22"/>
      <c r="D2670" s="22" t="s">
        <v>10</v>
      </c>
      <c r="E2670" s="22"/>
      <c r="F2670" s="22">
        <f>C2670*E2670</f>
      </c>
    </row>
    <row r="2671">
      <c r="A2671" s="3"/>
      <c r="B2671" s="11" t="s">
        <v>523</v>
      </c>
      <c r="C2671" s="20"/>
      <c r="D2671" s="20"/>
      <c r="E2671" s="20"/>
      <c r="F2671" s="20"/>
    </row>
    <row r="2672">
      <c r="A2672" s="5"/>
      <c r="B2672" s="14" t="s">
        <v>1709</v>
      </c>
      <c r="C2672" s="22"/>
      <c r="D2672" s="22" t="s">
        <v>10</v>
      </c>
      <c r="E2672" s="22"/>
      <c r="F2672" s="22">
        <f>C2672*E2672</f>
      </c>
    </row>
    <row r="2673">
      <c r="A2673" s="5"/>
      <c r="B2673" s="14" t="s">
        <v>635</v>
      </c>
      <c r="C2673" s="22"/>
      <c r="D2673" s="22" t="s">
        <v>10</v>
      </c>
      <c r="E2673" s="22"/>
      <c r="F2673" s="22">
        <f>C2673*E2673</f>
      </c>
    </row>
    <row r="2674">
      <c r="A2674" s="3"/>
      <c r="B2674" s="11" t="s">
        <v>44</v>
      </c>
      <c r="C2674" s="20"/>
      <c r="D2674" s="20"/>
      <c r="E2674" s="20"/>
      <c r="F2674" s="20"/>
    </row>
    <row r="2675">
      <c r="A2675" s="4"/>
      <c r="B2675" s="12" t="s">
        <v>45</v>
      </c>
      <c r="C2675" s="21"/>
      <c r="D2675" s="21"/>
      <c r="E2675" s="21"/>
      <c r="F2675" s="21"/>
    </row>
    <row r="2676">
      <c r="A2676" s="5" t="s">
        <v>637</v>
      </c>
      <c r="B2676" s="13" t="s">
        <v>638</v>
      </c>
      <c r="C2676" s="22"/>
      <c r="D2676" s="22" t="s">
        <v>10</v>
      </c>
      <c r="E2676" s="22"/>
      <c r="F2676" s="22">
        <f>C2676*E2676</f>
      </c>
    </row>
    <row r="2677">
      <c r="A2677" s="5" t="s">
        <v>639</v>
      </c>
      <c r="B2677" s="13" t="s">
        <v>640</v>
      </c>
      <c r="C2677" s="22"/>
      <c r="D2677" s="22" t="s">
        <v>10</v>
      </c>
      <c r="E2677" s="22"/>
      <c r="F2677" s="22">
        <f>C2677*E2677</f>
      </c>
    </row>
    <row r="2678">
      <c r="A2678" s="5" t="s">
        <v>641</v>
      </c>
      <c r="B2678" s="13" t="s">
        <v>642</v>
      </c>
      <c r="C2678" s="22"/>
      <c r="D2678" s="22" t="s">
        <v>10</v>
      </c>
      <c r="E2678" s="22"/>
      <c r="F2678" s="22">
        <f>C2678*E2678</f>
      </c>
    </row>
    <row r="2679">
      <c r="A2679" s="5" t="s">
        <v>643</v>
      </c>
      <c r="B2679" s="13" t="s">
        <v>644</v>
      </c>
      <c r="C2679" s="22"/>
      <c r="D2679" s="22" t="s">
        <v>10</v>
      </c>
      <c r="E2679" s="22"/>
      <c r="F2679" s="22">
        <f>C2679*E2679</f>
      </c>
    </row>
    <row r="2680">
      <c r="A2680" s="5" t="s">
        <v>645</v>
      </c>
      <c r="B2680" s="13" t="s">
        <v>646</v>
      </c>
      <c r="C2680" s="22"/>
      <c r="D2680" s="22" t="s">
        <v>10</v>
      </c>
      <c r="E2680" s="22"/>
      <c r="F2680" s="22">
        <f>C2680*E2680</f>
      </c>
    </row>
    <row r="2681">
      <c r="A2681" s="5" t="s">
        <v>647</v>
      </c>
      <c r="B2681" s="13" t="s">
        <v>648</v>
      </c>
      <c r="C2681" s="22"/>
      <c r="D2681" s="22" t="s">
        <v>10</v>
      </c>
      <c r="E2681" s="22"/>
      <c r="F2681" s="22">
        <f>C2681*E2681</f>
      </c>
    </row>
    <row r="2682">
      <c r="A2682" s="5" t="s">
        <v>649</v>
      </c>
      <c r="B2682" s="13" t="s">
        <v>650</v>
      </c>
      <c r="C2682" s="22"/>
      <c r="D2682" s="22" t="s">
        <v>10</v>
      </c>
      <c r="E2682" s="22"/>
      <c r="F2682" s="22">
        <f>C2682*E2682</f>
      </c>
    </row>
    <row r="2683">
      <c r="A2683" s="5" t="s">
        <v>651</v>
      </c>
      <c r="B2683" s="13" t="s">
        <v>652</v>
      </c>
      <c r="C2683" s="22"/>
      <c r="D2683" s="22" t="s">
        <v>10</v>
      </c>
      <c r="E2683" s="22"/>
      <c r="F2683" s="22">
        <f>C2683*E2683</f>
      </c>
    </row>
    <row r="2684">
      <c r="A2684" s="5" t="s">
        <v>653</v>
      </c>
      <c r="B2684" s="13" t="s">
        <v>654</v>
      </c>
      <c r="C2684" s="22"/>
      <c r="D2684" s="22" t="s">
        <v>10</v>
      </c>
      <c r="E2684" s="22"/>
      <c r="F2684" s="22">
        <f>C2684*E2684</f>
      </c>
    </row>
    <row r="2685">
      <c r="A2685" s="3"/>
      <c r="B2685" s="11" t="s">
        <v>68</v>
      </c>
      <c r="C2685" s="20"/>
      <c r="D2685" s="20"/>
      <c r="E2685" s="20"/>
      <c r="F2685" s="20"/>
    </row>
    <row r="2686">
      <c r="A2686" s="5" t="s">
        <v>655</v>
      </c>
      <c r="B2686" s="14" t="s">
        <v>656</v>
      </c>
      <c r="C2686" s="22">
        <f>(1)*(1)*(1)*(1)*(1 + (0))</f>
      </c>
      <c r="D2686" s="22" t="s">
        <v>71</v>
      </c>
      <c r="E2686" s="22"/>
      <c r="F2686" s="22">
        <f>C2686*E2686</f>
      </c>
    </row>
    <row r="2687">
      <c r="A2687" s="5" t="s">
        <v>657</v>
      </c>
      <c r="B2687" s="14" t="s">
        <v>658</v>
      </c>
      <c r="C2687" s="22">
        <f>(1)*(1)*(1)*(1)*(1 + (0))</f>
      </c>
      <c r="D2687" s="22" t="s">
        <v>71</v>
      </c>
      <c r="E2687" s="22"/>
      <c r="F2687" s="22">
        <f>C2687*E2687</f>
      </c>
    </row>
    <row r="2688">
      <c r="A2688" s="5" t="s">
        <v>659</v>
      </c>
      <c r="B2688" s="14" t="s">
        <v>660</v>
      </c>
      <c r="C2688" s="22">
        <f>(1)*(1)*(1)*(1)*(1 + (0))</f>
      </c>
      <c r="D2688" s="22" t="s">
        <v>71</v>
      </c>
      <c r="E2688" s="22"/>
      <c r="F2688" s="22">
        <f>C2688*E2688</f>
      </c>
    </row>
    <row r="2689">
      <c r="A2689" s="5" t="s">
        <v>661</v>
      </c>
      <c r="B2689" s="14" t="s">
        <v>77</v>
      </c>
      <c r="C2689" s="22">
        <f>(1)*(1)*(1)*(1)*(1 + (0))</f>
      </c>
      <c r="D2689" s="22" t="s">
        <v>71</v>
      </c>
      <c r="E2689" s="22"/>
      <c r="F2689" s="22">
        <f>C2689*E2689</f>
      </c>
    </row>
    <row r="2690">
      <c r="A2690" s="5" t="s">
        <v>662</v>
      </c>
      <c r="B2690" s="14" t="s">
        <v>663</v>
      </c>
      <c r="C2690" s="22">
        <f>(1)*(1)*(1)*(1)*(1 + (0))</f>
      </c>
      <c r="D2690" s="22" t="s">
        <v>71</v>
      </c>
      <c r="E2690" s="22"/>
      <c r="F2690" s="22">
        <f>C2690*E2690</f>
      </c>
    </row>
    <row r="2691">
      <c r="A2691" s="5" t="s">
        <v>664</v>
      </c>
      <c r="B2691" s="14" t="s">
        <v>665</v>
      </c>
      <c r="C2691" s="22">
        <f>(1)*(1)*(1)*(1)*(1 + (0))</f>
      </c>
      <c r="D2691" s="22" t="s">
        <v>71</v>
      </c>
      <c r="E2691" s="22"/>
      <c r="F2691" s="22">
        <f>C2691*E2691</f>
      </c>
    </row>
    <row r="2692">
      <c r="A2692" s="5" t="s">
        <v>666</v>
      </c>
      <c r="B2692" s="14" t="s">
        <v>667</v>
      </c>
      <c r="C2692" s="22">
        <f>(1)*(1)*(1)*(1)*(1 + (0))</f>
      </c>
      <c r="D2692" s="22" t="s">
        <v>71</v>
      </c>
      <c r="E2692" s="22"/>
      <c r="F2692" s="22">
        <f>C2692*E2692</f>
      </c>
    </row>
    <row r="2693">
      <c r="A2693" s="5" t="s">
        <v>668</v>
      </c>
      <c r="B2693" s="14" t="s">
        <v>669</v>
      </c>
      <c r="C2693" s="22">
        <f>(1)*(1)*(1)*(1)*(1 + (0))</f>
      </c>
      <c r="D2693" s="22" t="s">
        <v>71</v>
      </c>
      <c r="E2693" s="22"/>
      <c r="F2693" s="22">
        <f>C2693*E2693</f>
      </c>
    </row>
    <row r="2694">
      <c r="A2694" s="3"/>
      <c r="B2694" s="11" t="s">
        <v>106</v>
      </c>
      <c r="C2694" s="20"/>
      <c r="D2694" s="20"/>
      <c r="E2694" s="20"/>
      <c r="F2694" s="20"/>
    </row>
    <row r="2695">
      <c r="A2695" s="5"/>
      <c r="B2695" s="14" t="s">
        <v>670</v>
      </c>
      <c r="C2695" s="22"/>
      <c r="D2695" s="22" t="s">
        <v>10</v>
      </c>
      <c r="E2695" s="22"/>
      <c r="F2695" s="22">
        <f>C2695*E2695</f>
      </c>
    </row>
    <row r="2696">
      <c r="A2696" s="5"/>
      <c r="B2696" s="14" t="s">
        <v>671</v>
      </c>
      <c r="C2696" s="22"/>
      <c r="D2696" s="22" t="s">
        <v>10</v>
      </c>
      <c r="E2696" s="22"/>
      <c r="F2696" s="22">
        <f>C2696*E2696</f>
      </c>
    </row>
    <row r="2697">
      <c r="A2697" s="3"/>
      <c r="B2697" s="11" t="s">
        <v>672</v>
      </c>
      <c r="C2697" s="20"/>
      <c r="D2697" s="20"/>
      <c r="E2697" s="20"/>
      <c r="F2697" s="20"/>
    </row>
    <row r="2698">
      <c r="A2698" s="4"/>
      <c r="B2698" s="12" t="s">
        <v>673</v>
      </c>
      <c r="C2698" s="21"/>
      <c r="D2698" s="21"/>
      <c r="E2698" s="21"/>
      <c r="F2698" s="21"/>
    </row>
    <row r="2699">
      <c r="A2699" s="6"/>
      <c r="B2699" s="15" t="s">
        <v>674</v>
      </c>
      <c r="C2699" s="23"/>
      <c r="D2699" s="23"/>
      <c r="E2699" s="23"/>
      <c r="F2699" s="23"/>
    </row>
    <row r="2700">
      <c r="A2700" s="5"/>
      <c r="B2700" s="16" t="s">
        <v>675</v>
      </c>
      <c r="C2700" s="22"/>
      <c r="D2700" s="22"/>
      <c r="E2700" s="22"/>
      <c r="F2700" s="22"/>
    </row>
    <row r="2701">
      <c r="A2701" s="5"/>
      <c r="B2701" s="17" t="s">
        <v>1695</v>
      </c>
      <c r="C2701" s="22">
        <f>(98)*(1)*(1)*(1)*(1 + (0))</f>
      </c>
      <c r="D2701" s="22" t="s">
        <v>24</v>
      </c>
      <c r="E2701" s="22"/>
      <c r="F2701" s="22">
        <f>C2701*E2701</f>
      </c>
    </row>
    <row r="2702">
      <c r="A2702" s="5"/>
      <c r="B2702" s="17" t="s">
        <v>1698</v>
      </c>
      <c r="C2702" s="22">
        <f>(13)*(1)*(1)*(1)*(1 + (0))</f>
      </c>
      <c r="D2702" s="22" t="s">
        <v>24</v>
      </c>
      <c r="E2702" s="22"/>
      <c r="F2702" s="22">
        <f>C2702*E2702</f>
      </c>
    </row>
    <row r="2703">
      <c r="A2703" s="5"/>
      <c r="B2703" s="16" t="s">
        <v>677</v>
      </c>
      <c r="C2703" s="22"/>
      <c r="D2703" s="22"/>
      <c r="E2703" s="22"/>
      <c r="F2703" s="22"/>
    </row>
    <row r="2704">
      <c r="A2704" s="5"/>
      <c r="B2704" s="17" t="s">
        <v>1710</v>
      </c>
      <c r="C2704" s="22">
        <f>(15)*(1)*(1)*(1)*(1 + (0))</f>
      </c>
      <c r="D2704" s="22" t="s">
        <v>24</v>
      </c>
      <c r="E2704" s="22"/>
      <c r="F2704" s="22">
        <f>C2704*E2704</f>
      </c>
    </row>
    <row r="2705">
      <c r="A2705" s="5"/>
      <c r="B2705" s="16" t="s">
        <v>678</v>
      </c>
      <c r="C2705" s="22"/>
      <c r="D2705" s="22"/>
      <c r="E2705" s="22"/>
      <c r="F2705" s="22"/>
    </row>
    <row r="2706">
      <c r="A2706" s="5"/>
      <c r="B2706" s="17" t="s">
        <v>1711</v>
      </c>
      <c r="C2706" s="22">
        <f>(112)*(1)*(1)*(1)*(1 + (0))</f>
      </c>
      <c r="D2706" s="22" t="s">
        <v>153</v>
      </c>
      <c r="E2706" s="22"/>
      <c r="F2706" s="22">
        <f>C2706*E2706</f>
      </c>
    </row>
    <row r="2707">
      <c r="A2707" s="5"/>
      <c r="B2707" s="17" t="s">
        <v>1698</v>
      </c>
      <c r="C2707" s="22">
        <f>(24)*(1)*(1)*(1)*(1 + (0))</f>
      </c>
      <c r="D2707" s="22" t="s">
        <v>153</v>
      </c>
      <c r="E2707" s="22"/>
      <c r="F2707" s="22">
        <f>C2707*E2707</f>
      </c>
    </row>
    <row r="2708">
      <c r="A2708" s="4"/>
      <c r="B2708" s="12" t="s">
        <v>679</v>
      </c>
      <c r="C2708" s="21"/>
      <c r="D2708" s="21"/>
      <c r="E2708" s="21"/>
      <c r="F2708" s="21"/>
    </row>
    <row r="2709">
      <c r="A2709" s="6"/>
      <c r="B2709" s="15" t="s">
        <v>680</v>
      </c>
      <c r="C2709" s="23"/>
      <c r="D2709" s="23"/>
      <c r="E2709" s="23"/>
      <c r="F2709" s="23"/>
    </row>
    <row r="2710">
      <c r="A2710" s="5"/>
      <c r="B2710" s="16" t="s">
        <v>681</v>
      </c>
      <c r="C2710" s="22"/>
      <c r="D2710" s="22"/>
      <c r="E2710" s="22"/>
      <c r="F2710" s="22"/>
    </row>
    <row r="2711">
      <c r="A2711" s="5"/>
      <c r="B2711" s="17" t="s">
        <v>1698</v>
      </c>
      <c r="C2711" s="22">
        <f>(116)*(1)*(1)*(1)*(1 + (0))</f>
      </c>
      <c r="D2711" s="22" t="s">
        <v>24</v>
      </c>
      <c r="E2711" s="22"/>
      <c r="F2711" s="22">
        <f>C2711*E2711</f>
      </c>
    </row>
    <row r="2712">
      <c r="A2712" s="5"/>
      <c r="B2712" s="16" t="s">
        <v>678</v>
      </c>
      <c r="C2712" s="22"/>
      <c r="D2712" s="22"/>
      <c r="E2712" s="22"/>
      <c r="F2712" s="22"/>
    </row>
    <row r="2713">
      <c r="A2713" s="5"/>
      <c r="B2713" s="17" t="s">
        <v>1698</v>
      </c>
      <c r="C2713" s="22">
        <f>(35)*(1)*(1)*(1)*(1 + (0))</f>
      </c>
      <c r="D2713" s="22" t="s">
        <v>153</v>
      </c>
      <c r="E2713" s="22"/>
      <c r="F2713" s="22">
        <f>C2713*E2713</f>
      </c>
    </row>
    <row r="2714">
      <c r="A2714" s="6"/>
      <c r="B2714" s="15" t="s">
        <v>1712</v>
      </c>
      <c r="C2714" s="23"/>
      <c r="D2714" s="23"/>
      <c r="E2714" s="23"/>
      <c r="F2714" s="23"/>
    </row>
    <row r="2715">
      <c r="A2715" s="5"/>
      <c r="B2715" s="16" t="s">
        <v>678</v>
      </c>
      <c r="C2715" s="22"/>
      <c r="D2715" s="22"/>
      <c r="E2715" s="22"/>
      <c r="F2715" s="22"/>
    </row>
    <row r="2716">
      <c r="A2716" s="5"/>
      <c r="B2716" s="17" t="s">
        <v>1698</v>
      </c>
      <c r="C2716" s="22">
        <f>(18)*(1)*(1)*(1)*(1 + (0))</f>
      </c>
      <c r="D2716" s="22" t="s">
        <v>153</v>
      </c>
      <c r="E2716" s="22"/>
      <c r="F2716" s="22">
        <f>C2716*E2716</f>
      </c>
    </row>
    <row r="2717">
      <c r="A2717" s="6"/>
      <c r="B2717" s="15" t="s">
        <v>1713</v>
      </c>
      <c r="C2717" s="23"/>
      <c r="D2717" s="23"/>
      <c r="E2717" s="23"/>
      <c r="F2717" s="23"/>
    </row>
    <row r="2718">
      <c r="A2718" s="5"/>
      <c r="B2718" s="16" t="s">
        <v>678</v>
      </c>
      <c r="C2718" s="22"/>
      <c r="D2718" s="22"/>
      <c r="E2718" s="22"/>
      <c r="F2718" s="22"/>
    </row>
    <row r="2719">
      <c r="A2719" s="5"/>
      <c r="B2719" s="17" t="s">
        <v>1711</v>
      </c>
      <c r="C2719" s="22">
        <f>(144)*(1)*(1)*(1)*(1 + (0))</f>
      </c>
      <c r="D2719" s="22" t="s">
        <v>153</v>
      </c>
      <c r="E2719" s="22"/>
      <c r="F2719" s="22">
        <f>C2719*E2719</f>
      </c>
    </row>
    <row r="2720">
      <c r="A2720" s="4"/>
      <c r="B2720" s="12" t="s">
        <v>682</v>
      </c>
      <c r="C2720" s="21"/>
      <c r="D2720" s="21"/>
      <c r="E2720" s="21"/>
      <c r="F2720" s="21"/>
    </row>
    <row r="2721">
      <c r="A2721" s="6"/>
      <c r="B2721" s="15" t="s">
        <v>680</v>
      </c>
      <c r="C2721" s="23"/>
      <c r="D2721" s="23"/>
      <c r="E2721" s="23"/>
      <c r="F2721" s="23"/>
    </row>
    <row r="2722">
      <c r="A2722" s="5"/>
      <c r="B2722" s="16" t="s">
        <v>683</v>
      </c>
      <c r="C2722" s="22"/>
      <c r="D2722" s="22"/>
      <c r="E2722" s="22"/>
      <c r="F2722" s="22"/>
    </row>
    <row r="2723">
      <c r="A2723" s="5"/>
      <c r="B2723" s="17" t="s">
        <v>1698</v>
      </c>
      <c r="C2723" s="22">
        <f>(75)*(1)*(1)*(1)*(1 + (0))</f>
      </c>
      <c r="D2723" s="22" t="s">
        <v>24</v>
      </c>
      <c r="E2723" s="22"/>
      <c r="F2723" s="22">
        <f>C2723*E2723</f>
      </c>
    </row>
    <row r="2724">
      <c r="A2724" s="5"/>
      <c r="B2724" s="16" t="s">
        <v>685</v>
      </c>
      <c r="C2724" s="22"/>
      <c r="D2724" s="22"/>
      <c r="E2724" s="22"/>
      <c r="F2724" s="22"/>
    </row>
    <row r="2725">
      <c r="A2725" s="5"/>
      <c r="B2725" s="17" t="s">
        <v>1698</v>
      </c>
      <c r="C2725" s="22">
        <f>(10)*(1)*(1)*(1)*(1 + (0))</f>
      </c>
      <c r="D2725" s="22" t="s">
        <v>24</v>
      </c>
      <c r="E2725" s="22"/>
      <c r="F2725" s="22">
        <f>C2725*E2725</f>
      </c>
    </row>
    <row r="2726">
      <c r="A2726" s="2"/>
      <c r="B2726" s="10" t="s">
        <v>689</v>
      </c>
      <c r="C2726" s="19"/>
      <c r="D2726" s="19"/>
      <c r="E2726" s="19"/>
      <c r="F2726" s="19"/>
    </row>
    <row r="2727">
      <c r="A2727" s="3"/>
      <c r="B2727" s="11" t="s">
        <v>37</v>
      </c>
      <c r="C2727" s="20"/>
      <c r="D2727" s="20"/>
      <c r="E2727" s="20"/>
      <c r="F2727" s="20"/>
    </row>
    <row r="2728">
      <c r="A2728" s="5" t="s">
        <v>690</v>
      </c>
      <c r="B2728" s="14" t="s">
        <v>39</v>
      </c>
      <c r="C2728" s="22"/>
      <c r="D2728" s="22" t="s">
        <v>10</v>
      </c>
      <c r="E2728" s="22"/>
      <c r="F2728" s="22">
        <f>C2728*E2728</f>
      </c>
    </row>
    <row r="2729">
      <c r="A2729" s="5" t="s">
        <v>691</v>
      </c>
      <c r="B2729" s="14" t="s">
        <v>41</v>
      </c>
      <c r="C2729" s="22"/>
      <c r="D2729" s="22" t="s">
        <v>10</v>
      </c>
      <c r="E2729" s="22"/>
      <c r="F2729" s="22">
        <f>C2729*E2729</f>
      </c>
    </row>
    <row r="2730">
      <c r="A2730" s="3"/>
      <c r="B2730" s="11" t="s">
        <v>42</v>
      </c>
      <c r="C2730" s="20"/>
      <c r="D2730" s="20"/>
      <c r="E2730" s="20"/>
      <c r="F2730" s="20"/>
    </row>
    <row r="2731">
      <c r="A2731" s="5"/>
      <c r="B2731" s="14" t="s">
        <v>692</v>
      </c>
      <c r="C2731" s="22"/>
      <c r="D2731" s="22" t="s">
        <v>10</v>
      </c>
      <c r="E2731" s="22"/>
      <c r="F2731" s="22">
        <f>C2731*E2731</f>
      </c>
    </row>
    <row r="2732">
      <c r="A2732" s="5"/>
      <c r="B2732" s="14" t="s">
        <v>693</v>
      </c>
      <c r="C2732" s="22"/>
      <c r="D2732" s="22" t="s">
        <v>10</v>
      </c>
      <c r="E2732" s="22"/>
      <c r="F2732" s="22">
        <f>C2732*E2732</f>
      </c>
    </row>
    <row r="2733">
      <c r="A2733" s="5"/>
      <c r="B2733" s="14" t="s">
        <v>694</v>
      </c>
      <c r="C2733" s="22"/>
      <c r="D2733" s="22" t="s">
        <v>10</v>
      </c>
      <c r="E2733" s="22"/>
      <c r="F2733" s="22">
        <f>C2733*E2733</f>
      </c>
    </row>
    <row r="2734">
      <c r="A2734" s="3"/>
      <c r="B2734" s="11" t="s">
        <v>44</v>
      </c>
      <c r="C2734" s="20"/>
      <c r="D2734" s="20"/>
      <c r="E2734" s="20"/>
      <c r="F2734" s="20"/>
    </row>
    <row r="2735">
      <c r="A2735" s="4"/>
      <c r="B2735" s="12" t="s">
        <v>45</v>
      </c>
      <c r="C2735" s="21"/>
      <c r="D2735" s="21"/>
      <c r="E2735" s="21"/>
      <c r="F2735" s="21"/>
    </row>
    <row r="2736">
      <c r="A2736" s="5" t="s">
        <v>695</v>
      </c>
      <c r="B2736" s="13" t="s">
        <v>696</v>
      </c>
      <c r="C2736" s="22"/>
      <c r="D2736" s="22" t="s">
        <v>10</v>
      </c>
      <c r="E2736" s="22"/>
      <c r="F2736" s="22">
        <f>C2736*E2736</f>
      </c>
    </row>
    <row r="2737">
      <c r="A2737" s="5" t="s">
        <v>697</v>
      </c>
      <c r="B2737" s="13" t="s">
        <v>698</v>
      </c>
      <c r="C2737" s="22"/>
      <c r="D2737" s="22" t="s">
        <v>10</v>
      </c>
      <c r="E2737" s="22"/>
      <c r="F2737" s="22">
        <f>C2737*E2737</f>
      </c>
    </row>
    <row r="2738">
      <c r="A2738" s="5" t="s">
        <v>699</v>
      </c>
      <c r="B2738" s="13" t="s">
        <v>700</v>
      </c>
      <c r="C2738" s="22"/>
      <c r="D2738" s="22" t="s">
        <v>10</v>
      </c>
      <c r="E2738" s="22"/>
      <c r="F2738" s="22">
        <f>C2738*E2738</f>
      </c>
    </row>
    <row r="2739">
      <c r="A2739" s="5" t="s">
        <v>701</v>
      </c>
      <c r="B2739" s="13" t="s">
        <v>646</v>
      </c>
      <c r="C2739" s="22"/>
      <c r="D2739" s="22" t="s">
        <v>10</v>
      </c>
      <c r="E2739" s="22"/>
      <c r="F2739" s="22">
        <f>C2739*E2739</f>
      </c>
    </row>
    <row r="2740">
      <c r="A2740" s="5" t="s">
        <v>702</v>
      </c>
      <c r="B2740" s="13" t="s">
        <v>648</v>
      </c>
      <c r="C2740" s="22"/>
      <c r="D2740" s="22" t="s">
        <v>10</v>
      </c>
      <c r="E2740" s="22"/>
      <c r="F2740" s="22">
        <f>C2740*E2740</f>
      </c>
    </row>
    <row r="2741">
      <c r="A2741" s="5" t="s">
        <v>703</v>
      </c>
      <c r="B2741" s="13" t="s">
        <v>704</v>
      </c>
      <c r="C2741" s="22"/>
      <c r="D2741" s="22" t="s">
        <v>10</v>
      </c>
      <c r="E2741" s="22"/>
      <c r="F2741" s="22">
        <f>C2741*E2741</f>
      </c>
    </row>
    <row r="2742">
      <c r="A2742" s="5" t="s">
        <v>705</v>
      </c>
      <c r="B2742" s="13" t="s">
        <v>123</v>
      </c>
      <c r="C2742" s="22"/>
      <c r="D2742" s="22" t="s">
        <v>10</v>
      </c>
      <c r="E2742" s="22"/>
      <c r="F2742" s="22">
        <f>C2742*E2742</f>
      </c>
    </row>
    <row r="2743">
      <c r="A2743" s="3"/>
      <c r="B2743" s="11" t="s">
        <v>68</v>
      </c>
      <c r="C2743" s="20"/>
      <c r="D2743" s="20"/>
      <c r="E2743" s="20"/>
      <c r="F2743" s="20"/>
    </row>
    <row r="2744">
      <c r="A2744" s="5" t="s">
        <v>706</v>
      </c>
      <c r="B2744" s="14" t="s">
        <v>707</v>
      </c>
      <c r="C2744" s="22">
        <f>(1)*(1)*(1)*(1)*(1 + (0))</f>
      </c>
      <c r="D2744" s="22" t="s">
        <v>71</v>
      </c>
      <c r="E2744" s="22"/>
      <c r="F2744" s="22">
        <f>C2744*E2744</f>
      </c>
    </row>
    <row r="2745">
      <c r="A2745" s="5" t="s">
        <v>708</v>
      </c>
      <c r="B2745" s="14" t="s">
        <v>709</v>
      </c>
      <c r="C2745" s="22">
        <f>(1)*(1)*(1)*(1)*(1 + (0))</f>
      </c>
      <c r="D2745" s="22" t="s">
        <v>71</v>
      </c>
      <c r="E2745" s="22"/>
      <c r="F2745" s="22">
        <f>C2745*E2745</f>
      </c>
    </row>
    <row r="2746">
      <c r="A2746" s="5" t="s">
        <v>710</v>
      </c>
      <c r="B2746" s="14" t="s">
        <v>711</v>
      </c>
      <c r="C2746" s="22">
        <f>(1)*(1)*(1)*(1)*(1 + (0))</f>
      </c>
      <c r="D2746" s="22" t="s">
        <v>71</v>
      </c>
      <c r="E2746" s="22"/>
      <c r="F2746" s="22">
        <f>C2746*E2746</f>
      </c>
    </row>
    <row r="2747">
      <c r="A2747" s="5" t="s">
        <v>712</v>
      </c>
      <c r="B2747" s="14" t="s">
        <v>79</v>
      </c>
      <c r="C2747" s="22">
        <f>(1)*(1)*(1)*(1)*(1 + (0))</f>
      </c>
      <c r="D2747" s="22" t="s">
        <v>71</v>
      </c>
      <c r="E2747" s="22"/>
      <c r="F2747" s="22">
        <f>C2747*E2747</f>
      </c>
    </row>
    <row r="2748">
      <c r="A2748" s="5" t="s">
        <v>713</v>
      </c>
      <c r="B2748" s="14" t="s">
        <v>714</v>
      </c>
      <c r="C2748" s="22">
        <f>(1)*(1)*(1)*(1)*(1 + (0))</f>
      </c>
      <c r="D2748" s="22" t="s">
        <v>71</v>
      </c>
      <c r="E2748" s="22"/>
      <c r="F2748" s="22">
        <f>C2748*E2748</f>
      </c>
    </row>
    <row r="2749">
      <c r="A2749" s="5" t="s">
        <v>715</v>
      </c>
      <c r="B2749" s="14" t="s">
        <v>716</v>
      </c>
      <c r="C2749" s="22">
        <f>(1)*(1)*(1)*(1)*(1 + (0))</f>
      </c>
      <c r="D2749" s="22" t="s">
        <v>71</v>
      </c>
      <c r="E2749" s="22"/>
      <c r="F2749" s="22">
        <f>C2749*E2749</f>
      </c>
    </row>
    <row r="2750">
      <c r="A2750" s="5" t="s">
        <v>717</v>
      </c>
      <c r="B2750" s="14" t="s">
        <v>718</v>
      </c>
      <c r="C2750" s="22">
        <f>(1)*(1)*(1)*(1)*(1 + (0))</f>
      </c>
      <c r="D2750" s="22" t="s">
        <v>71</v>
      </c>
      <c r="E2750" s="22"/>
      <c r="F2750" s="22">
        <f>C2750*E2750</f>
      </c>
    </row>
    <row r="2751">
      <c r="A2751" s="5" t="s">
        <v>719</v>
      </c>
      <c r="B2751" s="14" t="s">
        <v>720</v>
      </c>
      <c r="C2751" s="22">
        <f>(1)*(1)*(1)*(1)*(1 + (0))</f>
      </c>
      <c r="D2751" s="22" t="s">
        <v>71</v>
      </c>
      <c r="E2751" s="22"/>
      <c r="F2751" s="22">
        <f>C2751*E2751</f>
      </c>
    </row>
    <row r="2752">
      <c r="A2752" s="3"/>
      <c r="B2752" s="11" t="s">
        <v>721</v>
      </c>
      <c r="C2752" s="20"/>
      <c r="D2752" s="20"/>
      <c r="E2752" s="20"/>
      <c r="F2752" s="20"/>
    </row>
    <row r="2753">
      <c r="A2753" s="5"/>
      <c r="B2753" s="14" t="s">
        <v>722</v>
      </c>
      <c r="C2753" s="22">
        <f>(1261)*(1)*(1)*(1)*(1 + (0))</f>
      </c>
      <c r="D2753" s="22" t="s">
        <v>24</v>
      </c>
      <c r="E2753" s="22"/>
      <c r="F2753" s="22">
        <f>C2753*E2753</f>
      </c>
    </row>
    <row r="2754">
      <c r="A2754" s="3"/>
      <c r="B2754" s="11" t="s">
        <v>723</v>
      </c>
      <c r="C2754" s="20"/>
      <c r="D2754" s="20"/>
      <c r="E2754" s="20"/>
      <c r="F2754" s="20"/>
    </row>
    <row r="2755">
      <c r="A2755" s="5"/>
      <c r="B2755" s="14" t="s">
        <v>724</v>
      </c>
      <c r="C2755" s="22">
        <f>(1251)*(1)*(1)*(1)*(1 + (0))</f>
      </c>
      <c r="D2755" s="22" t="s">
        <v>24</v>
      </c>
      <c r="E2755" s="22"/>
      <c r="F2755" s="22">
        <f>C2755*E2755</f>
      </c>
    </row>
    <row r="2756">
      <c r="A2756" s="5"/>
      <c r="B2756" s="14" t="s">
        <v>725</v>
      </c>
      <c r="C2756" s="22">
        <f>(80)*(1)*(1)*(1)*(1 + (0))</f>
      </c>
      <c r="D2756" s="22" t="s">
        <v>24</v>
      </c>
      <c r="E2756" s="22"/>
      <c r="F2756" s="22">
        <f>C2756*E2756</f>
      </c>
    </row>
    <row r="2757">
      <c r="A2757" s="5"/>
      <c r="B2757" s="14" t="s">
        <v>726</v>
      </c>
      <c r="C2757" s="22">
        <f>(373)*(1)*(1)*(1)*(1 + (0))</f>
      </c>
      <c r="D2757" s="22" t="s">
        <v>24</v>
      </c>
      <c r="E2757" s="22"/>
      <c r="F2757" s="22">
        <f>C2757*E2757</f>
      </c>
    </row>
    <row r="2758">
      <c r="A2758" s="5"/>
      <c r="B2758" s="14" t="s">
        <v>727</v>
      </c>
      <c r="C2758" s="22">
        <f>(1251)*(1)*(1)*(1)*(1 + (0))</f>
      </c>
      <c r="D2758" s="22" t="s">
        <v>24</v>
      </c>
      <c r="E2758" s="22"/>
      <c r="F2758" s="22">
        <f>C2758*E2758</f>
      </c>
    </row>
    <row r="2759">
      <c r="A2759" s="3"/>
      <c r="B2759" s="11" t="s">
        <v>728</v>
      </c>
      <c r="C2759" s="20"/>
      <c r="D2759" s="20"/>
      <c r="E2759" s="20"/>
      <c r="F2759" s="20"/>
    </row>
    <row r="2760">
      <c r="A2760" s="5"/>
      <c r="B2760" s="14" t="s">
        <v>729</v>
      </c>
      <c r="C2760" s="22">
        <f>(1251)*(1)*(1)*(1)*(1 + (0))</f>
      </c>
      <c r="D2760" s="22" t="s">
        <v>24</v>
      </c>
      <c r="E2760" s="22"/>
      <c r="F2760" s="22">
        <f>C2760*E2760</f>
      </c>
    </row>
    <row r="2761">
      <c r="A2761" s="3"/>
      <c r="B2761" s="11" t="s">
        <v>730</v>
      </c>
      <c r="C2761" s="20"/>
      <c r="D2761" s="20"/>
      <c r="E2761" s="20"/>
      <c r="F2761" s="20"/>
    </row>
    <row r="2762">
      <c r="A2762" s="4"/>
      <c r="B2762" s="12" t="s">
        <v>731</v>
      </c>
      <c r="C2762" s="21"/>
      <c r="D2762" s="21"/>
      <c r="E2762" s="21"/>
      <c r="F2762" s="21"/>
    </row>
    <row r="2763">
      <c r="A2763" s="5"/>
      <c r="B2763" s="13" t="s">
        <v>732</v>
      </c>
      <c r="C2763" s="22">
        <f>(11)*(1)*(1)*(1)*(1 + (0))</f>
      </c>
      <c r="D2763" s="22" t="s">
        <v>153</v>
      </c>
      <c r="E2763" s="22"/>
      <c r="F2763" s="22">
        <f>C2763*E2763</f>
      </c>
    </row>
    <row r="2764">
      <c r="A2764" s="5"/>
      <c r="B2764" s="13" t="s">
        <v>733</v>
      </c>
      <c r="C2764" s="22">
        <f>(48)*(1)*(1)*(1)*(1 + (0))</f>
      </c>
      <c r="D2764" s="22" t="s">
        <v>153</v>
      </c>
      <c r="E2764" s="22"/>
      <c r="F2764" s="22">
        <f>C2764*E2764</f>
      </c>
    </row>
    <row r="2765">
      <c r="A2765" s="4"/>
      <c r="B2765" s="12" t="s">
        <v>734</v>
      </c>
      <c r="C2765" s="21"/>
      <c r="D2765" s="21"/>
      <c r="E2765" s="21"/>
      <c r="F2765" s="21"/>
    </row>
    <row r="2766">
      <c r="A2766" s="5"/>
      <c r="B2766" s="13" t="s">
        <v>735</v>
      </c>
      <c r="C2766" s="22">
        <f>(11)*(1)*(1)*(1)*(1 + (0))</f>
      </c>
      <c r="D2766" s="22" t="s">
        <v>153</v>
      </c>
      <c r="E2766" s="22"/>
      <c r="F2766" s="22">
        <f>C2766*E2766</f>
      </c>
    </row>
    <row r="2767">
      <c r="A2767" s="5"/>
      <c r="B2767" s="13" t="s">
        <v>736</v>
      </c>
      <c r="C2767" s="22">
        <f>(11)*(1)*(1)*(1)*(1 + (0))</f>
      </c>
      <c r="D2767" s="22" t="s">
        <v>153</v>
      </c>
      <c r="E2767" s="22"/>
      <c r="F2767" s="22">
        <f>C2767*E2767</f>
      </c>
    </row>
    <row r="2768">
      <c r="A2768" s="5"/>
      <c r="B2768" s="13" t="s">
        <v>1714</v>
      </c>
      <c r="C2768" s="22">
        <f>(182)*(1)*(1)*(1)*(1 + (0))</f>
      </c>
      <c r="D2768" s="22" t="s">
        <v>153</v>
      </c>
      <c r="E2768" s="22"/>
      <c r="F2768" s="22">
        <f>C2768*E2768</f>
      </c>
    </row>
    <row r="2769">
      <c r="A2769" s="4"/>
      <c r="B2769" s="12" t="s">
        <v>738</v>
      </c>
      <c r="C2769" s="21"/>
      <c r="D2769" s="21"/>
      <c r="E2769" s="21"/>
      <c r="F2769" s="21"/>
    </row>
    <row r="2770">
      <c r="A2770" s="5"/>
      <c r="B2770" s="13" t="s">
        <v>739</v>
      </c>
      <c r="C2770" s="22">
        <f>(75)*(1)*(1)*(1)*(1 + (0))</f>
      </c>
      <c r="D2770" s="22" t="s">
        <v>24</v>
      </c>
      <c r="E2770" s="22"/>
      <c r="F2770" s="22">
        <f>C2770*E2770</f>
      </c>
    </row>
    <row r="2771">
      <c r="A2771" s="3"/>
      <c r="B2771" s="11" t="s">
        <v>740</v>
      </c>
      <c r="C2771" s="20"/>
      <c r="D2771" s="20"/>
      <c r="E2771" s="20"/>
      <c r="F2771" s="20"/>
    </row>
    <row r="2772">
      <c r="A2772" s="5"/>
      <c r="B2772" s="14" t="s">
        <v>741</v>
      </c>
      <c r="C2772" s="22">
        <f>(54)*(1)*(1)*(1)*(1 + (0))</f>
      </c>
      <c r="D2772" s="22" t="s">
        <v>153</v>
      </c>
      <c r="E2772" s="22"/>
      <c r="F2772" s="22">
        <f>C2772*E2772</f>
      </c>
    </row>
    <row r="2773">
      <c r="A2773" s="5"/>
      <c r="B2773" s="14" t="s">
        <v>742</v>
      </c>
      <c r="C2773" s="22">
        <f>(10)*(1)*(1)*(1)*(1 + (0))</f>
      </c>
      <c r="D2773" s="22" t="s">
        <v>153</v>
      </c>
      <c r="E2773" s="22"/>
      <c r="F2773" s="22">
        <f>C2773*E2773</f>
      </c>
    </row>
    <row r="2774">
      <c r="A2774" s="5"/>
      <c r="B2774" s="14" t="s">
        <v>1715</v>
      </c>
      <c r="C2774" s="22">
        <f>(7)*(1)*(1)*(1)*(1 + (0))</f>
      </c>
      <c r="D2774" s="22" t="s">
        <v>153</v>
      </c>
      <c r="E2774" s="22"/>
      <c r="F2774" s="22">
        <f>C2774*E2774</f>
      </c>
    </row>
    <row r="2775">
      <c r="A2775" s="5"/>
      <c r="B2775" s="14" t="s">
        <v>1716</v>
      </c>
      <c r="C2775" s="22">
        <f>(1)*(1)*(1)*(1)*(1 + (0))</f>
      </c>
      <c r="D2775" s="22" t="s">
        <v>162</v>
      </c>
      <c r="E2775" s="22"/>
      <c r="F2775" s="22">
        <f>C2775*E2775</f>
      </c>
    </row>
    <row r="2776">
      <c r="A2776" s="5"/>
      <c r="B2776" s="14" t="s">
        <v>747</v>
      </c>
      <c r="C2776" s="22">
        <f>(2)*(1)*(1)*(1)*(1 + (0))</f>
      </c>
      <c r="D2776" s="22" t="s">
        <v>162</v>
      </c>
      <c r="E2776" s="22"/>
      <c r="F2776" s="22">
        <f>C2776*E2776</f>
      </c>
    </row>
    <row r="2777">
      <c r="A2777" s="5"/>
      <c r="B2777" s="14" t="s">
        <v>748</v>
      </c>
      <c r="C2777" s="22">
        <f>(8)*(1)*(1)*(1)*(1 + (0))</f>
      </c>
      <c r="D2777" s="22" t="s">
        <v>162</v>
      </c>
      <c r="E2777" s="22"/>
      <c r="F2777" s="22">
        <f>C2777*E2777</f>
      </c>
    </row>
    <row r="2778">
      <c r="A2778" s="5"/>
      <c r="B2778" s="14" t="s">
        <v>749</v>
      </c>
      <c r="C2778" s="22">
        <f>(54)*(1)*(1)*(1)*(1 + (0))</f>
      </c>
      <c r="D2778" s="22" t="s">
        <v>153</v>
      </c>
      <c r="E2778" s="22"/>
      <c r="F2778" s="22">
        <f>C2778*E2778</f>
      </c>
    </row>
    <row r="2779">
      <c r="A2779" s="5"/>
      <c r="B2779" s="14" t="s">
        <v>750</v>
      </c>
      <c r="C2779" s="22">
        <f>(2)*(1)*(1)*(1)*(1 + (0))</f>
      </c>
      <c r="D2779" s="22" t="s">
        <v>162</v>
      </c>
      <c r="E2779" s="22"/>
      <c r="F2779" s="22">
        <f>C2779*E2779</f>
      </c>
    </row>
    <row r="2780">
      <c r="A2780" s="5"/>
      <c r="B2780" s="14" t="s">
        <v>751</v>
      </c>
      <c r="C2780" s="22">
        <f>(8)*(1)*(1)*(1)*(1 + (0))</f>
      </c>
      <c r="D2780" s="22" t="s">
        <v>162</v>
      </c>
      <c r="E2780" s="22"/>
      <c r="F2780" s="22">
        <f>C2780*E2780</f>
      </c>
    </row>
    <row r="2781">
      <c r="A2781" s="5"/>
      <c r="B2781" s="14" t="s">
        <v>752</v>
      </c>
      <c r="C2781" s="22">
        <f>(2)*(1)*(1)*(1)*(1 + (0))</f>
      </c>
      <c r="D2781" s="22" t="s">
        <v>162</v>
      </c>
      <c r="E2781" s="22"/>
      <c r="F2781" s="22">
        <f>C2781*E2781</f>
      </c>
    </row>
    <row r="2782">
      <c r="A2782" s="3"/>
      <c r="B2782" s="11" t="s">
        <v>753</v>
      </c>
      <c r="C2782" s="20"/>
      <c r="D2782" s="20"/>
      <c r="E2782" s="20"/>
      <c r="F2782" s="20"/>
    </row>
    <row r="2783">
      <c r="A2783" s="5"/>
      <c r="B2783" s="14" t="s">
        <v>754</v>
      </c>
      <c r="C2783" s="22">
        <f>(1)*(1)*(1)*(1)*(1 + (0))</f>
      </c>
      <c r="D2783" s="22" t="s">
        <v>162</v>
      </c>
      <c r="E2783" s="22"/>
      <c r="F2783" s="22">
        <f>C2783*E2783</f>
      </c>
    </row>
    <row r="2784">
      <c r="A2784" s="5"/>
      <c r="B2784" s="14" t="s">
        <v>755</v>
      </c>
      <c r="C2784" s="22">
        <f>(1)*(1)*(1)*(1)*(1 + (0))</f>
      </c>
      <c r="D2784" s="22" t="s">
        <v>162</v>
      </c>
      <c r="E2784" s="22"/>
      <c r="F2784" s="22">
        <f>C2784*E2784</f>
      </c>
    </row>
    <row r="2785">
      <c r="A2785" s="5"/>
      <c r="B2785" s="14" t="s">
        <v>756</v>
      </c>
      <c r="C2785" s="22">
        <f>(1)*(1)*(1)*(1)*(1 + (0))</f>
      </c>
      <c r="D2785" s="22" t="s">
        <v>71</v>
      </c>
      <c r="E2785" s="22"/>
      <c r="F2785" s="22">
        <f>C2785*E2785</f>
      </c>
    </row>
    <row r="2786">
      <c r="A2786" s="2"/>
      <c r="B2786" s="10" t="s">
        <v>757</v>
      </c>
      <c r="C2786" s="19"/>
      <c r="D2786" s="19"/>
      <c r="E2786" s="19"/>
      <c r="F2786" s="19"/>
    </row>
    <row r="2787">
      <c r="A2787" s="3"/>
      <c r="B2787" s="11" t="s">
        <v>37</v>
      </c>
      <c r="C2787" s="20"/>
      <c r="D2787" s="20"/>
      <c r="E2787" s="20"/>
      <c r="F2787" s="20"/>
    </row>
    <row r="2788">
      <c r="A2788" s="5" t="s">
        <v>758</v>
      </c>
      <c r="B2788" s="14" t="s">
        <v>759</v>
      </c>
      <c r="C2788" s="22"/>
      <c r="D2788" s="22" t="s">
        <v>10</v>
      </c>
      <c r="E2788" s="22"/>
      <c r="F2788" s="22">
        <f>C2788*E2788</f>
      </c>
    </row>
    <row r="2789">
      <c r="A2789" s="5" t="s">
        <v>760</v>
      </c>
      <c r="B2789" s="14" t="s">
        <v>41</v>
      </c>
      <c r="C2789" s="22"/>
      <c r="D2789" s="22" t="s">
        <v>10</v>
      </c>
      <c r="E2789" s="22"/>
      <c r="F2789" s="22">
        <f>C2789*E2789</f>
      </c>
    </row>
    <row r="2790">
      <c r="A2790" s="3"/>
      <c r="B2790" s="11" t="s">
        <v>42</v>
      </c>
      <c r="C2790" s="20"/>
      <c r="D2790" s="20"/>
      <c r="E2790" s="20"/>
      <c r="F2790" s="20"/>
    </row>
    <row r="2791">
      <c r="A2791" s="5"/>
      <c r="B2791" s="14" t="s">
        <v>761</v>
      </c>
      <c r="C2791" s="22"/>
      <c r="D2791" s="22" t="s">
        <v>10</v>
      </c>
      <c r="E2791" s="22"/>
      <c r="F2791" s="22">
        <f>C2791*E2791</f>
      </c>
    </row>
    <row r="2792">
      <c r="A2792" s="5"/>
      <c r="B2792" s="14" t="s">
        <v>762</v>
      </c>
      <c r="C2792" s="22"/>
      <c r="D2792" s="22" t="s">
        <v>10</v>
      </c>
      <c r="E2792" s="22"/>
      <c r="F2792" s="22">
        <f>C2792*E2792</f>
      </c>
    </row>
    <row r="2793">
      <c r="A2793" s="5"/>
      <c r="B2793" s="14" t="s">
        <v>763</v>
      </c>
      <c r="C2793" s="22"/>
      <c r="D2793" s="22" t="s">
        <v>10</v>
      </c>
      <c r="E2793" s="22"/>
      <c r="F2793" s="22">
        <f>C2793*E2793</f>
      </c>
    </row>
    <row r="2794">
      <c r="A2794" s="5"/>
      <c r="B2794" s="14" t="s">
        <v>764</v>
      </c>
      <c r="C2794" s="22"/>
      <c r="D2794" s="22" t="s">
        <v>10</v>
      </c>
      <c r="E2794" s="22"/>
      <c r="F2794" s="22">
        <f>C2794*E2794</f>
      </c>
    </row>
    <row r="2795">
      <c r="A2795" s="3"/>
      <c r="B2795" s="11" t="s">
        <v>44</v>
      </c>
      <c r="C2795" s="20"/>
      <c r="D2795" s="20"/>
      <c r="E2795" s="20"/>
      <c r="F2795" s="20"/>
    </row>
    <row r="2796">
      <c r="A2796" s="4"/>
      <c r="B2796" s="12" t="s">
        <v>45</v>
      </c>
      <c r="C2796" s="21"/>
      <c r="D2796" s="21"/>
      <c r="E2796" s="21"/>
      <c r="F2796" s="21"/>
    </row>
    <row r="2797">
      <c r="A2797" s="5" t="s">
        <v>765</v>
      </c>
      <c r="B2797" s="13" t="s">
        <v>696</v>
      </c>
      <c r="C2797" s="22"/>
      <c r="D2797" s="22" t="s">
        <v>10</v>
      </c>
      <c r="E2797" s="22"/>
      <c r="F2797" s="22">
        <f>C2797*E2797</f>
      </c>
    </row>
    <row r="2798">
      <c r="A2798" s="5" t="s">
        <v>766</v>
      </c>
      <c r="B2798" s="13" t="s">
        <v>767</v>
      </c>
      <c r="C2798" s="22"/>
      <c r="D2798" s="22" t="s">
        <v>10</v>
      </c>
      <c r="E2798" s="22"/>
      <c r="F2798" s="22">
        <f>C2798*E2798</f>
      </c>
    </row>
    <row r="2799">
      <c r="A2799" s="5" t="s">
        <v>768</v>
      </c>
      <c r="B2799" s="13" t="s">
        <v>769</v>
      </c>
      <c r="C2799" s="22"/>
      <c r="D2799" s="22" t="s">
        <v>10</v>
      </c>
      <c r="E2799" s="22"/>
      <c r="F2799" s="22">
        <f>C2799*E2799</f>
      </c>
    </row>
    <row r="2800">
      <c r="A2800" s="5" t="s">
        <v>770</v>
      </c>
      <c r="B2800" s="13" t="s">
        <v>654</v>
      </c>
      <c r="C2800" s="22"/>
      <c r="D2800" s="22" t="s">
        <v>10</v>
      </c>
      <c r="E2800" s="22"/>
      <c r="F2800" s="22">
        <f>C2800*E2800</f>
      </c>
    </row>
    <row r="2801">
      <c r="A2801" s="6"/>
      <c r="B2801" s="15" t="s">
        <v>771</v>
      </c>
      <c r="C2801" s="23"/>
      <c r="D2801" s="23"/>
      <c r="E2801" s="23"/>
      <c r="F2801" s="23"/>
    </row>
    <row r="2802">
      <c r="A2802" s="5" t="s">
        <v>772</v>
      </c>
      <c r="B2802" s="16" t="s">
        <v>528</v>
      </c>
      <c r="C2802" s="22"/>
      <c r="D2802" s="22" t="s">
        <v>10</v>
      </c>
      <c r="E2802" s="22"/>
      <c r="F2802" s="22">
        <f>C2802*E2802</f>
      </c>
    </row>
    <row r="2803">
      <c r="A2803" s="5" t="s">
        <v>773</v>
      </c>
      <c r="B2803" s="16" t="s">
        <v>530</v>
      </c>
      <c r="C2803" s="22"/>
      <c r="D2803" s="22" t="s">
        <v>10</v>
      </c>
      <c r="E2803" s="22"/>
      <c r="F2803" s="22">
        <f>C2803*E2803</f>
      </c>
    </row>
    <row r="2804">
      <c r="A2804" s="5" t="s">
        <v>774</v>
      </c>
      <c r="B2804" s="16" t="s">
        <v>532</v>
      </c>
      <c r="C2804" s="22"/>
      <c r="D2804" s="22" t="s">
        <v>10</v>
      </c>
      <c r="E2804" s="22"/>
      <c r="F2804" s="22">
        <f>C2804*E2804</f>
      </c>
    </row>
    <row r="2805">
      <c r="A2805" s="5" t="s">
        <v>775</v>
      </c>
      <c r="B2805" s="16" t="s">
        <v>536</v>
      </c>
      <c r="C2805" s="22"/>
      <c r="D2805" s="22" t="s">
        <v>10</v>
      </c>
      <c r="E2805" s="22"/>
      <c r="F2805" s="22">
        <f>C2805*E2805</f>
      </c>
    </row>
    <row r="2806">
      <c r="A2806" s="5" t="s">
        <v>776</v>
      </c>
      <c r="B2806" s="16" t="s">
        <v>777</v>
      </c>
      <c r="C2806" s="22"/>
      <c r="D2806" s="22" t="s">
        <v>10</v>
      </c>
      <c r="E2806" s="22"/>
      <c r="F2806" s="22">
        <f>C2806*E2806</f>
      </c>
    </row>
    <row r="2807">
      <c r="A2807" s="6"/>
      <c r="B2807" s="15" t="s">
        <v>778</v>
      </c>
      <c r="C2807" s="23"/>
      <c r="D2807" s="23"/>
      <c r="E2807" s="23"/>
      <c r="F2807" s="23"/>
    </row>
    <row r="2808">
      <c r="A2808" s="5" t="s">
        <v>779</v>
      </c>
      <c r="B2808" s="16" t="s">
        <v>780</v>
      </c>
      <c r="C2808" s="22"/>
      <c r="D2808" s="22" t="s">
        <v>10</v>
      </c>
      <c r="E2808" s="22"/>
      <c r="F2808" s="22">
        <f>C2808*E2808</f>
      </c>
    </row>
    <row r="2809">
      <c r="A2809" s="5" t="s">
        <v>781</v>
      </c>
      <c r="B2809" s="16" t="s">
        <v>782</v>
      </c>
      <c r="C2809" s="22"/>
      <c r="D2809" s="22" t="s">
        <v>10</v>
      </c>
      <c r="E2809" s="22"/>
      <c r="F2809" s="22">
        <f>C2809*E2809</f>
      </c>
    </row>
    <row r="2810">
      <c r="A2810" s="5" t="s">
        <v>783</v>
      </c>
      <c r="B2810" s="16" t="s">
        <v>784</v>
      </c>
      <c r="C2810" s="22"/>
      <c r="D2810" s="22" t="s">
        <v>10</v>
      </c>
      <c r="E2810" s="22"/>
      <c r="F2810" s="22">
        <f>C2810*E2810</f>
      </c>
    </row>
    <row r="2811">
      <c r="A2811" s="5" t="s">
        <v>785</v>
      </c>
      <c r="B2811" s="16" t="s">
        <v>786</v>
      </c>
      <c r="C2811" s="22"/>
      <c r="D2811" s="22" t="s">
        <v>10</v>
      </c>
      <c r="E2811" s="22"/>
      <c r="F2811" s="22">
        <f>C2811*E2811</f>
      </c>
    </row>
    <row r="2812">
      <c r="A2812" s="5" t="s">
        <v>787</v>
      </c>
      <c r="B2812" s="16" t="s">
        <v>788</v>
      </c>
      <c r="C2812" s="22"/>
      <c r="D2812" s="22" t="s">
        <v>10</v>
      </c>
      <c r="E2812" s="22"/>
      <c r="F2812" s="22">
        <f>C2812*E2812</f>
      </c>
    </row>
    <row r="2813">
      <c r="A2813" s="5" t="s">
        <v>789</v>
      </c>
      <c r="B2813" s="16" t="s">
        <v>769</v>
      </c>
      <c r="C2813" s="22"/>
      <c r="D2813" s="22" t="s">
        <v>10</v>
      </c>
      <c r="E2813" s="22"/>
      <c r="F2813" s="22">
        <f>C2813*E2813</f>
      </c>
    </row>
    <row r="2814">
      <c r="A2814" s="6"/>
      <c r="B2814" s="15" t="s">
        <v>790</v>
      </c>
      <c r="C2814" s="23"/>
      <c r="D2814" s="23"/>
      <c r="E2814" s="23"/>
      <c r="F2814" s="23"/>
    </row>
    <row r="2815">
      <c r="A2815" s="5" t="s">
        <v>791</v>
      </c>
      <c r="B2815" s="16" t="s">
        <v>652</v>
      </c>
      <c r="C2815" s="22"/>
      <c r="D2815" s="22" t="s">
        <v>10</v>
      </c>
      <c r="E2815" s="22"/>
      <c r="F2815" s="22">
        <f>C2815*E2815</f>
      </c>
    </row>
    <row r="2816">
      <c r="A2816" s="5" t="s">
        <v>792</v>
      </c>
      <c r="B2816" s="16" t="s">
        <v>700</v>
      </c>
      <c r="C2816" s="22"/>
      <c r="D2816" s="22" t="s">
        <v>10</v>
      </c>
      <c r="E2816" s="22"/>
      <c r="F2816" s="22">
        <f>C2816*E2816</f>
      </c>
    </row>
    <row r="2817">
      <c r="A2817" s="5" t="s">
        <v>793</v>
      </c>
      <c r="B2817" s="16" t="s">
        <v>650</v>
      </c>
      <c r="C2817" s="22"/>
      <c r="D2817" s="22" t="s">
        <v>10</v>
      </c>
      <c r="E2817" s="22"/>
      <c r="F2817" s="22">
        <f>C2817*E2817</f>
      </c>
    </row>
    <row r="2818">
      <c r="A2818" s="3"/>
      <c r="B2818" s="11" t="s">
        <v>68</v>
      </c>
      <c r="C2818" s="20"/>
      <c r="D2818" s="20"/>
      <c r="E2818" s="20"/>
      <c r="F2818" s="20"/>
    </row>
    <row r="2819">
      <c r="A2819" s="5" t="s">
        <v>794</v>
      </c>
      <c r="B2819" s="14" t="s">
        <v>70</v>
      </c>
      <c r="C2819" s="22">
        <f>(1)*(1)*(1)*(1)*(1 + (0))</f>
      </c>
      <c r="D2819" s="22" t="s">
        <v>71</v>
      </c>
      <c r="E2819" s="22"/>
      <c r="F2819" s="22">
        <f>C2819*E2819</f>
      </c>
    </row>
    <row r="2820">
      <c r="A2820" s="5" t="s">
        <v>795</v>
      </c>
      <c r="B2820" s="14" t="s">
        <v>796</v>
      </c>
      <c r="C2820" s="22">
        <f>(1)*(1)*(1)*(1)*(1 + (0))</f>
      </c>
      <c r="D2820" s="22" t="s">
        <v>71</v>
      </c>
      <c r="E2820" s="22"/>
      <c r="F2820" s="22">
        <f>C2820*E2820</f>
      </c>
    </row>
    <row r="2821">
      <c r="A2821" s="5" t="s">
        <v>797</v>
      </c>
      <c r="B2821" s="14" t="s">
        <v>798</v>
      </c>
      <c r="C2821" s="22">
        <f>(1)*(1)*(1)*(1)*(1 + (0))</f>
      </c>
      <c r="D2821" s="22" t="s">
        <v>71</v>
      </c>
      <c r="E2821" s="22"/>
      <c r="F2821" s="22">
        <f>C2821*E2821</f>
      </c>
    </row>
    <row r="2822">
      <c r="A2822" s="5" t="s">
        <v>799</v>
      </c>
      <c r="B2822" s="14" t="s">
        <v>800</v>
      </c>
      <c r="C2822" s="22">
        <f>(1)*(1)*(1)*(1)*(1 + (0))</f>
      </c>
      <c r="D2822" s="22" t="s">
        <v>71</v>
      </c>
      <c r="E2822" s="22"/>
      <c r="F2822" s="22">
        <f>C2822*E2822</f>
      </c>
    </row>
    <row r="2823">
      <c r="A2823" s="5" t="s">
        <v>801</v>
      </c>
      <c r="B2823" s="14" t="s">
        <v>73</v>
      </c>
      <c r="C2823" s="22">
        <f>(1)*(1)*(1)*(1)*(1 + (0))</f>
      </c>
      <c r="D2823" s="22" t="s">
        <v>71</v>
      </c>
      <c r="E2823" s="22"/>
      <c r="F2823" s="22">
        <f>C2823*E2823</f>
      </c>
    </row>
    <row r="2824">
      <c r="A2824" s="5" t="s">
        <v>802</v>
      </c>
      <c r="B2824" s="14" t="s">
        <v>803</v>
      </c>
      <c r="C2824" s="22">
        <f>(1)*(1)*(1)*(1)*(1 + (0))</f>
      </c>
      <c r="D2824" s="22" t="s">
        <v>71</v>
      </c>
      <c r="E2824" s="22"/>
      <c r="F2824" s="22">
        <f>C2824*E2824</f>
      </c>
    </row>
    <row r="2825">
      <c r="A2825" s="5" t="s">
        <v>804</v>
      </c>
      <c r="B2825" s="14" t="s">
        <v>805</v>
      </c>
      <c r="C2825" s="22">
        <f>(1)*(1)*(1)*(1)*(1 + (0))</f>
      </c>
      <c r="D2825" s="22" t="s">
        <v>71</v>
      </c>
      <c r="E2825" s="22"/>
      <c r="F2825" s="22">
        <f>C2825*E2825</f>
      </c>
    </row>
    <row r="2826">
      <c r="A2826" s="5" t="s">
        <v>806</v>
      </c>
      <c r="B2826" s="14" t="s">
        <v>230</v>
      </c>
      <c r="C2826" s="22">
        <f>(1)*(1)*(1)*(1)*(1 + (0))</f>
      </c>
      <c r="D2826" s="22" t="s">
        <v>71</v>
      </c>
      <c r="E2826" s="22"/>
      <c r="F2826" s="22">
        <f>C2826*E2826</f>
      </c>
    </row>
    <row r="2827">
      <c r="A2827" s="5" t="s">
        <v>807</v>
      </c>
      <c r="B2827" s="14" t="s">
        <v>808</v>
      </c>
      <c r="C2827" s="22">
        <f>(1)*(1)*(1)*(1)*(1 + (0))</f>
      </c>
      <c r="D2827" s="22" t="s">
        <v>71</v>
      </c>
      <c r="E2827" s="22"/>
      <c r="F2827" s="22">
        <f>C2827*E2827</f>
      </c>
    </row>
    <row r="2828">
      <c r="A2828" s="5" t="s">
        <v>809</v>
      </c>
      <c r="B2828" s="14" t="s">
        <v>810</v>
      </c>
      <c r="C2828" s="22">
        <f>(1)*(1)*(1)*(1)*(1 + (0))</f>
      </c>
      <c r="D2828" s="22" t="s">
        <v>71</v>
      </c>
      <c r="E2828" s="22"/>
      <c r="F2828" s="22">
        <f>C2828*E2828</f>
      </c>
    </row>
    <row r="2829">
      <c r="A2829" s="5" t="s">
        <v>811</v>
      </c>
      <c r="B2829" s="14" t="s">
        <v>812</v>
      </c>
      <c r="C2829" s="22">
        <f>(1)*(1)*(1)*(1)*(1 + (0))</f>
      </c>
      <c r="D2829" s="22" t="s">
        <v>71</v>
      </c>
      <c r="E2829" s="22"/>
      <c r="F2829" s="22">
        <f>C2829*E2829</f>
      </c>
    </row>
    <row r="2830">
      <c r="A2830" s="5" t="s">
        <v>813</v>
      </c>
      <c r="B2830" s="14" t="s">
        <v>814</v>
      </c>
      <c r="C2830" s="22">
        <f>(1)*(1)*(1)*(1)*(1 + (0))</f>
      </c>
      <c r="D2830" s="22" t="s">
        <v>71</v>
      </c>
      <c r="E2830" s="22"/>
      <c r="F2830" s="22">
        <f>C2830*E2830</f>
      </c>
    </row>
    <row r="2831">
      <c r="A2831" s="5" t="s">
        <v>815</v>
      </c>
      <c r="B2831" s="14" t="s">
        <v>816</v>
      </c>
      <c r="C2831" s="22">
        <f>(1)*(1)*(1)*(1)*(1 + (0))</f>
      </c>
      <c r="D2831" s="22" t="s">
        <v>71</v>
      </c>
      <c r="E2831" s="22"/>
      <c r="F2831" s="22">
        <f>C2831*E2831</f>
      </c>
    </row>
    <row r="2832">
      <c r="A2832" s="5" t="s">
        <v>817</v>
      </c>
      <c r="B2832" s="14" t="s">
        <v>667</v>
      </c>
      <c r="C2832" s="22">
        <f>(1)*(1)*(1)*(1)*(1 + (0))</f>
      </c>
      <c r="D2832" s="22" t="s">
        <v>71</v>
      </c>
      <c r="E2832" s="22"/>
      <c r="F2832" s="22">
        <f>C2832*E2832</f>
      </c>
    </row>
    <row r="2833">
      <c r="A2833" s="3"/>
      <c r="B2833" s="11" t="s">
        <v>819</v>
      </c>
      <c r="C2833" s="20"/>
      <c r="D2833" s="20"/>
      <c r="E2833" s="20"/>
      <c r="F2833" s="20"/>
    </row>
    <row r="2834">
      <c r="A2834" s="4"/>
      <c r="B2834" s="12" t="s">
        <v>820</v>
      </c>
      <c r="C2834" s="21"/>
      <c r="D2834" s="21"/>
      <c r="E2834" s="21"/>
      <c r="F2834" s="21"/>
    </row>
    <row r="2835">
      <c r="A2835" s="5"/>
      <c r="B2835" s="13" t="s">
        <v>1717</v>
      </c>
      <c r="C2835" s="22">
        <f>(14)*(1)*(1)*(1)*(1 + (0))</f>
      </c>
      <c r="D2835" s="22" t="s">
        <v>24</v>
      </c>
      <c r="E2835" s="22"/>
      <c r="F2835" s="22">
        <f>C2835*E2835</f>
      </c>
    </row>
    <row r="2836">
      <c r="A2836" s="5"/>
      <c r="B2836" s="13" t="s">
        <v>1718</v>
      </c>
      <c r="C2836" s="22">
        <f>(83)*(1)*(1)*(1)*(1 + (0))</f>
      </c>
      <c r="D2836" s="22" t="s">
        <v>24</v>
      </c>
      <c r="E2836" s="22"/>
      <c r="F2836" s="22">
        <f>C2836*E2836</f>
      </c>
    </row>
    <row r="2837">
      <c r="A2837" s="4"/>
      <c r="B2837" s="12" t="s">
        <v>1719</v>
      </c>
      <c r="C2837" s="21"/>
      <c r="D2837" s="21"/>
      <c r="E2837" s="21"/>
      <c r="F2837" s="21"/>
    </row>
    <row r="2838">
      <c r="A2838" s="5"/>
      <c r="B2838" s="13" t="s">
        <v>1717</v>
      </c>
      <c r="C2838" s="22">
        <f>(262)*(1)*(1)*(1)*(1 + (0))</f>
      </c>
      <c r="D2838" s="22" t="s">
        <v>24</v>
      </c>
      <c r="E2838" s="22"/>
      <c r="F2838" s="22">
        <f>C2838*E2838</f>
      </c>
    </row>
    <row r="2839">
      <c r="A2839" s="5"/>
      <c r="B2839" s="13" t="s">
        <v>1718</v>
      </c>
      <c r="C2839" s="22">
        <f>(269)*(1)*(1)*(1)*(1 + (0))</f>
      </c>
      <c r="D2839" s="22" t="s">
        <v>24</v>
      </c>
      <c r="E2839" s="22"/>
      <c r="F2839" s="22">
        <f>C2839*E2839</f>
      </c>
    </row>
    <row r="2840">
      <c r="A2840" s="4"/>
      <c r="B2840" s="12" t="s">
        <v>1720</v>
      </c>
      <c r="C2840" s="21"/>
      <c r="D2840" s="21"/>
      <c r="E2840" s="21"/>
      <c r="F2840" s="21"/>
    </row>
    <row r="2841">
      <c r="A2841" s="5"/>
      <c r="B2841" s="13" t="s">
        <v>1717</v>
      </c>
      <c r="C2841" s="22">
        <f>(6)*(1)*(1)*(1)*(1 + (0))</f>
      </c>
      <c r="D2841" s="22" t="s">
        <v>24</v>
      </c>
      <c r="E2841" s="22"/>
      <c r="F2841" s="22">
        <f>C2841*E2841</f>
      </c>
    </row>
    <row r="2842">
      <c r="A2842" s="5"/>
      <c r="B2842" s="13" t="s">
        <v>1718</v>
      </c>
      <c r="C2842" s="22">
        <f>(6)*(1)*(1)*(1)*(1 + (0))</f>
      </c>
      <c r="D2842" s="22" t="s">
        <v>24</v>
      </c>
      <c r="E2842" s="22"/>
      <c r="F2842" s="22">
        <f>C2842*E2842</f>
      </c>
    </row>
    <row r="2843">
      <c r="A2843" s="4"/>
      <c r="B2843" s="12" t="s">
        <v>823</v>
      </c>
      <c r="C2843" s="21"/>
      <c r="D2843" s="21"/>
      <c r="E2843" s="21"/>
      <c r="F2843" s="21"/>
    </row>
    <row r="2844">
      <c r="A2844" s="5"/>
      <c r="B2844" s="13" t="s">
        <v>1717</v>
      </c>
      <c r="C2844" s="22">
        <f>(76)*(1)*(1)*(1)*(1 + (0))</f>
      </c>
      <c r="D2844" s="22" t="s">
        <v>24</v>
      </c>
      <c r="E2844" s="22"/>
      <c r="F2844" s="22">
        <f>C2844*E2844</f>
      </c>
    </row>
    <row r="2845">
      <c r="A2845" s="5"/>
      <c r="B2845" s="13" t="s">
        <v>1718</v>
      </c>
      <c r="C2845" s="22">
        <f>(30)*(1)*(1)*(1)*(1 + (0))</f>
      </c>
      <c r="D2845" s="22" t="s">
        <v>24</v>
      </c>
      <c r="E2845" s="22"/>
      <c r="F2845" s="22">
        <f>C2845*E2845</f>
      </c>
    </row>
    <row r="2846">
      <c r="A2846" s="4"/>
      <c r="B2846" s="12" t="s">
        <v>824</v>
      </c>
      <c r="C2846" s="21"/>
      <c r="D2846" s="21"/>
      <c r="E2846" s="21"/>
      <c r="F2846" s="21"/>
    </row>
    <row r="2847">
      <c r="A2847" s="5"/>
      <c r="B2847" s="13" t="s">
        <v>1718</v>
      </c>
      <c r="C2847" s="22">
        <f>(51)*(1)*(1)*(1)*(1 + (0))</f>
      </c>
      <c r="D2847" s="22" t="s">
        <v>24</v>
      </c>
      <c r="E2847" s="22"/>
      <c r="F2847" s="22">
        <f>C2847*E2847</f>
      </c>
    </row>
    <row r="2848">
      <c r="A2848" s="4"/>
      <c r="B2848" s="12" t="s">
        <v>1721</v>
      </c>
      <c r="C2848" s="21"/>
      <c r="D2848" s="21"/>
      <c r="E2848" s="21"/>
      <c r="F2848" s="21"/>
    </row>
    <row r="2849">
      <c r="A2849" s="5"/>
      <c r="B2849" s="13" t="s">
        <v>1717</v>
      </c>
      <c r="C2849" s="22">
        <f>(2)*(1)*(1)*(1)*(1 + (0))</f>
      </c>
      <c r="D2849" s="22" t="s">
        <v>24</v>
      </c>
      <c r="E2849" s="22"/>
      <c r="F2849" s="22">
        <f>C2849*E2849</f>
      </c>
    </row>
    <row r="2850">
      <c r="A2850" s="5"/>
      <c r="B2850" s="13" t="s">
        <v>1718</v>
      </c>
      <c r="C2850" s="22">
        <f>(2)*(1)*(1)*(1)*(1 + (0))</f>
      </c>
      <c r="D2850" s="22" t="s">
        <v>24</v>
      </c>
      <c r="E2850" s="22"/>
      <c r="F2850" s="22">
        <f>C2850*E2850</f>
      </c>
    </row>
    <row r="2851">
      <c r="A2851" s="4"/>
      <c r="B2851" s="12" t="s">
        <v>826</v>
      </c>
      <c r="C2851" s="21"/>
      <c r="D2851" s="21"/>
      <c r="E2851" s="21"/>
      <c r="F2851" s="21"/>
    </row>
    <row r="2852">
      <c r="A2852" s="5"/>
      <c r="B2852" s="13" t="s">
        <v>1717</v>
      </c>
      <c r="C2852" s="22">
        <f>(108)*(1)*(1)*(1)*(1 + (0))</f>
      </c>
      <c r="D2852" s="22" t="s">
        <v>24</v>
      </c>
      <c r="E2852" s="22"/>
      <c r="F2852" s="22">
        <f>C2852*E2852</f>
      </c>
    </row>
    <row r="2853">
      <c r="A2853" s="5"/>
      <c r="B2853" s="13" t="s">
        <v>1718</v>
      </c>
      <c r="C2853" s="22">
        <f>(177)*(1)*(1)*(1)*(1 + (0))</f>
      </c>
      <c r="D2853" s="22" t="s">
        <v>24</v>
      </c>
      <c r="E2853" s="22"/>
      <c r="F2853" s="22">
        <f>C2853*E2853</f>
      </c>
    </row>
    <row r="2854">
      <c r="A2854" s="2"/>
      <c r="B2854" s="10" t="s">
        <v>828</v>
      </c>
      <c r="C2854" s="19"/>
      <c r="D2854" s="19"/>
      <c r="E2854" s="19"/>
      <c r="F2854" s="19"/>
    </row>
    <row r="2855">
      <c r="A2855" s="3"/>
      <c r="B2855" s="11" t="s">
        <v>37</v>
      </c>
      <c r="C2855" s="20"/>
      <c r="D2855" s="20"/>
      <c r="E2855" s="20"/>
      <c r="F2855" s="20"/>
    </row>
    <row r="2856">
      <c r="A2856" s="5" t="s">
        <v>829</v>
      </c>
      <c r="B2856" s="14" t="s">
        <v>39</v>
      </c>
      <c r="C2856" s="22"/>
      <c r="D2856" s="22" t="s">
        <v>10</v>
      </c>
      <c r="E2856" s="22"/>
      <c r="F2856" s="22">
        <f>C2856*E2856</f>
      </c>
    </row>
    <row r="2857">
      <c r="A2857" s="5" t="s">
        <v>830</v>
      </c>
      <c r="B2857" s="14" t="s">
        <v>41</v>
      </c>
      <c r="C2857" s="22"/>
      <c r="D2857" s="22" t="s">
        <v>10</v>
      </c>
      <c r="E2857" s="22"/>
      <c r="F2857" s="22">
        <f>C2857*E2857</f>
      </c>
    </row>
    <row r="2858">
      <c r="A2858" s="3"/>
      <c r="B2858" s="11" t="s">
        <v>42</v>
      </c>
      <c r="C2858" s="20"/>
      <c r="D2858" s="20"/>
      <c r="E2858" s="20"/>
      <c r="F2858" s="20"/>
    </row>
    <row r="2859">
      <c r="A2859" s="5"/>
      <c r="B2859" s="14" t="s">
        <v>1722</v>
      </c>
      <c r="C2859" s="22"/>
      <c r="D2859" s="22" t="s">
        <v>10</v>
      </c>
      <c r="E2859" s="22"/>
      <c r="F2859" s="22">
        <f>C2859*E2859</f>
      </c>
    </row>
    <row r="2860">
      <c r="A2860" s="5"/>
      <c r="B2860" s="14" t="s">
        <v>1723</v>
      </c>
      <c r="C2860" s="22"/>
      <c r="D2860" s="22" t="s">
        <v>10</v>
      </c>
      <c r="E2860" s="22"/>
      <c r="F2860" s="22">
        <f>C2860*E2860</f>
      </c>
    </row>
    <row r="2861">
      <c r="A2861" s="3"/>
      <c r="B2861" s="11" t="s">
        <v>44</v>
      </c>
      <c r="C2861" s="20"/>
      <c r="D2861" s="20"/>
      <c r="E2861" s="20"/>
      <c r="F2861" s="20"/>
    </row>
    <row r="2862">
      <c r="A2862" s="4"/>
      <c r="B2862" s="12" t="s">
        <v>45</v>
      </c>
      <c r="C2862" s="21"/>
      <c r="D2862" s="21"/>
      <c r="E2862" s="21"/>
      <c r="F2862" s="21"/>
    </row>
    <row r="2863">
      <c r="A2863" s="5" t="s">
        <v>831</v>
      </c>
      <c r="B2863" s="13" t="s">
        <v>832</v>
      </c>
      <c r="C2863" s="22"/>
      <c r="D2863" s="22" t="s">
        <v>10</v>
      </c>
      <c r="E2863" s="22"/>
      <c r="F2863" s="22">
        <f>C2863*E2863</f>
      </c>
    </row>
    <row r="2864">
      <c r="A2864" s="5" t="s">
        <v>833</v>
      </c>
      <c r="B2864" s="13" t="s">
        <v>530</v>
      </c>
      <c r="C2864" s="22"/>
      <c r="D2864" s="22" t="s">
        <v>10</v>
      </c>
      <c r="E2864" s="22"/>
      <c r="F2864" s="22">
        <f>C2864*E2864</f>
      </c>
    </row>
    <row r="2865">
      <c r="A2865" s="5" t="s">
        <v>834</v>
      </c>
      <c r="B2865" s="13" t="s">
        <v>835</v>
      </c>
      <c r="C2865" s="22"/>
      <c r="D2865" s="22" t="s">
        <v>10</v>
      </c>
      <c r="E2865" s="22"/>
      <c r="F2865" s="22">
        <f>C2865*E2865</f>
      </c>
    </row>
    <row r="2866">
      <c r="A2866" s="5" t="s">
        <v>836</v>
      </c>
      <c r="B2866" s="13" t="s">
        <v>837</v>
      </c>
      <c r="C2866" s="22"/>
      <c r="D2866" s="22" t="s">
        <v>10</v>
      </c>
      <c r="E2866" s="22"/>
      <c r="F2866" s="22">
        <f>C2866*E2866</f>
      </c>
    </row>
    <row r="2867">
      <c r="A2867" s="5" t="s">
        <v>838</v>
      </c>
      <c r="B2867" s="13" t="s">
        <v>839</v>
      </c>
      <c r="C2867" s="22"/>
      <c r="D2867" s="22" t="s">
        <v>10</v>
      </c>
      <c r="E2867" s="22"/>
      <c r="F2867" s="22">
        <f>C2867*E2867</f>
      </c>
    </row>
    <row r="2868">
      <c r="A2868" s="5" t="s">
        <v>840</v>
      </c>
      <c r="B2868" s="13" t="s">
        <v>841</v>
      </c>
      <c r="C2868" s="22"/>
      <c r="D2868" s="22" t="s">
        <v>10</v>
      </c>
      <c r="E2868" s="22"/>
      <c r="F2868" s="22">
        <f>C2868*E2868</f>
      </c>
    </row>
    <row r="2869">
      <c r="A2869" s="5" t="s">
        <v>842</v>
      </c>
      <c r="B2869" s="13" t="s">
        <v>843</v>
      </c>
      <c r="C2869" s="22"/>
      <c r="D2869" s="22" t="s">
        <v>10</v>
      </c>
      <c r="E2869" s="22"/>
      <c r="F2869" s="22">
        <f>C2869*E2869</f>
      </c>
    </row>
    <row r="2870">
      <c r="A2870" s="5" t="s">
        <v>844</v>
      </c>
      <c r="B2870" s="13" t="s">
        <v>845</v>
      </c>
      <c r="C2870" s="22"/>
      <c r="D2870" s="22" t="s">
        <v>10</v>
      </c>
      <c r="E2870" s="22"/>
      <c r="F2870" s="22">
        <f>C2870*E2870</f>
      </c>
    </row>
    <row r="2871">
      <c r="A2871" s="5" t="s">
        <v>846</v>
      </c>
      <c r="B2871" s="13" t="s">
        <v>847</v>
      </c>
      <c r="C2871" s="22"/>
      <c r="D2871" s="22" t="s">
        <v>10</v>
      </c>
      <c r="E2871" s="22"/>
      <c r="F2871" s="22">
        <f>C2871*E2871</f>
      </c>
    </row>
    <row r="2872">
      <c r="A2872" s="5" t="s">
        <v>848</v>
      </c>
      <c r="B2872" s="13" t="s">
        <v>849</v>
      </c>
      <c r="C2872" s="22"/>
      <c r="D2872" s="22" t="s">
        <v>10</v>
      </c>
      <c r="E2872" s="22"/>
      <c r="F2872" s="22">
        <f>C2872*E2872</f>
      </c>
    </row>
    <row r="2873">
      <c r="A2873" s="5" t="s">
        <v>850</v>
      </c>
      <c r="B2873" s="13" t="s">
        <v>851</v>
      </c>
      <c r="C2873" s="22"/>
      <c r="D2873" s="22" t="s">
        <v>10</v>
      </c>
      <c r="E2873" s="22"/>
      <c r="F2873" s="22">
        <f>C2873*E2873</f>
      </c>
    </row>
    <row r="2874">
      <c r="A2874" s="5" t="s">
        <v>852</v>
      </c>
      <c r="B2874" s="13" t="s">
        <v>853</v>
      </c>
      <c r="C2874" s="22"/>
      <c r="D2874" s="22" t="s">
        <v>10</v>
      </c>
      <c r="E2874" s="22"/>
      <c r="F2874" s="22">
        <f>C2874*E2874</f>
      </c>
    </row>
    <row r="2875">
      <c r="A2875" s="5" t="s">
        <v>854</v>
      </c>
      <c r="B2875" s="13" t="s">
        <v>123</v>
      </c>
      <c r="C2875" s="22"/>
      <c r="D2875" s="22" t="s">
        <v>10</v>
      </c>
      <c r="E2875" s="22"/>
      <c r="F2875" s="22">
        <f>C2875*E2875</f>
      </c>
    </row>
    <row r="2876">
      <c r="A2876" s="3"/>
      <c r="B2876" s="11" t="s">
        <v>68</v>
      </c>
      <c r="C2876" s="20"/>
      <c r="D2876" s="20"/>
      <c r="E2876" s="20"/>
      <c r="F2876" s="20"/>
    </row>
    <row r="2877">
      <c r="A2877" s="5" t="s">
        <v>857</v>
      </c>
      <c r="B2877" s="14" t="s">
        <v>858</v>
      </c>
      <c r="C2877" s="22">
        <f>(1)*(1)*(1)*(1)*(1 + (0))</f>
      </c>
      <c r="D2877" s="22" t="s">
        <v>71</v>
      </c>
      <c r="E2877" s="22"/>
      <c r="F2877" s="22">
        <f>C2877*E2877</f>
      </c>
    </row>
    <row r="2878">
      <c r="A2878" s="5" t="s">
        <v>859</v>
      </c>
      <c r="B2878" s="14" t="s">
        <v>136</v>
      </c>
      <c r="C2878" s="22">
        <f>(1)*(1)*(1)*(1)*(1 + (0))</f>
      </c>
      <c r="D2878" s="22" t="s">
        <v>71</v>
      </c>
      <c r="E2878" s="22"/>
      <c r="F2878" s="22">
        <f>C2878*E2878</f>
      </c>
    </row>
    <row r="2879">
      <c r="A2879" s="5" t="s">
        <v>860</v>
      </c>
      <c r="B2879" s="14" t="s">
        <v>77</v>
      </c>
      <c r="C2879" s="22">
        <f>(1)*(1)*(1)*(1)*(1 + (0))</f>
      </c>
      <c r="D2879" s="22" t="s">
        <v>71</v>
      </c>
      <c r="E2879" s="22"/>
      <c r="F2879" s="22">
        <f>C2879*E2879</f>
      </c>
    </row>
    <row r="2880">
      <c r="A2880" s="5" t="s">
        <v>861</v>
      </c>
      <c r="B2880" s="14" t="s">
        <v>70</v>
      </c>
      <c r="C2880" s="22">
        <f>(1)*(1)*(1)*(1)*(1 + (0))</f>
      </c>
      <c r="D2880" s="22" t="s">
        <v>71</v>
      </c>
      <c r="E2880" s="22"/>
      <c r="F2880" s="22">
        <f>C2880*E2880</f>
      </c>
    </row>
    <row r="2881">
      <c r="A2881" s="5" t="s">
        <v>862</v>
      </c>
      <c r="B2881" s="14" t="s">
        <v>863</v>
      </c>
      <c r="C2881" s="22">
        <f>(1)*(1)*(1)*(1)*(1 + (0))</f>
      </c>
      <c r="D2881" s="22" t="s">
        <v>71</v>
      </c>
      <c r="E2881" s="22"/>
      <c r="F2881" s="22">
        <f>C2881*E2881</f>
      </c>
    </row>
    <row r="2882">
      <c r="A2882" s="5" t="s">
        <v>864</v>
      </c>
      <c r="B2882" s="14" t="s">
        <v>816</v>
      </c>
      <c r="C2882" s="22">
        <f>(1)*(1)*(1)*(1)*(1 + (0))</f>
      </c>
      <c r="D2882" s="22" t="s">
        <v>71</v>
      </c>
      <c r="E2882" s="22"/>
      <c r="F2882" s="22">
        <f>C2882*E2882</f>
      </c>
    </row>
    <row r="2883">
      <c r="A2883" s="5" t="s">
        <v>865</v>
      </c>
      <c r="B2883" s="14" t="s">
        <v>798</v>
      </c>
      <c r="C2883" s="22">
        <f>(1)*(1)*(1)*(1)*(1 + (0))</f>
      </c>
      <c r="D2883" s="22" t="s">
        <v>71</v>
      </c>
      <c r="E2883" s="22"/>
      <c r="F2883" s="22">
        <f>C2883*E2883</f>
      </c>
    </row>
    <row r="2884">
      <c r="A2884" s="5" t="s">
        <v>866</v>
      </c>
      <c r="B2884" s="14" t="s">
        <v>230</v>
      </c>
      <c r="C2884" s="22">
        <f>(1)*(1)*(1)*(1)*(1 + (0))</f>
      </c>
      <c r="D2884" s="22" t="s">
        <v>71</v>
      </c>
      <c r="E2884" s="22"/>
      <c r="F2884" s="22">
        <f>C2884*E2884</f>
      </c>
    </row>
    <row r="2885">
      <c r="A2885" s="5" t="s">
        <v>867</v>
      </c>
      <c r="B2885" s="14" t="s">
        <v>665</v>
      </c>
      <c r="C2885" s="22">
        <f>(1)*(1)*(1)*(1)*(1 + (0))</f>
      </c>
      <c r="D2885" s="22" t="s">
        <v>71</v>
      </c>
      <c r="E2885" s="22"/>
      <c r="F2885" s="22">
        <f>C2885*E2885</f>
      </c>
    </row>
    <row r="2886">
      <c r="A2886" s="3"/>
      <c r="B2886" s="11" t="s">
        <v>869</v>
      </c>
      <c r="C2886" s="20"/>
      <c r="D2886" s="20"/>
      <c r="E2886" s="20"/>
      <c r="F2886" s="20"/>
    </row>
    <row r="2887">
      <c r="A2887" s="4"/>
      <c r="B2887" s="12" t="s">
        <v>1695</v>
      </c>
      <c r="C2887" s="21"/>
      <c r="D2887" s="21"/>
      <c r="E2887" s="21"/>
      <c r="F2887" s="21"/>
    </row>
    <row r="2888">
      <c r="A2888" s="6"/>
      <c r="B2888" s="15" t="s">
        <v>871</v>
      </c>
      <c r="C2888" s="23"/>
      <c r="D2888" s="23"/>
      <c r="E2888" s="23"/>
      <c r="F2888" s="23"/>
    </row>
    <row r="2889">
      <c r="A2889" s="5"/>
      <c r="B2889" s="16" t="s">
        <v>872</v>
      </c>
      <c r="C2889" s="22">
        <f>(10)*(1)*(1)*(1)*(1 + (0))</f>
      </c>
      <c r="D2889" s="22" t="s">
        <v>162</v>
      </c>
      <c r="E2889" s="22"/>
      <c r="F2889" s="22">
        <f>C2889*E2889</f>
      </c>
    </row>
    <row r="2890">
      <c r="A2890" s="5"/>
      <c r="B2890" s="16" t="s">
        <v>1724</v>
      </c>
      <c r="C2890" s="22">
        <f>(2)*(1)*(1)*(1)*(1 + (0))</f>
      </c>
      <c r="D2890" s="22" t="s">
        <v>162</v>
      </c>
      <c r="E2890" s="22"/>
      <c r="F2890" s="22">
        <f>C2890*E2890</f>
      </c>
    </row>
    <row r="2891">
      <c r="A2891" s="6"/>
      <c r="B2891" s="15" t="s">
        <v>874</v>
      </c>
      <c r="C2891" s="23"/>
      <c r="D2891" s="23"/>
      <c r="E2891" s="23"/>
      <c r="F2891" s="23"/>
    </row>
    <row r="2892">
      <c r="A2892" s="5"/>
      <c r="B2892" s="16" t="s">
        <v>876</v>
      </c>
      <c r="C2892" s="22">
        <f>(7)*(1)*(1)*(1)*(1 + (0))</f>
      </c>
      <c r="D2892" s="22" t="s">
        <v>162</v>
      </c>
      <c r="E2892" s="22"/>
      <c r="F2892" s="22">
        <f>C2892*E2892</f>
      </c>
    </row>
    <row r="2893">
      <c r="A2893" s="4"/>
      <c r="B2893" s="12" t="s">
        <v>1698</v>
      </c>
      <c r="C2893" s="21"/>
      <c r="D2893" s="21"/>
      <c r="E2893" s="21"/>
      <c r="F2893" s="21"/>
    </row>
    <row r="2894">
      <c r="A2894" s="6"/>
      <c r="B2894" s="15" t="s">
        <v>871</v>
      </c>
      <c r="C2894" s="23"/>
      <c r="D2894" s="23"/>
      <c r="E2894" s="23"/>
      <c r="F2894" s="23"/>
    </row>
    <row r="2895">
      <c r="A2895" s="5"/>
      <c r="B2895" s="16" t="s">
        <v>872</v>
      </c>
      <c r="C2895" s="22">
        <f>(12)*(1)*(1)*(1)*(1 + (0))</f>
      </c>
      <c r="D2895" s="22" t="s">
        <v>162</v>
      </c>
      <c r="E2895" s="22"/>
      <c r="F2895" s="22">
        <f>C2895*E2895</f>
      </c>
    </row>
    <row r="2896">
      <c r="A2896" s="6"/>
      <c r="B2896" s="15" t="s">
        <v>874</v>
      </c>
      <c r="C2896" s="23"/>
      <c r="D2896" s="23"/>
      <c r="E2896" s="23"/>
      <c r="F2896" s="23"/>
    </row>
    <row r="2897">
      <c r="A2897" s="5"/>
      <c r="B2897" s="16" t="s">
        <v>876</v>
      </c>
      <c r="C2897" s="22">
        <f>(8)*(1)*(1)*(1)*(1 + (0))</f>
      </c>
      <c r="D2897" s="22" t="s">
        <v>162</v>
      </c>
      <c r="E2897" s="22"/>
      <c r="F2897" s="22">
        <f>C2897*E2897</f>
      </c>
    </row>
    <row r="2898">
      <c r="A2898" s="5"/>
      <c r="B2898" s="16" t="s">
        <v>878</v>
      </c>
      <c r="C2898" s="22">
        <f>(1)*(1)*(1)*(1)*(1 + (0))</f>
      </c>
      <c r="D2898" s="22" t="s">
        <v>162</v>
      </c>
      <c r="E2898" s="22"/>
      <c r="F2898" s="22">
        <f>C2898*E2898</f>
      </c>
    </row>
    <row r="2899">
      <c r="A2899" s="3"/>
      <c r="B2899" s="11" t="s">
        <v>884</v>
      </c>
      <c r="C2899" s="20"/>
      <c r="D2899" s="20"/>
      <c r="E2899" s="20"/>
      <c r="F2899" s="20"/>
    </row>
    <row r="2900">
      <c r="A2900" s="4"/>
      <c r="B2900" s="12" t="s">
        <v>1695</v>
      </c>
      <c r="C2900" s="21"/>
      <c r="D2900" s="21"/>
      <c r="E2900" s="21"/>
      <c r="F2900" s="21"/>
    </row>
    <row r="2901">
      <c r="A2901" s="6"/>
      <c r="B2901" s="15" t="s">
        <v>1725</v>
      </c>
      <c r="C2901" s="23"/>
      <c r="D2901" s="23"/>
      <c r="E2901" s="23"/>
      <c r="F2901" s="23"/>
    </row>
    <row r="2902">
      <c r="A2902" s="5"/>
      <c r="B2902" s="16" t="s">
        <v>886</v>
      </c>
      <c r="C2902" s="22">
        <f>(6)*(1)*(1)*(1)*(1 + (0))</f>
      </c>
      <c r="D2902" s="22" t="s">
        <v>162</v>
      </c>
      <c r="E2902" s="22"/>
      <c r="F2902" s="22">
        <f>C2902*E2902</f>
      </c>
    </row>
    <row r="2903">
      <c r="A2903" s="5"/>
      <c r="B2903" s="16" t="s">
        <v>888</v>
      </c>
      <c r="C2903" s="22">
        <f>(4)*(1)*(1)*(1)*(1 + (0))</f>
      </c>
      <c r="D2903" s="22" t="s">
        <v>162</v>
      </c>
      <c r="E2903" s="22"/>
      <c r="F2903" s="22">
        <f>C2903*E2903</f>
      </c>
    </row>
    <row r="2904">
      <c r="A2904" s="4"/>
      <c r="B2904" s="12" t="s">
        <v>1698</v>
      </c>
      <c r="C2904" s="21"/>
      <c r="D2904" s="21"/>
      <c r="E2904" s="21"/>
      <c r="F2904" s="21"/>
    </row>
    <row r="2905">
      <c r="A2905" s="6"/>
      <c r="B2905" s="15" t="s">
        <v>1725</v>
      </c>
      <c r="C2905" s="23"/>
      <c r="D2905" s="23"/>
      <c r="E2905" s="23"/>
      <c r="F2905" s="23"/>
    </row>
    <row r="2906">
      <c r="A2906" s="5"/>
      <c r="B2906" s="16" t="s">
        <v>886</v>
      </c>
      <c r="C2906" s="22">
        <f>(4)*(1)*(1)*(1)*(1 + (0))</f>
      </c>
      <c r="D2906" s="22" t="s">
        <v>162</v>
      </c>
      <c r="E2906" s="22"/>
      <c r="F2906" s="22">
        <f>C2906*E2906</f>
      </c>
    </row>
    <row r="2907">
      <c r="A2907" s="5"/>
      <c r="B2907" s="16" t="s">
        <v>888</v>
      </c>
      <c r="C2907" s="22">
        <f>(4)*(1)*(1)*(1)*(1 + (0))</f>
      </c>
      <c r="D2907" s="22" t="s">
        <v>162</v>
      </c>
      <c r="E2907" s="22"/>
      <c r="F2907" s="22">
        <f>C2907*E2907</f>
      </c>
    </row>
    <row r="2908">
      <c r="A2908" s="3"/>
      <c r="B2908" s="11" t="s">
        <v>890</v>
      </c>
      <c r="C2908" s="20"/>
      <c r="D2908" s="20"/>
      <c r="E2908" s="20"/>
      <c r="F2908" s="20"/>
    </row>
    <row r="2909">
      <c r="A2909" s="4"/>
      <c r="B2909" s="12" t="s">
        <v>1695</v>
      </c>
      <c r="C2909" s="21"/>
      <c r="D2909" s="21"/>
      <c r="E2909" s="21"/>
      <c r="F2909" s="21"/>
    </row>
    <row r="2910">
      <c r="A2910" s="6"/>
      <c r="B2910" s="15" t="s">
        <v>1726</v>
      </c>
      <c r="C2910" s="23"/>
      <c r="D2910" s="23"/>
      <c r="E2910" s="23"/>
      <c r="F2910" s="23"/>
    </row>
    <row r="2911">
      <c r="A2911" s="5"/>
      <c r="B2911" s="16" t="s">
        <v>893</v>
      </c>
      <c r="C2911" s="22">
        <f>(2)*(1)*(1)*(1)*(1 + (0))</f>
      </c>
      <c r="D2911" s="22" t="s">
        <v>162</v>
      </c>
      <c r="E2911" s="22"/>
      <c r="F2911" s="22">
        <f>C2911*E2911</f>
      </c>
    </row>
    <row r="2912">
      <c r="A2912" s="5"/>
      <c r="B2912" s="16" t="s">
        <v>894</v>
      </c>
      <c r="C2912" s="22">
        <f>(3)*(1)*(1)*(1)*(1 + (0))</f>
      </c>
      <c r="D2912" s="22" t="s">
        <v>162</v>
      </c>
      <c r="E2912" s="22"/>
      <c r="F2912" s="22">
        <f>C2912*E2912</f>
      </c>
    </row>
    <row r="2913">
      <c r="A2913" s="5"/>
      <c r="B2913" s="16" t="s">
        <v>895</v>
      </c>
      <c r="C2913" s="22">
        <f>(5)*(1)*(1)*(1)*(1 + (0))</f>
      </c>
      <c r="D2913" s="22" t="s">
        <v>162</v>
      </c>
      <c r="E2913" s="22"/>
      <c r="F2913" s="22">
        <f>C2913*E2913</f>
      </c>
    </row>
    <row r="2914">
      <c r="A2914" s="5"/>
      <c r="B2914" s="16" t="s">
        <v>896</v>
      </c>
      <c r="C2914" s="22">
        <f>(2)*(1)*(1)*(1)*(1 + (0))</f>
      </c>
      <c r="D2914" s="22" t="s">
        <v>162</v>
      </c>
      <c r="E2914" s="22"/>
      <c r="F2914" s="22">
        <f>C2914*E2914</f>
      </c>
    </row>
    <row r="2915">
      <c r="A2915" s="4"/>
      <c r="B2915" s="12" t="s">
        <v>1698</v>
      </c>
      <c r="C2915" s="21"/>
      <c r="D2915" s="21"/>
      <c r="E2915" s="21"/>
      <c r="F2915" s="21"/>
    </row>
    <row r="2916">
      <c r="A2916" s="6"/>
      <c r="B2916" s="15" t="s">
        <v>1726</v>
      </c>
      <c r="C2916" s="23"/>
      <c r="D2916" s="23"/>
      <c r="E2916" s="23"/>
      <c r="F2916" s="23"/>
    </row>
    <row r="2917">
      <c r="A2917" s="5"/>
      <c r="B2917" s="16" t="s">
        <v>893</v>
      </c>
      <c r="C2917" s="22">
        <f>(4)*(1)*(1)*(1)*(1 + (0))</f>
      </c>
      <c r="D2917" s="22" t="s">
        <v>162</v>
      </c>
      <c r="E2917" s="22"/>
      <c r="F2917" s="22">
        <f>C2917*E2917</f>
      </c>
    </row>
    <row r="2918">
      <c r="A2918" s="5"/>
      <c r="B2918" s="16" t="s">
        <v>894</v>
      </c>
      <c r="C2918" s="22">
        <f>(4)*(1)*(1)*(1)*(1 + (0))</f>
      </c>
      <c r="D2918" s="22" t="s">
        <v>162</v>
      </c>
      <c r="E2918" s="22"/>
      <c r="F2918" s="22">
        <f>C2918*E2918</f>
      </c>
    </row>
    <row r="2919">
      <c r="A2919" s="5"/>
      <c r="B2919" s="16" t="s">
        <v>895</v>
      </c>
      <c r="C2919" s="22">
        <f>(4)*(1)*(1)*(1)*(1 + (0))</f>
      </c>
      <c r="D2919" s="22" t="s">
        <v>162</v>
      </c>
      <c r="E2919" s="22"/>
      <c r="F2919" s="22">
        <f>C2919*E2919</f>
      </c>
    </row>
    <row r="2920">
      <c r="A2920" s="5"/>
      <c r="B2920" s="16" t="s">
        <v>896</v>
      </c>
      <c r="C2920" s="22">
        <f>(2)*(1)*(1)*(1)*(1 + (0))</f>
      </c>
      <c r="D2920" s="22" t="s">
        <v>162</v>
      </c>
      <c r="E2920" s="22"/>
      <c r="F2920" s="22">
        <f>C2920*E2920</f>
      </c>
    </row>
    <row r="2921">
      <c r="A2921" s="2"/>
      <c r="B2921" s="10" t="s">
        <v>897</v>
      </c>
      <c r="C2921" s="19"/>
      <c r="D2921" s="19"/>
      <c r="E2921" s="19"/>
      <c r="F2921" s="19"/>
    </row>
    <row r="2922">
      <c r="A2922" s="3"/>
      <c r="B2922" s="11" t="s">
        <v>37</v>
      </c>
      <c r="C2922" s="20"/>
      <c r="D2922" s="20"/>
      <c r="E2922" s="20"/>
      <c r="F2922" s="20"/>
    </row>
    <row r="2923">
      <c r="A2923" s="5" t="s">
        <v>758</v>
      </c>
      <c r="B2923" s="14" t="s">
        <v>39</v>
      </c>
      <c r="C2923" s="22"/>
      <c r="D2923" s="22" t="s">
        <v>10</v>
      </c>
      <c r="E2923" s="22"/>
      <c r="F2923" s="22">
        <f>C2923*E2923</f>
      </c>
    </row>
    <row r="2924">
      <c r="A2924" s="5" t="s">
        <v>760</v>
      </c>
      <c r="B2924" s="14" t="s">
        <v>41</v>
      </c>
      <c r="C2924" s="22"/>
      <c r="D2924" s="22" t="s">
        <v>10</v>
      </c>
      <c r="E2924" s="22"/>
      <c r="F2924" s="22">
        <f>C2924*E2924</f>
      </c>
    </row>
    <row r="2925">
      <c r="A2925" s="3"/>
      <c r="B2925" s="11" t="s">
        <v>44</v>
      </c>
      <c r="C2925" s="20"/>
      <c r="D2925" s="20"/>
      <c r="E2925" s="20"/>
      <c r="F2925" s="20"/>
    </row>
    <row r="2926">
      <c r="A2926" s="4"/>
      <c r="B2926" s="12" t="s">
        <v>45</v>
      </c>
      <c r="C2926" s="21"/>
      <c r="D2926" s="21"/>
      <c r="E2926" s="21"/>
      <c r="F2926" s="21"/>
    </row>
    <row r="2927">
      <c r="A2927" s="5" t="s">
        <v>765</v>
      </c>
      <c r="B2927" s="13" t="s">
        <v>898</v>
      </c>
      <c r="C2927" s="22"/>
      <c r="D2927" s="22" t="s">
        <v>10</v>
      </c>
      <c r="E2927" s="22"/>
      <c r="F2927" s="22">
        <f>C2927*E2927</f>
      </c>
    </row>
    <row r="2928">
      <c r="A2928" s="5" t="s">
        <v>766</v>
      </c>
      <c r="B2928" s="13" t="s">
        <v>899</v>
      </c>
      <c r="C2928" s="22"/>
      <c r="D2928" s="22" t="s">
        <v>10</v>
      </c>
      <c r="E2928" s="22"/>
      <c r="F2928" s="22">
        <f>C2928*E2928</f>
      </c>
    </row>
    <row r="2929">
      <c r="A2929" s="5" t="s">
        <v>768</v>
      </c>
      <c r="B2929" s="13" t="s">
        <v>767</v>
      </c>
      <c r="C2929" s="22"/>
      <c r="D2929" s="22" t="s">
        <v>10</v>
      </c>
      <c r="E2929" s="22"/>
      <c r="F2929" s="22">
        <f>C2929*E2929</f>
      </c>
    </row>
    <row r="2930">
      <c r="A2930" s="5" t="s">
        <v>770</v>
      </c>
      <c r="B2930" s="13" t="s">
        <v>900</v>
      </c>
      <c r="C2930" s="22"/>
      <c r="D2930" s="22" t="s">
        <v>10</v>
      </c>
      <c r="E2930" s="22"/>
      <c r="F2930" s="22">
        <f>C2930*E2930</f>
      </c>
    </row>
    <row r="2931">
      <c r="A2931" s="5" t="s">
        <v>794</v>
      </c>
      <c r="B2931" s="13" t="s">
        <v>901</v>
      </c>
      <c r="C2931" s="22"/>
      <c r="D2931" s="22" t="s">
        <v>10</v>
      </c>
      <c r="E2931" s="22"/>
      <c r="F2931" s="22">
        <f>C2931*E2931</f>
      </c>
    </row>
    <row r="2932">
      <c r="A2932" s="5" t="s">
        <v>795</v>
      </c>
      <c r="B2932" s="13" t="s">
        <v>123</v>
      </c>
      <c r="C2932" s="22"/>
      <c r="D2932" s="22" t="s">
        <v>10</v>
      </c>
      <c r="E2932" s="22"/>
      <c r="F2932" s="22">
        <f>C2932*E2932</f>
      </c>
    </row>
    <row r="2933">
      <c r="A2933" s="3"/>
      <c r="B2933" s="11" t="s">
        <v>42</v>
      </c>
      <c r="C2933" s="20"/>
      <c r="D2933" s="20"/>
      <c r="E2933" s="20"/>
      <c r="F2933" s="20"/>
    </row>
    <row r="2934">
      <c r="A2934" s="5"/>
      <c r="B2934" s="14" t="s">
        <v>902</v>
      </c>
      <c r="C2934" s="22"/>
      <c r="D2934" s="22" t="s">
        <v>10</v>
      </c>
      <c r="E2934" s="22"/>
      <c r="F2934" s="22">
        <f>C2934*E2934</f>
      </c>
    </row>
    <row r="2935">
      <c r="A2935" s="5"/>
      <c r="B2935" s="14" t="s">
        <v>762</v>
      </c>
      <c r="C2935" s="22"/>
      <c r="D2935" s="22" t="s">
        <v>10</v>
      </c>
      <c r="E2935" s="22"/>
      <c r="F2935" s="22">
        <f>C2935*E2935</f>
      </c>
    </row>
    <row r="2936">
      <c r="A2936" s="5"/>
      <c r="B2936" s="14" t="s">
        <v>856</v>
      </c>
      <c r="C2936" s="22"/>
      <c r="D2936" s="22" t="s">
        <v>10</v>
      </c>
      <c r="E2936" s="22"/>
      <c r="F2936" s="22">
        <f>C2936*E2936</f>
      </c>
    </row>
    <row r="2937">
      <c r="A2937" s="3"/>
      <c r="B2937" s="11" t="s">
        <v>68</v>
      </c>
      <c r="C2937" s="20"/>
      <c r="D2937" s="20"/>
      <c r="E2937" s="20"/>
      <c r="F2937" s="20"/>
    </row>
    <row r="2938">
      <c r="A2938" s="5" t="s">
        <v>797</v>
      </c>
      <c r="B2938" s="14" t="s">
        <v>903</v>
      </c>
      <c r="C2938" s="22">
        <f>(1)*(1)*(1)*(1)*(1 + (0))</f>
      </c>
      <c r="D2938" s="22" t="s">
        <v>71</v>
      </c>
      <c r="E2938" s="22"/>
      <c r="F2938" s="22">
        <f>C2938*E2938</f>
      </c>
    </row>
    <row r="2939">
      <c r="A2939" s="5" t="s">
        <v>799</v>
      </c>
      <c r="B2939" s="14" t="s">
        <v>904</v>
      </c>
      <c r="C2939" s="22">
        <f>(1)*(1)*(1)*(1)*(1 + (0))</f>
      </c>
      <c r="D2939" s="22" t="s">
        <v>71</v>
      </c>
      <c r="E2939" s="22"/>
      <c r="F2939" s="22">
        <f>C2939*E2939</f>
      </c>
    </row>
    <row r="2940">
      <c r="A2940" s="5" t="s">
        <v>801</v>
      </c>
      <c r="B2940" s="14" t="s">
        <v>77</v>
      </c>
      <c r="C2940" s="22">
        <f>(1)*(1)*(1)*(1)*(1 + (0))</f>
      </c>
      <c r="D2940" s="22" t="s">
        <v>71</v>
      </c>
      <c r="E2940" s="22"/>
      <c r="F2940" s="22">
        <f>C2940*E2940</f>
      </c>
    </row>
    <row r="2941">
      <c r="A2941" s="5" t="s">
        <v>905</v>
      </c>
      <c r="B2941" s="14" t="s">
        <v>906</v>
      </c>
      <c r="C2941" s="22">
        <f>(1)*(1)*(1)*(1)*(1 + (0))</f>
      </c>
      <c r="D2941" s="22" t="s">
        <v>71</v>
      </c>
      <c r="E2941" s="22"/>
      <c r="F2941" s="22">
        <f>C2941*E2941</f>
      </c>
    </row>
    <row r="2942">
      <c r="A2942" s="5" t="s">
        <v>907</v>
      </c>
      <c r="B2942" s="14" t="s">
        <v>447</v>
      </c>
      <c r="C2942" s="22">
        <f>(1)*(1)*(1)*(1)*(1 + (0))</f>
      </c>
      <c r="D2942" s="22" t="s">
        <v>71</v>
      </c>
      <c r="E2942" s="22"/>
      <c r="F2942" s="22">
        <f>C2942*E2942</f>
      </c>
    </row>
    <row r="2943">
      <c r="A2943" s="5" t="s">
        <v>908</v>
      </c>
      <c r="B2943" s="14" t="s">
        <v>798</v>
      </c>
      <c r="C2943" s="22">
        <f>(1)*(1)*(1)*(1)*(1 + (0))</f>
      </c>
      <c r="D2943" s="22" t="s">
        <v>71</v>
      </c>
      <c r="E2943" s="22"/>
      <c r="F2943" s="22">
        <f>C2943*E2943</f>
      </c>
    </row>
    <row r="2944">
      <c r="A2944" s="5" t="s">
        <v>909</v>
      </c>
      <c r="B2944" s="14" t="s">
        <v>910</v>
      </c>
      <c r="C2944" s="22">
        <f>(1)*(1)*(1)*(1)*(1 + (0))</f>
      </c>
      <c r="D2944" s="22" t="s">
        <v>71</v>
      </c>
      <c r="E2944" s="22"/>
      <c r="F2944" s="22">
        <f>C2944*E2944</f>
      </c>
    </row>
    <row r="2945">
      <c r="A2945" s="5" t="s">
        <v>911</v>
      </c>
      <c r="B2945" s="14" t="s">
        <v>912</v>
      </c>
      <c r="C2945" s="22">
        <f>(1)*(1)*(1)*(1)*(1 + (0))</f>
      </c>
      <c r="D2945" s="22" t="s">
        <v>71</v>
      </c>
      <c r="E2945" s="22"/>
      <c r="F2945" s="22">
        <f>C2945*E2945</f>
      </c>
    </row>
    <row r="2946">
      <c r="A2946" s="5" t="s">
        <v>913</v>
      </c>
      <c r="B2946" s="14" t="s">
        <v>665</v>
      </c>
      <c r="C2946" s="22">
        <f>(1)*(1)*(1)*(1)*(1 + (0))</f>
      </c>
      <c r="D2946" s="22" t="s">
        <v>71</v>
      </c>
      <c r="E2946" s="22"/>
      <c r="F2946" s="22">
        <f>C2946*E2946</f>
      </c>
    </row>
    <row r="2947">
      <c r="A2947" s="3"/>
      <c r="B2947" s="11" t="s">
        <v>914</v>
      </c>
      <c r="C2947" s="20"/>
      <c r="D2947" s="20"/>
      <c r="E2947" s="20"/>
      <c r="F2947" s="20"/>
    </row>
    <row r="2948">
      <c r="A2948" s="4"/>
      <c r="B2948" s="12" t="s">
        <v>1695</v>
      </c>
      <c r="C2948" s="21"/>
      <c r="D2948" s="21"/>
      <c r="E2948" s="21"/>
      <c r="F2948" s="21"/>
    </row>
    <row r="2949">
      <c r="A2949" s="6"/>
      <c r="B2949" s="15" t="s">
        <v>915</v>
      </c>
      <c r="C2949" s="23"/>
      <c r="D2949" s="23"/>
      <c r="E2949" s="23"/>
      <c r="F2949" s="23"/>
    </row>
    <row r="2950">
      <c r="A2950" s="5"/>
      <c r="B2950" s="16" t="s">
        <v>917</v>
      </c>
      <c r="C2950" s="22">
        <f>(1)*(1)*(1)*(1)*(1 + (0))</f>
      </c>
      <c r="D2950" s="22" t="s">
        <v>162</v>
      </c>
      <c r="E2950" s="22"/>
      <c r="F2950" s="22">
        <f>C2950*E2950</f>
      </c>
    </row>
    <row r="2951">
      <c r="A2951" s="6"/>
      <c r="B2951" s="15" t="s">
        <v>918</v>
      </c>
      <c r="C2951" s="23"/>
      <c r="D2951" s="23"/>
      <c r="E2951" s="23"/>
      <c r="F2951" s="23"/>
    </row>
    <row r="2952">
      <c r="A2952" s="5"/>
      <c r="B2952" s="16" t="s">
        <v>1727</v>
      </c>
      <c r="C2952" s="22">
        <f>(1)*(1)*(1)*(1)*(1 + (0))</f>
      </c>
      <c r="D2952" s="22" t="s">
        <v>162</v>
      </c>
      <c r="E2952" s="22"/>
      <c r="F2952" s="22">
        <f>C2952*E2952</f>
      </c>
    </row>
    <row r="2953">
      <c r="A2953" s="5"/>
      <c r="B2953" s="16" t="s">
        <v>919</v>
      </c>
      <c r="C2953" s="22">
        <f>(2)*(1)*(1)*(1)*(1 + (0))</f>
      </c>
      <c r="D2953" s="22" t="s">
        <v>162</v>
      </c>
      <c r="E2953" s="22"/>
      <c r="F2953" s="22">
        <f>C2953*E2953</f>
      </c>
    </row>
    <row r="2954">
      <c r="A2954" s="5"/>
      <c r="B2954" s="16" t="s">
        <v>920</v>
      </c>
      <c r="C2954" s="22">
        <f>(2)*(1)*(1)*(1)*(1 + (0))</f>
      </c>
      <c r="D2954" s="22" t="s">
        <v>162</v>
      </c>
      <c r="E2954" s="22"/>
      <c r="F2954" s="22">
        <f>C2954*E2954</f>
      </c>
    </row>
    <row r="2955">
      <c r="A2955" s="5"/>
      <c r="B2955" s="16" t="s">
        <v>1728</v>
      </c>
      <c r="C2955" s="22">
        <f>(3)*(1)*(1)*(1)*(1 + (0))</f>
      </c>
      <c r="D2955" s="22" t="s">
        <v>162</v>
      </c>
      <c r="E2955" s="22"/>
      <c r="F2955" s="22">
        <f>C2955*E2955</f>
      </c>
    </row>
    <row r="2956">
      <c r="A2956" s="4"/>
      <c r="B2956" s="12" t="s">
        <v>1698</v>
      </c>
      <c r="C2956" s="21"/>
      <c r="D2956" s="21"/>
      <c r="E2956" s="21"/>
      <c r="F2956" s="21"/>
    </row>
    <row r="2957">
      <c r="A2957" s="6"/>
      <c r="B2957" s="15" t="s">
        <v>915</v>
      </c>
      <c r="C2957" s="23"/>
      <c r="D2957" s="23"/>
      <c r="E2957" s="23"/>
      <c r="F2957" s="23"/>
    </row>
    <row r="2958">
      <c r="A2958" s="5"/>
      <c r="B2958" s="16" t="s">
        <v>917</v>
      </c>
      <c r="C2958" s="22">
        <f>(1)*(1)*(1)*(1)*(1 + (0))</f>
      </c>
      <c r="D2958" s="22" t="s">
        <v>162</v>
      </c>
      <c r="E2958" s="22"/>
      <c r="F2958" s="22">
        <f>C2958*E2958</f>
      </c>
    </row>
    <row r="2959">
      <c r="A2959" s="6"/>
      <c r="B2959" s="15" t="s">
        <v>918</v>
      </c>
      <c r="C2959" s="23"/>
      <c r="D2959" s="23"/>
      <c r="E2959" s="23"/>
      <c r="F2959" s="23"/>
    </row>
    <row r="2960">
      <c r="A2960" s="5"/>
      <c r="B2960" s="16" t="s">
        <v>921</v>
      </c>
      <c r="C2960" s="22">
        <f>(2)*(1)*(1)*(1)*(1 + (0))</f>
      </c>
      <c r="D2960" s="22" t="s">
        <v>162</v>
      </c>
      <c r="E2960" s="22"/>
      <c r="F2960" s="22">
        <f>C2960*E2960</f>
      </c>
    </row>
    <row r="2961">
      <c r="A2961" s="5"/>
      <c r="B2961" s="16" t="s">
        <v>919</v>
      </c>
      <c r="C2961" s="22">
        <f>(1)*(1)*(1)*(1)*(1 + (0))</f>
      </c>
      <c r="D2961" s="22" t="s">
        <v>162</v>
      </c>
      <c r="E2961" s="22"/>
      <c r="F2961" s="22">
        <f>C2961*E2961</f>
      </c>
    </row>
    <row r="2962">
      <c r="A2962" s="5"/>
      <c r="B2962" s="16" t="s">
        <v>922</v>
      </c>
      <c r="C2962" s="22">
        <f>(1)*(1)*(1)*(1)*(1 + (0))</f>
      </c>
      <c r="D2962" s="22" t="s">
        <v>162</v>
      </c>
      <c r="E2962" s="22"/>
      <c r="F2962" s="22">
        <f>C2962*E2962</f>
      </c>
    </row>
    <row r="2963">
      <c r="A2963" s="5"/>
      <c r="B2963" s="16" t="s">
        <v>923</v>
      </c>
      <c r="C2963" s="22">
        <f>(1)*(1)*(1)*(1)*(1 + (0))</f>
      </c>
      <c r="D2963" s="22" t="s">
        <v>162</v>
      </c>
      <c r="E2963" s="22"/>
      <c r="F2963" s="22">
        <f>C2963*E2963</f>
      </c>
    </row>
    <row r="2964">
      <c r="A2964" s="3"/>
      <c r="B2964" s="11" t="s">
        <v>924</v>
      </c>
      <c r="C2964" s="20"/>
      <c r="D2964" s="20"/>
      <c r="E2964" s="20"/>
      <c r="F2964" s="20"/>
    </row>
    <row r="2965">
      <c r="A2965" s="4"/>
      <c r="B2965" s="12" t="s">
        <v>1695</v>
      </c>
      <c r="C2965" s="21"/>
      <c r="D2965" s="21"/>
      <c r="E2965" s="21"/>
      <c r="F2965" s="21"/>
    </row>
    <row r="2966">
      <c r="A2966" s="6"/>
      <c r="B2966" s="15" t="s">
        <v>918</v>
      </c>
      <c r="C2966" s="23"/>
      <c r="D2966" s="23"/>
      <c r="E2966" s="23"/>
      <c r="F2966" s="23"/>
    </row>
    <row r="2967">
      <c r="A2967" s="5"/>
      <c r="B2967" s="16" t="s">
        <v>925</v>
      </c>
      <c r="C2967" s="22">
        <f>(2)*(1)*(1)*(1)*(1 + (0))</f>
      </c>
      <c r="D2967" s="22" t="s">
        <v>162</v>
      </c>
      <c r="E2967" s="22"/>
      <c r="F2967" s="22">
        <f>C2967*E2967</f>
      </c>
    </row>
    <row r="2968">
      <c r="A2968" s="5"/>
      <c r="B2968" s="16" t="s">
        <v>926</v>
      </c>
      <c r="C2968" s="22">
        <f>(2)*(1)*(1)*(1)*(1 + (0))</f>
      </c>
      <c r="D2968" s="22" t="s">
        <v>162</v>
      </c>
      <c r="E2968" s="22"/>
      <c r="F2968" s="22">
        <f>C2968*E2968</f>
      </c>
    </row>
    <row r="2969">
      <c r="A2969" s="5"/>
      <c r="B2969" s="16" t="s">
        <v>928</v>
      </c>
      <c r="C2969" s="22">
        <f>(1)*(1)*(1)*(1)*(1 + (0))</f>
      </c>
      <c r="D2969" s="22" t="s">
        <v>162</v>
      </c>
      <c r="E2969" s="22"/>
      <c r="F2969" s="22">
        <f>C2969*E2969</f>
      </c>
    </row>
    <row r="2970">
      <c r="A2970" s="4"/>
      <c r="B2970" s="12" t="s">
        <v>1698</v>
      </c>
      <c r="C2970" s="21"/>
      <c r="D2970" s="21"/>
      <c r="E2970" s="21"/>
      <c r="F2970" s="21"/>
    </row>
    <row r="2971">
      <c r="A2971" s="6"/>
      <c r="B2971" s="15" t="s">
        <v>915</v>
      </c>
      <c r="C2971" s="23"/>
      <c r="D2971" s="23"/>
      <c r="E2971" s="23"/>
      <c r="F2971" s="23"/>
    </row>
    <row r="2972">
      <c r="A2972" s="5"/>
      <c r="B2972" s="16" t="s">
        <v>930</v>
      </c>
      <c r="C2972" s="22">
        <f>(2)*(1)*(1)*(1)*(1 + (0))</f>
      </c>
      <c r="D2972" s="22" t="s">
        <v>162</v>
      </c>
      <c r="E2972" s="22"/>
      <c r="F2972" s="22">
        <f>C2972*E2972</f>
      </c>
    </row>
    <row r="2973">
      <c r="A2973" s="3"/>
      <c r="B2973" s="11" t="s">
        <v>931</v>
      </c>
      <c r="C2973" s="20"/>
      <c r="D2973" s="20"/>
      <c r="E2973" s="20"/>
      <c r="F2973" s="20"/>
    </row>
    <row r="2974">
      <c r="A2974" s="4"/>
      <c r="B2974" s="12" t="s">
        <v>1695</v>
      </c>
      <c r="C2974" s="21"/>
      <c r="D2974" s="21"/>
      <c r="E2974" s="21"/>
      <c r="F2974" s="21"/>
    </row>
    <row r="2975">
      <c r="A2975" s="5"/>
      <c r="B2975" s="13" t="s">
        <v>932</v>
      </c>
      <c r="C2975" s="22">
        <f>(1)*(1)*(1)*(1)*(1 + (0))</f>
      </c>
      <c r="D2975" s="22" t="s">
        <v>162</v>
      </c>
      <c r="E2975" s="22"/>
      <c r="F2975" s="22">
        <f>C2975*E2975</f>
      </c>
    </row>
    <row r="2976">
      <c r="A2976" s="5"/>
      <c r="B2976" s="13" t="s">
        <v>933</v>
      </c>
      <c r="C2976" s="22">
        <f>(8)*(1)*(1)*(1)*(1 + (0))</f>
      </c>
      <c r="D2976" s="22" t="s">
        <v>162</v>
      </c>
      <c r="E2976" s="22"/>
      <c r="F2976" s="22">
        <f>C2976*E2976</f>
      </c>
    </row>
    <row r="2977">
      <c r="A2977" s="4"/>
      <c r="B2977" s="12" t="s">
        <v>1698</v>
      </c>
      <c r="C2977" s="21"/>
      <c r="D2977" s="21"/>
      <c r="E2977" s="21"/>
      <c r="F2977" s="21"/>
    </row>
    <row r="2978">
      <c r="A2978" s="5"/>
      <c r="B2978" s="13" t="s">
        <v>932</v>
      </c>
      <c r="C2978" s="22">
        <f>(1)*(1)*(1)*(1)*(1 + (0))</f>
      </c>
      <c r="D2978" s="22" t="s">
        <v>162</v>
      </c>
      <c r="E2978" s="22"/>
      <c r="F2978" s="22">
        <f>C2978*E2978</f>
      </c>
    </row>
    <row r="2979">
      <c r="A2979" s="5"/>
      <c r="B2979" s="13" t="s">
        <v>933</v>
      </c>
      <c r="C2979" s="22">
        <f>(5)*(1)*(1)*(1)*(1 + (0))</f>
      </c>
      <c r="D2979" s="22" t="s">
        <v>162</v>
      </c>
      <c r="E2979" s="22"/>
      <c r="F2979" s="22">
        <f>C2979*E2979</f>
      </c>
    </row>
    <row r="2980">
      <c r="A2980" s="3"/>
      <c r="B2980" s="11" t="s">
        <v>934</v>
      </c>
      <c r="C2980" s="20"/>
      <c r="D2980" s="20"/>
      <c r="E2980" s="20"/>
      <c r="F2980" s="20"/>
    </row>
    <row r="2981">
      <c r="A2981" s="4"/>
      <c r="B2981" s="12" t="s">
        <v>1695</v>
      </c>
      <c r="C2981" s="21"/>
      <c r="D2981" s="21"/>
      <c r="E2981" s="21"/>
      <c r="F2981" s="21"/>
    </row>
    <row r="2982">
      <c r="A2982" s="5"/>
      <c r="B2982" s="13" t="s">
        <v>933</v>
      </c>
      <c r="C2982" s="22">
        <f>(5)*(1)*(1)*(1)*(1 + (0))</f>
      </c>
      <c r="D2982" s="22" t="s">
        <v>162</v>
      </c>
      <c r="E2982" s="22"/>
      <c r="F2982" s="22">
        <f>C2982*E2982</f>
      </c>
    </row>
    <row r="2983">
      <c r="A2983" s="4"/>
      <c r="B2983" s="12" t="s">
        <v>1698</v>
      </c>
      <c r="C2983" s="21"/>
      <c r="D2983" s="21"/>
      <c r="E2983" s="21"/>
      <c r="F2983" s="21"/>
    </row>
    <row r="2984">
      <c r="A2984" s="5"/>
      <c r="B2984" s="13" t="s">
        <v>932</v>
      </c>
      <c r="C2984" s="22">
        <f>(2)*(1)*(1)*(1)*(1 + (0))</f>
      </c>
      <c r="D2984" s="22" t="s">
        <v>162</v>
      </c>
      <c r="E2984" s="22"/>
      <c r="F2984" s="22">
        <f>C2984*E2984</f>
      </c>
    </row>
    <row r="2985">
      <c r="A2985" s="2"/>
      <c r="B2985" s="10" t="s">
        <v>935</v>
      </c>
      <c r="C2985" s="19"/>
      <c r="D2985" s="19"/>
      <c r="E2985" s="19"/>
      <c r="F2985" s="19"/>
    </row>
    <row r="2986">
      <c r="A2986" s="3"/>
      <c r="B2986" s="11" t="s">
        <v>37</v>
      </c>
      <c r="C2986" s="20"/>
      <c r="D2986" s="20"/>
      <c r="E2986" s="20"/>
      <c r="F2986" s="20"/>
    </row>
    <row r="2987">
      <c r="A2987" s="5" t="s">
        <v>936</v>
      </c>
      <c r="B2987" s="14" t="s">
        <v>39</v>
      </c>
      <c r="C2987" s="22"/>
      <c r="D2987" s="22" t="s">
        <v>10</v>
      </c>
      <c r="E2987" s="22"/>
      <c r="F2987" s="22">
        <f>C2987*E2987</f>
      </c>
    </row>
    <row r="2988">
      <c r="A2988" s="5" t="s">
        <v>937</v>
      </c>
      <c r="B2988" s="14" t="s">
        <v>41</v>
      </c>
      <c r="C2988" s="22"/>
      <c r="D2988" s="22" t="s">
        <v>10</v>
      </c>
      <c r="E2988" s="22"/>
      <c r="F2988" s="22">
        <f>C2988*E2988</f>
      </c>
    </row>
    <row r="2989">
      <c r="A2989" s="3"/>
      <c r="B2989" s="11" t="s">
        <v>42</v>
      </c>
      <c r="C2989" s="20"/>
      <c r="D2989" s="20"/>
      <c r="E2989" s="20"/>
      <c r="F2989" s="20"/>
    </row>
    <row r="2990">
      <c r="A2990" s="5"/>
      <c r="B2990" s="14" t="s">
        <v>938</v>
      </c>
      <c r="C2990" s="22"/>
      <c r="D2990" s="22" t="s">
        <v>10</v>
      </c>
      <c r="E2990" s="22"/>
      <c r="F2990" s="22">
        <f>C2990*E2990</f>
      </c>
    </row>
    <row r="2991">
      <c r="A2991" s="5"/>
      <c r="B2991" s="14" t="s">
        <v>762</v>
      </c>
      <c r="C2991" s="22"/>
      <c r="D2991" s="22" t="s">
        <v>10</v>
      </c>
      <c r="E2991" s="22"/>
      <c r="F2991" s="22">
        <f>C2991*E2991</f>
      </c>
    </row>
    <row r="2992">
      <c r="A2992" s="5"/>
      <c r="B2992" s="14" t="s">
        <v>763</v>
      </c>
      <c r="C2992" s="22"/>
      <c r="D2992" s="22" t="s">
        <v>10</v>
      </c>
      <c r="E2992" s="22"/>
      <c r="F2992" s="22">
        <f>C2992*E2992</f>
      </c>
    </row>
    <row r="2993">
      <c r="A2993" s="5"/>
      <c r="B2993" s="14" t="s">
        <v>939</v>
      </c>
      <c r="C2993" s="22"/>
      <c r="D2993" s="22" t="s">
        <v>10</v>
      </c>
      <c r="E2993" s="22"/>
      <c r="F2993" s="22">
        <f>C2993*E2993</f>
      </c>
    </row>
    <row r="2994">
      <c r="A2994" s="3"/>
      <c r="B2994" s="11" t="s">
        <v>44</v>
      </c>
      <c r="C2994" s="20"/>
      <c r="D2994" s="20"/>
      <c r="E2994" s="20"/>
      <c r="F2994" s="20"/>
    </row>
    <row r="2995">
      <c r="A2995" s="4"/>
      <c r="B2995" s="12" t="s">
        <v>45</v>
      </c>
      <c r="C2995" s="21"/>
      <c r="D2995" s="21"/>
      <c r="E2995" s="21"/>
      <c r="F2995" s="21"/>
    </row>
    <row r="2996">
      <c r="A2996" s="5" t="s">
        <v>940</v>
      </c>
      <c r="B2996" s="13" t="s">
        <v>123</v>
      </c>
      <c r="C2996" s="22"/>
      <c r="D2996" s="22" t="s">
        <v>10</v>
      </c>
      <c r="E2996" s="22"/>
      <c r="F2996" s="22">
        <f>C2996*E2996</f>
      </c>
    </row>
    <row r="2997">
      <c r="A2997" s="6"/>
      <c r="B2997" s="15" t="s">
        <v>771</v>
      </c>
      <c r="C2997" s="23"/>
      <c r="D2997" s="23"/>
      <c r="E2997" s="23"/>
      <c r="F2997" s="23"/>
    </row>
    <row r="2998">
      <c r="A2998" s="5" t="s">
        <v>772</v>
      </c>
      <c r="B2998" s="16" t="s">
        <v>528</v>
      </c>
      <c r="C2998" s="22"/>
      <c r="D2998" s="22" t="s">
        <v>10</v>
      </c>
      <c r="E2998" s="22"/>
      <c r="F2998" s="22">
        <f>C2998*E2998</f>
      </c>
    </row>
    <row r="2999">
      <c r="A2999" s="5" t="s">
        <v>773</v>
      </c>
      <c r="B2999" s="16" t="s">
        <v>530</v>
      </c>
      <c r="C2999" s="22"/>
      <c r="D2999" s="22" t="s">
        <v>10</v>
      </c>
      <c r="E2999" s="22"/>
      <c r="F2999" s="22">
        <f>C2999*E2999</f>
      </c>
    </row>
    <row r="3000">
      <c r="A3000" s="5" t="s">
        <v>774</v>
      </c>
      <c r="B3000" s="16" t="s">
        <v>532</v>
      </c>
      <c r="C3000" s="22"/>
      <c r="D3000" s="22" t="s">
        <v>10</v>
      </c>
      <c r="E3000" s="22"/>
      <c r="F3000" s="22">
        <f>C3000*E3000</f>
      </c>
    </row>
    <row r="3001">
      <c r="A3001" s="5" t="s">
        <v>775</v>
      </c>
      <c r="B3001" s="16" t="s">
        <v>536</v>
      </c>
      <c r="C3001" s="22"/>
      <c r="D3001" s="22" t="s">
        <v>10</v>
      </c>
      <c r="E3001" s="22"/>
      <c r="F3001" s="22">
        <f>C3001*E3001</f>
      </c>
    </row>
    <row r="3002">
      <c r="A3002" s="5" t="s">
        <v>776</v>
      </c>
      <c r="B3002" s="16" t="s">
        <v>777</v>
      </c>
      <c r="C3002" s="22"/>
      <c r="D3002" s="22" t="s">
        <v>10</v>
      </c>
      <c r="E3002" s="22"/>
      <c r="F3002" s="22">
        <f>C3002*E3002</f>
      </c>
    </row>
    <row r="3003">
      <c r="A3003" s="6"/>
      <c r="B3003" s="15" t="s">
        <v>778</v>
      </c>
      <c r="C3003" s="23"/>
      <c r="D3003" s="23"/>
      <c r="E3003" s="23"/>
      <c r="F3003" s="23"/>
    </row>
    <row r="3004">
      <c r="A3004" s="5" t="s">
        <v>779</v>
      </c>
      <c r="B3004" s="16" t="s">
        <v>780</v>
      </c>
      <c r="C3004" s="22"/>
      <c r="D3004" s="22" t="s">
        <v>10</v>
      </c>
      <c r="E3004" s="22"/>
      <c r="F3004" s="22">
        <f>C3004*E3004</f>
      </c>
    </row>
    <row r="3005">
      <c r="A3005" s="5" t="s">
        <v>781</v>
      </c>
      <c r="B3005" s="16" t="s">
        <v>782</v>
      </c>
      <c r="C3005" s="22"/>
      <c r="D3005" s="22" t="s">
        <v>10</v>
      </c>
      <c r="E3005" s="22"/>
      <c r="F3005" s="22">
        <f>C3005*E3005</f>
      </c>
    </row>
    <row r="3006">
      <c r="A3006" s="5" t="s">
        <v>783</v>
      </c>
      <c r="B3006" s="16" t="s">
        <v>784</v>
      </c>
      <c r="C3006" s="22"/>
      <c r="D3006" s="22" t="s">
        <v>10</v>
      </c>
      <c r="E3006" s="22"/>
      <c r="F3006" s="22">
        <f>C3006*E3006</f>
      </c>
    </row>
    <row r="3007">
      <c r="A3007" s="5" t="s">
        <v>785</v>
      </c>
      <c r="B3007" s="16" t="s">
        <v>786</v>
      </c>
      <c r="C3007" s="22"/>
      <c r="D3007" s="22" t="s">
        <v>10</v>
      </c>
      <c r="E3007" s="22"/>
      <c r="F3007" s="22">
        <f>C3007*E3007</f>
      </c>
    </row>
    <row r="3008">
      <c r="A3008" s="5" t="s">
        <v>787</v>
      </c>
      <c r="B3008" s="16" t="s">
        <v>788</v>
      </c>
      <c r="C3008" s="22"/>
      <c r="D3008" s="22" t="s">
        <v>10</v>
      </c>
      <c r="E3008" s="22"/>
      <c r="F3008" s="22">
        <f>C3008*E3008</f>
      </c>
    </row>
    <row r="3009">
      <c r="A3009" s="5" t="s">
        <v>789</v>
      </c>
      <c r="B3009" s="16" t="s">
        <v>769</v>
      </c>
      <c r="C3009" s="22"/>
      <c r="D3009" s="22" t="s">
        <v>10</v>
      </c>
      <c r="E3009" s="22"/>
      <c r="F3009" s="22">
        <f>C3009*E3009</f>
      </c>
    </row>
    <row r="3010">
      <c r="A3010" s="6"/>
      <c r="B3010" s="15" t="s">
        <v>790</v>
      </c>
      <c r="C3010" s="23"/>
      <c r="D3010" s="23"/>
      <c r="E3010" s="23"/>
      <c r="F3010" s="23"/>
    </row>
    <row r="3011">
      <c r="A3011" s="5" t="s">
        <v>791</v>
      </c>
      <c r="B3011" s="16" t="s">
        <v>652</v>
      </c>
      <c r="C3011" s="22"/>
      <c r="D3011" s="22" t="s">
        <v>10</v>
      </c>
      <c r="E3011" s="22"/>
      <c r="F3011" s="22">
        <f>C3011*E3011</f>
      </c>
    </row>
    <row r="3012">
      <c r="A3012" s="5" t="s">
        <v>792</v>
      </c>
      <c r="B3012" s="16" t="s">
        <v>700</v>
      </c>
      <c r="C3012" s="22"/>
      <c r="D3012" s="22" t="s">
        <v>10</v>
      </c>
      <c r="E3012" s="22"/>
      <c r="F3012" s="22">
        <f>C3012*E3012</f>
      </c>
    </row>
    <row r="3013">
      <c r="A3013" s="5" t="s">
        <v>793</v>
      </c>
      <c r="B3013" s="16" t="s">
        <v>650</v>
      </c>
      <c r="C3013" s="22"/>
      <c r="D3013" s="22" t="s">
        <v>10</v>
      </c>
      <c r="E3013" s="22"/>
      <c r="F3013" s="22">
        <f>C3013*E3013</f>
      </c>
    </row>
    <row r="3014">
      <c r="A3014" s="3"/>
      <c r="B3014" s="11" t="s">
        <v>68</v>
      </c>
      <c r="C3014" s="20"/>
      <c r="D3014" s="20"/>
      <c r="E3014" s="20"/>
      <c r="F3014" s="20"/>
    </row>
    <row r="3015">
      <c r="A3015" s="5" t="s">
        <v>807</v>
      </c>
      <c r="B3015" s="14" t="s">
        <v>808</v>
      </c>
      <c r="C3015" s="22">
        <f>(1)*(1)*(1)*(1)*(1 + (0))</f>
      </c>
      <c r="D3015" s="22" t="s">
        <v>71</v>
      </c>
      <c r="E3015" s="22"/>
      <c r="F3015" s="22">
        <f>C3015*E3015</f>
      </c>
    </row>
    <row r="3016">
      <c r="A3016" s="5" t="s">
        <v>809</v>
      </c>
      <c r="B3016" s="14" t="s">
        <v>810</v>
      </c>
      <c r="C3016" s="22">
        <f>(1)*(1)*(1)*(1)*(1 + (0))</f>
      </c>
      <c r="D3016" s="22" t="s">
        <v>71</v>
      </c>
      <c r="E3016" s="22"/>
      <c r="F3016" s="22">
        <f>C3016*E3016</f>
      </c>
    </row>
    <row r="3017">
      <c r="A3017" s="5" t="s">
        <v>811</v>
      </c>
      <c r="B3017" s="14" t="s">
        <v>812</v>
      </c>
      <c r="C3017" s="22">
        <f>(1)*(1)*(1)*(1)*(1 + (0))</f>
      </c>
      <c r="D3017" s="22" t="s">
        <v>71</v>
      </c>
      <c r="E3017" s="22"/>
      <c r="F3017" s="22">
        <f>C3017*E3017</f>
      </c>
    </row>
    <row r="3018">
      <c r="A3018" s="5" t="s">
        <v>941</v>
      </c>
      <c r="B3018" s="14" t="s">
        <v>447</v>
      </c>
      <c r="C3018" s="22">
        <f>(1)*(1)*(1)*(1)*(1 + (0))</f>
      </c>
      <c r="D3018" s="22" t="s">
        <v>71</v>
      </c>
      <c r="E3018" s="22"/>
      <c r="F3018" s="22">
        <f>C3018*E3018</f>
      </c>
    </row>
    <row r="3019">
      <c r="A3019" s="5" t="s">
        <v>942</v>
      </c>
      <c r="B3019" s="14" t="s">
        <v>70</v>
      </c>
      <c r="C3019" s="22">
        <f>(1)*(1)*(1)*(1)*(1 + (0))</f>
      </c>
      <c r="D3019" s="22" t="s">
        <v>71</v>
      </c>
      <c r="E3019" s="22"/>
      <c r="F3019" s="22">
        <f>C3019*E3019</f>
      </c>
    </row>
    <row r="3020">
      <c r="A3020" s="5" t="s">
        <v>813</v>
      </c>
      <c r="B3020" s="14" t="s">
        <v>814</v>
      </c>
      <c r="C3020" s="22">
        <f>(1)*(1)*(1)*(1)*(1 + (0))</f>
      </c>
      <c r="D3020" s="22" t="s">
        <v>71</v>
      </c>
      <c r="E3020" s="22"/>
      <c r="F3020" s="22">
        <f>C3020*E3020</f>
      </c>
    </row>
    <row r="3021">
      <c r="A3021" s="5" t="s">
        <v>815</v>
      </c>
      <c r="B3021" s="14" t="s">
        <v>816</v>
      </c>
      <c r="C3021" s="22">
        <f>(1)*(1)*(1)*(1)*(1 + (0))</f>
      </c>
      <c r="D3021" s="22" t="s">
        <v>71</v>
      </c>
      <c r="E3021" s="22"/>
      <c r="F3021" s="22">
        <f>C3021*E3021</f>
      </c>
    </row>
    <row r="3022">
      <c r="A3022" s="5" t="s">
        <v>943</v>
      </c>
      <c r="B3022" s="14" t="s">
        <v>798</v>
      </c>
      <c r="C3022" s="22">
        <f>(1)*(1)*(1)*(1)*(1 + (0))</f>
      </c>
      <c r="D3022" s="22" t="s">
        <v>71</v>
      </c>
      <c r="E3022" s="22"/>
      <c r="F3022" s="22">
        <f>C3022*E3022</f>
      </c>
    </row>
    <row r="3023">
      <c r="A3023" s="5" t="s">
        <v>944</v>
      </c>
      <c r="B3023" s="14" t="s">
        <v>800</v>
      </c>
      <c r="C3023" s="22">
        <f>(1)*(1)*(1)*(1)*(1 + (0))</f>
      </c>
      <c r="D3023" s="22" t="s">
        <v>71</v>
      </c>
      <c r="E3023" s="22"/>
      <c r="F3023" s="22">
        <f>C3023*E3023</f>
      </c>
    </row>
    <row r="3024">
      <c r="A3024" s="5" t="s">
        <v>817</v>
      </c>
      <c r="B3024" s="14" t="s">
        <v>667</v>
      </c>
      <c r="C3024" s="22">
        <f>(1)*(1)*(1)*(1)*(1 + (0))</f>
      </c>
      <c r="D3024" s="22" t="s">
        <v>71</v>
      </c>
      <c r="E3024" s="22"/>
      <c r="F3024" s="22">
        <f>C3024*E3024</f>
      </c>
    </row>
    <row r="3025">
      <c r="A3025" s="5" t="s">
        <v>945</v>
      </c>
      <c r="B3025" s="14" t="s">
        <v>665</v>
      </c>
      <c r="C3025" s="22">
        <f>(1)*(1)*(1)*(1)*(1 + (0))</f>
      </c>
      <c r="D3025" s="22" t="s">
        <v>71</v>
      </c>
      <c r="E3025" s="22"/>
      <c r="F3025" s="22">
        <f>C3025*E3025</f>
      </c>
    </row>
    <row r="3026">
      <c r="A3026" s="3"/>
      <c r="B3026" s="11" t="s">
        <v>106</v>
      </c>
      <c r="C3026" s="20"/>
      <c r="D3026" s="20"/>
      <c r="E3026" s="20"/>
      <c r="F3026" s="20"/>
    </row>
    <row r="3027">
      <c r="A3027" s="5"/>
      <c r="B3027" s="14" t="s">
        <v>946</v>
      </c>
      <c r="C3027" s="22"/>
      <c r="D3027" s="22" t="s">
        <v>10</v>
      </c>
      <c r="E3027" s="22"/>
      <c r="F3027" s="22">
        <f>C3027*E3027</f>
      </c>
    </row>
    <row r="3028">
      <c r="A3028" s="3"/>
      <c r="B3028" s="11" t="s">
        <v>947</v>
      </c>
      <c r="C3028" s="20"/>
      <c r="D3028" s="20"/>
      <c r="E3028" s="20"/>
      <c r="F3028" s="20"/>
    </row>
    <row r="3029">
      <c r="A3029" s="4"/>
      <c r="B3029" s="12" t="s">
        <v>948</v>
      </c>
      <c r="C3029" s="21"/>
      <c r="D3029" s="21"/>
      <c r="E3029" s="21"/>
      <c r="F3029" s="21"/>
    </row>
    <row r="3030">
      <c r="A3030" s="6"/>
      <c r="B3030" s="15" t="s">
        <v>949</v>
      </c>
      <c r="C3030" s="23"/>
      <c r="D3030" s="23"/>
      <c r="E3030" s="23"/>
      <c r="F3030" s="23"/>
    </row>
    <row r="3031">
      <c r="A3031" s="5"/>
      <c r="B3031" s="16" t="s">
        <v>1729</v>
      </c>
      <c r="C3031" s="22">
        <f>(9)*(1)*(1)*(1)*(1 + (0))</f>
      </c>
      <c r="D3031" s="22" t="s">
        <v>24</v>
      </c>
      <c r="E3031" s="22"/>
      <c r="F3031" s="22">
        <f>C3031*E3031</f>
      </c>
    </row>
    <row r="3032">
      <c r="A3032" s="6"/>
      <c r="B3032" s="15" t="s">
        <v>1730</v>
      </c>
      <c r="C3032" s="23"/>
      <c r="D3032" s="23"/>
      <c r="E3032" s="23"/>
      <c r="F3032" s="23"/>
    </row>
    <row r="3033">
      <c r="A3033" s="5"/>
      <c r="B3033" s="16" t="s">
        <v>1729</v>
      </c>
      <c r="C3033" s="22">
        <f>(7)*(1)*(1)*(1)*(1 + (0))</f>
      </c>
      <c r="D3033" s="22" t="s">
        <v>24</v>
      </c>
      <c r="E3033" s="22"/>
      <c r="F3033" s="22">
        <f>C3033*E3033</f>
      </c>
    </row>
    <row r="3034">
      <c r="A3034" s="5"/>
      <c r="B3034" s="16" t="s">
        <v>1731</v>
      </c>
      <c r="C3034" s="22">
        <f>(4)*(1)*(1)*(1)*(1 + (0))</f>
      </c>
      <c r="D3034" s="22" t="s">
        <v>24</v>
      </c>
      <c r="E3034" s="22"/>
      <c r="F3034" s="22">
        <f>C3034*E3034</f>
      </c>
    </row>
    <row r="3035">
      <c r="A3035" s="5"/>
      <c r="B3035" s="16" t="s">
        <v>959</v>
      </c>
      <c r="C3035" s="22">
        <f>(7)*(1)*(1)*(1)*(1 + (0))</f>
      </c>
      <c r="D3035" s="22" t="s">
        <v>24</v>
      </c>
      <c r="E3035" s="22"/>
      <c r="F3035" s="22">
        <f>C3035*E3035</f>
      </c>
    </row>
    <row r="3036">
      <c r="A3036" s="4"/>
      <c r="B3036" s="12" t="s">
        <v>953</v>
      </c>
      <c r="C3036" s="21"/>
      <c r="D3036" s="21"/>
      <c r="E3036" s="21"/>
      <c r="F3036" s="21"/>
    </row>
    <row r="3037">
      <c r="A3037" s="6"/>
      <c r="B3037" s="15" t="s">
        <v>1732</v>
      </c>
      <c r="C3037" s="23"/>
      <c r="D3037" s="23"/>
      <c r="E3037" s="23"/>
      <c r="F3037" s="23"/>
    </row>
    <row r="3038">
      <c r="A3038" s="5"/>
      <c r="B3038" s="16" t="s">
        <v>1729</v>
      </c>
      <c r="C3038" s="22">
        <f>(11)*(1)*(1)*(1)*(1 + (0))</f>
      </c>
      <c r="D3038" s="22" t="s">
        <v>24</v>
      </c>
      <c r="E3038" s="22"/>
      <c r="F3038" s="22">
        <f>C3038*E3038</f>
      </c>
    </row>
    <row r="3039">
      <c r="A3039" s="5"/>
      <c r="B3039" s="16" t="s">
        <v>1731</v>
      </c>
      <c r="C3039" s="22">
        <f>(63)*(1)*(1)*(1)*(1 + (0))</f>
      </c>
      <c r="D3039" s="22" t="s">
        <v>24</v>
      </c>
      <c r="E3039" s="22"/>
      <c r="F3039" s="22">
        <f>C3039*E3039</f>
      </c>
    </row>
    <row r="3040">
      <c r="A3040" s="4"/>
      <c r="B3040" s="12" t="s">
        <v>955</v>
      </c>
      <c r="C3040" s="21"/>
      <c r="D3040" s="21"/>
      <c r="E3040" s="21"/>
      <c r="F3040" s="21"/>
    </row>
    <row r="3041">
      <c r="A3041" s="6"/>
      <c r="B3041" s="15" t="s">
        <v>956</v>
      </c>
      <c r="C3041" s="23"/>
      <c r="D3041" s="23"/>
      <c r="E3041" s="23"/>
      <c r="F3041" s="23"/>
    </row>
    <row r="3042">
      <c r="A3042" s="5"/>
      <c r="B3042" s="16" t="s">
        <v>1729</v>
      </c>
      <c r="C3042" s="22">
        <f>(255)*(1)*(1)*(1)*(1 + (0))</f>
      </c>
      <c r="D3042" s="22" t="s">
        <v>24</v>
      </c>
      <c r="E3042" s="22"/>
      <c r="F3042" s="22">
        <f>C3042*E3042</f>
      </c>
    </row>
    <row r="3043">
      <c r="A3043" s="5"/>
      <c r="B3043" s="16" t="s">
        <v>1731</v>
      </c>
      <c r="C3043" s="22">
        <f>(339)*(1)*(1)*(1)*(1 + (0))</f>
      </c>
      <c r="D3043" s="22" t="s">
        <v>24</v>
      </c>
      <c r="E3043" s="22"/>
      <c r="F3043" s="22">
        <f>C3043*E3043</f>
      </c>
    </row>
    <row r="3044">
      <c r="A3044" s="6"/>
      <c r="B3044" s="15" t="s">
        <v>958</v>
      </c>
      <c r="C3044" s="23"/>
      <c r="D3044" s="23"/>
      <c r="E3044" s="23"/>
      <c r="F3044" s="23"/>
    </row>
    <row r="3045">
      <c r="A3045" s="5"/>
      <c r="B3045" s="16" t="s">
        <v>1729</v>
      </c>
      <c r="C3045" s="22">
        <f>(57)*(1)*(1)*(1)*(1 + (0))</f>
      </c>
      <c r="D3045" s="22" t="s">
        <v>24</v>
      </c>
      <c r="E3045" s="22"/>
      <c r="F3045" s="22">
        <f>C3045*E3045</f>
      </c>
    </row>
    <row r="3046">
      <c r="A3046" s="5"/>
      <c r="B3046" s="16" t="s">
        <v>1731</v>
      </c>
      <c r="C3046" s="22">
        <f>(40)*(1)*(1)*(1)*(1 + (0))</f>
      </c>
      <c r="D3046" s="22" t="s">
        <v>24</v>
      </c>
      <c r="E3046" s="22"/>
      <c r="F3046" s="22">
        <f>C3046*E3046</f>
      </c>
    </row>
    <row r="3047">
      <c r="A3047" s="3"/>
      <c r="B3047" s="11" t="s">
        <v>960</v>
      </c>
      <c r="C3047" s="20"/>
      <c r="D3047" s="20"/>
      <c r="E3047" s="20"/>
      <c r="F3047" s="20"/>
    </row>
    <row r="3048">
      <c r="A3048" s="4"/>
      <c r="B3048" s="12" t="s">
        <v>948</v>
      </c>
      <c r="C3048" s="21"/>
      <c r="D3048" s="21"/>
      <c r="E3048" s="21"/>
      <c r="F3048" s="21"/>
    </row>
    <row r="3049">
      <c r="A3049" s="6"/>
      <c r="B3049" s="15" t="s">
        <v>962</v>
      </c>
      <c r="C3049" s="23"/>
      <c r="D3049" s="23"/>
      <c r="E3049" s="23"/>
      <c r="F3049" s="23"/>
    </row>
    <row r="3050">
      <c r="A3050" s="5"/>
      <c r="B3050" s="16" t="s">
        <v>1729</v>
      </c>
      <c r="C3050" s="22">
        <f>(43)*(1)*(1)*(1)*(1 + (0))</f>
      </c>
      <c r="D3050" s="22" t="s">
        <v>24</v>
      </c>
      <c r="E3050" s="22"/>
      <c r="F3050" s="22">
        <f>C3050*E3050</f>
      </c>
    </row>
    <row r="3051">
      <c r="A3051" s="6"/>
      <c r="B3051" s="15" t="s">
        <v>1733</v>
      </c>
      <c r="C3051" s="23"/>
      <c r="D3051" s="23"/>
      <c r="E3051" s="23"/>
      <c r="F3051" s="23"/>
    </row>
    <row r="3052">
      <c r="A3052" s="5"/>
      <c r="B3052" s="16" t="s">
        <v>1731</v>
      </c>
      <c r="C3052" s="22">
        <f>(8)*(1)*(1)*(1)*(1 + (0))</f>
      </c>
      <c r="D3052" s="22" t="s">
        <v>24</v>
      </c>
      <c r="E3052" s="22"/>
      <c r="F3052" s="22">
        <f>C3052*E3052</f>
      </c>
    </row>
    <row r="3053">
      <c r="A3053" s="6"/>
      <c r="B3053" s="15" t="s">
        <v>1734</v>
      </c>
      <c r="C3053" s="23"/>
      <c r="D3053" s="23"/>
      <c r="E3053" s="23"/>
      <c r="F3053" s="23"/>
    </row>
    <row r="3054">
      <c r="A3054" s="5"/>
      <c r="B3054" s="16" t="s">
        <v>1729</v>
      </c>
      <c r="C3054" s="22">
        <f>(31)*(1)*(1)*(1)*(1 + (0))</f>
      </c>
      <c r="D3054" s="22" t="s">
        <v>24</v>
      </c>
      <c r="E3054" s="22"/>
      <c r="F3054" s="22">
        <f>C3054*E3054</f>
      </c>
    </row>
    <row r="3055">
      <c r="A3055" s="6"/>
      <c r="B3055" s="15" t="s">
        <v>964</v>
      </c>
      <c r="C3055" s="23"/>
      <c r="D3055" s="23"/>
      <c r="E3055" s="23"/>
      <c r="F3055" s="23"/>
    </row>
    <row r="3056">
      <c r="A3056" s="5"/>
      <c r="B3056" s="16" t="s">
        <v>1729</v>
      </c>
      <c r="C3056" s="22">
        <f>(16)*(1)*(1)*(1)*(1 + (0))</f>
      </c>
      <c r="D3056" s="22" t="s">
        <v>24</v>
      </c>
      <c r="E3056" s="22"/>
      <c r="F3056" s="22">
        <f>C3056*E3056</f>
      </c>
    </row>
    <row r="3057">
      <c r="A3057" s="6"/>
      <c r="B3057" s="15" t="s">
        <v>965</v>
      </c>
      <c r="C3057" s="23"/>
      <c r="D3057" s="23"/>
      <c r="E3057" s="23"/>
      <c r="F3057" s="23"/>
    </row>
    <row r="3058">
      <c r="A3058" s="5"/>
      <c r="B3058" s="16" t="s">
        <v>1729</v>
      </c>
      <c r="C3058" s="22">
        <f>(64)*(1)*(1)*(1)*(1 + (0))</f>
      </c>
      <c r="D3058" s="22" t="s">
        <v>24</v>
      </c>
      <c r="E3058" s="22"/>
      <c r="F3058" s="22">
        <f>C3058*E3058</f>
      </c>
    </row>
    <row r="3059">
      <c r="A3059" s="6"/>
      <c r="B3059" s="15" t="s">
        <v>1735</v>
      </c>
      <c r="C3059" s="23"/>
      <c r="D3059" s="23"/>
      <c r="E3059" s="23"/>
      <c r="F3059" s="23"/>
    </row>
    <row r="3060">
      <c r="A3060" s="5"/>
      <c r="B3060" s="16" t="s">
        <v>1731</v>
      </c>
      <c r="C3060" s="22">
        <f>(12)*(1)*(1)*(1)*(1 + (0))</f>
      </c>
      <c r="D3060" s="22" t="s">
        <v>24</v>
      </c>
      <c r="E3060" s="22"/>
      <c r="F3060" s="22">
        <f>C3060*E3060</f>
      </c>
    </row>
    <row r="3061">
      <c r="A3061" s="6"/>
      <c r="B3061" s="15" t="s">
        <v>1736</v>
      </c>
      <c r="C3061" s="23"/>
      <c r="D3061" s="23"/>
      <c r="E3061" s="23"/>
      <c r="F3061" s="23"/>
    </row>
    <row r="3062">
      <c r="A3062" s="5"/>
      <c r="B3062" s="16" t="s">
        <v>1729</v>
      </c>
      <c r="C3062" s="22">
        <f>(37)*(1)*(1)*(1)*(1 + (0))</f>
      </c>
      <c r="D3062" s="22" t="s">
        <v>24</v>
      </c>
      <c r="E3062" s="22"/>
      <c r="F3062" s="22">
        <f>C3062*E3062</f>
      </c>
    </row>
    <row r="3063">
      <c r="A3063" s="4"/>
      <c r="B3063" s="12" t="s">
        <v>953</v>
      </c>
      <c r="C3063" s="21"/>
      <c r="D3063" s="21"/>
      <c r="E3063" s="21"/>
      <c r="F3063" s="21"/>
    </row>
    <row r="3064">
      <c r="A3064" s="6"/>
      <c r="B3064" s="15" t="s">
        <v>1737</v>
      </c>
      <c r="C3064" s="23"/>
      <c r="D3064" s="23"/>
      <c r="E3064" s="23"/>
      <c r="F3064" s="23"/>
    </row>
    <row r="3065">
      <c r="A3065" s="5"/>
      <c r="B3065" s="16" t="s">
        <v>1729</v>
      </c>
      <c r="C3065" s="22">
        <f>(15)*(1)*(1)*(1)*(1 + (0))</f>
      </c>
      <c r="D3065" s="22" t="s">
        <v>24</v>
      </c>
      <c r="E3065" s="22"/>
      <c r="F3065" s="22">
        <f>C3065*E3065</f>
      </c>
    </row>
    <row r="3066">
      <c r="A3066" s="6"/>
      <c r="B3066" s="15" t="s">
        <v>975</v>
      </c>
      <c r="C3066" s="23"/>
      <c r="D3066" s="23"/>
      <c r="E3066" s="23"/>
      <c r="F3066" s="23"/>
    </row>
    <row r="3067">
      <c r="A3067" s="5"/>
      <c r="B3067" s="16" t="s">
        <v>1729</v>
      </c>
      <c r="C3067" s="22">
        <f>(6)*(1)*(1)*(1)*(1 + (0))</f>
      </c>
      <c r="D3067" s="22" t="s">
        <v>24</v>
      </c>
      <c r="E3067" s="22"/>
      <c r="F3067" s="22">
        <f>C3067*E3067</f>
      </c>
    </row>
    <row r="3068">
      <c r="A3068" s="6"/>
      <c r="B3068" s="15" t="s">
        <v>973</v>
      </c>
      <c r="C3068" s="23"/>
      <c r="D3068" s="23"/>
      <c r="E3068" s="23"/>
      <c r="F3068" s="23"/>
    </row>
    <row r="3069">
      <c r="A3069" s="5"/>
      <c r="B3069" s="16" t="s">
        <v>1731</v>
      </c>
      <c r="C3069" s="22">
        <f>(4)*(1)*(1)*(1)*(1 + (0))</f>
      </c>
      <c r="D3069" s="22" t="s">
        <v>24</v>
      </c>
      <c r="E3069" s="22"/>
      <c r="F3069" s="22">
        <f>C3069*E3069</f>
      </c>
    </row>
    <row r="3070">
      <c r="A3070" s="6"/>
      <c r="B3070" s="15" t="s">
        <v>977</v>
      </c>
      <c r="C3070" s="23"/>
      <c r="D3070" s="23"/>
      <c r="E3070" s="23"/>
      <c r="F3070" s="23"/>
    </row>
    <row r="3071">
      <c r="A3071" s="5"/>
      <c r="B3071" s="16" t="s">
        <v>1729</v>
      </c>
      <c r="C3071" s="22">
        <f>(45)*(1)*(1)*(1)*(1 + (0))</f>
      </c>
      <c r="D3071" s="22" t="s">
        <v>24</v>
      </c>
      <c r="E3071" s="22"/>
      <c r="F3071" s="22">
        <f>C3071*E3071</f>
      </c>
    </row>
    <row r="3072">
      <c r="A3072" s="5"/>
      <c r="B3072" s="16" t="s">
        <v>1731</v>
      </c>
      <c r="C3072" s="22">
        <f>(87)*(1)*(1)*(1)*(1 + (0))</f>
      </c>
      <c r="D3072" s="22" t="s">
        <v>24</v>
      </c>
      <c r="E3072" s="22"/>
      <c r="F3072" s="22">
        <f>C3072*E3072</f>
      </c>
    </row>
    <row r="3073">
      <c r="A3073" s="6"/>
      <c r="B3073" s="15" t="s">
        <v>978</v>
      </c>
      <c r="C3073" s="23"/>
      <c r="D3073" s="23"/>
      <c r="E3073" s="23"/>
      <c r="F3073" s="23"/>
    </row>
    <row r="3074">
      <c r="A3074" s="5"/>
      <c r="B3074" s="16" t="s">
        <v>1731</v>
      </c>
      <c r="C3074" s="22">
        <f>(20)*(1)*(1)*(1)*(1 + (0))</f>
      </c>
      <c r="D3074" s="22" t="s">
        <v>24</v>
      </c>
      <c r="E3074" s="22"/>
      <c r="F3074" s="22">
        <f>C3074*E3074</f>
      </c>
    </row>
    <row r="3075">
      <c r="A3075" s="6"/>
      <c r="B3075" s="15" t="s">
        <v>979</v>
      </c>
      <c r="C3075" s="23"/>
      <c r="D3075" s="23"/>
      <c r="E3075" s="23"/>
      <c r="F3075" s="23"/>
    </row>
    <row r="3076">
      <c r="A3076" s="5"/>
      <c r="B3076" s="16" t="s">
        <v>1729</v>
      </c>
      <c r="C3076" s="22">
        <f>(40)*(1)*(1)*(1)*(1 + (0))</f>
      </c>
      <c r="D3076" s="22" t="s">
        <v>24</v>
      </c>
      <c r="E3076" s="22"/>
      <c r="F3076" s="22">
        <f>C3076*E3076</f>
      </c>
    </row>
    <row r="3077">
      <c r="A3077" s="6"/>
      <c r="B3077" s="15" t="s">
        <v>980</v>
      </c>
      <c r="C3077" s="23"/>
      <c r="D3077" s="23"/>
      <c r="E3077" s="23"/>
      <c r="F3077" s="23"/>
    </row>
    <row r="3078">
      <c r="A3078" s="5"/>
      <c r="B3078" s="16" t="s">
        <v>1729</v>
      </c>
      <c r="C3078" s="22">
        <f>(24)*(1)*(1)*(1)*(1 + (0))</f>
      </c>
      <c r="D3078" s="22" t="s">
        <v>24</v>
      </c>
      <c r="E3078" s="22"/>
      <c r="F3078" s="22">
        <f>C3078*E3078</f>
      </c>
    </row>
    <row r="3079">
      <c r="A3079" s="5"/>
      <c r="B3079" s="16" t="s">
        <v>1731</v>
      </c>
      <c r="C3079" s="22">
        <f>(9)*(1)*(1)*(1)*(1 + (0))</f>
      </c>
      <c r="D3079" s="22" t="s">
        <v>24</v>
      </c>
      <c r="E3079" s="22"/>
      <c r="F3079" s="22">
        <f>C3079*E3079</f>
      </c>
    </row>
    <row r="3080">
      <c r="A3080" s="6"/>
      <c r="B3080" s="15" t="s">
        <v>1738</v>
      </c>
      <c r="C3080" s="23"/>
      <c r="D3080" s="23"/>
      <c r="E3080" s="23"/>
      <c r="F3080" s="23"/>
    </row>
    <row r="3081">
      <c r="A3081" s="5"/>
      <c r="B3081" s="16" t="s">
        <v>1729</v>
      </c>
      <c r="C3081" s="22">
        <f>(42)*(1)*(1)*(1)*(1 + (0))</f>
      </c>
      <c r="D3081" s="22" t="s">
        <v>24</v>
      </c>
      <c r="E3081" s="22"/>
      <c r="F3081" s="22">
        <f>C3081*E3081</f>
      </c>
    </row>
    <row r="3082">
      <c r="A3082" s="6"/>
      <c r="B3082" s="15" t="s">
        <v>1739</v>
      </c>
      <c r="C3082" s="23"/>
      <c r="D3082" s="23"/>
      <c r="E3082" s="23"/>
      <c r="F3082" s="23"/>
    </row>
    <row r="3083">
      <c r="A3083" s="5"/>
      <c r="B3083" s="16" t="s">
        <v>1729</v>
      </c>
      <c r="C3083" s="22">
        <f>(54)*(1)*(1)*(1)*(1 + (0))</f>
      </c>
      <c r="D3083" s="22" t="s">
        <v>24</v>
      </c>
      <c r="E3083" s="22"/>
      <c r="F3083" s="22">
        <f>C3083*E3083</f>
      </c>
    </row>
    <row r="3084">
      <c r="A3084" s="5"/>
      <c r="B3084" s="16" t="s">
        <v>1731</v>
      </c>
      <c r="C3084" s="22">
        <f>(25)*(1)*(1)*(1)*(1 + (0))</f>
      </c>
      <c r="D3084" s="22" t="s">
        <v>24</v>
      </c>
      <c r="E3084" s="22"/>
      <c r="F3084" s="22">
        <f>C3084*E3084</f>
      </c>
    </row>
    <row r="3085">
      <c r="A3085" s="6"/>
      <c r="B3085" s="15" t="s">
        <v>1740</v>
      </c>
      <c r="C3085" s="23"/>
      <c r="D3085" s="23"/>
      <c r="E3085" s="23"/>
      <c r="F3085" s="23"/>
    </row>
    <row r="3086">
      <c r="A3086" s="5"/>
      <c r="B3086" s="16" t="s">
        <v>1729</v>
      </c>
      <c r="C3086" s="22">
        <f>(9)*(1)*(1)*(1)*(1 + (0))</f>
      </c>
      <c r="D3086" s="22" t="s">
        <v>24</v>
      </c>
      <c r="E3086" s="22"/>
      <c r="F3086" s="22">
        <f>C3086*E3086</f>
      </c>
    </row>
    <row r="3087">
      <c r="A3087" s="6"/>
      <c r="B3087" s="15" t="s">
        <v>1741</v>
      </c>
      <c r="C3087" s="23"/>
      <c r="D3087" s="23"/>
      <c r="E3087" s="23"/>
      <c r="F3087" s="23"/>
    </row>
    <row r="3088">
      <c r="A3088" s="5"/>
      <c r="B3088" s="16" t="s">
        <v>1729</v>
      </c>
      <c r="C3088" s="22">
        <f>(28)*(1)*(1)*(1)*(1 + (0))</f>
      </c>
      <c r="D3088" s="22" t="s">
        <v>24</v>
      </c>
      <c r="E3088" s="22"/>
      <c r="F3088" s="22">
        <f>C3088*E3088</f>
      </c>
    </row>
    <row r="3089">
      <c r="A3089" s="6"/>
      <c r="B3089" s="15" t="s">
        <v>1742</v>
      </c>
      <c r="C3089" s="23"/>
      <c r="D3089" s="23"/>
      <c r="E3089" s="23"/>
      <c r="F3089" s="23"/>
    </row>
    <row r="3090">
      <c r="A3090" s="5"/>
      <c r="B3090" s="16" t="s">
        <v>1729</v>
      </c>
      <c r="C3090" s="22">
        <f>(9)*(1)*(1)*(1)*(1 + (0))</f>
      </c>
      <c r="D3090" s="22" t="s">
        <v>24</v>
      </c>
      <c r="E3090" s="22"/>
      <c r="F3090" s="22">
        <f>C3090*E3090</f>
      </c>
    </row>
    <row r="3091">
      <c r="A3091" s="6"/>
      <c r="B3091" s="15" t="s">
        <v>1743</v>
      </c>
      <c r="C3091" s="23"/>
      <c r="D3091" s="23"/>
      <c r="E3091" s="23"/>
      <c r="F3091" s="23"/>
    </row>
    <row r="3092">
      <c r="A3092" s="5"/>
      <c r="B3092" s="16" t="s">
        <v>1731</v>
      </c>
      <c r="C3092" s="22">
        <f>(10)*(1)*(1)*(1)*(1 + (0))</f>
      </c>
      <c r="D3092" s="22" t="s">
        <v>24</v>
      </c>
      <c r="E3092" s="22"/>
      <c r="F3092" s="22">
        <f>C3092*E3092</f>
      </c>
    </row>
    <row r="3093">
      <c r="A3093" s="6"/>
      <c r="B3093" s="15" t="s">
        <v>984</v>
      </c>
      <c r="C3093" s="23"/>
      <c r="D3093" s="23"/>
      <c r="E3093" s="23"/>
      <c r="F3093" s="23"/>
    </row>
    <row r="3094">
      <c r="A3094" s="5"/>
      <c r="B3094" s="16" t="s">
        <v>1729</v>
      </c>
      <c r="C3094" s="22">
        <f>(67)*(1)*(1)*(1)*(1 + (0))</f>
      </c>
      <c r="D3094" s="22" t="s">
        <v>24</v>
      </c>
      <c r="E3094" s="22"/>
      <c r="F3094" s="22">
        <f>C3094*E3094</f>
      </c>
    </row>
    <row r="3095">
      <c r="A3095" s="5"/>
      <c r="B3095" s="16" t="s">
        <v>1731</v>
      </c>
      <c r="C3095" s="22">
        <f>(54)*(1)*(1)*(1)*(1 + (0))</f>
      </c>
      <c r="D3095" s="22" t="s">
        <v>24</v>
      </c>
      <c r="E3095" s="22"/>
      <c r="F3095" s="22">
        <f>C3095*E3095</f>
      </c>
    </row>
    <row r="3096">
      <c r="A3096" s="6"/>
      <c r="B3096" s="15" t="s">
        <v>1744</v>
      </c>
      <c r="C3096" s="23"/>
      <c r="D3096" s="23"/>
      <c r="E3096" s="23"/>
      <c r="F3096" s="23"/>
    </row>
    <row r="3097">
      <c r="A3097" s="5"/>
      <c r="B3097" s="16" t="s">
        <v>1729</v>
      </c>
      <c r="C3097" s="22">
        <f>(56)*(1)*(1)*(1)*(1 + (0))</f>
      </c>
      <c r="D3097" s="22" t="s">
        <v>24</v>
      </c>
      <c r="E3097" s="22"/>
      <c r="F3097" s="22">
        <f>C3097*E3097</f>
      </c>
    </row>
    <row r="3098">
      <c r="A3098" s="5"/>
      <c r="B3098" s="16" t="s">
        <v>1731</v>
      </c>
      <c r="C3098" s="22">
        <f>(141)*(1)*(1)*(1)*(1 + (0))</f>
      </c>
      <c r="D3098" s="22" t="s">
        <v>24</v>
      </c>
      <c r="E3098" s="22"/>
      <c r="F3098" s="22">
        <f>C3098*E3098</f>
      </c>
    </row>
    <row r="3099">
      <c r="A3099" s="4"/>
      <c r="B3099" s="12" t="s">
        <v>955</v>
      </c>
      <c r="C3099" s="21"/>
      <c r="D3099" s="21"/>
      <c r="E3099" s="21"/>
      <c r="F3099" s="21"/>
    </row>
    <row r="3100">
      <c r="A3100" s="6"/>
      <c r="B3100" s="15" t="s">
        <v>987</v>
      </c>
      <c r="C3100" s="23"/>
      <c r="D3100" s="23"/>
      <c r="E3100" s="23"/>
      <c r="F3100" s="23"/>
    </row>
    <row r="3101">
      <c r="A3101" s="5"/>
      <c r="B3101" s="16" t="s">
        <v>1729</v>
      </c>
      <c r="C3101" s="22">
        <f>(7)*(1)*(1)*(1)*(1 + (0))</f>
      </c>
      <c r="D3101" s="22" t="s">
        <v>24</v>
      </c>
      <c r="E3101" s="22"/>
      <c r="F3101" s="22">
        <f>C3101*E3101</f>
      </c>
    </row>
    <row r="3102">
      <c r="A3102" s="5"/>
      <c r="B3102" s="16" t="s">
        <v>1731</v>
      </c>
      <c r="C3102" s="22">
        <f>(5)*(1)*(1)*(1)*(1 + (0))</f>
      </c>
      <c r="D3102" s="22" t="s">
        <v>24</v>
      </c>
      <c r="E3102" s="22"/>
      <c r="F3102" s="22">
        <f>C3102*E3102</f>
      </c>
    </row>
    <row r="3103">
      <c r="A3103" s="6"/>
      <c r="B3103" s="15" t="s">
        <v>988</v>
      </c>
      <c r="C3103" s="23"/>
      <c r="D3103" s="23"/>
      <c r="E3103" s="23"/>
      <c r="F3103" s="23"/>
    </row>
    <row r="3104">
      <c r="A3104" s="5"/>
      <c r="B3104" s="16" t="s">
        <v>1729</v>
      </c>
      <c r="C3104" s="22">
        <f>(13)*(1)*(1)*(1)*(1 + (0))</f>
      </c>
      <c r="D3104" s="22" t="s">
        <v>24</v>
      </c>
      <c r="E3104" s="22"/>
      <c r="F3104" s="22">
        <f>C3104*E3104</f>
      </c>
    </row>
    <row r="3105">
      <c r="A3105" s="5"/>
      <c r="B3105" s="16" t="s">
        <v>1731</v>
      </c>
      <c r="C3105" s="22">
        <f>(18)*(1)*(1)*(1)*(1 + (0))</f>
      </c>
      <c r="D3105" s="22" t="s">
        <v>24</v>
      </c>
      <c r="E3105" s="22"/>
      <c r="F3105" s="22">
        <f>C3105*E3105</f>
      </c>
    </row>
    <row r="3106">
      <c r="A3106" s="3"/>
      <c r="B3106" s="11" t="s">
        <v>989</v>
      </c>
      <c r="C3106" s="20"/>
      <c r="D3106" s="20"/>
      <c r="E3106" s="20"/>
      <c r="F3106" s="20"/>
    </row>
    <row r="3107">
      <c r="A3107" s="4"/>
      <c r="B3107" s="12" t="s">
        <v>1745</v>
      </c>
      <c r="C3107" s="21"/>
      <c r="D3107" s="21"/>
      <c r="E3107" s="21"/>
      <c r="F3107" s="21"/>
    </row>
    <row r="3108">
      <c r="A3108" s="5"/>
      <c r="B3108" s="13" t="s">
        <v>1746</v>
      </c>
      <c r="C3108" s="22">
        <f>(70)*(1)*(1)*(1)*(1 + (0))</f>
      </c>
      <c r="D3108" s="22" t="s">
        <v>24</v>
      </c>
      <c r="E3108" s="22"/>
      <c r="F3108" s="22">
        <f>C3108*E3108</f>
      </c>
    </row>
    <row r="3109">
      <c r="A3109" s="5"/>
      <c r="B3109" s="13" t="s">
        <v>1747</v>
      </c>
      <c r="C3109" s="22">
        <f>(97)*(1)*(1)*(1)*(1 + (0))</f>
      </c>
      <c r="D3109" s="22" t="s">
        <v>24</v>
      </c>
      <c r="E3109" s="22"/>
      <c r="F3109" s="22">
        <f>C3109*E3109</f>
      </c>
    </row>
    <row r="3110">
      <c r="A3110" s="4"/>
      <c r="B3110" s="12" t="s">
        <v>1748</v>
      </c>
      <c r="C3110" s="21"/>
      <c r="D3110" s="21"/>
      <c r="E3110" s="21"/>
      <c r="F3110" s="21"/>
    </row>
    <row r="3111">
      <c r="A3111" s="5"/>
      <c r="B3111" s="13" t="s">
        <v>1746</v>
      </c>
      <c r="C3111" s="22">
        <f>(132)*(1)*(1)*(1)*(1 + (0))</f>
      </c>
      <c r="D3111" s="22" t="s">
        <v>24</v>
      </c>
      <c r="E3111" s="22"/>
      <c r="F3111" s="22">
        <f>C3111*E3111</f>
      </c>
    </row>
    <row r="3112">
      <c r="A3112" s="5"/>
      <c r="B3112" s="13" t="s">
        <v>1747</v>
      </c>
      <c r="C3112" s="22">
        <f>(187)*(1)*(1)*(1)*(1 + (0))</f>
      </c>
      <c r="D3112" s="22" t="s">
        <v>24</v>
      </c>
      <c r="E3112" s="22"/>
      <c r="F3112" s="22">
        <f>C3112*E3112</f>
      </c>
    </row>
    <row r="3113">
      <c r="A3113" s="3"/>
      <c r="B3113" s="11" t="s">
        <v>996</v>
      </c>
      <c r="C3113" s="20"/>
      <c r="D3113" s="20"/>
      <c r="E3113" s="20"/>
      <c r="F3113" s="20"/>
    </row>
    <row r="3114">
      <c r="A3114" s="4"/>
      <c r="B3114" s="12" t="s">
        <v>997</v>
      </c>
      <c r="C3114" s="21"/>
      <c r="D3114" s="21"/>
      <c r="E3114" s="21"/>
      <c r="F3114" s="21"/>
    </row>
    <row r="3115">
      <c r="A3115" s="5"/>
      <c r="B3115" s="13" t="s">
        <v>1746</v>
      </c>
      <c r="C3115" s="22">
        <f>(21)*(1)*(1)*(1)*(1 + (0))</f>
      </c>
      <c r="D3115" s="22" t="s">
        <v>24</v>
      </c>
      <c r="E3115" s="22"/>
      <c r="F3115" s="22">
        <f>C3115*E3115</f>
      </c>
    </row>
    <row r="3116">
      <c r="A3116" s="5"/>
      <c r="B3116" s="13" t="s">
        <v>1747</v>
      </c>
      <c r="C3116" s="22">
        <f>(40)*(1)*(1)*(1)*(1 + (0))</f>
      </c>
      <c r="D3116" s="22" t="s">
        <v>24</v>
      </c>
      <c r="E3116" s="22"/>
      <c r="F3116" s="22">
        <f>C3116*E3116</f>
      </c>
    </row>
    <row r="3117">
      <c r="A3117" s="3"/>
      <c r="B3117" s="11" t="s">
        <v>1749</v>
      </c>
      <c r="C3117" s="20"/>
      <c r="D3117" s="20"/>
      <c r="E3117" s="20"/>
      <c r="F3117" s="20"/>
    </row>
    <row r="3118">
      <c r="A3118" s="4"/>
      <c r="B3118" s="12" t="s">
        <v>1750</v>
      </c>
      <c r="C3118" s="21"/>
      <c r="D3118" s="21"/>
      <c r="E3118" s="21"/>
      <c r="F3118" s="21"/>
    </row>
    <row r="3119">
      <c r="A3119" s="5"/>
      <c r="B3119" s="13" t="s">
        <v>1746</v>
      </c>
      <c r="C3119" s="22">
        <f>(17)*(1)*(1)*(1)*(1 + (0))</f>
      </c>
      <c r="D3119" s="22" t="s">
        <v>153</v>
      </c>
      <c r="E3119" s="22"/>
      <c r="F3119" s="22">
        <f>C3119*E3119</f>
      </c>
    </row>
    <row r="3120">
      <c r="A3120" s="3"/>
      <c r="B3120" s="11" t="s">
        <v>998</v>
      </c>
      <c r="C3120" s="20"/>
      <c r="D3120" s="20"/>
      <c r="E3120" s="20"/>
      <c r="F3120" s="20"/>
    </row>
    <row r="3121">
      <c r="A3121" s="4"/>
      <c r="B3121" s="12" t="s">
        <v>999</v>
      </c>
      <c r="C3121" s="21"/>
      <c r="D3121" s="21"/>
      <c r="E3121" s="21"/>
      <c r="F3121" s="21"/>
    </row>
    <row r="3122">
      <c r="A3122" s="5"/>
      <c r="B3122" s="13" t="s">
        <v>27</v>
      </c>
      <c r="C3122" s="22">
        <f>(36)*(1)*(1)*(1)*(1 + (0))</f>
      </c>
      <c r="D3122" s="22" t="s">
        <v>24</v>
      </c>
      <c r="E3122" s="22"/>
      <c r="F3122" s="22">
        <f>C3122*E3122</f>
      </c>
    </row>
    <row r="3123">
      <c r="A3123" s="4"/>
      <c r="B3123" s="12" t="s">
        <v>1000</v>
      </c>
      <c r="C3123" s="21"/>
      <c r="D3123" s="21"/>
      <c r="E3123" s="21"/>
      <c r="F3123" s="21"/>
    </row>
    <row r="3124">
      <c r="A3124" s="5"/>
      <c r="B3124" s="13" t="s">
        <v>1002</v>
      </c>
      <c r="C3124" s="22">
        <f>(110)*(1)*(1)*(1)*(1 + (0))</f>
      </c>
      <c r="D3124" s="22" t="s">
        <v>24</v>
      </c>
      <c r="E3124" s="22"/>
      <c r="F3124" s="22">
        <f>C3124*E3124</f>
      </c>
    </row>
    <row r="3125">
      <c r="A3125" s="5"/>
      <c r="B3125" s="7" t="s">
        <v>1003</v>
      </c>
      <c r="C3125" s="22"/>
      <c r="D3125" s="22"/>
      <c r="E3125" s="22"/>
      <c r="F3125" s="22">
        <f>C3125*E3125</f>
      </c>
    </row>
    <row r="3126">
      <c r="A3126" s="2"/>
      <c r="B3126" s="10" t="s">
        <v>1006</v>
      </c>
      <c r="C3126" s="19"/>
      <c r="D3126" s="19"/>
      <c r="E3126" s="19"/>
      <c r="F3126" s="19"/>
    </row>
    <row r="3127">
      <c r="A3127" s="3"/>
      <c r="B3127" s="11" t="s">
        <v>37</v>
      </c>
      <c r="C3127" s="20"/>
      <c r="D3127" s="20"/>
      <c r="E3127" s="20"/>
      <c r="F3127" s="20"/>
    </row>
    <row r="3128">
      <c r="A3128" s="5" t="s">
        <v>1007</v>
      </c>
      <c r="B3128" s="14" t="s">
        <v>39</v>
      </c>
      <c r="C3128" s="22"/>
      <c r="D3128" s="22" t="s">
        <v>10</v>
      </c>
      <c r="E3128" s="22"/>
      <c r="F3128" s="22">
        <f>C3128*E3128</f>
      </c>
    </row>
    <row r="3129">
      <c r="A3129" s="5" t="s">
        <v>1008</v>
      </c>
      <c r="B3129" s="14" t="s">
        <v>41</v>
      </c>
      <c r="C3129" s="22"/>
      <c r="D3129" s="22" t="s">
        <v>10</v>
      </c>
      <c r="E3129" s="22"/>
      <c r="F3129" s="22">
        <f>C3129*E3129</f>
      </c>
    </row>
    <row r="3130">
      <c r="A3130" s="3"/>
      <c r="B3130" s="11" t="s">
        <v>42</v>
      </c>
      <c r="C3130" s="20"/>
      <c r="D3130" s="20"/>
      <c r="E3130" s="20"/>
      <c r="F3130" s="20"/>
    </row>
    <row r="3131">
      <c r="A3131" s="5"/>
      <c r="B3131" s="14" t="s">
        <v>1009</v>
      </c>
      <c r="C3131" s="22"/>
      <c r="D3131" s="22" t="s">
        <v>10</v>
      </c>
      <c r="E3131" s="22"/>
      <c r="F3131" s="22">
        <f>C3131*E3131</f>
      </c>
    </row>
    <row r="3132">
      <c r="A3132" s="5"/>
      <c r="B3132" s="14" t="s">
        <v>1010</v>
      </c>
      <c r="C3132" s="22"/>
      <c r="D3132" s="22" t="s">
        <v>10</v>
      </c>
      <c r="E3132" s="22"/>
      <c r="F3132" s="22">
        <f>C3132*E3132</f>
      </c>
    </row>
    <row r="3133">
      <c r="A3133" s="5"/>
      <c r="B3133" s="14" t="s">
        <v>1011</v>
      </c>
      <c r="C3133" s="22"/>
      <c r="D3133" s="22" t="s">
        <v>10</v>
      </c>
      <c r="E3133" s="22"/>
      <c r="F3133" s="22">
        <f>C3133*E3133</f>
      </c>
    </row>
    <row r="3134">
      <c r="A3134" s="3"/>
      <c r="B3134" s="11" t="s">
        <v>44</v>
      </c>
      <c r="C3134" s="20"/>
      <c r="D3134" s="20"/>
      <c r="E3134" s="20"/>
      <c r="F3134" s="20"/>
    </row>
    <row r="3135">
      <c r="A3135" s="4"/>
      <c r="B3135" s="12" t="s">
        <v>45</v>
      </c>
      <c r="C3135" s="21"/>
      <c r="D3135" s="21"/>
      <c r="E3135" s="21"/>
      <c r="F3135" s="21"/>
    </row>
    <row r="3136">
      <c r="A3136" s="5" t="s">
        <v>1012</v>
      </c>
      <c r="B3136" s="13" t="s">
        <v>1013</v>
      </c>
      <c r="C3136" s="22"/>
      <c r="D3136" s="22" t="s">
        <v>10</v>
      </c>
      <c r="E3136" s="22"/>
      <c r="F3136" s="22">
        <f>C3136*E3136</f>
      </c>
    </row>
    <row r="3137">
      <c r="A3137" s="5" t="s">
        <v>1014</v>
      </c>
      <c r="B3137" s="13" t="s">
        <v>1015</v>
      </c>
      <c r="C3137" s="22"/>
      <c r="D3137" s="22" t="s">
        <v>10</v>
      </c>
      <c r="E3137" s="22"/>
      <c r="F3137" s="22">
        <f>C3137*E3137</f>
      </c>
    </row>
    <row r="3138">
      <c r="A3138" s="5" t="s">
        <v>1016</v>
      </c>
      <c r="B3138" s="13" t="s">
        <v>1017</v>
      </c>
      <c r="C3138" s="22"/>
      <c r="D3138" s="22" t="s">
        <v>10</v>
      </c>
      <c r="E3138" s="22"/>
      <c r="F3138" s="22">
        <f>C3138*E3138</f>
      </c>
    </row>
    <row r="3139">
      <c r="A3139" s="5" t="s">
        <v>1018</v>
      </c>
      <c r="B3139" s="13" t="s">
        <v>784</v>
      </c>
      <c r="C3139" s="22"/>
      <c r="D3139" s="22" t="s">
        <v>10</v>
      </c>
      <c r="E3139" s="22"/>
      <c r="F3139" s="22">
        <f>C3139*E3139</f>
      </c>
    </row>
    <row r="3140">
      <c r="A3140" s="5" t="s">
        <v>1019</v>
      </c>
      <c r="B3140" s="13" t="s">
        <v>123</v>
      </c>
      <c r="C3140" s="22"/>
      <c r="D3140" s="22" t="s">
        <v>10</v>
      </c>
      <c r="E3140" s="22"/>
      <c r="F3140" s="22">
        <f>C3140*E3140</f>
      </c>
    </row>
    <row r="3141">
      <c r="A3141" s="3"/>
      <c r="B3141" s="11" t="s">
        <v>68</v>
      </c>
      <c r="C3141" s="20"/>
      <c r="D3141" s="20"/>
      <c r="E3141" s="20"/>
      <c r="F3141" s="20"/>
    </row>
    <row r="3142">
      <c r="A3142" s="5" t="s">
        <v>1020</v>
      </c>
      <c r="B3142" s="14" t="s">
        <v>230</v>
      </c>
      <c r="C3142" s="22">
        <f>(1)*(1)*(1)*(1)*(1 + (0))</f>
      </c>
      <c r="D3142" s="22" t="s">
        <v>71</v>
      </c>
      <c r="E3142" s="22"/>
      <c r="F3142" s="22">
        <f>C3142*E3142</f>
      </c>
    </row>
    <row r="3143">
      <c r="A3143" s="5" t="s">
        <v>1021</v>
      </c>
      <c r="B3143" s="14" t="s">
        <v>1022</v>
      </c>
      <c r="C3143" s="22">
        <f>(1)*(1)*(1)*(1)*(1 + (0))</f>
      </c>
      <c r="D3143" s="22" t="s">
        <v>71</v>
      </c>
      <c r="E3143" s="22"/>
      <c r="F3143" s="22">
        <f>C3143*E3143</f>
      </c>
    </row>
    <row r="3144">
      <c r="A3144" s="5" t="s">
        <v>1023</v>
      </c>
      <c r="B3144" s="14" t="s">
        <v>812</v>
      </c>
      <c r="C3144" s="22">
        <f>(1)*(1)*(1)*(1)*(1 + (0))</f>
      </c>
      <c r="D3144" s="22" t="s">
        <v>71</v>
      </c>
      <c r="E3144" s="22"/>
      <c r="F3144" s="22">
        <f>C3144*E3144</f>
      </c>
    </row>
    <row r="3145">
      <c r="A3145" s="5" t="s">
        <v>1024</v>
      </c>
      <c r="B3145" s="14" t="s">
        <v>814</v>
      </c>
      <c r="C3145" s="22">
        <f>(1)*(1)*(1)*(1)*(1 + (0))</f>
      </c>
      <c r="D3145" s="22" t="s">
        <v>71</v>
      </c>
      <c r="E3145" s="22"/>
      <c r="F3145" s="22">
        <f>C3145*E3145</f>
      </c>
    </row>
    <row r="3146">
      <c r="A3146" s="5" t="s">
        <v>1025</v>
      </c>
      <c r="B3146" s="14" t="s">
        <v>798</v>
      </c>
      <c r="C3146" s="22">
        <f>(1)*(1)*(1)*(1)*(1 + (0))</f>
      </c>
      <c r="D3146" s="22" t="s">
        <v>71</v>
      </c>
      <c r="E3146" s="22"/>
      <c r="F3146" s="22">
        <f>C3146*E3146</f>
      </c>
    </row>
    <row r="3147">
      <c r="A3147" s="5" t="s">
        <v>1026</v>
      </c>
      <c r="B3147" s="14" t="s">
        <v>805</v>
      </c>
      <c r="C3147" s="22">
        <f>(1)*(1)*(1)*(1)*(1 + (0))</f>
      </c>
      <c r="D3147" s="22" t="s">
        <v>71</v>
      </c>
      <c r="E3147" s="22"/>
      <c r="F3147" s="22">
        <f>C3147*E3147</f>
      </c>
    </row>
    <row r="3148">
      <c r="A3148" s="5" t="s">
        <v>1027</v>
      </c>
      <c r="B3148" s="14" t="s">
        <v>800</v>
      </c>
      <c r="C3148" s="22">
        <f>(1)*(1)*(1)*(1)*(1 + (0))</f>
      </c>
      <c r="D3148" s="22" t="s">
        <v>71</v>
      </c>
      <c r="E3148" s="22"/>
      <c r="F3148" s="22">
        <f>C3148*E3148</f>
      </c>
    </row>
    <row r="3149">
      <c r="A3149" s="5" t="s">
        <v>1028</v>
      </c>
      <c r="B3149" s="14" t="s">
        <v>1029</v>
      </c>
      <c r="C3149" s="22">
        <f>(1)*(1)*(1)*(1)*(1 + (0))</f>
      </c>
      <c r="D3149" s="22" t="s">
        <v>71</v>
      </c>
      <c r="E3149" s="22"/>
      <c r="F3149" s="22">
        <f>C3149*E3149</f>
      </c>
    </row>
    <row r="3150">
      <c r="A3150" s="5" t="s">
        <v>1030</v>
      </c>
      <c r="B3150" s="14" t="s">
        <v>1031</v>
      </c>
      <c r="C3150" s="22">
        <f>(1)*(1)*(1)*(1)*(1 + (0))</f>
      </c>
      <c r="D3150" s="22" t="s">
        <v>71</v>
      </c>
      <c r="E3150" s="22"/>
      <c r="F3150" s="22">
        <f>C3150*E3150</f>
      </c>
    </row>
    <row r="3151">
      <c r="A3151" s="3"/>
      <c r="B3151" s="11" t="s">
        <v>106</v>
      </c>
      <c r="C3151" s="20"/>
      <c r="D3151" s="20"/>
      <c r="E3151" s="20"/>
      <c r="F3151" s="20"/>
    </row>
    <row r="3152">
      <c r="A3152" s="5"/>
      <c r="B3152" s="14" t="s">
        <v>1751</v>
      </c>
      <c r="C3152" s="22"/>
      <c r="D3152" s="22" t="s">
        <v>10</v>
      </c>
      <c r="E3152" s="22"/>
      <c r="F3152" s="22">
        <f>C3152*E3152</f>
      </c>
    </row>
    <row r="3153">
      <c r="A3153" s="3"/>
      <c r="B3153" s="11" t="s">
        <v>1033</v>
      </c>
      <c r="C3153" s="20"/>
      <c r="D3153" s="20"/>
      <c r="E3153" s="20"/>
      <c r="F3153" s="20"/>
    </row>
    <row r="3154">
      <c r="A3154" s="4"/>
      <c r="B3154" s="12" t="s">
        <v>1034</v>
      </c>
      <c r="C3154" s="21"/>
      <c r="D3154" s="21"/>
      <c r="E3154" s="21"/>
      <c r="F3154" s="21"/>
    </row>
    <row r="3155">
      <c r="A3155" s="6"/>
      <c r="B3155" s="15" t="s">
        <v>1035</v>
      </c>
      <c r="C3155" s="23"/>
      <c r="D3155" s="23"/>
      <c r="E3155" s="23"/>
      <c r="F3155" s="23"/>
    </row>
    <row r="3156">
      <c r="A3156" s="5"/>
      <c r="B3156" s="16" t="s">
        <v>27</v>
      </c>
      <c r="C3156" s="22">
        <f>(272)*(1)*(1)*(1)*(1 + (0))</f>
      </c>
      <c r="D3156" s="22" t="s">
        <v>24</v>
      </c>
      <c r="E3156" s="22"/>
      <c r="F3156" s="22">
        <f>C3156*E3156</f>
      </c>
    </row>
    <row r="3157">
      <c r="A3157" s="5"/>
      <c r="B3157" s="16" t="s">
        <v>28</v>
      </c>
      <c r="C3157" s="22">
        <f>(285)*(1)*(1)*(1)*(1 + (0))</f>
      </c>
      <c r="D3157" s="22" t="s">
        <v>24</v>
      </c>
      <c r="E3157" s="22"/>
      <c r="F3157" s="22">
        <f>C3157*E3157</f>
      </c>
    </row>
    <row r="3158">
      <c r="A3158" s="6"/>
      <c r="B3158" s="15" t="s">
        <v>1036</v>
      </c>
      <c r="C3158" s="23"/>
      <c r="D3158" s="23"/>
      <c r="E3158" s="23"/>
      <c r="F3158" s="23"/>
    </row>
    <row r="3159">
      <c r="A3159" s="5"/>
      <c r="B3159" s="16" t="s">
        <v>27</v>
      </c>
      <c r="C3159" s="22">
        <f>(97)*(1)*(1)*(1)*(1 + (0))</f>
      </c>
      <c r="D3159" s="22" t="s">
        <v>24</v>
      </c>
      <c r="E3159" s="22"/>
      <c r="F3159" s="22">
        <f>C3159*E3159</f>
      </c>
    </row>
    <row r="3160">
      <c r="A3160" s="5"/>
      <c r="B3160" s="16" t="s">
        <v>28</v>
      </c>
      <c r="C3160" s="22">
        <f>(18)*(1)*(1)*(1)*(1 + (0))</f>
      </c>
      <c r="D3160" s="22" t="s">
        <v>24</v>
      </c>
      <c r="E3160" s="22"/>
      <c r="F3160" s="22">
        <f>C3160*E3160</f>
      </c>
    </row>
    <row r="3161">
      <c r="A3161" s="6"/>
      <c r="B3161" s="15" t="s">
        <v>1037</v>
      </c>
      <c r="C3161" s="23"/>
      <c r="D3161" s="23"/>
      <c r="E3161" s="23"/>
      <c r="F3161" s="23"/>
    </row>
    <row r="3162">
      <c r="A3162" s="5"/>
      <c r="B3162" s="16" t="s">
        <v>27</v>
      </c>
      <c r="C3162" s="22">
        <f>(417)*(1)*(1)*(1)*(1 + (0))</f>
      </c>
      <c r="D3162" s="22" t="s">
        <v>24</v>
      </c>
      <c r="E3162" s="22"/>
      <c r="F3162" s="22">
        <f>C3162*E3162</f>
      </c>
    </row>
    <row r="3163">
      <c r="A3163" s="5"/>
      <c r="B3163" s="16" t="s">
        <v>28</v>
      </c>
      <c r="C3163" s="22">
        <f>(508)*(1)*(1)*(1)*(1 + (0))</f>
      </c>
      <c r="D3163" s="22" t="s">
        <v>24</v>
      </c>
      <c r="E3163" s="22"/>
      <c r="F3163" s="22">
        <f>C3163*E3163</f>
      </c>
    </row>
    <row r="3164">
      <c r="A3164" s="6"/>
      <c r="B3164" s="15" t="s">
        <v>1038</v>
      </c>
      <c r="C3164" s="23"/>
      <c r="D3164" s="23"/>
      <c r="E3164" s="23"/>
      <c r="F3164" s="23"/>
    </row>
    <row r="3165">
      <c r="A3165" s="5"/>
      <c r="B3165" s="16" t="s">
        <v>27</v>
      </c>
      <c r="C3165" s="22">
        <f>(81)*(1)*(1)*(1)*(1 + (0))</f>
      </c>
      <c r="D3165" s="22" t="s">
        <v>24</v>
      </c>
      <c r="E3165" s="22"/>
      <c r="F3165" s="22">
        <f>C3165*E3165</f>
      </c>
    </row>
    <row r="3166">
      <c r="A3166" s="6"/>
      <c r="B3166" s="15" t="s">
        <v>1039</v>
      </c>
      <c r="C3166" s="23"/>
      <c r="D3166" s="23"/>
      <c r="E3166" s="23"/>
      <c r="F3166" s="23"/>
    </row>
    <row r="3167">
      <c r="A3167" s="5"/>
      <c r="B3167" s="16" t="s">
        <v>27</v>
      </c>
      <c r="C3167" s="22">
        <f>(11)*(1)*(1)*(1)*(1 + (0))</f>
      </c>
      <c r="D3167" s="22" t="s">
        <v>24</v>
      </c>
      <c r="E3167" s="22"/>
      <c r="F3167" s="22">
        <f>C3167*E3167</f>
      </c>
    </row>
    <row r="3168">
      <c r="A3168" s="6"/>
      <c r="B3168" s="15" t="s">
        <v>1040</v>
      </c>
      <c r="C3168" s="23"/>
      <c r="D3168" s="23"/>
      <c r="E3168" s="23"/>
      <c r="F3168" s="23"/>
    </row>
    <row r="3169">
      <c r="A3169" s="5"/>
      <c r="B3169" s="16" t="s">
        <v>28</v>
      </c>
      <c r="C3169" s="22">
        <f>(125)*(1)*(1)*(1)*(1 + (0))</f>
      </c>
      <c r="D3169" s="22" t="s">
        <v>24</v>
      </c>
      <c r="E3169" s="22"/>
      <c r="F3169" s="22">
        <f>C3169*E3169</f>
      </c>
    </row>
    <row r="3170">
      <c r="A3170" s="6"/>
      <c r="B3170" s="15" t="s">
        <v>1041</v>
      </c>
      <c r="C3170" s="23"/>
      <c r="D3170" s="23"/>
      <c r="E3170" s="23"/>
      <c r="F3170" s="23"/>
    </row>
    <row r="3171">
      <c r="A3171" s="5"/>
      <c r="B3171" s="16" t="s">
        <v>27</v>
      </c>
      <c r="C3171" s="22">
        <f>(11)*(1)*(1)*(1)*(1 + (0))</f>
      </c>
      <c r="D3171" s="22" t="s">
        <v>24</v>
      </c>
      <c r="E3171" s="22"/>
      <c r="F3171" s="22">
        <f>C3171*E3171</f>
      </c>
    </row>
    <row r="3172">
      <c r="A3172" s="4"/>
      <c r="B3172" s="12" t="s">
        <v>1042</v>
      </c>
      <c r="C3172" s="21"/>
      <c r="D3172" s="21"/>
      <c r="E3172" s="21"/>
      <c r="F3172" s="21"/>
    </row>
    <row r="3173">
      <c r="A3173" s="6"/>
      <c r="B3173" s="15" t="s">
        <v>1752</v>
      </c>
      <c r="C3173" s="23"/>
      <c r="D3173" s="23"/>
      <c r="E3173" s="23"/>
      <c r="F3173" s="23"/>
    </row>
    <row r="3174">
      <c r="A3174" s="5"/>
      <c r="B3174" s="16" t="s">
        <v>28</v>
      </c>
      <c r="C3174" s="22">
        <f>(288)*(1)*(1)*(1)*(1 + (0))</f>
      </c>
      <c r="D3174" s="22" t="s">
        <v>24</v>
      </c>
      <c r="E3174" s="22"/>
      <c r="F3174" s="22">
        <f>C3174*E3174</f>
      </c>
    </row>
    <row r="3175">
      <c r="A3175" s="3"/>
      <c r="B3175" s="11" t="s">
        <v>1044</v>
      </c>
      <c r="C3175" s="20"/>
      <c r="D3175" s="20"/>
      <c r="E3175" s="20"/>
      <c r="F3175" s="20"/>
    </row>
    <row r="3176">
      <c r="A3176" s="4"/>
      <c r="B3176" s="12" t="s">
        <v>1045</v>
      </c>
      <c r="C3176" s="21"/>
      <c r="D3176" s="21"/>
      <c r="E3176" s="21"/>
      <c r="F3176" s="21"/>
    </row>
    <row r="3177">
      <c r="A3177" s="6"/>
      <c r="B3177" s="15" t="s">
        <v>1046</v>
      </c>
      <c r="C3177" s="23"/>
      <c r="D3177" s="23"/>
      <c r="E3177" s="23"/>
      <c r="F3177" s="23"/>
    </row>
    <row r="3178">
      <c r="A3178" s="5"/>
      <c r="B3178" s="16" t="s">
        <v>27</v>
      </c>
      <c r="C3178" s="22">
        <f>(15)*(1)*(1)*(1)*(1 + (0))</f>
      </c>
      <c r="D3178" s="22" t="s">
        <v>24</v>
      </c>
      <c r="E3178" s="22"/>
      <c r="F3178" s="22">
        <f>C3178*E3178</f>
      </c>
    </row>
    <row r="3179">
      <c r="A3179" s="5"/>
      <c r="B3179" s="16" t="s">
        <v>28</v>
      </c>
      <c r="C3179" s="22">
        <f>(10)*(1)*(1)*(1)*(1 + (0))</f>
      </c>
      <c r="D3179" s="22" t="s">
        <v>24</v>
      </c>
      <c r="E3179" s="22"/>
      <c r="F3179" s="22">
        <f>C3179*E3179</f>
      </c>
    </row>
    <row r="3180">
      <c r="A3180" s="4"/>
      <c r="B3180" s="12" t="s">
        <v>1047</v>
      </c>
      <c r="C3180" s="21"/>
      <c r="D3180" s="21"/>
      <c r="E3180" s="21"/>
      <c r="F3180" s="21"/>
    </row>
    <row r="3181">
      <c r="A3181" s="6"/>
      <c r="B3181" s="15" t="s">
        <v>1048</v>
      </c>
      <c r="C3181" s="23"/>
      <c r="D3181" s="23"/>
      <c r="E3181" s="23"/>
      <c r="F3181" s="23"/>
    </row>
    <row r="3182">
      <c r="A3182" s="5"/>
      <c r="B3182" s="16" t="s">
        <v>27</v>
      </c>
      <c r="C3182" s="22">
        <f>(42)*(1)*(1)*(1)*(1 + (0))</f>
      </c>
      <c r="D3182" s="22" t="s">
        <v>153</v>
      </c>
      <c r="E3182" s="22"/>
      <c r="F3182" s="22">
        <f>C3182*E3182</f>
      </c>
    </row>
    <row r="3183">
      <c r="A3183" s="5"/>
      <c r="B3183" s="16" t="s">
        <v>28</v>
      </c>
      <c r="C3183" s="22">
        <f>(45)*(1)*(1)*(1)*(1 + (0))</f>
      </c>
      <c r="D3183" s="22" t="s">
        <v>153</v>
      </c>
      <c r="E3183" s="22"/>
      <c r="F3183" s="22">
        <f>C3183*E3183</f>
      </c>
    </row>
    <row r="3184">
      <c r="A3184" s="6"/>
      <c r="B3184" s="15" t="s">
        <v>1049</v>
      </c>
      <c r="C3184" s="23"/>
      <c r="D3184" s="23"/>
      <c r="E3184" s="23"/>
      <c r="F3184" s="23"/>
    </row>
    <row r="3185">
      <c r="A3185" s="5"/>
      <c r="B3185" s="16" t="s">
        <v>27</v>
      </c>
      <c r="C3185" s="22">
        <f>(519)*(1)*(1)*(1)*(1 + (0))</f>
      </c>
      <c r="D3185" s="22" t="s">
        <v>153</v>
      </c>
      <c r="E3185" s="22"/>
      <c r="F3185" s="22">
        <f>C3185*E3185</f>
      </c>
    </row>
    <row r="3186">
      <c r="A3186" s="5"/>
      <c r="B3186" s="16" t="s">
        <v>28</v>
      </c>
      <c r="C3186" s="22">
        <f>(405)*(1)*(1)*(1)*(1 + (0))</f>
      </c>
      <c r="D3186" s="22" t="s">
        <v>153</v>
      </c>
      <c r="E3186" s="22"/>
      <c r="F3186" s="22">
        <f>C3186*E3186</f>
      </c>
    </row>
    <row r="3187">
      <c r="A3187" s="4"/>
      <c r="B3187" s="12" t="s">
        <v>1050</v>
      </c>
      <c r="C3187" s="21"/>
      <c r="D3187" s="21"/>
      <c r="E3187" s="21"/>
      <c r="F3187" s="21"/>
    </row>
    <row r="3188">
      <c r="A3188" s="6"/>
      <c r="B3188" s="15" t="s">
        <v>1051</v>
      </c>
      <c r="C3188" s="23"/>
      <c r="D3188" s="23"/>
      <c r="E3188" s="23"/>
      <c r="F3188" s="23"/>
    </row>
    <row r="3189">
      <c r="A3189" s="5"/>
      <c r="B3189" s="16" t="s">
        <v>27</v>
      </c>
      <c r="C3189" s="22">
        <f>(1)*(1)*(1)*(1)*(1 + (0))</f>
      </c>
      <c r="D3189" s="22" t="s">
        <v>162</v>
      </c>
      <c r="E3189" s="22"/>
      <c r="F3189" s="22">
        <f>C3189*E3189</f>
      </c>
    </row>
    <row r="3190">
      <c r="A3190" s="6"/>
      <c r="B3190" s="15" t="s">
        <v>1052</v>
      </c>
      <c r="C3190" s="23"/>
      <c r="D3190" s="23"/>
      <c r="E3190" s="23"/>
      <c r="F3190" s="23"/>
    </row>
    <row r="3191">
      <c r="A3191" s="5"/>
      <c r="B3191" s="16" t="s">
        <v>27</v>
      </c>
      <c r="C3191" s="22">
        <f>(3)*(1)*(1)*(1)*(1 + (0))</f>
      </c>
      <c r="D3191" s="22" t="s">
        <v>162</v>
      </c>
      <c r="E3191" s="22"/>
      <c r="F3191" s="22">
        <f>C3191*E3191</f>
      </c>
    </row>
    <row r="3192">
      <c r="A3192" s="2"/>
      <c r="B3192" s="10" t="s">
        <v>1054</v>
      </c>
      <c r="C3192" s="19"/>
      <c r="D3192" s="19"/>
      <c r="E3192" s="19"/>
      <c r="F3192" s="19"/>
    </row>
    <row r="3193">
      <c r="A3193" s="3"/>
      <c r="B3193" s="11" t="s">
        <v>37</v>
      </c>
      <c r="C3193" s="20"/>
      <c r="D3193" s="20"/>
      <c r="E3193" s="20"/>
      <c r="F3193" s="20"/>
    </row>
    <row r="3194">
      <c r="A3194" s="5" t="s">
        <v>1055</v>
      </c>
      <c r="B3194" s="14" t="s">
        <v>39</v>
      </c>
      <c r="C3194" s="22"/>
      <c r="D3194" s="22" t="s">
        <v>10</v>
      </c>
      <c r="E3194" s="22"/>
      <c r="F3194" s="22">
        <f>C3194*E3194</f>
      </c>
    </row>
    <row r="3195">
      <c r="A3195" s="5" t="s">
        <v>1056</v>
      </c>
      <c r="B3195" s="14" t="s">
        <v>41</v>
      </c>
      <c r="C3195" s="22"/>
      <c r="D3195" s="22" t="s">
        <v>10</v>
      </c>
      <c r="E3195" s="22"/>
      <c r="F3195" s="22">
        <f>C3195*E3195</f>
      </c>
    </row>
    <row r="3196">
      <c r="A3196" s="3"/>
      <c r="B3196" s="11" t="s">
        <v>523</v>
      </c>
      <c r="C3196" s="20"/>
      <c r="D3196" s="20"/>
      <c r="E3196" s="20"/>
      <c r="F3196" s="20"/>
    </row>
    <row r="3197">
      <c r="A3197" s="5"/>
      <c r="B3197" s="14" t="s">
        <v>1057</v>
      </c>
      <c r="C3197" s="22"/>
      <c r="D3197" s="22" t="s">
        <v>10</v>
      </c>
      <c r="E3197" s="22"/>
      <c r="F3197" s="22">
        <f>C3197*E3197</f>
      </c>
    </row>
    <row r="3198">
      <c r="A3198" s="5"/>
      <c r="B3198" s="14" t="s">
        <v>1058</v>
      </c>
      <c r="C3198" s="22"/>
      <c r="D3198" s="22" t="s">
        <v>10</v>
      </c>
      <c r="E3198" s="22"/>
      <c r="F3198" s="22">
        <f>C3198*E3198</f>
      </c>
    </row>
    <row r="3199">
      <c r="A3199" s="5"/>
      <c r="B3199" s="14" t="s">
        <v>635</v>
      </c>
      <c r="C3199" s="22"/>
      <c r="D3199" s="22" t="s">
        <v>10</v>
      </c>
      <c r="E3199" s="22"/>
      <c r="F3199" s="22">
        <f>C3199*E3199</f>
      </c>
    </row>
    <row r="3200">
      <c r="A3200" s="3"/>
      <c r="B3200" s="11" t="s">
        <v>44</v>
      </c>
      <c r="C3200" s="20"/>
      <c r="D3200" s="20"/>
      <c r="E3200" s="20"/>
      <c r="F3200" s="20"/>
    </row>
    <row r="3201">
      <c r="A3201" s="4"/>
      <c r="B3201" s="12" t="s">
        <v>45</v>
      </c>
      <c r="C3201" s="21"/>
      <c r="D3201" s="21"/>
      <c r="E3201" s="21"/>
      <c r="F3201" s="21"/>
    </row>
    <row r="3202">
      <c r="A3202" s="5" t="s">
        <v>1059</v>
      </c>
      <c r="B3202" s="13" t="s">
        <v>1060</v>
      </c>
      <c r="C3202" s="22"/>
      <c r="D3202" s="22" t="s">
        <v>10</v>
      </c>
      <c r="E3202" s="22"/>
      <c r="F3202" s="22">
        <f>C3202*E3202</f>
      </c>
    </row>
    <row r="3203">
      <c r="A3203" s="5" t="s">
        <v>1061</v>
      </c>
      <c r="B3203" s="13" t="s">
        <v>1062</v>
      </c>
      <c r="C3203" s="22"/>
      <c r="D3203" s="22" t="s">
        <v>10</v>
      </c>
      <c r="E3203" s="22"/>
      <c r="F3203" s="22">
        <f>C3203*E3203</f>
      </c>
    </row>
    <row r="3204">
      <c r="A3204" s="5" t="s">
        <v>1063</v>
      </c>
      <c r="B3204" s="13" t="s">
        <v>1064</v>
      </c>
      <c r="C3204" s="22"/>
      <c r="D3204" s="22" t="s">
        <v>10</v>
      </c>
      <c r="E3204" s="22"/>
      <c r="F3204" s="22">
        <f>C3204*E3204</f>
      </c>
    </row>
    <row r="3205">
      <c r="A3205" s="5" t="s">
        <v>1065</v>
      </c>
      <c r="B3205" s="13" t="s">
        <v>1066</v>
      </c>
      <c r="C3205" s="22"/>
      <c r="D3205" s="22" t="s">
        <v>10</v>
      </c>
      <c r="E3205" s="22"/>
      <c r="F3205" s="22">
        <f>C3205*E3205</f>
      </c>
    </row>
    <row r="3206">
      <c r="A3206" s="5" t="s">
        <v>1067</v>
      </c>
      <c r="B3206" s="13" t="s">
        <v>1068</v>
      </c>
      <c r="C3206" s="22"/>
      <c r="D3206" s="22" t="s">
        <v>10</v>
      </c>
      <c r="E3206" s="22"/>
      <c r="F3206" s="22">
        <f>C3206*E3206</f>
      </c>
    </row>
    <row r="3207">
      <c r="A3207" s="5" t="s">
        <v>1069</v>
      </c>
      <c r="B3207" s="13" t="s">
        <v>123</v>
      </c>
      <c r="C3207" s="22"/>
      <c r="D3207" s="22" t="s">
        <v>10</v>
      </c>
      <c r="E3207" s="22"/>
      <c r="F3207" s="22">
        <f>C3207*E3207</f>
      </c>
    </row>
    <row r="3208">
      <c r="A3208" s="3"/>
      <c r="B3208" s="11" t="s">
        <v>68</v>
      </c>
      <c r="C3208" s="20"/>
      <c r="D3208" s="20"/>
      <c r="E3208" s="20"/>
      <c r="F3208" s="20"/>
    </row>
    <row r="3209">
      <c r="A3209" s="5" t="s">
        <v>1070</v>
      </c>
      <c r="B3209" s="14" t="s">
        <v>1071</v>
      </c>
      <c r="C3209" s="22">
        <f>(1)*(1)*(1)*(1)*(1 + (0))</f>
      </c>
      <c r="D3209" s="22" t="s">
        <v>71</v>
      </c>
      <c r="E3209" s="22"/>
      <c r="F3209" s="22">
        <f>C3209*E3209</f>
      </c>
    </row>
    <row r="3210">
      <c r="A3210" s="5" t="s">
        <v>1072</v>
      </c>
      <c r="B3210" s="14" t="s">
        <v>798</v>
      </c>
      <c r="C3210" s="22">
        <f>(1)*(1)*(1)*(1)*(1 + (0))</f>
      </c>
      <c r="D3210" s="22" t="s">
        <v>71</v>
      </c>
      <c r="E3210" s="22"/>
      <c r="F3210" s="22">
        <f>C3210*E3210</f>
      </c>
    </row>
    <row r="3211">
      <c r="A3211" s="5" t="s">
        <v>1073</v>
      </c>
      <c r="B3211" s="14" t="s">
        <v>230</v>
      </c>
      <c r="C3211" s="22">
        <f>(1)*(1)*(1)*(1)*(1 + (0))</f>
      </c>
      <c r="D3211" s="22" t="s">
        <v>71</v>
      </c>
      <c r="E3211" s="22"/>
      <c r="F3211" s="22">
        <f>C3211*E3211</f>
      </c>
    </row>
    <row r="3212">
      <c r="A3212" s="5" t="s">
        <v>1074</v>
      </c>
      <c r="B3212" s="14" t="s">
        <v>1075</v>
      </c>
      <c r="C3212" s="22">
        <f>(1)*(1)*(1)*(1)*(1 + (0))</f>
      </c>
      <c r="D3212" s="22" t="s">
        <v>71</v>
      </c>
      <c r="E3212" s="22"/>
      <c r="F3212" s="22">
        <f>C3212*E3212</f>
      </c>
    </row>
    <row r="3213">
      <c r="A3213" s="5" t="s">
        <v>1076</v>
      </c>
      <c r="B3213" s="14" t="s">
        <v>904</v>
      </c>
      <c r="C3213" s="22">
        <f>(1)*(1)*(1)*(1)*(1 + (0))</f>
      </c>
      <c r="D3213" s="22" t="s">
        <v>71</v>
      </c>
      <c r="E3213" s="22"/>
      <c r="F3213" s="22">
        <f>C3213*E3213</f>
      </c>
    </row>
    <row r="3214">
      <c r="A3214" s="5" t="s">
        <v>1077</v>
      </c>
      <c r="B3214" s="14" t="s">
        <v>1078</v>
      </c>
      <c r="C3214" s="22">
        <f>(1)*(1)*(1)*(1)*(1 + (0))</f>
      </c>
      <c r="D3214" s="22" t="s">
        <v>71</v>
      </c>
      <c r="E3214" s="22"/>
      <c r="F3214" s="22">
        <f>C3214*E3214</f>
      </c>
    </row>
    <row r="3215">
      <c r="A3215" s="5" t="s">
        <v>1079</v>
      </c>
      <c r="B3215" s="14" t="s">
        <v>1080</v>
      </c>
      <c r="C3215" s="22">
        <f>(1)*(1)*(1)*(1)*(1 + (0))</f>
      </c>
      <c r="D3215" s="22" t="s">
        <v>71</v>
      </c>
      <c r="E3215" s="22"/>
      <c r="F3215" s="22">
        <f>C3215*E3215</f>
      </c>
    </row>
    <row r="3216">
      <c r="A3216" s="5" t="s">
        <v>1081</v>
      </c>
      <c r="B3216" s="14" t="s">
        <v>1082</v>
      </c>
      <c r="C3216" s="22">
        <f>(1)*(1)*(1)*(1)*(1 + (0))</f>
      </c>
      <c r="D3216" s="22" t="s">
        <v>71</v>
      </c>
      <c r="E3216" s="22"/>
      <c r="F3216" s="22">
        <f>C3216*E3216</f>
      </c>
    </row>
    <row r="3217">
      <c r="A3217" s="5" t="s">
        <v>1083</v>
      </c>
      <c r="B3217" s="14" t="s">
        <v>1084</v>
      </c>
      <c r="C3217" s="22">
        <f>(1)*(1)*(1)*(1)*(1 + (0))</f>
      </c>
      <c r="D3217" s="22" t="s">
        <v>71</v>
      </c>
      <c r="E3217" s="22"/>
      <c r="F3217" s="22">
        <f>C3217*E3217</f>
      </c>
    </row>
    <row r="3218">
      <c r="A3218" s="5" t="s">
        <v>1085</v>
      </c>
      <c r="B3218" s="14" t="s">
        <v>665</v>
      </c>
      <c r="C3218" s="22">
        <f>(1)*(1)*(1)*(1)*(1 + (0))</f>
      </c>
      <c r="D3218" s="22" t="s">
        <v>71</v>
      </c>
      <c r="E3218" s="22"/>
      <c r="F3218" s="22">
        <f>C3218*E3218</f>
      </c>
    </row>
    <row r="3219">
      <c r="A3219" s="3"/>
      <c r="B3219" s="11" t="s">
        <v>106</v>
      </c>
      <c r="C3219" s="20"/>
      <c r="D3219" s="20"/>
      <c r="E3219" s="20"/>
      <c r="F3219" s="20"/>
    </row>
    <row r="3220">
      <c r="A3220" s="5"/>
      <c r="B3220" s="14" t="s">
        <v>1086</v>
      </c>
      <c r="C3220" s="22"/>
      <c r="D3220" s="22" t="s">
        <v>10</v>
      </c>
      <c r="E3220" s="22"/>
      <c r="F3220" s="22">
        <f>C3220*E3220</f>
      </c>
    </row>
    <row r="3221">
      <c r="A3221" s="3"/>
      <c r="B3221" s="11" t="s">
        <v>1087</v>
      </c>
      <c r="C3221" s="20"/>
      <c r="D3221" s="20"/>
      <c r="E3221" s="20"/>
      <c r="F3221" s="20"/>
    </row>
    <row r="3222">
      <c r="A3222" s="4"/>
      <c r="B3222" s="12" t="s">
        <v>1088</v>
      </c>
      <c r="C3222" s="21"/>
      <c r="D3222" s="21"/>
      <c r="E3222" s="21"/>
      <c r="F3222" s="21"/>
    </row>
    <row r="3223">
      <c r="A3223" s="5"/>
      <c r="B3223" s="13" t="s">
        <v>1695</v>
      </c>
      <c r="C3223" s="22">
        <f>(98)*(1)*(1)*(1)*(1 + (0))</f>
      </c>
      <c r="D3223" s="22" t="s">
        <v>24</v>
      </c>
      <c r="E3223" s="22"/>
      <c r="F3223" s="22">
        <f>C3223*E3223</f>
      </c>
    </row>
    <row r="3224">
      <c r="A3224" s="5"/>
      <c r="B3224" s="13" t="s">
        <v>1698</v>
      </c>
      <c r="C3224" s="22">
        <f>(13)*(1)*(1)*(1)*(1 + (0))</f>
      </c>
      <c r="D3224" s="22" t="s">
        <v>24</v>
      </c>
      <c r="E3224" s="22"/>
      <c r="F3224" s="22">
        <f>C3224*E3224</f>
      </c>
    </row>
    <row r="3225">
      <c r="A3225" s="3"/>
      <c r="B3225" s="11" t="s">
        <v>1089</v>
      </c>
      <c r="C3225" s="20"/>
      <c r="D3225" s="20"/>
      <c r="E3225" s="20"/>
      <c r="F3225" s="20"/>
    </row>
    <row r="3226">
      <c r="A3226" s="4"/>
      <c r="B3226" s="12" t="s">
        <v>1090</v>
      </c>
      <c r="C3226" s="21"/>
      <c r="D3226" s="21"/>
      <c r="E3226" s="21"/>
      <c r="F3226" s="21"/>
    </row>
    <row r="3227">
      <c r="A3227" s="5"/>
      <c r="B3227" s="13" t="s">
        <v>1695</v>
      </c>
      <c r="C3227" s="22">
        <f>(98)*(1)*(1)*(1)*(1 + (0))</f>
      </c>
      <c r="D3227" s="22" t="s">
        <v>24</v>
      </c>
      <c r="E3227" s="22"/>
      <c r="F3227" s="22">
        <f>C3227*E3227</f>
      </c>
    </row>
    <row r="3228">
      <c r="A3228" s="5"/>
      <c r="B3228" s="13" t="s">
        <v>1698</v>
      </c>
      <c r="C3228" s="22">
        <f>(13)*(1)*(1)*(1)*(1 + (0))</f>
      </c>
      <c r="D3228" s="22" t="s">
        <v>24</v>
      </c>
      <c r="E3228" s="22"/>
      <c r="F3228" s="22">
        <f>C3228*E3228</f>
      </c>
    </row>
    <row r="3229">
      <c r="A3229" s="3"/>
      <c r="B3229" s="11" t="s">
        <v>1091</v>
      </c>
      <c r="C3229" s="20"/>
      <c r="D3229" s="20"/>
      <c r="E3229" s="20"/>
      <c r="F3229" s="20"/>
    </row>
    <row r="3230">
      <c r="A3230" s="4"/>
      <c r="B3230" s="12" t="s">
        <v>1092</v>
      </c>
      <c r="C3230" s="21"/>
      <c r="D3230" s="21"/>
      <c r="E3230" s="21"/>
      <c r="F3230" s="21"/>
    </row>
    <row r="3231">
      <c r="A3231" s="5"/>
      <c r="B3231" s="13" t="s">
        <v>1746</v>
      </c>
      <c r="C3231" s="22">
        <f>(339)*(1)*(1)*(1)*(1 + (0))</f>
      </c>
      <c r="D3231" s="22" t="s">
        <v>24</v>
      </c>
      <c r="E3231" s="22"/>
      <c r="F3231" s="22">
        <f>C3231*E3231</f>
      </c>
    </row>
    <row r="3232">
      <c r="A3232" s="5"/>
      <c r="B3232" s="13" t="s">
        <v>1747</v>
      </c>
      <c r="C3232" s="22">
        <f>(88)*(1)*(1)*(1)*(1 + (0))</f>
      </c>
      <c r="D3232" s="22" t="s">
        <v>24</v>
      </c>
      <c r="E3232" s="22"/>
      <c r="F3232" s="22">
        <f>C3232*E3232</f>
      </c>
    </row>
    <row r="3233">
      <c r="A3233" s="3"/>
      <c r="B3233" s="11" t="s">
        <v>1093</v>
      </c>
      <c r="C3233" s="20"/>
      <c r="D3233" s="20"/>
      <c r="E3233" s="20"/>
      <c r="F3233" s="20"/>
    </row>
    <row r="3234">
      <c r="A3234" s="4"/>
      <c r="B3234" s="12" t="s">
        <v>1094</v>
      </c>
      <c r="C3234" s="21"/>
      <c r="D3234" s="21"/>
      <c r="E3234" s="21"/>
      <c r="F3234" s="21"/>
    </row>
    <row r="3235">
      <c r="A3235" s="5"/>
      <c r="B3235" s="13" t="s">
        <v>1746</v>
      </c>
      <c r="C3235" s="22">
        <f>(118)*(1)*(1)*(1)*(1 + (0))</f>
      </c>
      <c r="D3235" s="22" t="s">
        <v>153</v>
      </c>
      <c r="E3235" s="22"/>
      <c r="F3235" s="22">
        <f>C3235*E3235</f>
      </c>
    </row>
    <row r="3236">
      <c r="A3236" s="5"/>
      <c r="B3236" s="13" t="s">
        <v>1747</v>
      </c>
      <c r="C3236" s="22">
        <f>(33)*(1)*(1)*(1)*(1 + (0))</f>
      </c>
      <c r="D3236" s="22" t="s">
        <v>153</v>
      </c>
      <c r="E3236" s="22"/>
      <c r="F3236" s="22">
        <f>C3236*E3236</f>
      </c>
    </row>
    <row r="3237">
      <c r="A3237" s="2"/>
      <c r="B3237" s="10" t="s">
        <v>1095</v>
      </c>
      <c r="C3237" s="19"/>
      <c r="D3237" s="19"/>
      <c r="E3237" s="19"/>
      <c r="F3237" s="19"/>
    </row>
    <row r="3238">
      <c r="A3238" s="3"/>
      <c r="B3238" s="11" t="s">
        <v>37</v>
      </c>
      <c r="C3238" s="20"/>
      <c r="D3238" s="20"/>
      <c r="E3238" s="20"/>
      <c r="F3238" s="20"/>
    </row>
    <row r="3239">
      <c r="A3239" s="5" t="s">
        <v>1055</v>
      </c>
      <c r="B3239" s="14" t="s">
        <v>39</v>
      </c>
      <c r="C3239" s="22"/>
      <c r="D3239" s="22" t="s">
        <v>10</v>
      </c>
      <c r="E3239" s="22"/>
      <c r="F3239" s="22">
        <f>C3239*E3239</f>
      </c>
    </row>
    <row r="3240">
      <c r="A3240" s="5" t="s">
        <v>1056</v>
      </c>
      <c r="B3240" s="14" t="s">
        <v>41</v>
      </c>
      <c r="C3240" s="22"/>
      <c r="D3240" s="22" t="s">
        <v>10</v>
      </c>
      <c r="E3240" s="22"/>
      <c r="F3240" s="22">
        <f>C3240*E3240</f>
      </c>
    </row>
    <row r="3241">
      <c r="A3241" s="3"/>
      <c r="B3241" s="11" t="s">
        <v>523</v>
      </c>
      <c r="C3241" s="20"/>
      <c r="D3241" s="20"/>
      <c r="E3241" s="20"/>
      <c r="F3241" s="20"/>
    </row>
    <row r="3242">
      <c r="A3242" s="5"/>
      <c r="B3242" s="14" t="s">
        <v>1096</v>
      </c>
      <c r="C3242" s="22"/>
      <c r="D3242" s="22" t="s">
        <v>10</v>
      </c>
      <c r="E3242" s="22"/>
      <c r="F3242" s="22">
        <f>C3242*E3242</f>
      </c>
    </row>
    <row r="3243">
      <c r="A3243" s="5"/>
      <c r="B3243" s="14" t="s">
        <v>1058</v>
      </c>
      <c r="C3243" s="22"/>
      <c r="D3243" s="22" t="s">
        <v>10</v>
      </c>
      <c r="E3243" s="22"/>
      <c r="F3243" s="22">
        <f>C3243*E3243</f>
      </c>
    </row>
    <row r="3244">
      <c r="A3244" s="5"/>
      <c r="B3244" s="14" t="s">
        <v>635</v>
      </c>
      <c r="C3244" s="22"/>
      <c r="D3244" s="22" t="s">
        <v>10</v>
      </c>
      <c r="E3244" s="22"/>
      <c r="F3244" s="22">
        <f>C3244*E3244</f>
      </c>
    </row>
    <row r="3245">
      <c r="A3245" s="3"/>
      <c r="B3245" s="11" t="s">
        <v>44</v>
      </c>
      <c r="C3245" s="20"/>
      <c r="D3245" s="20"/>
      <c r="E3245" s="20"/>
      <c r="F3245" s="20"/>
    </row>
    <row r="3246">
      <c r="A3246" s="4"/>
      <c r="B3246" s="12" t="s">
        <v>45</v>
      </c>
      <c r="C3246" s="21"/>
      <c r="D3246" s="21"/>
      <c r="E3246" s="21"/>
      <c r="F3246" s="21"/>
    </row>
    <row r="3247">
      <c r="A3247" s="5" t="s">
        <v>1097</v>
      </c>
      <c r="B3247" s="13" t="s">
        <v>1098</v>
      </c>
      <c r="C3247" s="22"/>
      <c r="D3247" s="22" t="s">
        <v>10</v>
      </c>
      <c r="E3247" s="22"/>
      <c r="F3247" s="22">
        <f>C3247*E3247</f>
      </c>
    </row>
    <row r="3248">
      <c r="A3248" s="5" t="s">
        <v>1099</v>
      </c>
      <c r="B3248" s="13" t="s">
        <v>1100</v>
      </c>
      <c r="C3248" s="22"/>
      <c r="D3248" s="22" t="s">
        <v>10</v>
      </c>
      <c r="E3248" s="22"/>
      <c r="F3248" s="22">
        <f>C3248*E3248</f>
      </c>
    </row>
    <row r="3249">
      <c r="A3249" s="5" t="s">
        <v>1101</v>
      </c>
      <c r="B3249" s="13" t="s">
        <v>123</v>
      </c>
      <c r="C3249" s="22"/>
      <c r="D3249" s="22" t="s">
        <v>10</v>
      </c>
      <c r="E3249" s="22"/>
      <c r="F3249" s="22">
        <f>C3249*E3249</f>
      </c>
    </row>
    <row r="3250">
      <c r="A3250" s="3"/>
      <c r="B3250" s="11" t="s">
        <v>68</v>
      </c>
      <c r="C3250" s="20"/>
      <c r="D3250" s="20"/>
      <c r="E3250" s="20"/>
      <c r="F3250" s="20"/>
    </row>
    <row r="3251">
      <c r="A3251" s="5" t="s">
        <v>1102</v>
      </c>
      <c r="B3251" s="14" t="s">
        <v>1103</v>
      </c>
      <c r="C3251" s="22">
        <f>(1)*(1)*(1)*(1)*(1 + (0))</f>
      </c>
      <c r="D3251" s="22" t="s">
        <v>71</v>
      </c>
      <c r="E3251" s="22"/>
      <c r="F3251" s="22">
        <f>C3251*E3251</f>
      </c>
    </row>
    <row r="3252">
      <c r="A3252" s="5" t="s">
        <v>1104</v>
      </c>
      <c r="B3252" s="14" t="s">
        <v>543</v>
      </c>
      <c r="C3252" s="22">
        <f>(1)*(1)*(1)*(1)*(1 + (0))</f>
      </c>
      <c r="D3252" s="22" t="s">
        <v>71</v>
      </c>
      <c r="E3252" s="22"/>
      <c r="F3252" s="22">
        <f>C3252*E3252</f>
      </c>
    </row>
    <row r="3253">
      <c r="A3253" s="5" t="s">
        <v>1105</v>
      </c>
      <c r="B3253" s="14" t="s">
        <v>810</v>
      </c>
      <c r="C3253" s="22">
        <f>(1)*(1)*(1)*(1)*(1 + (0))</f>
      </c>
      <c r="D3253" s="22" t="s">
        <v>71</v>
      </c>
      <c r="E3253" s="22"/>
      <c r="F3253" s="22">
        <f>C3253*E3253</f>
      </c>
    </row>
    <row r="3254">
      <c r="A3254" s="5" t="s">
        <v>1106</v>
      </c>
      <c r="B3254" s="14" t="s">
        <v>665</v>
      </c>
      <c r="C3254" s="22">
        <f>(1)*(1)*(1)*(1)*(1 + (0))</f>
      </c>
      <c r="D3254" s="22" t="s">
        <v>71</v>
      </c>
      <c r="E3254" s="22"/>
      <c r="F3254" s="22">
        <f>C3254*E3254</f>
      </c>
    </row>
    <row r="3255">
      <c r="A3255" s="3"/>
      <c r="B3255" s="11" t="s">
        <v>106</v>
      </c>
      <c r="C3255" s="20"/>
      <c r="D3255" s="20"/>
      <c r="E3255" s="20"/>
      <c r="F3255" s="20"/>
    </row>
    <row r="3256">
      <c r="A3256" s="5"/>
      <c r="B3256" s="14" t="s">
        <v>1107</v>
      </c>
      <c r="C3256" s="22"/>
      <c r="D3256" s="22" t="s">
        <v>10</v>
      </c>
      <c r="E3256" s="22"/>
      <c r="F3256" s="22">
        <f>C3256*E3256</f>
      </c>
    </row>
    <row r="3257">
      <c r="A3257" s="3"/>
      <c r="B3257" s="11" t="s">
        <v>1108</v>
      </c>
      <c r="C3257" s="20"/>
      <c r="D3257" s="20"/>
      <c r="E3257" s="20"/>
      <c r="F3257" s="20"/>
    </row>
    <row r="3258">
      <c r="A3258" s="4"/>
      <c r="B3258" s="12" t="s">
        <v>1109</v>
      </c>
      <c r="C3258" s="21"/>
      <c r="D3258" s="21"/>
      <c r="E3258" s="21"/>
      <c r="F3258" s="21"/>
    </row>
    <row r="3259">
      <c r="A3259" s="5"/>
      <c r="B3259" s="13" t="s">
        <v>1695</v>
      </c>
      <c r="C3259" s="22">
        <f>(23)*(1)*(1)*(1)*(1 + (0))</f>
      </c>
      <c r="D3259" s="22" t="s">
        <v>24</v>
      </c>
      <c r="E3259" s="22"/>
      <c r="F3259" s="22">
        <f>C3259*E3259</f>
      </c>
    </row>
    <row r="3260">
      <c r="A3260" s="4"/>
      <c r="B3260" s="12" t="s">
        <v>1110</v>
      </c>
      <c r="C3260" s="21"/>
      <c r="D3260" s="21"/>
      <c r="E3260" s="21"/>
      <c r="F3260" s="21"/>
    </row>
    <row r="3261">
      <c r="A3261" s="5"/>
      <c r="B3261" s="13" t="s">
        <v>1695</v>
      </c>
      <c r="C3261" s="22">
        <f>(449)*(1)*(1)*(1)*(1 + (0))</f>
      </c>
      <c r="D3261" s="22" t="s">
        <v>24</v>
      </c>
      <c r="E3261" s="22"/>
      <c r="F3261" s="22">
        <f>C3261*E3261</f>
      </c>
    </row>
    <row r="3262">
      <c r="A3262" s="5"/>
      <c r="B3262" s="13" t="s">
        <v>1698</v>
      </c>
      <c r="C3262" s="22">
        <f>(516)*(1)*(1)*(1)*(1 + (0))</f>
      </c>
      <c r="D3262" s="22" t="s">
        <v>24</v>
      </c>
      <c r="E3262" s="22"/>
      <c r="F3262" s="22">
        <f>C3262*E3262</f>
      </c>
    </row>
    <row r="3263">
      <c r="A3263" s="4"/>
      <c r="B3263" s="12" t="s">
        <v>1112</v>
      </c>
      <c r="C3263" s="21"/>
      <c r="D3263" s="21"/>
      <c r="E3263" s="21"/>
      <c r="F3263" s="21"/>
    </row>
    <row r="3264">
      <c r="A3264" s="5"/>
      <c r="B3264" s="13" t="s">
        <v>1695</v>
      </c>
      <c r="C3264" s="22">
        <f>(207)*(1)*(1)*(1)*(1 + (0))</f>
      </c>
      <c r="D3264" s="22" t="s">
        <v>24</v>
      </c>
      <c r="E3264" s="22"/>
      <c r="F3264" s="22">
        <f>C3264*E3264</f>
      </c>
    </row>
    <row r="3265">
      <c r="A3265" s="5"/>
      <c r="B3265" s="13" t="s">
        <v>1698</v>
      </c>
      <c r="C3265" s="22">
        <f>(205)*(1)*(1)*(1)*(1 + (0))</f>
      </c>
      <c r="D3265" s="22" t="s">
        <v>24</v>
      </c>
      <c r="E3265" s="22"/>
      <c r="F3265" s="22">
        <f>C3265*E3265</f>
      </c>
    </row>
    <row r="3266">
      <c r="A3266" s="3"/>
      <c r="B3266" s="11" t="s">
        <v>1114</v>
      </c>
      <c r="C3266" s="20"/>
      <c r="D3266" s="20"/>
      <c r="E3266" s="20"/>
      <c r="F3266" s="20"/>
    </row>
    <row r="3267">
      <c r="A3267" s="4"/>
      <c r="B3267" s="12" t="s">
        <v>1115</v>
      </c>
      <c r="C3267" s="21"/>
      <c r="D3267" s="21"/>
      <c r="E3267" s="21"/>
      <c r="F3267" s="21"/>
    </row>
    <row r="3268">
      <c r="A3268" s="5"/>
      <c r="B3268" s="13" t="s">
        <v>1695</v>
      </c>
      <c r="C3268" s="22">
        <f>(21)*(1)*(1)*(1)*(1 + (0))</f>
      </c>
      <c r="D3268" s="22" t="s">
        <v>24</v>
      </c>
      <c r="E3268" s="22"/>
      <c r="F3268" s="22">
        <f>C3268*E3268</f>
      </c>
    </row>
    <row r="3269">
      <c r="A3269" s="5"/>
      <c r="B3269" s="13" t="s">
        <v>1698</v>
      </c>
      <c r="C3269" s="22">
        <f>(23)*(1)*(1)*(1)*(1 + (0))</f>
      </c>
      <c r="D3269" s="22" t="s">
        <v>24</v>
      </c>
      <c r="E3269" s="22"/>
      <c r="F3269" s="22">
        <f>C3269*E3269</f>
      </c>
    </row>
    <row r="3270">
      <c r="A3270" s="3"/>
      <c r="B3270" s="11" t="s">
        <v>1116</v>
      </c>
      <c r="C3270" s="20"/>
      <c r="D3270" s="20"/>
      <c r="E3270" s="20"/>
      <c r="F3270" s="20"/>
    </row>
    <row r="3271">
      <c r="A3271" s="4"/>
      <c r="B3271" s="12" t="s">
        <v>1117</v>
      </c>
      <c r="C3271" s="21"/>
      <c r="D3271" s="21"/>
      <c r="E3271" s="21"/>
      <c r="F3271" s="21"/>
    </row>
    <row r="3272">
      <c r="A3272" s="5"/>
      <c r="B3272" s="13" t="s">
        <v>1695</v>
      </c>
      <c r="C3272" s="22">
        <f>(5)*(1)*(1)*(1)*(1 + (0))</f>
      </c>
      <c r="D3272" s="22" t="s">
        <v>153</v>
      </c>
      <c r="E3272" s="22"/>
      <c r="F3272" s="22">
        <f>C3272*E3272</f>
      </c>
    </row>
    <row r="3273">
      <c r="A3273" s="4"/>
      <c r="B3273" s="12" t="s">
        <v>1118</v>
      </c>
      <c r="C3273" s="21"/>
      <c r="D3273" s="21"/>
      <c r="E3273" s="21"/>
      <c r="F3273" s="21"/>
    </row>
    <row r="3274">
      <c r="A3274" s="5"/>
      <c r="B3274" s="13" t="s">
        <v>1695</v>
      </c>
      <c r="C3274" s="22">
        <f>(31)*(1)*(1)*(1)*(1 + (0))</f>
      </c>
      <c r="D3274" s="22" t="s">
        <v>153</v>
      </c>
      <c r="E3274" s="22"/>
      <c r="F3274" s="22">
        <f>C3274*E3274</f>
      </c>
    </row>
    <row r="3275">
      <c r="A3275" s="5"/>
      <c r="B3275" s="13" t="s">
        <v>1698</v>
      </c>
      <c r="C3275" s="22">
        <f>(31)*(1)*(1)*(1)*(1 + (0))</f>
      </c>
      <c r="D3275" s="22" t="s">
        <v>153</v>
      </c>
      <c r="E3275" s="22"/>
      <c r="F3275" s="22">
        <f>C3275*E3275</f>
      </c>
    </row>
    <row r="3276">
      <c r="A3276" s="3"/>
      <c r="B3276" s="11" t="s">
        <v>1119</v>
      </c>
      <c r="C3276" s="20"/>
      <c r="D3276" s="20"/>
      <c r="E3276" s="20"/>
      <c r="F3276" s="20"/>
    </row>
    <row r="3277">
      <c r="A3277" s="5"/>
      <c r="B3277" s="14" t="s">
        <v>1120</v>
      </c>
      <c r="C3277" s="22">
        <f>(742)*(1)*(1)*(1)*(1 + (0))</f>
      </c>
      <c r="D3277" s="22" t="s">
        <v>24</v>
      </c>
      <c r="E3277" s="22"/>
      <c r="F3277" s="22">
        <f>C3277*E3277</f>
      </c>
    </row>
    <row r="3278">
      <c r="A3278" s="5"/>
      <c r="B3278" s="14" t="s">
        <v>1121</v>
      </c>
      <c r="C3278" s="22">
        <f>(371)*(1)*(1)*(1)*(1 + (0))</f>
      </c>
      <c r="D3278" s="22" t="s">
        <v>24</v>
      </c>
      <c r="E3278" s="22"/>
      <c r="F3278" s="22">
        <f>C3278*E3278</f>
      </c>
    </row>
    <row r="3279">
      <c r="A3279" s="5"/>
      <c r="B3279" s="14" t="s">
        <v>1122</v>
      </c>
      <c r="C3279" s="22">
        <f>(1433)*(1)*(1)*(1)*(1 + (0))</f>
      </c>
      <c r="D3279" s="22" t="s">
        <v>24</v>
      </c>
      <c r="E3279" s="22"/>
      <c r="F3279" s="22">
        <f>C3279*E3279</f>
      </c>
    </row>
    <row r="3280">
      <c r="A3280" s="2"/>
      <c r="B3280" s="10" t="s">
        <v>1123</v>
      </c>
      <c r="C3280" s="19"/>
      <c r="D3280" s="19"/>
      <c r="E3280" s="19"/>
      <c r="F3280" s="19"/>
    </row>
    <row r="3281">
      <c r="A3281" s="3"/>
      <c r="B3281" s="11" t="s">
        <v>37</v>
      </c>
      <c r="C3281" s="20"/>
      <c r="D3281" s="20"/>
      <c r="E3281" s="20"/>
      <c r="F3281" s="20"/>
    </row>
    <row r="3282">
      <c r="A3282" s="5" t="s">
        <v>1124</v>
      </c>
      <c r="B3282" s="14" t="s">
        <v>39</v>
      </c>
      <c r="C3282" s="22"/>
      <c r="D3282" s="22" t="s">
        <v>10</v>
      </c>
      <c r="E3282" s="22"/>
      <c r="F3282" s="22">
        <f>C3282*E3282</f>
      </c>
    </row>
    <row r="3283">
      <c r="A3283" s="5" t="s">
        <v>1125</v>
      </c>
      <c r="B3283" s="14" t="s">
        <v>41</v>
      </c>
      <c r="C3283" s="22"/>
      <c r="D3283" s="22" t="s">
        <v>10</v>
      </c>
      <c r="E3283" s="22"/>
      <c r="F3283" s="22">
        <f>C3283*E3283</f>
      </c>
    </row>
    <row r="3284">
      <c r="A3284" s="3"/>
      <c r="B3284" s="11" t="s">
        <v>523</v>
      </c>
      <c r="C3284" s="20"/>
      <c r="D3284" s="20"/>
      <c r="E3284" s="20"/>
      <c r="F3284" s="20"/>
    </row>
    <row r="3285">
      <c r="A3285" s="5"/>
      <c r="B3285" s="14" t="s">
        <v>1126</v>
      </c>
      <c r="C3285" s="22"/>
      <c r="D3285" s="22" t="s">
        <v>10</v>
      </c>
      <c r="E3285" s="22"/>
      <c r="F3285" s="22">
        <f>C3285*E3285</f>
      </c>
    </row>
    <row r="3286">
      <c r="A3286" s="5"/>
      <c r="B3286" s="14" t="s">
        <v>1058</v>
      </c>
      <c r="C3286" s="22"/>
      <c r="D3286" s="22" t="s">
        <v>10</v>
      </c>
      <c r="E3286" s="22"/>
      <c r="F3286" s="22">
        <f>C3286*E3286</f>
      </c>
    </row>
    <row r="3287">
      <c r="A3287" s="5"/>
      <c r="B3287" s="14" t="s">
        <v>635</v>
      </c>
      <c r="C3287" s="22"/>
      <c r="D3287" s="22" t="s">
        <v>10</v>
      </c>
      <c r="E3287" s="22"/>
      <c r="F3287" s="22">
        <f>C3287*E3287</f>
      </c>
    </row>
    <row r="3288">
      <c r="A3288" s="3"/>
      <c r="B3288" s="11" t="s">
        <v>44</v>
      </c>
      <c r="C3288" s="20"/>
      <c r="D3288" s="20"/>
      <c r="E3288" s="20"/>
      <c r="F3288" s="20"/>
    </row>
    <row r="3289">
      <c r="A3289" s="4"/>
      <c r="B3289" s="12" t="s">
        <v>45</v>
      </c>
      <c r="C3289" s="21"/>
      <c r="D3289" s="21"/>
      <c r="E3289" s="21"/>
      <c r="F3289" s="21"/>
    </row>
    <row r="3290">
      <c r="A3290" s="5" t="s">
        <v>1097</v>
      </c>
      <c r="B3290" s="13" t="s">
        <v>1098</v>
      </c>
      <c r="C3290" s="22"/>
      <c r="D3290" s="22" t="s">
        <v>10</v>
      </c>
      <c r="E3290" s="22"/>
      <c r="F3290" s="22">
        <f>C3290*E3290</f>
      </c>
    </row>
    <row r="3291">
      <c r="A3291" s="5" t="s">
        <v>1099</v>
      </c>
      <c r="B3291" s="13" t="s">
        <v>1100</v>
      </c>
      <c r="C3291" s="22"/>
      <c r="D3291" s="22" t="s">
        <v>10</v>
      </c>
      <c r="E3291" s="22"/>
      <c r="F3291" s="22">
        <f>C3291*E3291</f>
      </c>
    </row>
    <row r="3292">
      <c r="A3292" s="5" t="s">
        <v>1101</v>
      </c>
      <c r="B3292" s="13" t="s">
        <v>123</v>
      </c>
      <c r="C3292" s="22"/>
      <c r="D3292" s="22" t="s">
        <v>10</v>
      </c>
      <c r="E3292" s="22"/>
      <c r="F3292" s="22">
        <f>C3292*E3292</f>
      </c>
    </row>
    <row r="3293">
      <c r="A3293" s="3"/>
      <c r="B3293" s="11" t="s">
        <v>68</v>
      </c>
      <c r="C3293" s="20"/>
      <c r="D3293" s="20"/>
      <c r="E3293" s="20"/>
      <c r="F3293" s="20"/>
    </row>
    <row r="3294">
      <c r="A3294" s="5" t="s">
        <v>1127</v>
      </c>
      <c r="B3294" s="14" t="s">
        <v>1071</v>
      </c>
      <c r="C3294" s="22">
        <f>(1)*(1)*(1)*(1)*(1 + (0))</f>
      </c>
      <c r="D3294" s="22" t="s">
        <v>71</v>
      </c>
      <c r="E3294" s="22"/>
      <c r="F3294" s="22">
        <f>C3294*E3294</f>
      </c>
    </row>
    <row r="3295">
      <c r="A3295" s="5" t="s">
        <v>1128</v>
      </c>
      <c r="B3295" s="14" t="s">
        <v>798</v>
      </c>
      <c r="C3295" s="22">
        <f>(1)*(1)*(1)*(1)*(1 + (0))</f>
      </c>
      <c r="D3295" s="22" t="s">
        <v>71</v>
      </c>
      <c r="E3295" s="22"/>
      <c r="F3295" s="22">
        <f>C3295*E3295</f>
      </c>
    </row>
    <row r="3296">
      <c r="A3296" s="5" t="s">
        <v>1129</v>
      </c>
      <c r="B3296" s="14" t="s">
        <v>812</v>
      </c>
      <c r="C3296" s="22">
        <f>(1)*(1)*(1)*(1)*(1 + (0))</f>
      </c>
      <c r="D3296" s="22" t="s">
        <v>71</v>
      </c>
      <c r="E3296" s="22"/>
      <c r="F3296" s="22">
        <f>C3296*E3296</f>
      </c>
    </row>
    <row r="3297">
      <c r="A3297" s="5" t="s">
        <v>1130</v>
      </c>
      <c r="B3297" s="14" t="s">
        <v>810</v>
      </c>
      <c r="C3297" s="22">
        <f>(1)*(1)*(1)*(1)*(1 + (0))</f>
      </c>
      <c r="D3297" s="22" t="s">
        <v>71</v>
      </c>
      <c r="E3297" s="22"/>
      <c r="F3297" s="22">
        <f>C3297*E3297</f>
      </c>
    </row>
    <row r="3298">
      <c r="A3298" s="5" t="s">
        <v>1131</v>
      </c>
      <c r="B3298" s="14" t="s">
        <v>230</v>
      </c>
      <c r="C3298" s="22">
        <f>(1)*(1)*(1)*(1)*(1 + (0))</f>
      </c>
      <c r="D3298" s="22" t="s">
        <v>71</v>
      </c>
      <c r="E3298" s="22"/>
      <c r="F3298" s="22">
        <f>C3298*E3298</f>
      </c>
    </row>
    <row r="3299">
      <c r="A3299" s="5" t="s">
        <v>1132</v>
      </c>
      <c r="B3299" s="14" t="s">
        <v>800</v>
      </c>
      <c r="C3299" s="22">
        <f>(1)*(1)*(1)*(1)*(1 + (0))</f>
      </c>
      <c r="D3299" s="22" t="s">
        <v>71</v>
      </c>
      <c r="E3299" s="22"/>
      <c r="F3299" s="22">
        <f>C3299*E3299</f>
      </c>
    </row>
    <row r="3300">
      <c r="A3300" s="5" t="s">
        <v>1133</v>
      </c>
      <c r="B3300" s="14" t="s">
        <v>70</v>
      </c>
      <c r="C3300" s="22">
        <f>(1)*(1)*(1)*(1)*(1 + (0))</f>
      </c>
      <c r="D3300" s="22" t="s">
        <v>71</v>
      </c>
      <c r="E3300" s="22"/>
      <c r="F3300" s="22">
        <f>C3300*E3300</f>
      </c>
    </row>
    <row r="3301">
      <c r="A3301" s="5" t="s">
        <v>1134</v>
      </c>
      <c r="B3301" s="14" t="s">
        <v>1135</v>
      </c>
      <c r="C3301" s="22">
        <f>(1)*(1)*(1)*(1)*(1 + (0))</f>
      </c>
      <c r="D3301" s="22" t="s">
        <v>71</v>
      </c>
      <c r="E3301" s="22"/>
      <c r="F3301" s="22">
        <f>C3301*E3301</f>
      </c>
    </row>
    <row r="3302">
      <c r="A3302" s="5" t="s">
        <v>1136</v>
      </c>
      <c r="B3302" s="14" t="s">
        <v>667</v>
      </c>
      <c r="C3302" s="22">
        <f>(1)*(1)*(1)*(1)*(1 + (0))</f>
      </c>
      <c r="D3302" s="22" t="s">
        <v>71</v>
      </c>
      <c r="E3302" s="22"/>
      <c r="F3302" s="22">
        <f>C3302*E3302</f>
      </c>
    </row>
    <row r="3303">
      <c r="A3303" s="5" t="s">
        <v>1137</v>
      </c>
      <c r="B3303" s="14" t="s">
        <v>665</v>
      </c>
      <c r="C3303" s="22">
        <f>(1)*(1)*(1)*(1)*(1 + (0))</f>
      </c>
      <c r="D3303" s="22" t="s">
        <v>71</v>
      </c>
      <c r="E3303" s="22"/>
      <c r="F3303" s="22">
        <f>C3303*E3303</f>
      </c>
    </row>
    <row r="3304">
      <c r="A3304" s="3"/>
      <c r="B3304" s="11" t="s">
        <v>106</v>
      </c>
      <c r="C3304" s="20"/>
      <c r="D3304" s="20"/>
      <c r="E3304" s="20"/>
      <c r="F3304" s="20"/>
    </row>
    <row r="3305">
      <c r="A3305" s="5"/>
      <c r="B3305" s="14" t="s">
        <v>1107</v>
      </c>
      <c r="C3305" s="22"/>
      <c r="D3305" s="22" t="s">
        <v>10</v>
      </c>
      <c r="E3305" s="22"/>
      <c r="F3305" s="22">
        <f>C3305*E3305</f>
      </c>
    </row>
    <row r="3306">
      <c r="A3306" s="5"/>
      <c r="B3306" s="14" t="s">
        <v>1138</v>
      </c>
      <c r="C3306" s="22"/>
      <c r="D3306" s="22" t="s">
        <v>10</v>
      </c>
      <c r="E3306" s="22"/>
      <c r="F3306" s="22">
        <f>C3306*E3306</f>
      </c>
    </row>
    <row r="3307">
      <c r="A3307" s="3"/>
      <c r="B3307" s="11" t="s">
        <v>1139</v>
      </c>
      <c r="C3307" s="20"/>
      <c r="D3307" s="20"/>
      <c r="E3307" s="20"/>
      <c r="F3307" s="20"/>
    </row>
    <row r="3308">
      <c r="A3308" s="4"/>
      <c r="B3308" s="12" t="s">
        <v>1140</v>
      </c>
      <c r="C3308" s="21"/>
      <c r="D3308" s="21"/>
      <c r="E3308" s="21"/>
      <c r="F3308" s="21"/>
    </row>
    <row r="3309">
      <c r="A3309" s="5"/>
      <c r="B3309" s="13" t="s">
        <v>1695</v>
      </c>
      <c r="C3309" s="22">
        <f>(41)*(1)*(1)*(1)*(1 + (0))</f>
      </c>
      <c r="D3309" s="22" t="s">
        <v>24</v>
      </c>
      <c r="E3309" s="22"/>
      <c r="F3309" s="22">
        <f>C3309*E3309</f>
      </c>
    </row>
    <row r="3310">
      <c r="A3310" s="4"/>
      <c r="B3310" s="12" t="s">
        <v>1141</v>
      </c>
      <c r="C3310" s="21"/>
      <c r="D3310" s="21"/>
      <c r="E3310" s="21"/>
      <c r="F3310" s="21"/>
    </row>
    <row r="3311">
      <c r="A3311" s="5"/>
      <c r="B3311" s="13" t="s">
        <v>1698</v>
      </c>
      <c r="C3311" s="22">
        <f>(18)*(1)*(1)*(1)*(1 + (0))</f>
      </c>
      <c r="D3311" s="22" t="s">
        <v>24</v>
      </c>
      <c r="E3311" s="22"/>
      <c r="F3311" s="22">
        <f>C3311*E3311</f>
      </c>
    </row>
    <row r="3312">
      <c r="A3312" s="4"/>
      <c r="B3312" s="12" t="s">
        <v>1142</v>
      </c>
      <c r="C3312" s="21"/>
      <c r="D3312" s="21"/>
      <c r="E3312" s="21"/>
      <c r="F3312" s="21"/>
    </row>
    <row r="3313">
      <c r="A3313" s="5"/>
      <c r="B3313" s="13" t="s">
        <v>1695</v>
      </c>
      <c r="C3313" s="22">
        <f>(42)*(1)*(1)*(1)*(1 + (0))</f>
      </c>
      <c r="D3313" s="22" t="s">
        <v>24</v>
      </c>
      <c r="E3313" s="22"/>
      <c r="F3313" s="22">
        <f>C3313*E3313</f>
      </c>
    </row>
    <row r="3314">
      <c r="A3314" s="5"/>
      <c r="B3314" s="13" t="s">
        <v>1698</v>
      </c>
      <c r="C3314" s="22">
        <f>(40)*(1)*(1)*(1)*(1 + (0))</f>
      </c>
      <c r="D3314" s="22" t="s">
        <v>24</v>
      </c>
      <c r="E3314" s="22"/>
      <c r="F3314" s="22">
        <f>C3314*E3314</f>
      </c>
    </row>
    <row r="3315">
      <c r="A3315" s="3"/>
      <c r="B3315" s="11" t="s">
        <v>1144</v>
      </c>
      <c r="C3315" s="20"/>
      <c r="D3315" s="20"/>
      <c r="E3315" s="20"/>
      <c r="F3315" s="20"/>
    </row>
    <row r="3316">
      <c r="A3316" s="4"/>
      <c r="B3316" s="12" t="s">
        <v>1145</v>
      </c>
      <c r="C3316" s="21"/>
      <c r="D3316" s="21"/>
      <c r="E3316" s="21"/>
      <c r="F3316" s="21"/>
    </row>
    <row r="3317">
      <c r="A3317" s="5"/>
      <c r="B3317" s="13" t="s">
        <v>1695</v>
      </c>
      <c r="C3317" s="22">
        <f>(189)*(1)*(1)*(1)*(1 + (0))</f>
      </c>
      <c r="D3317" s="22" t="s">
        <v>24</v>
      </c>
      <c r="E3317" s="22"/>
      <c r="F3317" s="22">
        <f>C3317*E3317</f>
      </c>
    </row>
    <row r="3318">
      <c r="A3318" s="5"/>
      <c r="B3318" s="13" t="s">
        <v>1698</v>
      </c>
      <c r="C3318" s="22">
        <f>(191)*(1)*(1)*(1)*(1 + (0))</f>
      </c>
      <c r="D3318" s="22" t="s">
        <v>24</v>
      </c>
      <c r="E3318" s="22"/>
      <c r="F3318" s="22">
        <f>C3318*E3318</f>
      </c>
    </row>
    <row r="3319">
      <c r="A3319" s="3"/>
      <c r="B3319" s="11" t="s">
        <v>1119</v>
      </c>
      <c r="C3319" s="20"/>
      <c r="D3319" s="20"/>
      <c r="E3319" s="20"/>
      <c r="F3319" s="20"/>
    </row>
    <row r="3320">
      <c r="A3320" s="5"/>
      <c r="B3320" s="14" t="s">
        <v>1120</v>
      </c>
      <c r="C3320" s="22">
        <f>(57)*(1)*(1)*(1)*(1 + (0))</f>
      </c>
      <c r="D3320" s="22" t="s">
        <v>24</v>
      </c>
      <c r="E3320" s="22"/>
      <c r="F3320" s="22">
        <f>C3320*E3320</f>
      </c>
    </row>
    <row r="3321">
      <c r="A3321" s="5"/>
      <c r="B3321" s="14" t="s">
        <v>1147</v>
      </c>
      <c r="C3321" s="22">
        <f>(57)*(1)*(1)*(1)*(1 + (0))</f>
      </c>
      <c r="D3321" s="22" t="s">
        <v>24</v>
      </c>
      <c r="E3321" s="22"/>
      <c r="F3321" s="22">
        <f>C3321*E3321</f>
      </c>
    </row>
    <row r="3322">
      <c r="A3322" s="5"/>
      <c r="B3322" s="14" t="s">
        <v>1121</v>
      </c>
      <c r="C3322" s="22">
        <f>(29)*(1)*(1)*(1)*(1 + (0))</f>
      </c>
      <c r="D3322" s="22" t="s">
        <v>24</v>
      </c>
      <c r="E3322" s="22"/>
      <c r="F3322" s="22">
        <f>C3322*E3322</f>
      </c>
    </row>
    <row r="3323">
      <c r="A3323" s="5"/>
      <c r="B3323" s="14" t="s">
        <v>1148</v>
      </c>
      <c r="C3323" s="22">
        <f>(139)*(1)*(1)*(1)*(1 + (0))</f>
      </c>
      <c r="D3323" s="22" t="s">
        <v>24</v>
      </c>
      <c r="E3323" s="22"/>
      <c r="F3323" s="22">
        <f>C3323*E3323</f>
      </c>
    </row>
    <row r="3324">
      <c r="A3324" s="5"/>
      <c r="B3324" s="14" t="s">
        <v>1149</v>
      </c>
      <c r="C3324" s="22">
        <f>(139)*(1)*(1)*(1)*(1 + (0))</f>
      </c>
      <c r="D3324" s="22" t="s">
        <v>24</v>
      </c>
      <c r="E3324" s="22"/>
      <c r="F3324" s="22">
        <f>C3324*E3324</f>
      </c>
    </row>
    <row r="3325">
      <c r="A3325" s="5"/>
      <c r="B3325" s="7" t="s">
        <v>1150</v>
      </c>
      <c r="C3325" s="22"/>
      <c r="D3325" s="22"/>
      <c r="E3325" s="22"/>
      <c r="F3325" s="22">
        <f>C3325*E3325</f>
      </c>
    </row>
    <row r="3326">
      <c r="A3326" s="2"/>
      <c r="B3326" s="10" t="s">
        <v>1151</v>
      </c>
      <c r="C3326" s="19"/>
      <c r="D3326" s="19"/>
      <c r="E3326" s="19"/>
      <c r="F3326" s="19"/>
    </row>
    <row r="3327">
      <c r="A3327" s="3"/>
      <c r="B3327" s="11" t="s">
        <v>37</v>
      </c>
      <c r="C3327" s="20"/>
      <c r="D3327" s="20"/>
      <c r="E3327" s="20"/>
      <c r="F3327" s="20"/>
    </row>
    <row r="3328">
      <c r="A3328" s="5" t="s">
        <v>1753</v>
      </c>
      <c r="B3328" s="14" t="s">
        <v>39</v>
      </c>
      <c r="C3328" s="22"/>
      <c r="D3328" s="22" t="s">
        <v>10</v>
      </c>
      <c r="E3328" s="22"/>
      <c r="F3328" s="22">
        <f>C3328*E3328</f>
      </c>
    </row>
    <row r="3329">
      <c r="A3329" s="5" t="s">
        <v>1754</v>
      </c>
      <c r="B3329" s="14" t="s">
        <v>41</v>
      </c>
      <c r="C3329" s="22"/>
      <c r="D3329" s="22" t="s">
        <v>10</v>
      </c>
      <c r="E3329" s="22"/>
      <c r="F3329" s="22">
        <f>C3329*E3329</f>
      </c>
    </row>
    <row r="3330">
      <c r="A3330" s="3"/>
      <c r="B3330" s="11" t="s">
        <v>44</v>
      </c>
      <c r="C3330" s="20"/>
      <c r="D3330" s="20"/>
      <c r="E3330" s="20"/>
      <c r="F3330" s="20"/>
    </row>
    <row r="3331">
      <c r="A3331" s="4"/>
      <c r="B3331" s="12" t="s">
        <v>45</v>
      </c>
      <c r="C3331" s="21"/>
      <c r="D3331" s="21"/>
      <c r="E3331" s="21"/>
      <c r="F3331" s="21"/>
    </row>
    <row r="3332">
      <c r="A3332" s="5" t="s">
        <v>1755</v>
      </c>
      <c r="B3332" s="13" t="s">
        <v>898</v>
      </c>
      <c r="C3332" s="22"/>
      <c r="D3332" s="22" t="s">
        <v>10</v>
      </c>
      <c r="E3332" s="22"/>
      <c r="F3332" s="22">
        <f>C3332*E3332</f>
      </c>
    </row>
    <row r="3333">
      <c r="A3333" s="5" t="s">
        <v>1756</v>
      </c>
      <c r="B3333" s="13" t="s">
        <v>899</v>
      </c>
      <c r="C3333" s="22"/>
      <c r="D3333" s="22" t="s">
        <v>10</v>
      </c>
      <c r="E3333" s="22"/>
      <c r="F3333" s="22">
        <f>C3333*E3333</f>
      </c>
    </row>
    <row r="3334">
      <c r="A3334" s="5" t="s">
        <v>1757</v>
      </c>
      <c r="B3334" s="13" t="s">
        <v>767</v>
      </c>
      <c r="C3334" s="22"/>
      <c r="D3334" s="22" t="s">
        <v>10</v>
      </c>
      <c r="E3334" s="22"/>
      <c r="F3334" s="22">
        <f>C3334*E3334</f>
      </c>
    </row>
    <row r="3335">
      <c r="A3335" s="5" t="s">
        <v>1758</v>
      </c>
      <c r="B3335" s="13" t="s">
        <v>1162</v>
      </c>
      <c r="C3335" s="22"/>
      <c r="D3335" s="22" t="s">
        <v>10</v>
      </c>
      <c r="E3335" s="22"/>
      <c r="F3335" s="22">
        <f>C3335*E3335</f>
      </c>
    </row>
    <row r="3336">
      <c r="A3336" s="5" t="s">
        <v>1759</v>
      </c>
      <c r="B3336" s="13" t="s">
        <v>1164</v>
      </c>
      <c r="C3336" s="22"/>
      <c r="D3336" s="22" t="s">
        <v>10</v>
      </c>
      <c r="E3336" s="22"/>
      <c r="F3336" s="22">
        <f>C3336*E3336</f>
      </c>
    </row>
    <row r="3337">
      <c r="A3337" s="5" t="s">
        <v>1760</v>
      </c>
      <c r="B3337" s="13" t="s">
        <v>123</v>
      </c>
      <c r="C3337" s="22"/>
      <c r="D3337" s="22" t="s">
        <v>10</v>
      </c>
      <c r="E3337" s="22"/>
      <c r="F3337" s="22">
        <f>C3337*E3337</f>
      </c>
    </row>
    <row r="3338">
      <c r="A3338" s="3"/>
      <c r="B3338" s="11" t="s">
        <v>68</v>
      </c>
      <c r="C3338" s="20"/>
      <c r="D3338" s="20"/>
      <c r="E3338" s="20"/>
      <c r="F3338" s="20"/>
    </row>
    <row r="3339">
      <c r="A3339" s="5" t="s">
        <v>1761</v>
      </c>
      <c r="B3339" s="14" t="s">
        <v>70</v>
      </c>
      <c r="C3339" s="22">
        <f>(1)*(1)*(1)*(1)*(1 + (0))</f>
      </c>
      <c r="D3339" s="22" t="s">
        <v>71</v>
      </c>
      <c r="E3339" s="22"/>
      <c r="F3339" s="22">
        <f>C3339*E3339</f>
      </c>
    </row>
    <row r="3340">
      <c r="A3340" s="5" t="s">
        <v>1762</v>
      </c>
      <c r="B3340" s="14" t="s">
        <v>1022</v>
      </c>
      <c r="C3340" s="22">
        <f>(1)*(1)*(1)*(1)*(1 + (0))</f>
      </c>
      <c r="D3340" s="22" t="s">
        <v>71</v>
      </c>
      <c r="E3340" s="22"/>
      <c r="F3340" s="22">
        <f>C3340*E3340</f>
      </c>
    </row>
    <row r="3341">
      <c r="A3341" s="5" t="s">
        <v>1763</v>
      </c>
      <c r="B3341" s="14" t="s">
        <v>1169</v>
      </c>
      <c r="C3341" s="22">
        <f>(1)*(1)*(1)*(1)*(1 + (0))</f>
      </c>
      <c r="D3341" s="22" t="s">
        <v>71</v>
      </c>
      <c r="E3341" s="22"/>
      <c r="F3341" s="22">
        <f>C3341*E3341</f>
      </c>
    </row>
    <row r="3342">
      <c r="A3342" s="5" t="s">
        <v>1764</v>
      </c>
      <c r="B3342" s="14" t="s">
        <v>1071</v>
      </c>
      <c r="C3342" s="22">
        <f>(1)*(1)*(1)*(1)*(1 + (0))</f>
      </c>
      <c r="D3342" s="22" t="s">
        <v>71</v>
      </c>
      <c r="E3342" s="22"/>
      <c r="F3342" s="22">
        <f>C3342*E3342</f>
      </c>
    </row>
    <row r="3343">
      <c r="A3343" s="5" t="s">
        <v>1765</v>
      </c>
      <c r="B3343" s="14" t="s">
        <v>798</v>
      </c>
      <c r="C3343" s="22">
        <f>(1)*(1)*(1)*(1)*(1 + (0))</f>
      </c>
      <c r="D3343" s="22" t="s">
        <v>71</v>
      </c>
      <c r="E3343" s="22"/>
      <c r="F3343" s="22">
        <f>C3343*E3343</f>
      </c>
    </row>
    <row r="3344">
      <c r="A3344" s="5" t="s">
        <v>1766</v>
      </c>
      <c r="B3344" s="14" t="s">
        <v>665</v>
      </c>
      <c r="C3344" s="22">
        <f>(1)*(1)*(1)*(1)*(1 + (0))</f>
      </c>
      <c r="D3344" s="22" t="s">
        <v>71</v>
      </c>
      <c r="E3344" s="22"/>
      <c r="F3344" s="22">
        <f>C3344*E3344</f>
      </c>
    </row>
    <row r="3345">
      <c r="A3345" s="3"/>
      <c r="B3345" s="11" t="s">
        <v>1767</v>
      </c>
      <c r="C3345" s="20"/>
      <c r="D3345" s="20"/>
      <c r="E3345" s="20"/>
      <c r="F3345" s="20"/>
    </row>
    <row r="3346">
      <c r="A3346" s="4"/>
      <c r="B3346" s="12" t="s">
        <v>1768</v>
      </c>
      <c r="C3346" s="21"/>
      <c r="D3346" s="21"/>
      <c r="E3346" s="21"/>
      <c r="F3346" s="21"/>
    </row>
    <row r="3347">
      <c r="A3347" s="5"/>
      <c r="B3347" s="13" t="s">
        <v>1746</v>
      </c>
      <c r="C3347" s="22">
        <f>(10)*(1)*(1)*(1)*(1 + (0))</f>
      </c>
      <c r="D3347" s="22" t="s">
        <v>153</v>
      </c>
      <c r="E3347" s="22"/>
      <c r="F3347" s="22">
        <f>C3347*E3347</f>
      </c>
    </row>
    <row r="3348">
      <c r="A3348" s="2"/>
      <c r="B3348" s="10" t="s">
        <v>1152</v>
      </c>
      <c r="C3348" s="19"/>
      <c r="D3348" s="19"/>
      <c r="E3348" s="19"/>
      <c r="F3348" s="19"/>
    </row>
    <row r="3349">
      <c r="A3349" s="3"/>
      <c r="B3349" s="11" t="s">
        <v>37</v>
      </c>
      <c r="C3349" s="20"/>
      <c r="D3349" s="20"/>
      <c r="E3349" s="20"/>
      <c r="F3349" s="20"/>
    </row>
    <row r="3350">
      <c r="A3350" s="5" t="s">
        <v>1153</v>
      </c>
      <c r="B3350" s="14" t="s">
        <v>39</v>
      </c>
      <c r="C3350" s="22"/>
      <c r="D3350" s="22" t="s">
        <v>10</v>
      </c>
      <c r="E3350" s="22"/>
      <c r="F3350" s="22">
        <f>C3350*E3350</f>
      </c>
    </row>
    <row r="3351">
      <c r="A3351" s="5" t="s">
        <v>1154</v>
      </c>
      <c r="B3351" s="14" t="s">
        <v>41</v>
      </c>
      <c r="C3351" s="22"/>
      <c r="D3351" s="22" t="s">
        <v>10</v>
      </c>
      <c r="E3351" s="22"/>
      <c r="F3351" s="22">
        <f>C3351*E3351</f>
      </c>
    </row>
    <row r="3352">
      <c r="A3352" s="3"/>
      <c r="B3352" s="11" t="s">
        <v>44</v>
      </c>
      <c r="C3352" s="20"/>
      <c r="D3352" s="20"/>
      <c r="E3352" s="20"/>
      <c r="F3352" s="20"/>
    </row>
    <row r="3353">
      <c r="A3353" s="4"/>
      <c r="B3353" s="12" t="s">
        <v>45</v>
      </c>
      <c r="C3353" s="21"/>
      <c r="D3353" s="21"/>
      <c r="E3353" s="21"/>
      <c r="F3353" s="21"/>
    </row>
    <row r="3354">
      <c r="A3354" s="5" t="s">
        <v>1158</v>
      </c>
      <c r="B3354" s="13" t="s">
        <v>898</v>
      </c>
      <c r="C3354" s="22"/>
      <c r="D3354" s="22" t="s">
        <v>10</v>
      </c>
      <c r="E3354" s="22"/>
      <c r="F3354" s="22">
        <f>C3354*E3354</f>
      </c>
    </row>
    <row r="3355">
      <c r="A3355" s="5" t="s">
        <v>1159</v>
      </c>
      <c r="B3355" s="13" t="s">
        <v>899</v>
      </c>
      <c r="C3355" s="22"/>
      <c r="D3355" s="22" t="s">
        <v>10</v>
      </c>
      <c r="E3355" s="22"/>
      <c r="F3355" s="22">
        <f>C3355*E3355</f>
      </c>
    </row>
    <row r="3356">
      <c r="A3356" s="5" t="s">
        <v>1160</v>
      </c>
      <c r="B3356" s="13" t="s">
        <v>767</v>
      </c>
      <c r="C3356" s="22"/>
      <c r="D3356" s="22" t="s">
        <v>10</v>
      </c>
      <c r="E3356" s="22"/>
      <c r="F3356" s="22">
        <f>C3356*E3356</f>
      </c>
    </row>
    <row r="3357">
      <c r="A3357" s="5" t="s">
        <v>1161</v>
      </c>
      <c r="B3357" s="13" t="s">
        <v>1162</v>
      </c>
      <c r="C3357" s="22"/>
      <c r="D3357" s="22" t="s">
        <v>10</v>
      </c>
      <c r="E3357" s="22"/>
      <c r="F3357" s="22">
        <f>C3357*E3357</f>
      </c>
    </row>
    <row r="3358">
      <c r="A3358" s="5" t="s">
        <v>1163</v>
      </c>
      <c r="B3358" s="13" t="s">
        <v>1164</v>
      </c>
      <c r="C3358" s="22"/>
      <c r="D3358" s="22" t="s">
        <v>10</v>
      </c>
      <c r="E3358" s="22"/>
      <c r="F3358" s="22">
        <f>C3358*E3358</f>
      </c>
    </row>
    <row r="3359">
      <c r="A3359" s="5" t="s">
        <v>1165</v>
      </c>
      <c r="B3359" s="13" t="s">
        <v>123</v>
      </c>
      <c r="C3359" s="22"/>
      <c r="D3359" s="22" t="s">
        <v>10</v>
      </c>
      <c r="E3359" s="22"/>
      <c r="F3359" s="22">
        <f>C3359*E3359</f>
      </c>
    </row>
    <row r="3360">
      <c r="A3360" s="3"/>
      <c r="B3360" s="11" t="s">
        <v>42</v>
      </c>
      <c r="C3360" s="20"/>
      <c r="D3360" s="20"/>
      <c r="E3360" s="20"/>
      <c r="F3360" s="20"/>
    </row>
    <row r="3361">
      <c r="A3361" s="5"/>
      <c r="B3361" s="14" t="s">
        <v>1155</v>
      </c>
      <c r="C3361" s="22"/>
      <c r="D3361" s="22" t="s">
        <v>10</v>
      </c>
      <c r="E3361" s="22"/>
      <c r="F3361" s="22">
        <f>C3361*E3361</f>
      </c>
    </row>
    <row r="3362">
      <c r="A3362" s="5"/>
      <c r="B3362" s="14" t="s">
        <v>1156</v>
      </c>
      <c r="C3362" s="22"/>
      <c r="D3362" s="22" t="s">
        <v>10</v>
      </c>
      <c r="E3362" s="22"/>
      <c r="F3362" s="22">
        <f>C3362*E3362</f>
      </c>
    </row>
    <row r="3363">
      <c r="A3363" s="5"/>
      <c r="B3363" s="14" t="s">
        <v>1157</v>
      </c>
      <c r="C3363" s="22"/>
      <c r="D3363" s="22" t="s">
        <v>10</v>
      </c>
      <c r="E3363" s="22"/>
      <c r="F3363" s="22">
        <f>C3363*E3363</f>
      </c>
    </row>
    <row r="3364">
      <c r="A3364" s="3"/>
      <c r="B3364" s="11" t="s">
        <v>68</v>
      </c>
      <c r="C3364" s="20"/>
      <c r="D3364" s="20"/>
      <c r="E3364" s="20"/>
      <c r="F3364" s="20"/>
    </row>
    <row r="3365">
      <c r="A3365" s="5" t="s">
        <v>1166</v>
      </c>
      <c r="B3365" s="14" t="s">
        <v>70</v>
      </c>
      <c r="C3365" s="22">
        <f>(1)*(1)*(1)*(1)*(1 + (0))</f>
      </c>
      <c r="D3365" s="22" t="s">
        <v>71</v>
      </c>
      <c r="E3365" s="22"/>
      <c r="F3365" s="22">
        <f>C3365*E3365</f>
      </c>
    </row>
    <row r="3366">
      <c r="A3366" s="5" t="s">
        <v>1167</v>
      </c>
      <c r="B3366" s="14" t="s">
        <v>1022</v>
      </c>
      <c r="C3366" s="22">
        <f>(1)*(1)*(1)*(1)*(1 + (0))</f>
      </c>
      <c r="D3366" s="22" t="s">
        <v>71</v>
      </c>
      <c r="E3366" s="22"/>
      <c r="F3366" s="22">
        <f>C3366*E3366</f>
      </c>
    </row>
    <row r="3367">
      <c r="A3367" s="5" t="s">
        <v>1168</v>
      </c>
      <c r="B3367" s="14" t="s">
        <v>1169</v>
      </c>
      <c r="C3367" s="22">
        <f>(1)*(1)*(1)*(1)*(1 + (0))</f>
      </c>
      <c r="D3367" s="22" t="s">
        <v>71</v>
      </c>
      <c r="E3367" s="22"/>
      <c r="F3367" s="22">
        <f>C3367*E3367</f>
      </c>
    </row>
    <row r="3368">
      <c r="A3368" s="5" t="s">
        <v>1170</v>
      </c>
      <c r="B3368" s="14" t="s">
        <v>1071</v>
      </c>
      <c r="C3368" s="22">
        <f>(1)*(1)*(1)*(1)*(1 + (0))</f>
      </c>
      <c r="D3368" s="22" t="s">
        <v>71</v>
      </c>
      <c r="E3368" s="22"/>
      <c r="F3368" s="22">
        <f>C3368*E3368</f>
      </c>
    </row>
    <row r="3369">
      <c r="A3369" s="5" t="s">
        <v>1171</v>
      </c>
      <c r="B3369" s="14" t="s">
        <v>798</v>
      </c>
      <c r="C3369" s="22">
        <f>(1)*(1)*(1)*(1)*(1 + (0))</f>
      </c>
      <c r="D3369" s="22" t="s">
        <v>71</v>
      </c>
      <c r="E3369" s="22"/>
      <c r="F3369" s="22">
        <f>C3369*E3369</f>
      </c>
    </row>
    <row r="3370">
      <c r="A3370" s="5" t="s">
        <v>1172</v>
      </c>
      <c r="B3370" s="14" t="s">
        <v>665</v>
      </c>
      <c r="C3370" s="22">
        <f>(1)*(1)*(1)*(1)*(1 + (0))</f>
      </c>
      <c r="D3370" s="22" t="s">
        <v>71</v>
      </c>
      <c r="E3370" s="22"/>
      <c r="F3370" s="22">
        <f>C3370*E3370</f>
      </c>
    </row>
    <row r="3371">
      <c r="A3371" s="3"/>
      <c r="B3371" s="11" t="s">
        <v>106</v>
      </c>
      <c r="C3371" s="20"/>
      <c r="D3371" s="20"/>
      <c r="E3371" s="20"/>
      <c r="F3371" s="20"/>
    </row>
    <row r="3372">
      <c r="A3372" s="5"/>
      <c r="B3372" s="14" t="s">
        <v>1173</v>
      </c>
      <c r="C3372" s="22"/>
      <c r="D3372" s="22" t="s">
        <v>10</v>
      </c>
      <c r="E3372" s="22"/>
      <c r="F3372" s="22">
        <f>C3372*E3372</f>
      </c>
    </row>
    <row r="3373">
      <c r="A3373" s="5"/>
      <c r="B3373" s="14" t="s">
        <v>1174</v>
      </c>
      <c r="C3373" s="22"/>
      <c r="D3373" s="22" t="s">
        <v>10</v>
      </c>
      <c r="E3373" s="22"/>
      <c r="F3373" s="22">
        <f>C3373*E3373</f>
      </c>
    </row>
    <row r="3374">
      <c r="A3374" s="5"/>
      <c r="B3374" s="14" t="s">
        <v>1175</v>
      </c>
      <c r="C3374" s="22"/>
      <c r="D3374" s="22" t="s">
        <v>10</v>
      </c>
      <c r="E3374" s="22"/>
      <c r="F3374" s="22">
        <f>C3374*E3374</f>
      </c>
    </row>
    <row r="3375">
      <c r="A3375" s="5"/>
      <c r="B3375" s="14" t="s">
        <v>1176</v>
      </c>
      <c r="C3375" s="22"/>
      <c r="D3375" s="22" t="s">
        <v>10</v>
      </c>
      <c r="E3375" s="22"/>
      <c r="F3375" s="22">
        <f>C3375*E3375</f>
      </c>
    </row>
    <row r="3376">
      <c r="A3376" s="5"/>
      <c r="B3376" s="14" t="s">
        <v>1177</v>
      </c>
      <c r="C3376" s="22"/>
      <c r="D3376" s="22" t="s">
        <v>10</v>
      </c>
      <c r="E3376" s="22"/>
      <c r="F3376" s="22">
        <f>C3376*E3376</f>
      </c>
    </row>
    <row r="3377">
      <c r="A3377" s="5"/>
      <c r="B3377" s="14" t="s">
        <v>1178</v>
      </c>
      <c r="C3377" s="22"/>
      <c r="D3377" s="22" t="s">
        <v>10</v>
      </c>
      <c r="E3377" s="22"/>
      <c r="F3377" s="22">
        <f>C3377*E3377</f>
      </c>
    </row>
    <row r="3378">
      <c r="A3378" s="5"/>
      <c r="B3378" s="14" t="s">
        <v>1179</v>
      </c>
      <c r="C3378" s="22"/>
      <c r="D3378" s="22" t="s">
        <v>10</v>
      </c>
      <c r="E3378" s="22"/>
      <c r="F3378" s="22">
        <f>C3378*E3378</f>
      </c>
    </row>
    <row r="3379">
      <c r="A3379" s="5"/>
      <c r="B3379" s="14" t="s">
        <v>1180</v>
      </c>
      <c r="C3379" s="22"/>
      <c r="D3379" s="22" t="s">
        <v>10</v>
      </c>
      <c r="E3379" s="22"/>
      <c r="F3379" s="22">
        <f>C3379*E3379</f>
      </c>
    </row>
    <row r="3380">
      <c r="A3380" s="5"/>
      <c r="B3380" s="14" t="s">
        <v>1181</v>
      </c>
      <c r="C3380" s="22"/>
      <c r="D3380" s="22" t="s">
        <v>10</v>
      </c>
      <c r="E3380" s="22"/>
      <c r="F3380" s="22">
        <f>C3380*E3380</f>
      </c>
    </row>
    <row r="3381">
      <c r="A3381" s="5"/>
      <c r="B3381" s="14" t="s">
        <v>1182</v>
      </c>
      <c r="C3381" s="22"/>
      <c r="D3381" s="22" t="s">
        <v>10</v>
      </c>
      <c r="E3381" s="22"/>
      <c r="F3381" s="22">
        <f>C3381*E3381</f>
      </c>
    </row>
    <row r="3382">
      <c r="A3382" s="5"/>
      <c r="B3382" s="14" t="s">
        <v>1183</v>
      </c>
      <c r="C3382" s="22"/>
      <c r="D3382" s="22" t="s">
        <v>10</v>
      </c>
      <c r="E3382" s="22"/>
      <c r="F3382" s="22">
        <f>C3382*E3382</f>
      </c>
    </row>
    <row r="3383">
      <c r="A3383" s="5"/>
      <c r="B3383" s="14" t="s">
        <v>1184</v>
      </c>
      <c r="C3383" s="22"/>
      <c r="D3383" s="22" t="s">
        <v>10</v>
      </c>
      <c r="E3383" s="22"/>
      <c r="F3383" s="22">
        <f>C3383*E3383</f>
      </c>
    </row>
    <row r="3384">
      <c r="A3384" s="5"/>
      <c r="B3384" s="14" t="s">
        <v>1185</v>
      </c>
      <c r="C3384" s="22"/>
      <c r="D3384" s="22" t="s">
        <v>10</v>
      </c>
      <c r="E3384" s="22"/>
      <c r="F3384" s="22">
        <f>C3384*E3384</f>
      </c>
    </row>
    <row r="3385">
      <c r="A3385" s="5"/>
      <c r="B3385" s="14" t="s">
        <v>1186</v>
      </c>
      <c r="C3385" s="22"/>
      <c r="D3385" s="22" t="s">
        <v>10</v>
      </c>
      <c r="E3385" s="22"/>
      <c r="F3385" s="22">
        <f>C3385*E3385</f>
      </c>
    </row>
    <row r="3386">
      <c r="A3386" s="5"/>
      <c r="B3386" s="14" t="s">
        <v>1187</v>
      </c>
      <c r="C3386" s="22"/>
      <c r="D3386" s="22" t="s">
        <v>10</v>
      </c>
      <c r="E3386" s="22"/>
      <c r="F3386" s="22">
        <f>C3386*E3386</f>
      </c>
    </row>
    <row r="3387">
      <c r="A3387" s="5"/>
      <c r="B3387" s="14" t="s">
        <v>1188</v>
      </c>
      <c r="C3387" s="22"/>
      <c r="D3387" s="22" t="s">
        <v>10</v>
      </c>
      <c r="E3387" s="22"/>
      <c r="F3387" s="22">
        <f>C3387*E3387</f>
      </c>
    </row>
    <row r="3388">
      <c r="A3388" s="5"/>
      <c r="B3388" s="14" t="s">
        <v>1189</v>
      </c>
      <c r="C3388" s="22"/>
      <c r="D3388" s="22" t="s">
        <v>10</v>
      </c>
      <c r="E3388" s="22"/>
      <c r="F3388" s="22">
        <f>C3388*E3388</f>
      </c>
    </row>
    <row r="3389">
      <c r="A3389" s="5"/>
      <c r="B3389" s="14" t="s">
        <v>1190</v>
      </c>
      <c r="C3389" s="22"/>
      <c r="D3389" s="22" t="s">
        <v>10</v>
      </c>
      <c r="E3389" s="22"/>
      <c r="F3389" s="22">
        <f>C3389*E3389</f>
      </c>
    </row>
    <row r="3390">
      <c r="A3390" s="5"/>
      <c r="B3390" s="14" t="s">
        <v>1191</v>
      </c>
      <c r="C3390" s="22"/>
      <c r="D3390" s="22" t="s">
        <v>10</v>
      </c>
      <c r="E3390" s="22"/>
      <c r="F3390" s="22">
        <f>C3390*E3390</f>
      </c>
    </row>
    <row r="3391">
      <c r="A3391" s="5"/>
      <c r="B3391" s="14" t="s">
        <v>1192</v>
      </c>
      <c r="C3391" s="22"/>
      <c r="D3391" s="22" t="s">
        <v>10</v>
      </c>
      <c r="E3391" s="22"/>
      <c r="F3391" s="22">
        <f>C3391*E3391</f>
      </c>
    </row>
    <row r="3392">
      <c r="A3392" s="5"/>
      <c r="B3392" s="14" t="s">
        <v>1193</v>
      </c>
      <c r="C3392" s="22"/>
      <c r="D3392" s="22" t="s">
        <v>10</v>
      </c>
      <c r="E3392" s="22"/>
      <c r="F3392" s="22">
        <f>C3392*E3392</f>
      </c>
    </row>
    <row r="3393">
      <c r="A3393" s="5"/>
      <c r="B3393" s="14" t="s">
        <v>1194</v>
      </c>
      <c r="C3393" s="22"/>
      <c r="D3393" s="22" t="s">
        <v>10</v>
      </c>
      <c r="E3393" s="22"/>
      <c r="F3393" s="22">
        <f>C3393*E3393</f>
      </c>
    </row>
    <row r="3394">
      <c r="A3394" s="5"/>
      <c r="B3394" s="14" t="s">
        <v>1195</v>
      </c>
      <c r="C3394" s="22"/>
      <c r="D3394" s="22" t="s">
        <v>10</v>
      </c>
      <c r="E3394" s="22"/>
      <c r="F3394" s="22">
        <f>C3394*E3394</f>
      </c>
    </row>
    <row r="3395">
      <c r="A3395" s="5"/>
      <c r="B3395" s="14" t="s">
        <v>1196</v>
      </c>
      <c r="C3395" s="22"/>
      <c r="D3395" s="22" t="s">
        <v>10</v>
      </c>
      <c r="E3395" s="22"/>
      <c r="F3395" s="22">
        <f>C3395*E3395</f>
      </c>
    </row>
    <row r="3396">
      <c r="A3396" s="5"/>
      <c r="B3396" s="14" t="s">
        <v>1197</v>
      </c>
      <c r="C3396" s="22"/>
      <c r="D3396" s="22" t="s">
        <v>10</v>
      </c>
      <c r="E3396" s="22"/>
      <c r="F3396" s="22">
        <f>C3396*E3396</f>
      </c>
    </row>
    <row r="3397">
      <c r="A3397" s="5"/>
      <c r="B3397" s="14" t="s">
        <v>1198</v>
      </c>
      <c r="C3397" s="22"/>
      <c r="D3397" s="22" t="s">
        <v>10</v>
      </c>
      <c r="E3397" s="22"/>
      <c r="F3397" s="22">
        <f>C3397*E3397</f>
      </c>
    </row>
    <row r="3398">
      <c r="A3398" s="3"/>
      <c r="B3398" s="11" t="s">
        <v>1769</v>
      </c>
      <c r="C3398" s="20"/>
      <c r="D3398" s="20"/>
      <c r="E3398" s="20"/>
      <c r="F3398" s="20"/>
    </row>
    <row r="3399">
      <c r="A3399" s="5"/>
      <c r="B3399" s="14" t="s">
        <v>1200</v>
      </c>
      <c r="C3399" s="22">
        <f>(4)*(1)*(1)*(1)*(1 + (0))</f>
      </c>
      <c r="D3399" s="22" t="s">
        <v>162</v>
      </c>
      <c r="E3399" s="22"/>
      <c r="F3399" s="22">
        <f>C3399*E3399</f>
      </c>
    </row>
    <row r="3400">
      <c r="A3400" s="5"/>
      <c r="B3400" s="14" t="s">
        <v>1201</v>
      </c>
      <c r="C3400" s="22">
        <f>(4)*(1)*(1)*(1)*(1 + (0))</f>
      </c>
      <c r="D3400" s="22" t="s">
        <v>162</v>
      </c>
      <c r="E3400" s="22"/>
      <c r="F3400" s="22">
        <f>C3400*E3400</f>
      </c>
    </row>
    <row r="3401">
      <c r="A3401" s="5"/>
      <c r="B3401" s="14" t="s">
        <v>1202</v>
      </c>
      <c r="C3401" s="22">
        <f>(6)*(1)*(1)*(1)*(1 + (0))</f>
      </c>
      <c r="D3401" s="22" t="s">
        <v>162</v>
      </c>
      <c r="E3401" s="22"/>
      <c r="F3401" s="22">
        <f>C3401*E3401</f>
      </c>
    </row>
    <row r="3402">
      <c r="A3402" s="5"/>
      <c r="B3402" s="14" t="s">
        <v>1203</v>
      </c>
      <c r="C3402" s="22">
        <f>(7)*(1)*(1)*(1)*(1 + (0))</f>
      </c>
      <c r="D3402" s="22" t="s">
        <v>162</v>
      </c>
      <c r="E3402" s="22"/>
      <c r="F3402" s="22">
        <f>C3402*E3402</f>
      </c>
    </row>
    <row r="3403">
      <c r="A3403" s="5"/>
      <c r="B3403" s="14" t="s">
        <v>1770</v>
      </c>
      <c r="C3403" s="22">
        <f>(1)*(1)*(1)*(1)*(1 + (0))</f>
      </c>
      <c r="D3403" s="22" t="s">
        <v>1217</v>
      </c>
      <c r="E3403" s="22"/>
      <c r="F3403" s="22">
        <f>C3403*E3403</f>
      </c>
    </row>
    <row r="3404">
      <c r="A3404" s="5"/>
      <c r="B3404" s="14" t="s">
        <v>1771</v>
      </c>
      <c r="C3404" s="22">
        <f>(4)*(1)*(1)*(1)*(1 + (0))</f>
      </c>
      <c r="D3404" s="22" t="s">
        <v>162</v>
      </c>
      <c r="E3404" s="22"/>
      <c r="F3404" s="22">
        <f>C3404*E3404</f>
      </c>
    </row>
    <row r="3405">
      <c r="A3405" s="5"/>
      <c r="B3405" s="14" t="s">
        <v>1205</v>
      </c>
      <c r="C3405" s="22">
        <f>(1)*(1)*(1)*(1)*(1 + (0))</f>
      </c>
      <c r="D3405" s="22" t="s">
        <v>162</v>
      </c>
      <c r="E3405" s="22"/>
      <c r="F3405" s="22">
        <f>C3405*E3405</f>
      </c>
    </row>
    <row r="3406">
      <c r="A3406" s="5"/>
      <c r="B3406" s="14" t="s">
        <v>1206</v>
      </c>
      <c r="C3406" s="22">
        <f>(1)*(1)*(1)*(1)*(1 + (0))</f>
      </c>
      <c r="D3406" s="22" t="s">
        <v>162</v>
      </c>
      <c r="E3406" s="22"/>
      <c r="F3406" s="22">
        <f>C3406*E3406</f>
      </c>
    </row>
    <row r="3407">
      <c r="A3407" s="5"/>
      <c r="B3407" s="14" t="s">
        <v>1772</v>
      </c>
      <c r="C3407" s="22">
        <f>(1)*(1)*(1)*(1)*(1 + (0))</f>
      </c>
      <c r="D3407" s="22" t="s">
        <v>162</v>
      </c>
      <c r="E3407" s="22"/>
      <c r="F3407" s="22">
        <f>C3407*E3407</f>
      </c>
    </row>
    <row r="3408">
      <c r="A3408" s="2"/>
      <c r="B3408" s="10" t="s">
        <v>1224</v>
      </c>
      <c r="C3408" s="19"/>
      <c r="D3408" s="19"/>
      <c r="E3408" s="19"/>
      <c r="F3408" s="19"/>
    </row>
    <row r="3409">
      <c r="A3409" s="3"/>
      <c r="B3409" s="11" t="s">
        <v>37</v>
      </c>
      <c r="C3409" s="20"/>
      <c r="D3409" s="20"/>
      <c r="E3409" s="20"/>
      <c r="F3409" s="20"/>
    </row>
    <row r="3410">
      <c r="A3410" s="5" t="s">
        <v>1225</v>
      </c>
      <c r="B3410" s="14" t="s">
        <v>39</v>
      </c>
      <c r="C3410" s="22"/>
      <c r="D3410" s="22" t="s">
        <v>10</v>
      </c>
      <c r="E3410" s="22"/>
      <c r="F3410" s="22">
        <f>C3410*E3410</f>
      </c>
    </row>
    <row r="3411">
      <c r="A3411" s="5" t="s">
        <v>1226</v>
      </c>
      <c r="B3411" s="14" t="s">
        <v>41</v>
      </c>
      <c r="C3411" s="22"/>
      <c r="D3411" s="22" t="s">
        <v>10</v>
      </c>
      <c r="E3411" s="22"/>
      <c r="F3411" s="22">
        <f>C3411*E3411</f>
      </c>
    </row>
    <row r="3412">
      <c r="A3412" s="3"/>
      <c r="B3412" s="11" t="s">
        <v>523</v>
      </c>
      <c r="C3412" s="20"/>
      <c r="D3412" s="20"/>
      <c r="E3412" s="20"/>
      <c r="F3412" s="20"/>
    </row>
    <row r="3413">
      <c r="A3413" s="5"/>
      <c r="B3413" s="14" t="s">
        <v>1773</v>
      </c>
      <c r="C3413" s="22"/>
      <c r="D3413" s="22" t="s">
        <v>10</v>
      </c>
      <c r="E3413" s="22"/>
      <c r="F3413" s="22">
        <f>C3413*E3413</f>
      </c>
    </row>
    <row r="3414">
      <c r="A3414" s="5"/>
      <c r="B3414" s="14" t="s">
        <v>1058</v>
      </c>
      <c r="C3414" s="22"/>
      <c r="D3414" s="22" t="s">
        <v>10</v>
      </c>
      <c r="E3414" s="22"/>
      <c r="F3414" s="22">
        <f>C3414*E3414</f>
      </c>
    </row>
    <row r="3415">
      <c r="A3415" s="5"/>
      <c r="B3415" s="14" t="s">
        <v>1228</v>
      </c>
      <c r="C3415" s="22"/>
      <c r="D3415" s="22" t="s">
        <v>10</v>
      </c>
      <c r="E3415" s="22"/>
      <c r="F3415" s="22">
        <f>C3415*E3415</f>
      </c>
    </row>
    <row r="3416">
      <c r="A3416" s="3"/>
      <c r="B3416" s="11" t="s">
        <v>44</v>
      </c>
      <c r="C3416" s="20"/>
      <c r="D3416" s="20"/>
      <c r="E3416" s="20"/>
      <c r="F3416" s="20"/>
    </row>
    <row r="3417">
      <c r="A3417" s="4"/>
      <c r="B3417" s="12" t="s">
        <v>45</v>
      </c>
      <c r="C3417" s="21"/>
      <c r="D3417" s="21"/>
      <c r="E3417" s="21"/>
      <c r="F3417" s="21"/>
    </row>
    <row r="3418">
      <c r="A3418" s="5" t="s">
        <v>1229</v>
      </c>
      <c r="B3418" s="13" t="s">
        <v>528</v>
      </c>
      <c r="C3418" s="22"/>
      <c r="D3418" s="22" t="s">
        <v>10</v>
      </c>
      <c r="E3418" s="22"/>
      <c r="F3418" s="22">
        <f>C3418*E3418</f>
      </c>
    </row>
    <row r="3419">
      <c r="A3419" s="5" t="s">
        <v>1230</v>
      </c>
      <c r="B3419" s="13" t="s">
        <v>530</v>
      </c>
      <c r="C3419" s="22"/>
      <c r="D3419" s="22" t="s">
        <v>10</v>
      </c>
      <c r="E3419" s="22"/>
      <c r="F3419" s="22">
        <f>C3419*E3419</f>
      </c>
    </row>
    <row r="3420">
      <c r="A3420" s="5" t="s">
        <v>1231</v>
      </c>
      <c r="B3420" s="13" t="s">
        <v>1232</v>
      </c>
      <c r="C3420" s="22"/>
      <c r="D3420" s="22" t="s">
        <v>10</v>
      </c>
      <c r="E3420" s="22"/>
      <c r="F3420" s="22">
        <f>C3420*E3420</f>
      </c>
    </row>
    <row r="3421">
      <c r="A3421" s="5" t="s">
        <v>1233</v>
      </c>
      <c r="B3421" s="13" t="s">
        <v>853</v>
      </c>
      <c r="C3421" s="22"/>
      <c r="D3421" s="22" t="s">
        <v>10</v>
      </c>
      <c r="E3421" s="22"/>
      <c r="F3421" s="22">
        <f>C3421*E3421</f>
      </c>
    </row>
    <row r="3422">
      <c r="A3422" s="5" t="s">
        <v>1234</v>
      </c>
      <c r="B3422" s="13" t="s">
        <v>538</v>
      </c>
      <c r="C3422" s="22"/>
      <c r="D3422" s="22" t="s">
        <v>10</v>
      </c>
      <c r="E3422" s="22"/>
      <c r="F3422" s="22">
        <f>C3422*E3422</f>
      </c>
    </row>
    <row r="3423">
      <c r="A3423" s="5" t="s">
        <v>1235</v>
      </c>
      <c r="B3423" s="13" t="s">
        <v>123</v>
      </c>
      <c r="C3423" s="22"/>
      <c r="D3423" s="22" t="s">
        <v>10</v>
      </c>
      <c r="E3423" s="22"/>
      <c r="F3423" s="22">
        <f>C3423*E3423</f>
      </c>
    </row>
    <row r="3424">
      <c r="A3424" s="3"/>
      <c r="B3424" s="11" t="s">
        <v>68</v>
      </c>
      <c r="C3424" s="20"/>
      <c r="D3424" s="20"/>
      <c r="E3424" s="20"/>
      <c r="F3424" s="20"/>
    </row>
    <row r="3425">
      <c r="A3425" s="5" t="s">
        <v>1236</v>
      </c>
      <c r="B3425" s="14" t="s">
        <v>543</v>
      </c>
      <c r="C3425" s="22">
        <f>(1)*(1)*(1)*(1)*(1 + (0))</f>
      </c>
      <c r="D3425" s="22" t="s">
        <v>71</v>
      </c>
      <c r="E3425" s="22"/>
      <c r="F3425" s="22">
        <f>C3425*E3425</f>
      </c>
    </row>
    <row r="3426">
      <c r="A3426" s="5" t="s">
        <v>1237</v>
      </c>
      <c r="B3426" s="14" t="s">
        <v>136</v>
      </c>
      <c r="C3426" s="22">
        <f>(1)*(1)*(1)*(1)*(1 + (0))</f>
      </c>
      <c r="D3426" s="22" t="s">
        <v>71</v>
      </c>
      <c r="E3426" s="22"/>
      <c r="F3426" s="22">
        <f>C3426*E3426</f>
      </c>
    </row>
    <row r="3427">
      <c r="A3427" s="5" t="s">
        <v>1238</v>
      </c>
      <c r="B3427" s="14" t="s">
        <v>1239</v>
      </c>
      <c r="C3427" s="22">
        <f>(1)*(1)*(1)*(1)*(1 + (0))</f>
      </c>
      <c r="D3427" s="22" t="s">
        <v>71</v>
      </c>
      <c r="E3427" s="22"/>
      <c r="F3427" s="22">
        <f>C3427*E3427</f>
      </c>
    </row>
    <row r="3428">
      <c r="A3428" s="5" t="s">
        <v>1240</v>
      </c>
      <c r="B3428" s="14" t="s">
        <v>798</v>
      </c>
      <c r="C3428" s="22">
        <f>(1)*(1)*(1)*(1)*(1 + (0))</f>
      </c>
      <c r="D3428" s="22" t="s">
        <v>71</v>
      </c>
      <c r="E3428" s="22"/>
      <c r="F3428" s="22">
        <f>C3428*E3428</f>
      </c>
    </row>
    <row r="3429">
      <c r="A3429" s="5" t="s">
        <v>1241</v>
      </c>
      <c r="B3429" s="14" t="s">
        <v>70</v>
      </c>
      <c r="C3429" s="22">
        <f>(1)*(1)*(1)*(1)*(1 + (0))</f>
      </c>
      <c r="D3429" s="22" t="s">
        <v>71</v>
      </c>
      <c r="E3429" s="22"/>
      <c r="F3429" s="22">
        <f>C3429*E3429</f>
      </c>
    </row>
    <row r="3430">
      <c r="A3430" s="5" t="s">
        <v>1242</v>
      </c>
      <c r="B3430" s="14" t="s">
        <v>665</v>
      </c>
      <c r="C3430" s="22">
        <f>(1)*(1)*(1)*(1)*(1 + (0))</f>
      </c>
      <c r="D3430" s="22" t="s">
        <v>71</v>
      </c>
      <c r="E3430" s="22"/>
      <c r="F3430" s="22">
        <f>C3430*E3430</f>
      </c>
    </row>
    <row r="3431">
      <c r="A3431" s="3"/>
      <c r="B3431" s="11" t="s">
        <v>106</v>
      </c>
      <c r="C3431" s="20"/>
      <c r="D3431" s="20"/>
      <c r="E3431" s="20"/>
      <c r="F3431" s="20"/>
    </row>
    <row r="3432">
      <c r="A3432" s="5"/>
      <c r="B3432" s="14" t="s">
        <v>1774</v>
      </c>
      <c r="C3432" s="22"/>
      <c r="D3432" s="22" t="s">
        <v>10</v>
      </c>
      <c r="E3432" s="22"/>
      <c r="F3432" s="22">
        <f>C3432*E3432</f>
      </c>
    </row>
    <row r="3433">
      <c r="A3433" s="3"/>
      <c r="B3433" s="11" t="s">
        <v>1243</v>
      </c>
      <c r="C3433" s="20"/>
      <c r="D3433" s="20"/>
      <c r="E3433" s="20"/>
      <c r="F3433" s="20"/>
    </row>
    <row r="3434">
      <c r="A3434" s="4"/>
      <c r="B3434" s="12" t="s">
        <v>1775</v>
      </c>
      <c r="C3434" s="21"/>
      <c r="D3434" s="21"/>
      <c r="E3434" s="21"/>
      <c r="F3434" s="21"/>
    </row>
    <row r="3435">
      <c r="A3435" s="5"/>
      <c r="B3435" s="13" t="s">
        <v>1246</v>
      </c>
      <c r="C3435" s="22">
        <f>(4)*(1)*(1)*(1)*(1 + (0))</f>
      </c>
      <c r="D3435" s="22" t="s">
        <v>153</v>
      </c>
      <c r="E3435" s="22"/>
      <c r="F3435" s="22">
        <f>C3435*E3435</f>
      </c>
    </row>
    <row r="3436">
      <c r="A3436" s="4"/>
      <c r="B3436" s="12" t="s">
        <v>1776</v>
      </c>
      <c r="C3436" s="21"/>
      <c r="D3436" s="21"/>
      <c r="E3436" s="21"/>
      <c r="F3436" s="21"/>
    </row>
    <row r="3437">
      <c r="A3437" s="5"/>
      <c r="B3437" s="13" t="s">
        <v>1245</v>
      </c>
      <c r="C3437" s="22">
        <f>(43)*(1)*(1)*(1)*(1 + (0))</f>
      </c>
      <c r="D3437" s="22" t="s">
        <v>153</v>
      </c>
      <c r="E3437" s="22"/>
      <c r="F3437" s="22">
        <f>C3437*E3437</f>
      </c>
    </row>
    <row r="3438">
      <c r="A3438" s="5"/>
      <c r="B3438" s="13" t="s">
        <v>1248</v>
      </c>
      <c r="C3438" s="22">
        <f>(55)*(1)*(1)*(1)*(1 + (0))</f>
      </c>
      <c r="D3438" s="22" t="s">
        <v>153</v>
      </c>
      <c r="E3438" s="22"/>
      <c r="F3438" s="22">
        <f>C3438*E3438</f>
      </c>
    </row>
    <row r="3439">
      <c r="A3439" s="3"/>
      <c r="B3439" s="11" t="s">
        <v>1249</v>
      </c>
      <c r="C3439" s="20"/>
      <c r="D3439" s="20"/>
      <c r="E3439" s="20"/>
      <c r="F3439" s="20"/>
    </row>
    <row r="3440">
      <c r="A3440" s="4"/>
      <c r="B3440" s="12" t="s">
        <v>1776</v>
      </c>
      <c r="C3440" s="21"/>
      <c r="D3440" s="21"/>
      <c r="E3440" s="21"/>
      <c r="F3440" s="21"/>
    </row>
    <row r="3441">
      <c r="A3441" s="5"/>
      <c r="B3441" s="13" t="s">
        <v>1250</v>
      </c>
      <c r="C3441" s="22">
        <f>(249)*(1)*(1)*(1)*(1 + (0))</f>
      </c>
      <c r="D3441" s="22" t="s">
        <v>24</v>
      </c>
      <c r="E3441" s="22"/>
      <c r="F3441" s="22">
        <f>C3441*E3441</f>
      </c>
    </row>
    <row r="3442">
      <c r="A3442" s="3"/>
      <c r="B3442" s="11" t="s">
        <v>1251</v>
      </c>
      <c r="C3442" s="20"/>
      <c r="D3442" s="20"/>
      <c r="E3442" s="20"/>
      <c r="F3442" s="20"/>
    </row>
    <row r="3443">
      <c r="A3443" s="4"/>
      <c r="B3443" s="12" t="s">
        <v>1775</v>
      </c>
      <c r="C3443" s="21"/>
      <c r="D3443" s="21"/>
      <c r="E3443" s="21"/>
      <c r="F3443" s="21"/>
    </row>
    <row r="3444">
      <c r="A3444" s="5"/>
      <c r="B3444" s="13" t="s">
        <v>1252</v>
      </c>
      <c r="C3444" s="22">
        <f>(37)*(1)*(1)*(1)*(1 + (0))</f>
      </c>
      <c r="D3444" s="22" t="s">
        <v>153</v>
      </c>
      <c r="E3444" s="22"/>
      <c r="F3444" s="22">
        <f>C3444*E3444</f>
      </c>
    </row>
    <row r="3445">
      <c r="A3445" s="4"/>
      <c r="B3445" s="12" t="s">
        <v>1776</v>
      </c>
      <c r="C3445" s="21"/>
      <c r="D3445" s="21"/>
      <c r="E3445" s="21"/>
      <c r="F3445" s="21"/>
    </row>
    <row r="3446">
      <c r="A3446" s="5"/>
      <c r="B3446" s="13" t="s">
        <v>1252</v>
      </c>
      <c r="C3446" s="22">
        <f>(5)*(1)*(1)*(1)*(1 + (0))</f>
      </c>
      <c r="D3446" s="22" t="s">
        <v>153</v>
      </c>
      <c r="E3446" s="22"/>
      <c r="F3446" s="22">
        <f>C3446*E3446</f>
      </c>
    </row>
    <row r="3447">
      <c r="A3447" s="3"/>
      <c r="B3447" s="11" t="s">
        <v>1253</v>
      </c>
      <c r="C3447" s="20"/>
      <c r="D3447" s="20"/>
      <c r="E3447" s="20"/>
      <c r="F3447" s="20"/>
    </row>
    <row r="3448">
      <c r="A3448" s="4"/>
      <c r="B3448" s="12" t="s">
        <v>1776</v>
      </c>
      <c r="C3448" s="21"/>
      <c r="D3448" s="21"/>
      <c r="E3448" s="21"/>
      <c r="F3448" s="21"/>
    </row>
    <row r="3449">
      <c r="A3449" s="5"/>
      <c r="B3449" s="13" t="s">
        <v>1254</v>
      </c>
      <c r="C3449" s="22">
        <f>(26)*(1)*(1)*(1)*(1 + (0))</f>
      </c>
      <c r="D3449" s="22" t="s">
        <v>153</v>
      </c>
      <c r="E3449" s="22"/>
      <c r="F3449" s="22">
        <f>C3449*E3449</f>
      </c>
    </row>
    <row r="3450">
      <c r="A3450" s="3"/>
      <c r="B3450" s="11" t="s">
        <v>1269</v>
      </c>
      <c r="C3450" s="20"/>
      <c r="D3450" s="20"/>
      <c r="E3450" s="20"/>
      <c r="F3450" s="20"/>
    </row>
    <row r="3451">
      <c r="A3451" s="4"/>
      <c r="B3451" s="12" t="s">
        <v>1270</v>
      </c>
      <c r="C3451" s="21"/>
      <c r="D3451" s="21"/>
      <c r="E3451" s="21"/>
      <c r="F3451" s="21"/>
    </row>
    <row r="3452">
      <c r="A3452" s="5"/>
      <c r="B3452" s="13" t="s">
        <v>1746</v>
      </c>
      <c r="C3452" s="22">
        <f>(155)*(1)*(1)*(1)*(1 + (0))</f>
      </c>
      <c r="D3452" s="22" t="s">
        <v>153</v>
      </c>
      <c r="E3452" s="22"/>
      <c r="F3452" s="22">
        <f>C3452*E3452</f>
      </c>
    </row>
    <row r="3453">
      <c r="A3453" s="5"/>
      <c r="B3453" s="13" t="s">
        <v>1747</v>
      </c>
      <c r="C3453" s="22">
        <f>(180)*(1)*(1)*(1)*(1 + (0))</f>
      </c>
      <c r="D3453" s="22" t="s">
        <v>153</v>
      </c>
      <c r="E3453" s="22"/>
      <c r="F3453" s="22">
        <f>C3453*E3453</f>
      </c>
    </row>
    <row r="3454">
      <c r="A3454" s="3"/>
      <c r="B3454" s="11" t="s">
        <v>1255</v>
      </c>
      <c r="C3454" s="20"/>
      <c r="D3454" s="20"/>
      <c r="E3454" s="20"/>
      <c r="F3454" s="20"/>
    </row>
    <row r="3455">
      <c r="A3455" s="4"/>
      <c r="B3455" s="12" t="s">
        <v>1777</v>
      </c>
      <c r="C3455" s="21"/>
      <c r="D3455" s="21"/>
      <c r="E3455" s="21"/>
      <c r="F3455" s="21"/>
    </row>
    <row r="3456">
      <c r="A3456" s="6"/>
      <c r="B3456" s="15" t="s">
        <v>1257</v>
      </c>
      <c r="C3456" s="23"/>
      <c r="D3456" s="23"/>
      <c r="E3456" s="23"/>
      <c r="F3456" s="23"/>
    </row>
    <row r="3457">
      <c r="A3457" s="5"/>
      <c r="B3457" s="16" t="s">
        <v>1265</v>
      </c>
      <c r="C3457" s="22">
        <f>(2)*(1)*(1)*(1)*(1 + (0))</f>
      </c>
      <c r="D3457" s="22" t="s">
        <v>162</v>
      </c>
      <c r="E3457" s="22"/>
      <c r="F3457" s="22">
        <f>C3457*E3457</f>
      </c>
    </row>
    <row r="3458">
      <c r="A3458" s="5"/>
      <c r="B3458" s="16" t="s">
        <v>1259</v>
      </c>
      <c r="C3458" s="22">
        <f>(10)*(1)*(1)*(1)*(1 + (0))</f>
      </c>
      <c r="D3458" s="22" t="s">
        <v>162</v>
      </c>
      <c r="E3458" s="22"/>
      <c r="F3458" s="22">
        <f>C3458*E3458</f>
      </c>
    </row>
    <row r="3459">
      <c r="A3459" s="6"/>
      <c r="B3459" s="15" t="s">
        <v>1260</v>
      </c>
      <c r="C3459" s="23"/>
      <c r="D3459" s="23"/>
      <c r="E3459" s="23"/>
      <c r="F3459" s="23"/>
    </row>
    <row r="3460">
      <c r="A3460" s="5"/>
      <c r="B3460" s="16" t="s">
        <v>1261</v>
      </c>
      <c r="C3460" s="22">
        <f>(12)*(1)*(1)*(1)*(1 + (0))</f>
      </c>
      <c r="D3460" s="22" t="s">
        <v>162</v>
      </c>
      <c r="E3460" s="22"/>
      <c r="F3460" s="22">
        <f>C3460*E3460</f>
      </c>
    </row>
    <row r="3461">
      <c r="A3461" s="5"/>
      <c r="B3461" s="16" t="s">
        <v>1262</v>
      </c>
      <c r="C3461" s="22">
        <f>(12)*(1)*(1)*(1)*(1 + (0))</f>
      </c>
      <c r="D3461" s="22" t="s">
        <v>162</v>
      </c>
      <c r="E3461" s="22"/>
      <c r="F3461" s="22">
        <f>C3461*E3461</f>
      </c>
    </row>
    <row r="3462">
      <c r="A3462" s="4"/>
      <c r="B3462" s="12" t="s">
        <v>1778</v>
      </c>
      <c r="C3462" s="21"/>
      <c r="D3462" s="21"/>
      <c r="E3462" s="21"/>
      <c r="F3462" s="21"/>
    </row>
    <row r="3463">
      <c r="A3463" s="6"/>
      <c r="B3463" s="15" t="s">
        <v>1257</v>
      </c>
      <c r="C3463" s="23"/>
      <c r="D3463" s="23"/>
      <c r="E3463" s="23"/>
      <c r="F3463" s="23"/>
    </row>
    <row r="3464">
      <c r="A3464" s="5"/>
      <c r="B3464" s="16" t="s">
        <v>1265</v>
      </c>
      <c r="C3464" s="22">
        <f>(2)*(1)*(1)*(1)*(1 + (0))</f>
      </c>
      <c r="D3464" s="22" t="s">
        <v>162</v>
      </c>
      <c r="E3464" s="22"/>
      <c r="F3464" s="22">
        <f>C3464*E3464</f>
      </c>
    </row>
    <row r="3465">
      <c r="A3465" s="5"/>
      <c r="B3465" s="16" t="s">
        <v>1259</v>
      </c>
      <c r="C3465" s="22">
        <f>(12)*(1)*(1)*(1)*(1 + (0))</f>
      </c>
      <c r="D3465" s="22" t="s">
        <v>162</v>
      </c>
      <c r="E3465" s="22"/>
      <c r="F3465" s="22">
        <f>C3465*E3465</f>
      </c>
    </row>
    <row r="3466">
      <c r="A3466" s="6"/>
      <c r="B3466" s="15" t="s">
        <v>1260</v>
      </c>
      <c r="C3466" s="23"/>
      <c r="D3466" s="23"/>
      <c r="E3466" s="23"/>
      <c r="F3466" s="23"/>
    </row>
    <row r="3467">
      <c r="A3467" s="5"/>
      <c r="B3467" s="16" t="s">
        <v>1266</v>
      </c>
      <c r="C3467" s="22">
        <f>(12)*(1)*(1)*(1)*(1 + (0))</f>
      </c>
      <c r="D3467" s="22" t="s">
        <v>162</v>
      </c>
      <c r="E3467" s="22"/>
      <c r="F3467" s="22">
        <f>C3467*E3467</f>
      </c>
    </row>
    <row r="3468">
      <c r="A3468" s="5"/>
      <c r="B3468" s="16" t="s">
        <v>1267</v>
      </c>
      <c r="C3468" s="22">
        <f>(12)*(1)*(1)*(1)*(1 + (0))</f>
      </c>
      <c r="D3468" s="22" t="s">
        <v>162</v>
      </c>
      <c r="E3468" s="22"/>
      <c r="F3468" s="22">
        <f>C3468*E3468</f>
      </c>
    </row>
    <row r="3469">
      <c r="A3469" s="3"/>
      <c r="B3469" s="11" t="s">
        <v>1271</v>
      </c>
      <c r="C3469" s="20"/>
      <c r="D3469" s="20"/>
      <c r="E3469" s="20"/>
      <c r="F3469" s="20"/>
    </row>
    <row r="3470">
      <c r="A3470" s="4"/>
      <c r="B3470" s="12" t="s">
        <v>1272</v>
      </c>
      <c r="C3470" s="21"/>
      <c r="D3470" s="21"/>
      <c r="E3470" s="21"/>
      <c r="F3470" s="21"/>
    </row>
    <row r="3471">
      <c r="A3471" s="5"/>
      <c r="B3471" s="13" t="s">
        <v>1779</v>
      </c>
      <c r="C3471" s="22">
        <f>(56)*(1)*(1)*(1)*(1 + (0))</f>
      </c>
      <c r="D3471" s="22" t="s">
        <v>153</v>
      </c>
      <c r="E3471" s="22"/>
      <c r="F3471" s="22">
        <f>C3471*E3471</f>
      </c>
    </row>
    <row r="3472">
      <c r="A3472" s="5"/>
      <c r="B3472" s="13" t="s">
        <v>1780</v>
      </c>
      <c r="C3472" s="22">
        <f>(31)*(1)*(1)*(1)*(1 + (0))</f>
      </c>
      <c r="D3472" s="22" t="s">
        <v>153</v>
      </c>
      <c r="E3472" s="22"/>
      <c r="F3472" s="22">
        <f>C3472*E3472</f>
      </c>
    </row>
    <row r="3473">
      <c r="A3473" s="3"/>
      <c r="B3473" s="11" t="s">
        <v>1275</v>
      </c>
      <c r="C3473" s="20"/>
      <c r="D3473" s="20"/>
      <c r="E3473" s="20"/>
      <c r="F3473" s="20"/>
    </row>
    <row r="3474">
      <c r="A3474" s="4"/>
      <c r="B3474" s="12" t="s">
        <v>1276</v>
      </c>
      <c r="C3474" s="21"/>
      <c r="D3474" s="21"/>
      <c r="E3474" s="21"/>
      <c r="F3474" s="21"/>
    </row>
    <row r="3475">
      <c r="A3475" s="6"/>
      <c r="B3475" s="15" t="s">
        <v>1277</v>
      </c>
      <c r="C3475" s="23"/>
      <c r="D3475" s="23"/>
      <c r="E3475" s="23"/>
      <c r="F3475" s="23"/>
    </row>
    <row r="3476">
      <c r="A3476" s="5"/>
      <c r="B3476" s="16" t="s">
        <v>1698</v>
      </c>
      <c r="C3476" s="22">
        <f>(2)*(1)*(1)*(1)*(1 + (0))</f>
      </c>
      <c r="D3476" s="22" t="s">
        <v>162</v>
      </c>
      <c r="E3476" s="22"/>
      <c r="F3476" s="22">
        <f>C3476*E3476</f>
      </c>
    </row>
    <row r="3477">
      <c r="A3477" s="6"/>
      <c r="B3477" s="15" t="s">
        <v>1278</v>
      </c>
      <c r="C3477" s="23"/>
      <c r="D3477" s="23"/>
      <c r="E3477" s="23"/>
      <c r="F3477" s="23"/>
    </row>
    <row r="3478">
      <c r="A3478" s="5"/>
      <c r="B3478" s="16" t="s">
        <v>1695</v>
      </c>
      <c r="C3478" s="22">
        <f>(2)*(1)*(1)*(1)*(1 + (0))</f>
      </c>
      <c r="D3478" s="22" t="s">
        <v>162</v>
      </c>
      <c r="E3478" s="22"/>
      <c r="F3478" s="22">
        <f>C3478*E3478</f>
      </c>
    </row>
    <row r="3479">
      <c r="A3479" s="3"/>
      <c r="B3479" s="11" t="s">
        <v>1781</v>
      </c>
      <c r="C3479" s="20"/>
      <c r="D3479" s="20"/>
      <c r="E3479" s="20"/>
      <c r="F3479" s="20"/>
    </row>
    <row r="3480">
      <c r="A3480" s="4"/>
      <c r="B3480" s="12" t="s">
        <v>1782</v>
      </c>
      <c r="C3480" s="21"/>
      <c r="D3480" s="21"/>
      <c r="E3480" s="21"/>
      <c r="F3480" s="21"/>
    </row>
    <row r="3481">
      <c r="A3481" s="5"/>
      <c r="B3481" s="13" t="s">
        <v>1783</v>
      </c>
      <c r="C3481" s="22">
        <f>(10)*(1)*(1)*(1)*(1 + (0))</f>
      </c>
      <c r="D3481" s="22" t="s">
        <v>162</v>
      </c>
      <c r="E3481" s="22"/>
      <c r="F3481" s="22">
        <f>C3481*E3481</f>
      </c>
    </row>
    <row r="3482">
      <c r="A3482" s="5"/>
      <c r="B3482" s="13" t="s">
        <v>1698</v>
      </c>
      <c r="C3482" s="22">
        <f>(12)*(1)*(1)*(1)*(1 + (0))</f>
      </c>
      <c r="D3482" s="22" t="s">
        <v>162</v>
      </c>
      <c r="E3482" s="22"/>
      <c r="F3482" s="22">
        <f>C3482*E3482</f>
      </c>
    </row>
    <row r="3483">
      <c r="A3483" s="5"/>
      <c r="B3483" s="7" t="s">
        <v>1784</v>
      </c>
      <c r="C3483" s="22"/>
      <c r="D3483" s="22"/>
      <c r="E3483" s="22"/>
      <c r="F3483" s="22">
        <f>C3483*E3483</f>
      </c>
    </row>
    <row r="3484">
      <c r="A3484" s="2"/>
      <c r="B3484" s="10" t="s">
        <v>1284</v>
      </c>
      <c r="C3484" s="19"/>
      <c r="D3484" s="19"/>
      <c r="E3484" s="19"/>
      <c r="F3484" s="19"/>
    </row>
    <row r="3485">
      <c r="A3485" s="3"/>
      <c r="B3485" s="11" t="s">
        <v>37</v>
      </c>
      <c r="C3485" s="20"/>
      <c r="D3485" s="20"/>
      <c r="E3485" s="20"/>
      <c r="F3485" s="20"/>
    </row>
    <row r="3486">
      <c r="A3486" s="5" t="s">
        <v>1285</v>
      </c>
      <c r="B3486" s="14" t="s">
        <v>39</v>
      </c>
      <c r="C3486" s="22"/>
      <c r="D3486" s="22" t="s">
        <v>10</v>
      </c>
      <c r="E3486" s="22"/>
      <c r="F3486" s="22">
        <f>C3486*E3486</f>
      </c>
    </row>
    <row r="3487">
      <c r="A3487" s="5" t="s">
        <v>1286</v>
      </c>
      <c r="B3487" s="14" t="s">
        <v>41</v>
      </c>
      <c r="C3487" s="22"/>
      <c r="D3487" s="22" t="s">
        <v>10</v>
      </c>
      <c r="E3487" s="22"/>
      <c r="F3487" s="22">
        <f>C3487*E3487</f>
      </c>
    </row>
    <row r="3488">
      <c r="A3488" s="3"/>
      <c r="B3488" s="11" t="s">
        <v>42</v>
      </c>
      <c r="C3488" s="20"/>
      <c r="D3488" s="20"/>
      <c r="E3488" s="20"/>
      <c r="F3488" s="20"/>
    </row>
    <row r="3489">
      <c r="A3489" s="5"/>
      <c r="B3489" s="14" t="s">
        <v>1287</v>
      </c>
      <c r="C3489" s="22"/>
      <c r="D3489" s="22" t="s">
        <v>10</v>
      </c>
      <c r="E3489" s="22"/>
      <c r="F3489" s="22">
        <f>C3489*E3489</f>
      </c>
    </row>
    <row r="3490">
      <c r="A3490" s="5"/>
      <c r="B3490" s="14" t="s">
        <v>1288</v>
      </c>
      <c r="C3490" s="22"/>
      <c r="D3490" s="22" t="s">
        <v>10</v>
      </c>
      <c r="E3490" s="22"/>
      <c r="F3490" s="22">
        <f>C3490*E3490</f>
      </c>
    </row>
    <row r="3491">
      <c r="A3491" s="5"/>
      <c r="B3491" s="14" t="s">
        <v>1289</v>
      </c>
      <c r="C3491" s="22"/>
      <c r="D3491" s="22" t="s">
        <v>10</v>
      </c>
      <c r="E3491" s="22"/>
      <c r="F3491" s="22">
        <f>C3491*E3491</f>
      </c>
    </row>
    <row r="3492">
      <c r="A3492" s="5"/>
      <c r="B3492" s="14" t="s">
        <v>1290</v>
      </c>
      <c r="C3492" s="22"/>
      <c r="D3492" s="22" t="s">
        <v>10</v>
      </c>
      <c r="E3492" s="22"/>
      <c r="F3492" s="22">
        <f>C3492*E3492</f>
      </c>
    </row>
    <row r="3493">
      <c r="A3493" s="3"/>
      <c r="B3493" s="11" t="s">
        <v>44</v>
      </c>
      <c r="C3493" s="20"/>
      <c r="D3493" s="20"/>
      <c r="E3493" s="20"/>
      <c r="F3493" s="20"/>
    </row>
    <row r="3494">
      <c r="A3494" s="4"/>
      <c r="B3494" s="12" t="s">
        <v>45</v>
      </c>
      <c r="C3494" s="21"/>
      <c r="D3494" s="21"/>
      <c r="E3494" s="21"/>
      <c r="F3494" s="21"/>
    </row>
    <row r="3495">
      <c r="A3495" s="5" t="s">
        <v>1291</v>
      </c>
      <c r="B3495" s="13" t="s">
        <v>767</v>
      </c>
      <c r="C3495" s="22"/>
      <c r="D3495" s="22" t="s">
        <v>10</v>
      </c>
      <c r="E3495" s="22"/>
      <c r="F3495" s="22">
        <f>C3495*E3495</f>
      </c>
    </row>
    <row r="3496">
      <c r="A3496" s="5" t="s">
        <v>1292</v>
      </c>
      <c r="B3496" s="13" t="s">
        <v>123</v>
      </c>
      <c r="C3496" s="22"/>
      <c r="D3496" s="22" t="s">
        <v>10</v>
      </c>
      <c r="E3496" s="22"/>
      <c r="F3496" s="22">
        <f>C3496*E3496</f>
      </c>
    </row>
    <row r="3497">
      <c r="A3497" s="3"/>
      <c r="B3497" s="11" t="s">
        <v>68</v>
      </c>
      <c r="C3497" s="20"/>
      <c r="D3497" s="20"/>
      <c r="E3497" s="20"/>
      <c r="F3497" s="20"/>
    </row>
    <row r="3498">
      <c r="A3498" s="5" t="s">
        <v>1293</v>
      </c>
      <c r="B3498" s="14" t="s">
        <v>230</v>
      </c>
      <c r="C3498" s="22">
        <f>(1)*(1)*(1)*(1)*(1 + (0))</f>
      </c>
      <c r="D3498" s="22" t="s">
        <v>71</v>
      </c>
      <c r="E3498" s="22"/>
      <c r="F3498" s="22">
        <f>C3498*E3498</f>
      </c>
    </row>
    <row r="3499">
      <c r="A3499" s="5" t="s">
        <v>1294</v>
      </c>
      <c r="B3499" s="14" t="s">
        <v>70</v>
      </c>
      <c r="C3499" s="22">
        <f>(1)*(1)*(1)*(1)*(1 + (0))</f>
      </c>
      <c r="D3499" s="22" t="s">
        <v>71</v>
      </c>
      <c r="E3499" s="22"/>
      <c r="F3499" s="22">
        <f>C3499*E3499</f>
      </c>
    </row>
    <row r="3500">
      <c r="A3500" s="5" t="s">
        <v>1295</v>
      </c>
      <c r="B3500" s="14" t="s">
        <v>906</v>
      </c>
      <c r="C3500" s="22">
        <f>(1)*(1)*(1)*(1)*(1 + (0))</f>
      </c>
      <c r="D3500" s="22" t="s">
        <v>71</v>
      </c>
      <c r="E3500" s="22"/>
      <c r="F3500" s="22">
        <f>C3500*E3500</f>
      </c>
    </row>
    <row r="3501">
      <c r="A3501" s="5" t="s">
        <v>1296</v>
      </c>
      <c r="B3501" s="14" t="s">
        <v>665</v>
      </c>
      <c r="C3501" s="22">
        <f>(1)*(1)*(1)*(1)*(1 + (0))</f>
      </c>
      <c r="D3501" s="22" t="s">
        <v>71</v>
      </c>
      <c r="E3501" s="22"/>
      <c r="F3501" s="22">
        <f>C3501*E3501</f>
      </c>
    </row>
    <row r="3502">
      <c r="A3502" s="3"/>
      <c r="B3502" s="11" t="s">
        <v>1297</v>
      </c>
      <c r="C3502" s="20"/>
      <c r="D3502" s="20"/>
      <c r="E3502" s="20"/>
      <c r="F3502" s="20"/>
    </row>
    <row r="3503">
      <c r="A3503" s="4"/>
      <c r="B3503" s="12" t="s">
        <v>1785</v>
      </c>
      <c r="C3503" s="21"/>
      <c r="D3503" s="21"/>
      <c r="E3503" s="21"/>
      <c r="F3503" s="21"/>
    </row>
    <row r="3504">
      <c r="A3504" s="5"/>
      <c r="B3504" s="13" t="s">
        <v>1786</v>
      </c>
      <c r="C3504" s="22">
        <f>(1)*(1)*(1)*(1)*(1 + (0))</f>
      </c>
      <c r="D3504" s="22" t="s">
        <v>162</v>
      </c>
      <c r="E3504" s="22"/>
      <c r="F3504" s="22">
        <f>C3504*E3504</f>
      </c>
    </row>
    <row r="3505">
      <c r="A3505" s="4"/>
      <c r="B3505" s="12" t="s">
        <v>1298</v>
      </c>
      <c r="C3505" s="21"/>
      <c r="D3505" s="21"/>
      <c r="E3505" s="21"/>
      <c r="F3505" s="21"/>
    </row>
    <row r="3506">
      <c r="A3506" s="5"/>
      <c r="B3506" s="13" t="s">
        <v>1300</v>
      </c>
      <c r="C3506" s="22">
        <f>(29)*(1)*(1)*(1)*(1 + (0))</f>
      </c>
      <c r="D3506" s="22" t="s">
        <v>153</v>
      </c>
      <c r="E3506" s="22"/>
      <c r="F3506" s="22">
        <f>C3506*E3506</f>
      </c>
    </row>
    <row r="3507">
      <c r="A3507" s="5"/>
      <c r="B3507" s="13" t="s">
        <v>1299</v>
      </c>
      <c r="C3507" s="22">
        <f>(2)*(1)*(1)*(1)*(1 + (0))</f>
      </c>
      <c r="D3507" s="22" t="s">
        <v>153</v>
      </c>
      <c r="E3507" s="22"/>
      <c r="F3507" s="22">
        <f>C3507*E3507</f>
      </c>
    </row>
    <row r="3508">
      <c r="A3508" s="2"/>
      <c r="B3508" s="10" t="s">
        <v>1301</v>
      </c>
      <c r="C3508" s="19"/>
      <c r="D3508" s="19"/>
      <c r="E3508" s="19"/>
      <c r="F3508" s="19"/>
    </row>
    <row r="3509">
      <c r="A3509" s="3"/>
      <c r="B3509" s="11" t="s">
        <v>37</v>
      </c>
      <c r="C3509" s="20"/>
      <c r="D3509" s="20"/>
      <c r="E3509" s="20"/>
      <c r="F3509" s="20"/>
    </row>
    <row r="3510">
      <c r="A3510" s="5" t="s">
        <v>1302</v>
      </c>
      <c r="B3510" s="14" t="s">
        <v>39</v>
      </c>
      <c r="C3510" s="22"/>
      <c r="D3510" s="22" t="s">
        <v>10</v>
      </c>
      <c r="E3510" s="22"/>
      <c r="F3510" s="22">
        <f>C3510*E3510</f>
      </c>
    </row>
    <row r="3511">
      <c r="A3511" s="5" t="s">
        <v>1303</v>
      </c>
      <c r="B3511" s="14" t="s">
        <v>41</v>
      </c>
      <c r="C3511" s="22"/>
      <c r="D3511" s="22" t="s">
        <v>10</v>
      </c>
      <c r="E3511" s="22"/>
      <c r="F3511" s="22">
        <f>C3511*E3511</f>
      </c>
    </row>
    <row r="3512">
      <c r="A3512" s="3"/>
      <c r="B3512" s="11" t="s">
        <v>42</v>
      </c>
      <c r="C3512" s="20"/>
      <c r="D3512" s="20"/>
      <c r="E3512" s="20"/>
      <c r="F3512" s="20"/>
    </row>
    <row r="3513">
      <c r="A3513" s="5"/>
      <c r="B3513" s="14" t="s">
        <v>1009</v>
      </c>
      <c r="C3513" s="22"/>
      <c r="D3513" s="22" t="s">
        <v>10</v>
      </c>
      <c r="E3513" s="22"/>
      <c r="F3513" s="22">
        <f>C3513*E3513</f>
      </c>
    </row>
    <row r="3514">
      <c r="A3514" s="5"/>
      <c r="B3514" s="14" t="s">
        <v>1010</v>
      </c>
      <c r="C3514" s="22"/>
      <c r="D3514" s="22" t="s">
        <v>10</v>
      </c>
      <c r="E3514" s="22"/>
      <c r="F3514" s="22">
        <f>C3514*E3514</f>
      </c>
    </row>
    <row r="3515">
      <c r="A3515" s="5"/>
      <c r="B3515" s="14" t="s">
        <v>1011</v>
      </c>
      <c r="C3515" s="22"/>
      <c r="D3515" s="22" t="s">
        <v>10</v>
      </c>
      <c r="E3515" s="22"/>
      <c r="F3515" s="22">
        <f>C3515*E3515</f>
      </c>
    </row>
    <row r="3516">
      <c r="A3516" s="3"/>
      <c r="B3516" s="11" t="s">
        <v>44</v>
      </c>
      <c r="C3516" s="20"/>
      <c r="D3516" s="20"/>
      <c r="E3516" s="20"/>
      <c r="F3516" s="20"/>
    </row>
    <row r="3517">
      <c r="A3517" s="4"/>
      <c r="B3517" s="12" t="s">
        <v>45</v>
      </c>
      <c r="C3517" s="21"/>
      <c r="D3517" s="21"/>
      <c r="E3517" s="21"/>
      <c r="F3517" s="21"/>
    </row>
    <row r="3518">
      <c r="A3518" s="5" t="s">
        <v>1305</v>
      </c>
      <c r="B3518" s="13" t="s">
        <v>1306</v>
      </c>
      <c r="C3518" s="22"/>
      <c r="D3518" s="22" t="s">
        <v>10</v>
      </c>
      <c r="E3518" s="22"/>
      <c r="F3518" s="22">
        <f>C3518*E3518</f>
      </c>
    </row>
    <row r="3519">
      <c r="A3519" s="5" t="s">
        <v>1307</v>
      </c>
      <c r="B3519" s="13" t="s">
        <v>1308</v>
      </c>
      <c r="C3519" s="22"/>
      <c r="D3519" s="22" t="s">
        <v>10</v>
      </c>
      <c r="E3519" s="22"/>
      <c r="F3519" s="22">
        <f>C3519*E3519</f>
      </c>
    </row>
    <row r="3520">
      <c r="A3520" s="5" t="s">
        <v>1309</v>
      </c>
      <c r="B3520" s="13" t="s">
        <v>1310</v>
      </c>
      <c r="C3520" s="22"/>
      <c r="D3520" s="22" t="s">
        <v>10</v>
      </c>
      <c r="E3520" s="22"/>
      <c r="F3520" s="22">
        <f>C3520*E3520</f>
      </c>
    </row>
    <row r="3521">
      <c r="A3521" s="5" t="s">
        <v>1311</v>
      </c>
      <c r="B3521" s="13" t="s">
        <v>1312</v>
      </c>
      <c r="C3521" s="22"/>
      <c r="D3521" s="22" t="s">
        <v>10</v>
      </c>
      <c r="E3521" s="22"/>
      <c r="F3521" s="22">
        <f>C3521*E3521</f>
      </c>
    </row>
    <row r="3522">
      <c r="A3522" s="5" t="s">
        <v>1313</v>
      </c>
      <c r="B3522" s="13" t="s">
        <v>1314</v>
      </c>
      <c r="C3522" s="22"/>
      <c r="D3522" s="22" t="s">
        <v>10</v>
      </c>
      <c r="E3522" s="22"/>
      <c r="F3522" s="22">
        <f>C3522*E3522</f>
      </c>
    </row>
    <row r="3523">
      <c r="A3523" s="5" t="s">
        <v>1315</v>
      </c>
      <c r="B3523" s="13" t="s">
        <v>1316</v>
      </c>
      <c r="C3523" s="22"/>
      <c r="D3523" s="22" t="s">
        <v>10</v>
      </c>
      <c r="E3523" s="22"/>
      <c r="F3523" s="22">
        <f>C3523*E3523</f>
      </c>
    </row>
    <row r="3524">
      <c r="A3524" s="5" t="s">
        <v>1317</v>
      </c>
      <c r="B3524" s="13" t="s">
        <v>1318</v>
      </c>
      <c r="C3524" s="22"/>
      <c r="D3524" s="22" t="s">
        <v>10</v>
      </c>
      <c r="E3524" s="22"/>
      <c r="F3524" s="22">
        <f>C3524*E3524</f>
      </c>
    </row>
    <row r="3525">
      <c r="A3525" s="5" t="s">
        <v>1319</v>
      </c>
      <c r="B3525" s="13" t="s">
        <v>123</v>
      </c>
      <c r="C3525" s="22"/>
      <c r="D3525" s="22" t="s">
        <v>10</v>
      </c>
      <c r="E3525" s="22"/>
      <c r="F3525" s="22">
        <f>C3525*E3525</f>
      </c>
    </row>
    <row r="3526">
      <c r="A3526" s="3"/>
      <c r="B3526" s="11" t="s">
        <v>68</v>
      </c>
      <c r="C3526" s="20"/>
      <c r="D3526" s="20"/>
      <c r="E3526" s="20"/>
      <c r="F3526" s="20"/>
    </row>
    <row r="3527">
      <c r="A3527" s="5" t="s">
        <v>1320</v>
      </c>
      <c r="B3527" s="14" t="s">
        <v>75</v>
      </c>
      <c r="C3527" s="22">
        <f>(1)*(1)*(1)*(1)*(1 + (0))</f>
      </c>
      <c r="D3527" s="22" t="s">
        <v>71</v>
      </c>
      <c r="E3527" s="22"/>
      <c r="F3527" s="22">
        <f>C3527*E3527</f>
      </c>
    </row>
    <row r="3528">
      <c r="A3528" s="5" t="s">
        <v>1321</v>
      </c>
      <c r="B3528" s="14" t="s">
        <v>1322</v>
      </c>
      <c r="C3528" s="22">
        <f>(1)*(1)*(1)*(1)*(1 + (0))</f>
      </c>
      <c r="D3528" s="22" t="s">
        <v>71</v>
      </c>
      <c r="E3528" s="22"/>
      <c r="F3528" s="22">
        <f>C3528*E3528</f>
      </c>
    </row>
    <row r="3529">
      <c r="A3529" s="5" t="s">
        <v>1323</v>
      </c>
      <c r="B3529" s="14" t="s">
        <v>1324</v>
      </c>
      <c r="C3529" s="22">
        <f>(1)*(1)*(1)*(1)*(1 + (0))</f>
      </c>
      <c r="D3529" s="22" t="s">
        <v>71</v>
      </c>
      <c r="E3529" s="22"/>
      <c r="F3529" s="22">
        <f>C3529*E3529</f>
      </c>
    </row>
    <row r="3530">
      <c r="A3530" s="5" t="s">
        <v>1325</v>
      </c>
      <c r="B3530" s="14" t="s">
        <v>230</v>
      </c>
      <c r="C3530" s="22">
        <f>(1)*(1)*(1)*(1)*(1 + (0))</f>
      </c>
      <c r="D3530" s="22" t="s">
        <v>71</v>
      </c>
      <c r="E3530" s="22"/>
      <c r="F3530" s="22">
        <f>C3530*E3530</f>
      </c>
    </row>
    <row r="3531">
      <c r="A3531" s="5" t="s">
        <v>1326</v>
      </c>
      <c r="B3531" s="14" t="s">
        <v>800</v>
      </c>
      <c r="C3531" s="22">
        <f>(1)*(1)*(1)*(1)*(1 + (0))</f>
      </c>
      <c r="D3531" s="22" t="s">
        <v>71</v>
      </c>
      <c r="E3531" s="22"/>
      <c r="F3531" s="22">
        <f>C3531*E3531</f>
      </c>
    </row>
    <row r="3532">
      <c r="A3532" s="5" t="s">
        <v>1327</v>
      </c>
      <c r="B3532" s="14" t="s">
        <v>73</v>
      </c>
      <c r="C3532" s="22">
        <f>(1)*(1)*(1)*(1)*(1 + (0))</f>
      </c>
      <c r="D3532" s="22" t="s">
        <v>71</v>
      </c>
      <c r="E3532" s="22"/>
      <c r="F3532" s="22">
        <f>C3532*E3532</f>
      </c>
    </row>
    <row r="3533">
      <c r="A3533" s="5" t="s">
        <v>1328</v>
      </c>
      <c r="B3533" s="14" t="s">
        <v>70</v>
      </c>
      <c r="C3533" s="22">
        <f>(1)*(1)*(1)*(1)*(1 + (0))</f>
      </c>
      <c r="D3533" s="22" t="s">
        <v>71</v>
      </c>
      <c r="E3533" s="22"/>
      <c r="F3533" s="22">
        <f>C3533*E3533</f>
      </c>
    </row>
    <row r="3534">
      <c r="A3534" s="5" t="s">
        <v>1329</v>
      </c>
      <c r="B3534" s="14" t="s">
        <v>1330</v>
      </c>
      <c r="C3534" s="22">
        <f>(1)*(1)*(1)*(1)*(1 + (0))</f>
      </c>
      <c r="D3534" s="22" t="s">
        <v>71</v>
      </c>
      <c r="E3534" s="22"/>
      <c r="F3534" s="22">
        <f>C3534*E3534</f>
      </c>
    </row>
    <row r="3535">
      <c r="A3535" s="5" t="s">
        <v>1331</v>
      </c>
      <c r="B3535" s="14" t="s">
        <v>665</v>
      </c>
      <c r="C3535" s="22">
        <f>(1)*(1)*(1)*(1)*(1 + (0))</f>
      </c>
      <c r="D3535" s="22" t="s">
        <v>71</v>
      </c>
      <c r="E3535" s="22"/>
      <c r="F3535" s="22">
        <f>C3535*E3535</f>
      </c>
    </row>
    <row r="3536">
      <c r="A3536" s="3"/>
      <c r="B3536" s="11" t="s">
        <v>106</v>
      </c>
      <c r="C3536" s="20"/>
      <c r="D3536" s="20"/>
      <c r="E3536" s="20"/>
      <c r="F3536" s="20"/>
    </row>
    <row r="3537">
      <c r="A3537" s="5"/>
      <c r="B3537" s="14" t="s">
        <v>1332</v>
      </c>
      <c r="C3537" s="22"/>
      <c r="D3537" s="22" t="s">
        <v>1333</v>
      </c>
      <c r="E3537" s="22"/>
      <c r="F3537" s="22">
        <f>C3537*E3537</f>
      </c>
    </row>
    <row r="3538">
      <c r="A3538" s="5"/>
      <c r="B3538" s="14" t="s">
        <v>1334</v>
      </c>
      <c r="C3538" s="22"/>
      <c r="D3538" s="22" t="s">
        <v>1335</v>
      </c>
      <c r="E3538" s="22"/>
      <c r="F3538" s="22">
        <f>C3538*E3538</f>
      </c>
    </row>
    <row r="3539">
      <c r="A3539" s="3"/>
      <c r="B3539" s="11" t="s">
        <v>1336</v>
      </c>
      <c r="C3539" s="20"/>
      <c r="D3539" s="20"/>
      <c r="E3539" s="20"/>
      <c r="F3539" s="20"/>
    </row>
    <row r="3540">
      <c r="A3540" s="4"/>
      <c r="B3540" s="12" t="s">
        <v>1337</v>
      </c>
      <c r="C3540" s="21"/>
      <c r="D3540" s="21"/>
      <c r="E3540" s="21"/>
      <c r="F3540" s="21"/>
    </row>
    <row r="3541">
      <c r="A3541" s="6"/>
      <c r="B3541" s="15" t="s">
        <v>1338</v>
      </c>
      <c r="C3541" s="23"/>
      <c r="D3541" s="23"/>
      <c r="E3541" s="23"/>
      <c r="F3541" s="23"/>
    </row>
    <row r="3542">
      <c r="A3542" s="5"/>
      <c r="B3542" s="16" t="s">
        <v>1339</v>
      </c>
      <c r="C3542" s="22"/>
      <c r="D3542" s="22"/>
      <c r="E3542" s="22"/>
      <c r="F3542" s="22"/>
    </row>
    <row r="3543">
      <c r="A3543" s="5"/>
      <c r="B3543" s="17" t="s">
        <v>27</v>
      </c>
      <c r="C3543" s="22">
        <f>(272)*(1)*(1)*(1)*(1 + (0))</f>
      </c>
      <c r="D3543" s="22" t="s">
        <v>24</v>
      </c>
      <c r="E3543" s="22"/>
      <c r="F3543" s="22">
        <f>C3543*E3543</f>
      </c>
    </row>
    <row r="3544">
      <c r="A3544" s="5"/>
      <c r="B3544" s="17" t="s">
        <v>28</v>
      </c>
      <c r="C3544" s="22">
        <f>(285)*(1)*(1)*(1)*(1 + (0))</f>
      </c>
      <c r="D3544" s="22" t="s">
        <v>24</v>
      </c>
      <c r="E3544" s="22"/>
      <c r="F3544" s="22">
        <f>C3544*E3544</f>
      </c>
    </row>
    <row r="3545">
      <c r="A3545" s="5"/>
      <c r="B3545" s="16" t="s">
        <v>1340</v>
      </c>
      <c r="C3545" s="22"/>
      <c r="D3545" s="22"/>
      <c r="E3545" s="22"/>
      <c r="F3545" s="22"/>
    </row>
    <row r="3546">
      <c r="A3546" s="5"/>
      <c r="B3546" s="17" t="s">
        <v>27</v>
      </c>
      <c r="C3546" s="22">
        <f>(417)*(1)*(1)*(1)*(1 + (0))</f>
      </c>
      <c r="D3546" s="22" t="s">
        <v>24</v>
      </c>
      <c r="E3546" s="22"/>
      <c r="F3546" s="22">
        <f>C3546*E3546</f>
      </c>
    </row>
    <row r="3547">
      <c r="A3547" s="5"/>
      <c r="B3547" s="17" t="s">
        <v>28</v>
      </c>
      <c r="C3547" s="22">
        <f>(508)*(1)*(1)*(1)*(1 + (0))</f>
      </c>
      <c r="D3547" s="22" t="s">
        <v>24</v>
      </c>
      <c r="E3547" s="22"/>
      <c r="F3547" s="22">
        <f>C3547*E3547</f>
      </c>
    </row>
    <row r="3548">
      <c r="A3548" s="5"/>
      <c r="B3548" s="16" t="s">
        <v>1341</v>
      </c>
      <c r="C3548" s="22"/>
      <c r="D3548" s="22"/>
      <c r="E3548" s="22"/>
      <c r="F3548" s="22"/>
    </row>
    <row r="3549">
      <c r="A3549" s="5"/>
      <c r="B3549" s="17" t="s">
        <v>27</v>
      </c>
      <c r="C3549" s="22">
        <f>(11)*(1)*(1)*(1)*(1 + (0))</f>
      </c>
      <c r="D3549" s="22" t="s">
        <v>24</v>
      </c>
      <c r="E3549" s="22"/>
      <c r="F3549" s="22">
        <f>C3549*E3549</f>
      </c>
    </row>
    <row r="3550">
      <c r="A3550" s="5"/>
      <c r="B3550" s="16" t="s">
        <v>1787</v>
      </c>
      <c r="C3550" s="22"/>
      <c r="D3550" s="22"/>
      <c r="E3550" s="22"/>
      <c r="F3550" s="22"/>
    </row>
    <row r="3551">
      <c r="A3551" s="5"/>
      <c r="B3551" s="17" t="s">
        <v>28</v>
      </c>
      <c r="C3551" s="22">
        <f>(108)*(1)*(1)*(1)*(1 + (0))</f>
      </c>
      <c r="D3551" s="22" t="s">
        <v>24</v>
      </c>
      <c r="E3551" s="22"/>
      <c r="F3551" s="22">
        <f>C3551*E3551</f>
      </c>
    </row>
    <row r="3552">
      <c r="A3552" s="5"/>
      <c r="B3552" s="16" t="s">
        <v>1343</v>
      </c>
      <c r="C3552" s="22"/>
      <c r="D3552" s="22"/>
      <c r="E3552" s="22"/>
      <c r="F3552" s="22"/>
    </row>
    <row r="3553">
      <c r="A3553" s="5"/>
      <c r="B3553" s="17" t="s">
        <v>27</v>
      </c>
      <c r="C3553" s="22">
        <f>(97)*(1)*(1)*(1)*(1 + (0))</f>
      </c>
      <c r="D3553" s="22" t="s">
        <v>24</v>
      </c>
      <c r="E3553" s="22"/>
      <c r="F3553" s="22">
        <f>C3553*E3553</f>
      </c>
    </row>
    <row r="3554">
      <c r="A3554" s="5"/>
      <c r="B3554" s="17" t="s">
        <v>28</v>
      </c>
      <c r="C3554" s="22">
        <f>(18)*(1)*(1)*(1)*(1 + (0))</f>
      </c>
      <c r="D3554" s="22" t="s">
        <v>24</v>
      </c>
      <c r="E3554" s="22"/>
      <c r="F3554" s="22">
        <f>C3554*E3554</f>
      </c>
    </row>
    <row r="3555">
      <c r="A3555" s="5"/>
      <c r="B3555" s="16" t="s">
        <v>1345</v>
      </c>
      <c r="C3555" s="22"/>
      <c r="D3555" s="22"/>
      <c r="E3555" s="22"/>
      <c r="F3555" s="22"/>
    </row>
    <row r="3556">
      <c r="A3556" s="5"/>
      <c r="B3556" s="17" t="s">
        <v>27</v>
      </c>
      <c r="C3556" s="22">
        <f>(116)*(1)*(1)*(1)*(1 + (0))</f>
      </c>
      <c r="D3556" s="22" t="s">
        <v>24</v>
      </c>
      <c r="E3556" s="22"/>
      <c r="F3556" s="22">
        <f>C3556*E3556</f>
      </c>
    </row>
    <row r="3557">
      <c r="A3557" s="4"/>
      <c r="B3557" s="12" t="s">
        <v>1346</v>
      </c>
      <c r="C3557" s="21"/>
      <c r="D3557" s="21"/>
      <c r="E3557" s="21"/>
      <c r="F3557" s="21"/>
    </row>
    <row r="3558">
      <c r="A3558" s="6"/>
      <c r="B3558" s="15" t="s">
        <v>1347</v>
      </c>
      <c r="C3558" s="23"/>
      <c r="D3558" s="23"/>
      <c r="E3558" s="23"/>
      <c r="F3558" s="23"/>
    </row>
    <row r="3559">
      <c r="A3559" s="5"/>
      <c r="B3559" s="16" t="s">
        <v>27</v>
      </c>
      <c r="C3559" s="22">
        <f>(15)*(1)*(1)*(1)*(1 + (0))</f>
      </c>
      <c r="D3559" s="22" t="s">
        <v>24</v>
      </c>
      <c r="E3559" s="22"/>
      <c r="F3559" s="22">
        <f>C3559*E3559</f>
      </c>
    </row>
    <row r="3560">
      <c r="A3560" s="5"/>
      <c r="B3560" s="16" t="s">
        <v>28</v>
      </c>
      <c r="C3560" s="22">
        <f>(10)*(1)*(1)*(1)*(1 + (0))</f>
      </c>
      <c r="D3560" s="22" t="s">
        <v>24</v>
      </c>
      <c r="E3560" s="22"/>
      <c r="F3560" s="22">
        <f>C3560*E3560</f>
      </c>
    </row>
    <row r="3561">
      <c r="A3561" s="4"/>
      <c r="B3561" s="12" t="s">
        <v>1348</v>
      </c>
      <c r="C3561" s="21"/>
      <c r="D3561" s="21"/>
      <c r="E3561" s="21"/>
      <c r="F3561" s="21"/>
    </row>
    <row r="3562">
      <c r="A3562" s="6"/>
      <c r="B3562" s="15" t="s">
        <v>1349</v>
      </c>
      <c r="C3562" s="23"/>
      <c r="D3562" s="23"/>
      <c r="E3562" s="23"/>
      <c r="F3562" s="23"/>
    </row>
    <row r="3563">
      <c r="A3563" s="5"/>
      <c r="B3563" s="16" t="s">
        <v>27</v>
      </c>
      <c r="C3563" s="22">
        <f>(42)*(1)*(1)*(1)*(1 + (0))</f>
      </c>
      <c r="D3563" s="22" t="s">
        <v>153</v>
      </c>
      <c r="E3563" s="22"/>
      <c r="F3563" s="22">
        <f>C3563*E3563</f>
      </c>
    </row>
    <row r="3564">
      <c r="A3564" s="5"/>
      <c r="B3564" s="16" t="s">
        <v>28</v>
      </c>
      <c r="C3564" s="22">
        <f>(45)*(1)*(1)*(1)*(1 + (0))</f>
      </c>
      <c r="D3564" s="22" t="s">
        <v>153</v>
      </c>
      <c r="E3564" s="22"/>
      <c r="F3564" s="22">
        <f>C3564*E3564</f>
      </c>
    </row>
    <row r="3565">
      <c r="A3565" s="3"/>
      <c r="B3565" s="11" t="s">
        <v>1350</v>
      </c>
      <c r="C3565" s="20"/>
      <c r="D3565" s="20"/>
      <c r="E3565" s="20"/>
      <c r="F3565" s="20"/>
    </row>
    <row r="3566">
      <c r="A3566" s="4"/>
      <c r="B3566" s="12" t="s">
        <v>1351</v>
      </c>
      <c r="C3566" s="21"/>
      <c r="D3566" s="21"/>
      <c r="E3566" s="21"/>
      <c r="F3566" s="21"/>
    </row>
    <row r="3567">
      <c r="A3567" s="5"/>
      <c r="B3567" s="13" t="s">
        <v>1746</v>
      </c>
      <c r="C3567" s="22">
        <f>(734)*(1)*(1)*(1)*(1 + (0))</f>
      </c>
      <c r="D3567" s="22" t="s">
        <v>24</v>
      </c>
      <c r="E3567" s="22"/>
      <c r="F3567" s="22">
        <f>C3567*E3567</f>
      </c>
    </row>
    <row r="3568">
      <c r="A3568" s="5"/>
      <c r="B3568" s="13" t="s">
        <v>1747</v>
      </c>
      <c r="C3568" s="22">
        <f>(737)*(1)*(1)*(1)*(1 + (0))</f>
      </c>
      <c r="D3568" s="22" t="s">
        <v>24</v>
      </c>
      <c r="E3568" s="22"/>
      <c r="F3568" s="22">
        <f>C3568*E3568</f>
      </c>
    </row>
    <row r="3569">
      <c r="A3569" s="3"/>
      <c r="B3569" s="11" t="s">
        <v>1355</v>
      </c>
      <c r="C3569" s="20"/>
      <c r="D3569" s="20"/>
      <c r="E3569" s="20"/>
      <c r="F3569" s="20"/>
    </row>
    <row r="3570">
      <c r="A3570" s="4"/>
      <c r="B3570" s="12" t="s">
        <v>1695</v>
      </c>
      <c r="C3570" s="21"/>
      <c r="D3570" s="21"/>
      <c r="E3570" s="21"/>
      <c r="F3570" s="21"/>
    </row>
    <row r="3571">
      <c r="A3571" s="6"/>
      <c r="B3571" s="15" t="s">
        <v>1356</v>
      </c>
      <c r="C3571" s="23"/>
      <c r="D3571" s="23"/>
      <c r="E3571" s="23"/>
      <c r="F3571" s="23"/>
    </row>
    <row r="3572">
      <c r="A3572" s="5"/>
      <c r="B3572" s="16" t="s">
        <v>1357</v>
      </c>
      <c r="C3572" s="22">
        <f>(1)*(1)*(1)*(1)*(1 + (0))</f>
      </c>
      <c r="D3572" s="22" t="s">
        <v>162</v>
      </c>
      <c r="E3572" s="22"/>
      <c r="F3572" s="22">
        <f>C3572*E3572</f>
      </c>
    </row>
    <row r="3573">
      <c r="A3573" s="5"/>
      <c r="B3573" s="16" t="s">
        <v>1358</v>
      </c>
      <c r="C3573" s="22">
        <f>(8)*(1)*(1)*(1)*(1 + (0))</f>
      </c>
      <c r="D3573" s="22" t="s">
        <v>162</v>
      </c>
      <c r="E3573" s="22"/>
      <c r="F3573" s="22">
        <f>C3573*E3573</f>
      </c>
    </row>
    <row r="3574">
      <c r="A3574" s="4"/>
      <c r="B3574" s="12" t="s">
        <v>1698</v>
      </c>
      <c r="C3574" s="21"/>
      <c r="D3574" s="21"/>
      <c r="E3574" s="21"/>
      <c r="F3574" s="21"/>
    </row>
    <row r="3575">
      <c r="A3575" s="6"/>
      <c r="B3575" s="15" t="s">
        <v>1356</v>
      </c>
      <c r="C3575" s="23"/>
      <c r="D3575" s="23"/>
      <c r="E3575" s="23"/>
      <c r="F3575" s="23"/>
    </row>
    <row r="3576">
      <c r="A3576" s="5"/>
      <c r="B3576" s="16" t="s">
        <v>1357</v>
      </c>
      <c r="C3576" s="22">
        <f>(1)*(1)*(1)*(1)*(1 + (0))</f>
      </c>
      <c r="D3576" s="22" t="s">
        <v>162</v>
      </c>
      <c r="E3576" s="22"/>
      <c r="F3576" s="22">
        <f>C3576*E3576</f>
      </c>
    </row>
    <row r="3577">
      <c r="A3577" s="5"/>
      <c r="B3577" s="16" t="s">
        <v>1358</v>
      </c>
      <c r="C3577" s="22">
        <f>(5)*(1)*(1)*(1)*(1 + (0))</f>
      </c>
      <c r="D3577" s="22" t="s">
        <v>162</v>
      </c>
      <c r="E3577" s="22"/>
      <c r="F3577" s="22">
        <f>C3577*E3577</f>
      </c>
    </row>
    <row r="3578">
      <c r="A3578" s="3"/>
      <c r="B3578" s="11" t="s">
        <v>1359</v>
      </c>
      <c r="C3578" s="20"/>
      <c r="D3578" s="20"/>
      <c r="E3578" s="20"/>
      <c r="F3578" s="20"/>
    </row>
    <row r="3579">
      <c r="A3579" s="4"/>
      <c r="B3579" s="12" t="s">
        <v>1695</v>
      </c>
      <c r="C3579" s="21"/>
      <c r="D3579" s="21"/>
      <c r="E3579" s="21"/>
      <c r="F3579" s="21"/>
    </row>
    <row r="3580">
      <c r="A3580" s="6"/>
      <c r="B3580" s="15" t="s">
        <v>1360</v>
      </c>
      <c r="C3580" s="23"/>
      <c r="D3580" s="23"/>
      <c r="E3580" s="23"/>
      <c r="F3580" s="23"/>
    </row>
    <row r="3581">
      <c r="A3581" s="5"/>
      <c r="B3581" s="16" t="s">
        <v>1358</v>
      </c>
      <c r="C3581" s="22">
        <f>(5)*(1)*(1)*(1)*(1 + (0))</f>
      </c>
      <c r="D3581" s="22" t="s">
        <v>162</v>
      </c>
      <c r="E3581" s="22"/>
      <c r="F3581" s="22">
        <f>C3581*E3581</f>
      </c>
    </row>
    <row r="3582">
      <c r="A3582" s="4"/>
      <c r="B3582" s="12" t="s">
        <v>1698</v>
      </c>
      <c r="C3582" s="21"/>
      <c r="D3582" s="21"/>
      <c r="E3582" s="21"/>
      <c r="F3582" s="21"/>
    </row>
    <row r="3583">
      <c r="A3583" s="6"/>
      <c r="B3583" s="15" t="s">
        <v>1360</v>
      </c>
      <c r="C3583" s="23"/>
      <c r="D3583" s="23"/>
      <c r="E3583" s="23"/>
      <c r="F3583" s="23"/>
    </row>
    <row r="3584">
      <c r="A3584" s="5"/>
      <c r="B3584" s="16" t="s">
        <v>1357</v>
      </c>
      <c r="C3584" s="22">
        <f>(2)*(1)*(1)*(1)*(1 + (0))</f>
      </c>
      <c r="D3584" s="22" t="s">
        <v>162</v>
      </c>
      <c r="E3584" s="22"/>
      <c r="F3584" s="22">
        <f>C3584*E3584</f>
      </c>
    </row>
    <row r="3585">
      <c r="A3585" s="2"/>
      <c r="B3585" s="10" t="s">
        <v>1361</v>
      </c>
      <c r="C3585" s="19"/>
      <c r="D3585" s="19"/>
      <c r="E3585" s="19"/>
      <c r="F3585" s="19"/>
    </row>
    <row r="3586">
      <c r="A3586" s="3"/>
      <c r="B3586" s="11" t="s">
        <v>37</v>
      </c>
      <c r="C3586" s="20"/>
      <c r="D3586" s="20"/>
      <c r="E3586" s="20"/>
      <c r="F3586" s="20"/>
    </row>
    <row r="3587">
      <c r="A3587" s="5" t="s">
        <v>1285</v>
      </c>
      <c r="B3587" s="14" t="s">
        <v>39</v>
      </c>
      <c r="C3587" s="22"/>
      <c r="D3587" s="22" t="s">
        <v>10</v>
      </c>
      <c r="E3587" s="22"/>
      <c r="F3587" s="22">
        <f>C3587*E3587</f>
      </c>
    </row>
    <row r="3588">
      <c r="A3588" s="5" t="s">
        <v>1286</v>
      </c>
      <c r="B3588" s="14" t="s">
        <v>41</v>
      </c>
      <c r="C3588" s="22"/>
      <c r="D3588" s="22" t="s">
        <v>10</v>
      </c>
      <c r="E3588" s="22"/>
      <c r="F3588" s="22">
        <f>C3588*E3588</f>
      </c>
    </row>
    <row r="3589">
      <c r="A3589" s="3"/>
      <c r="B3589" s="11" t="s">
        <v>42</v>
      </c>
      <c r="C3589" s="20"/>
      <c r="D3589" s="20"/>
      <c r="E3589" s="20"/>
      <c r="F3589" s="20"/>
    </row>
    <row r="3590">
      <c r="A3590" s="5"/>
      <c r="B3590" s="14" t="s">
        <v>1287</v>
      </c>
      <c r="C3590" s="22"/>
      <c r="D3590" s="22" t="s">
        <v>10</v>
      </c>
      <c r="E3590" s="22"/>
      <c r="F3590" s="22">
        <f>C3590*E3590</f>
      </c>
    </row>
    <row r="3591">
      <c r="A3591" s="5"/>
      <c r="B3591" s="14" t="s">
        <v>1288</v>
      </c>
      <c r="C3591" s="22"/>
      <c r="D3591" s="22" t="s">
        <v>10</v>
      </c>
      <c r="E3591" s="22"/>
      <c r="F3591" s="22">
        <f>C3591*E3591</f>
      </c>
    </row>
    <row r="3592">
      <c r="A3592" s="5"/>
      <c r="B3592" s="14" t="s">
        <v>1289</v>
      </c>
      <c r="C3592" s="22"/>
      <c r="D3592" s="22" t="s">
        <v>10</v>
      </c>
      <c r="E3592" s="22"/>
      <c r="F3592" s="22">
        <f>C3592*E3592</f>
      </c>
    </row>
    <row r="3593">
      <c r="A3593" s="5"/>
      <c r="B3593" s="14" t="s">
        <v>1290</v>
      </c>
      <c r="C3593" s="22"/>
      <c r="D3593" s="22" t="s">
        <v>10</v>
      </c>
      <c r="E3593" s="22"/>
      <c r="F3593" s="22">
        <f>C3593*E3593</f>
      </c>
    </row>
    <row r="3594">
      <c r="A3594" s="3"/>
      <c r="B3594" s="11" t="s">
        <v>44</v>
      </c>
      <c r="C3594" s="20"/>
      <c r="D3594" s="20"/>
      <c r="E3594" s="20"/>
      <c r="F3594" s="20"/>
    </row>
    <row r="3595">
      <c r="A3595" s="4"/>
      <c r="B3595" s="12" t="s">
        <v>45</v>
      </c>
      <c r="C3595" s="21"/>
      <c r="D3595" s="21"/>
      <c r="E3595" s="21"/>
      <c r="F3595" s="21"/>
    </row>
    <row r="3596">
      <c r="A3596" s="5" t="s">
        <v>1291</v>
      </c>
      <c r="B3596" s="13" t="s">
        <v>767</v>
      </c>
      <c r="C3596" s="22"/>
      <c r="D3596" s="22" t="s">
        <v>10</v>
      </c>
      <c r="E3596" s="22"/>
      <c r="F3596" s="22">
        <f>C3596*E3596</f>
      </c>
    </row>
    <row r="3597">
      <c r="A3597" s="5" t="s">
        <v>1292</v>
      </c>
      <c r="B3597" s="13" t="s">
        <v>123</v>
      </c>
      <c r="C3597" s="22"/>
      <c r="D3597" s="22" t="s">
        <v>10</v>
      </c>
      <c r="E3597" s="22"/>
      <c r="F3597" s="22">
        <f>C3597*E3597</f>
      </c>
    </row>
    <row r="3598">
      <c r="A3598" s="3"/>
      <c r="B3598" s="11" t="s">
        <v>68</v>
      </c>
      <c r="C3598" s="20"/>
      <c r="D3598" s="20"/>
      <c r="E3598" s="20"/>
      <c r="F3598" s="20"/>
    </row>
    <row r="3599">
      <c r="A3599" s="5" t="s">
        <v>1293</v>
      </c>
      <c r="B3599" s="14" t="s">
        <v>230</v>
      </c>
      <c r="C3599" s="22">
        <f>(1)*(1)*(1)*(1)*(1 + (0))</f>
      </c>
      <c r="D3599" s="22" t="s">
        <v>71</v>
      </c>
      <c r="E3599" s="22"/>
      <c r="F3599" s="22">
        <f>C3599*E3599</f>
      </c>
    </row>
    <row r="3600">
      <c r="A3600" s="5" t="s">
        <v>1294</v>
      </c>
      <c r="B3600" s="14" t="s">
        <v>70</v>
      </c>
      <c r="C3600" s="22">
        <f>(1)*(1)*(1)*(1)*(1 + (0))</f>
      </c>
      <c r="D3600" s="22" t="s">
        <v>71</v>
      </c>
      <c r="E3600" s="22"/>
      <c r="F3600" s="22">
        <f>C3600*E3600</f>
      </c>
    </row>
    <row r="3601">
      <c r="A3601" s="5" t="s">
        <v>1295</v>
      </c>
      <c r="B3601" s="14" t="s">
        <v>906</v>
      </c>
      <c r="C3601" s="22">
        <f>(1)*(1)*(1)*(1)*(1 + (0))</f>
      </c>
      <c r="D3601" s="22" t="s">
        <v>71</v>
      </c>
      <c r="E3601" s="22"/>
      <c r="F3601" s="22">
        <f>C3601*E3601</f>
      </c>
    </row>
    <row r="3602">
      <c r="A3602" s="5" t="s">
        <v>1296</v>
      </c>
      <c r="B3602" s="14" t="s">
        <v>665</v>
      </c>
      <c r="C3602" s="22">
        <f>(1)*(1)*(1)*(1)*(1 + (0))</f>
      </c>
      <c r="D3602" s="22" t="s">
        <v>71</v>
      </c>
      <c r="E3602" s="22"/>
      <c r="F3602" s="22">
        <f>C3602*E3602</f>
      </c>
    </row>
    <row r="3603">
      <c r="A3603" s="3"/>
      <c r="B3603" s="11" t="s">
        <v>1362</v>
      </c>
      <c r="C3603" s="20"/>
      <c r="D3603" s="20"/>
      <c r="E3603" s="20"/>
      <c r="F3603" s="20"/>
    </row>
    <row r="3604">
      <c r="A3604" s="4"/>
      <c r="B3604" s="12" t="s">
        <v>1361</v>
      </c>
      <c r="C3604" s="21"/>
      <c r="D3604" s="21"/>
      <c r="E3604" s="21"/>
      <c r="F3604" s="21"/>
    </row>
    <row r="3605">
      <c r="A3605" s="5"/>
      <c r="B3605" s="13" t="s">
        <v>1363</v>
      </c>
      <c r="C3605" s="22">
        <f>(125)*(1)*(1)*(1)*(1 + (0))</f>
      </c>
      <c r="D3605" s="22" t="s">
        <v>153</v>
      </c>
      <c r="E3605" s="22"/>
      <c r="F3605" s="22">
        <f>C3605*E3605</f>
      </c>
    </row>
    <row r="3606">
      <c r="A3606" s="4"/>
      <c r="B3606" s="12" t="s">
        <v>1364</v>
      </c>
      <c r="C3606" s="21"/>
      <c r="D3606" s="21"/>
      <c r="E3606" s="21"/>
      <c r="F3606" s="21"/>
    </row>
    <row r="3607">
      <c r="A3607" s="5"/>
      <c r="B3607" s="13" t="s">
        <v>1788</v>
      </c>
      <c r="C3607" s="22">
        <f>(3)*(1)*(1)*(1)*(1 + (0))</f>
      </c>
      <c r="D3607" s="22" t="s">
        <v>153</v>
      </c>
      <c r="E3607" s="22"/>
      <c r="F3607" s="22">
        <f>C3607*E3607</f>
      </c>
    </row>
    <row r="3608">
      <c r="A3608" s="5"/>
      <c r="B3608" s="13" t="s">
        <v>1789</v>
      </c>
      <c r="C3608" s="22">
        <f>(4)*(1)*(1)*(1)*(1 + (0))</f>
      </c>
      <c r="D3608" s="22" t="s">
        <v>153</v>
      </c>
      <c r="E3608" s="22"/>
      <c r="F3608" s="22">
        <f>C3608*E3608</f>
      </c>
    </row>
    <row r="3609">
      <c r="A3609" s="5"/>
      <c r="B3609" s="13" t="s">
        <v>1790</v>
      </c>
      <c r="C3609" s="22">
        <f>(14)*(1)*(1)*(1)*(1 + (0))</f>
      </c>
      <c r="D3609" s="22" t="s">
        <v>153</v>
      </c>
      <c r="E3609" s="22"/>
      <c r="F3609" s="22">
        <f>C3609*E3609</f>
      </c>
    </row>
    <row r="3610">
      <c r="A3610" s="2"/>
      <c r="B3610" s="10" t="s">
        <v>1366</v>
      </c>
      <c r="C3610" s="19"/>
      <c r="D3610" s="19"/>
      <c r="E3610" s="19"/>
      <c r="F3610" s="19"/>
    </row>
    <row r="3611">
      <c r="A3611" s="3"/>
      <c r="B3611" s="11" t="s">
        <v>37</v>
      </c>
      <c r="C3611" s="20"/>
      <c r="D3611" s="20"/>
      <c r="E3611" s="20"/>
      <c r="F3611" s="20"/>
    </row>
    <row r="3612">
      <c r="A3612" s="5" t="s">
        <v>1367</v>
      </c>
      <c r="B3612" s="14" t="s">
        <v>39</v>
      </c>
      <c r="C3612" s="22"/>
      <c r="D3612" s="22" t="s">
        <v>10</v>
      </c>
      <c r="E3612" s="22"/>
      <c r="F3612" s="22">
        <f>C3612*E3612</f>
      </c>
    </row>
    <row r="3613">
      <c r="A3613" s="5" t="s">
        <v>1368</v>
      </c>
      <c r="B3613" s="14" t="s">
        <v>41</v>
      </c>
      <c r="C3613" s="22"/>
      <c r="D3613" s="22" t="s">
        <v>10</v>
      </c>
      <c r="E3613" s="22"/>
      <c r="F3613" s="22">
        <f>C3613*E3613</f>
      </c>
    </row>
    <row r="3614">
      <c r="A3614" s="3"/>
      <c r="B3614" s="11" t="s">
        <v>42</v>
      </c>
      <c r="C3614" s="20"/>
      <c r="D3614" s="20"/>
      <c r="E3614" s="20"/>
      <c r="F3614" s="20"/>
    </row>
    <row r="3615">
      <c r="A3615" s="5"/>
      <c r="B3615" s="14" t="s">
        <v>1369</v>
      </c>
      <c r="C3615" s="22"/>
      <c r="D3615" s="22" t="s">
        <v>10</v>
      </c>
      <c r="E3615" s="22"/>
      <c r="F3615" s="22">
        <f>C3615*E3615</f>
      </c>
    </row>
    <row r="3616">
      <c r="A3616" s="5"/>
      <c r="B3616" s="14" t="s">
        <v>1370</v>
      </c>
      <c r="C3616" s="22"/>
      <c r="D3616" s="22" t="s">
        <v>10</v>
      </c>
      <c r="E3616" s="22"/>
      <c r="F3616" s="22">
        <f>C3616*E3616</f>
      </c>
    </row>
    <row r="3617">
      <c r="A3617" s="5"/>
      <c r="B3617" s="14" t="s">
        <v>1371</v>
      </c>
      <c r="C3617" s="22"/>
      <c r="D3617" s="22" t="s">
        <v>10</v>
      </c>
      <c r="E3617" s="22"/>
      <c r="F3617" s="22">
        <f>C3617*E3617</f>
      </c>
    </row>
    <row r="3618">
      <c r="A3618" s="5"/>
      <c r="B3618" s="14" t="s">
        <v>1372</v>
      </c>
      <c r="C3618" s="22"/>
      <c r="D3618" s="22" t="s">
        <v>10</v>
      </c>
      <c r="E3618" s="22"/>
      <c r="F3618" s="22">
        <f>C3618*E3618</f>
      </c>
    </row>
    <row r="3619">
      <c r="A3619" s="3"/>
      <c r="B3619" s="11" t="s">
        <v>44</v>
      </c>
      <c r="C3619" s="20"/>
      <c r="D3619" s="20"/>
      <c r="E3619" s="20"/>
      <c r="F3619" s="20"/>
    </row>
    <row r="3620">
      <c r="A3620" s="4"/>
      <c r="B3620" s="12" t="s">
        <v>45</v>
      </c>
      <c r="C3620" s="21"/>
      <c r="D3620" s="21"/>
      <c r="E3620" s="21"/>
      <c r="F3620" s="21"/>
    </row>
    <row r="3621">
      <c r="A3621" s="5" t="s">
        <v>1373</v>
      </c>
      <c r="B3621" s="13" t="s">
        <v>1374</v>
      </c>
      <c r="C3621" s="22"/>
      <c r="D3621" s="22" t="s">
        <v>10</v>
      </c>
      <c r="E3621" s="22"/>
      <c r="F3621" s="22">
        <f>C3621*E3621</f>
      </c>
    </row>
    <row r="3622">
      <c r="A3622" s="5" t="s">
        <v>1375</v>
      </c>
      <c r="B3622" s="13" t="s">
        <v>1376</v>
      </c>
      <c r="C3622" s="22"/>
      <c r="D3622" s="22" t="s">
        <v>10</v>
      </c>
      <c r="E3622" s="22"/>
      <c r="F3622" s="22">
        <f>C3622*E3622</f>
      </c>
    </row>
    <row r="3623">
      <c r="A3623" s="5" t="s">
        <v>1377</v>
      </c>
      <c r="B3623" s="13" t="s">
        <v>853</v>
      </c>
      <c r="C3623" s="22"/>
      <c r="D3623" s="22" t="s">
        <v>10</v>
      </c>
      <c r="E3623" s="22"/>
      <c r="F3623" s="22">
        <f>C3623*E3623</f>
      </c>
    </row>
    <row r="3624">
      <c r="A3624" s="5" t="s">
        <v>1378</v>
      </c>
      <c r="B3624" s="13" t="s">
        <v>123</v>
      </c>
      <c r="C3624" s="22"/>
      <c r="D3624" s="22" t="s">
        <v>10</v>
      </c>
      <c r="E3624" s="22"/>
      <c r="F3624" s="22">
        <f>C3624*E3624</f>
      </c>
    </row>
    <row r="3625">
      <c r="A3625" s="3"/>
      <c r="B3625" s="11" t="s">
        <v>68</v>
      </c>
      <c r="C3625" s="20"/>
      <c r="D3625" s="20"/>
      <c r="E3625" s="20"/>
      <c r="F3625" s="20"/>
    </row>
    <row r="3626">
      <c r="A3626" s="5" t="s">
        <v>1379</v>
      </c>
      <c r="B3626" s="14" t="s">
        <v>70</v>
      </c>
      <c r="C3626" s="22">
        <f>(1)*(1)*(1)*(1)*(1 + (0))</f>
      </c>
      <c r="D3626" s="22" t="s">
        <v>71</v>
      </c>
      <c r="E3626" s="22"/>
      <c r="F3626" s="22">
        <f>C3626*E3626</f>
      </c>
    </row>
    <row r="3627">
      <c r="A3627" s="5" t="s">
        <v>1380</v>
      </c>
      <c r="B3627" s="14" t="s">
        <v>230</v>
      </c>
      <c r="C3627" s="22">
        <f>(1)*(1)*(1)*(1)*(1 + (0))</f>
      </c>
      <c r="D3627" s="22" t="s">
        <v>71</v>
      </c>
      <c r="E3627" s="22"/>
      <c r="F3627" s="22">
        <f>C3627*E3627</f>
      </c>
    </row>
    <row r="3628">
      <c r="A3628" s="5" t="s">
        <v>1381</v>
      </c>
      <c r="B3628" s="14" t="s">
        <v>136</v>
      </c>
      <c r="C3628" s="22">
        <f>(1)*(1)*(1)*(1)*(1 + (0))</f>
      </c>
      <c r="D3628" s="22" t="s">
        <v>71</v>
      </c>
      <c r="E3628" s="22"/>
      <c r="F3628" s="22">
        <f>C3628*E3628</f>
      </c>
    </row>
    <row r="3629">
      <c r="A3629" s="5" t="s">
        <v>1382</v>
      </c>
      <c r="B3629" s="14" t="s">
        <v>816</v>
      </c>
      <c r="C3629" s="22">
        <f>(1)*(1)*(1)*(1)*(1 + (0))</f>
      </c>
      <c r="D3629" s="22" t="s">
        <v>71</v>
      </c>
      <c r="E3629" s="22"/>
      <c r="F3629" s="22">
        <f>C3629*E3629</f>
      </c>
    </row>
    <row r="3630">
      <c r="A3630" s="5" t="s">
        <v>1383</v>
      </c>
      <c r="B3630" s="14" t="s">
        <v>665</v>
      </c>
      <c r="C3630" s="22">
        <f>(1)*(1)*(1)*(1)*(1 + (0))</f>
      </c>
      <c r="D3630" s="22" t="s">
        <v>71</v>
      </c>
      <c r="E3630" s="22"/>
      <c r="F3630" s="22">
        <f>C3630*E3630</f>
      </c>
    </row>
    <row r="3631">
      <c r="A3631" s="5" t="s">
        <v>1384</v>
      </c>
      <c r="B3631" s="14" t="s">
        <v>1385</v>
      </c>
      <c r="C3631" s="22">
        <f>(1)*(1)*(1)*(1)*(1 + (0))</f>
      </c>
      <c r="D3631" s="22" t="s">
        <v>71</v>
      </c>
      <c r="E3631" s="22"/>
      <c r="F3631" s="22">
        <f>C3631*E3631</f>
      </c>
    </row>
    <row r="3632">
      <c r="A3632" s="3"/>
      <c r="B3632" s="11" t="s">
        <v>106</v>
      </c>
      <c r="C3632" s="20"/>
      <c r="D3632" s="20"/>
      <c r="E3632" s="20"/>
      <c r="F3632" s="20"/>
    </row>
    <row r="3633">
      <c r="A3633" s="5"/>
      <c r="B3633" s="14" t="s">
        <v>1386</v>
      </c>
      <c r="C3633" s="22"/>
      <c r="D3633" s="22" t="s">
        <v>10</v>
      </c>
      <c r="E3633" s="22"/>
      <c r="F3633" s="22">
        <f>C3633*E3633</f>
      </c>
    </row>
    <row r="3634">
      <c r="A3634" s="5"/>
      <c r="B3634" s="14" t="s">
        <v>1387</v>
      </c>
      <c r="C3634" s="22"/>
      <c r="D3634" s="22" t="s">
        <v>10</v>
      </c>
      <c r="E3634" s="22"/>
      <c r="F3634" s="22">
        <f>C3634*E3634</f>
      </c>
    </row>
    <row r="3635">
      <c r="A3635" s="3"/>
      <c r="B3635" s="11" t="s">
        <v>1388</v>
      </c>
      <c r="C3635" s="20"/>
      <c r="D3635" s="20"/>
      <c r="E3635" s="20"/>
      <c r="F3635" s="20"/>
    </row>
    <row r="3636">
      <c r="A3636" s="5"/>
      <c r="B3636" s="14" t="s">
        <v>1389</v>
      </c>
      <c r="C3636" s="22">
        <f>(1)*(1)*(1)*(1)*(1 + (0))</f>
      </c>
      <c r="D3636" s="22" t="s">
        <v>162</v>
      </c>
      <c r="E3636" s="22"/>
      <c r="F3636" s="22">
        <f>C3636*E3636</f>
      </c>
    </row>
    <row r="3637">
      <c r="A3637" s="5"/>
      <c r="B3637" s="14" t="s">
        <v>1390</v>
      </c>
      <c r="C3637" s="22">
        <f>(1)*(1)*(1)*(1)*(1 + (0))</f>
      </c>
      <c r="D3637" s="22" t="s">
        <v>162</v>
      </c>
      <c r="E3637" s="22"/>
      <c r="F3637" s="22">
        <f>C3637*E3637</f>
      </c>
    </row>
    <row r="3638">
      <c r="A3638" s="5"/>
      <c r="B3638" s="14" t="s">
        <v>1391</v>
      </c>
      <c r="C3638" s="22">
        <f>(1)*(1)*(1)*(1)*(1 + (0))</f>
      </c>
      <c r="D3638" s="22" t="s">
        <v>162</v>
      </c>
      <c r="E3638" s="22"/>
      <c r="F3638" s="22">
        <f>C3638*E3638</f>
      </c>
    </row>
    <row r="3639">
      <c r="A3639" s="3"/>
      <c r="B3639" s="11" t="s">
        <v>1397</v>
      </c>
      <c r="C3639" s="20"/>
      <c r="D3639" s="20"/>
      <c r="E3639" s="20"/>
      <c r="F3639" s="20"/>
    </row>
    <row r="3640">
      <c r="A3640" s="4"/>
      <c r="B3640" s="12" t="s">
        <v>1398</v>
      </c>
      <c r="C3640" s="21"/>
      <c r="D3640" s="21"/>
      <c r="E3640" s="21"/>
      <c r="F3640" s="21"/>
    </row>
    <row r="3641">
      <c r="A3641" s="6"/>
      <c r="B3641" s="15" t="s">
        <v>1410</v>
      </c>
      <c r="C3641" s="23"/>
      <c r="D3641" s="23"/>
      <c r="E3641" s="23"/>
      <c r="F3641" s="23"/>
    </row>
    <row r="3642">
      <c r="A3642" s="5"/>
      <c r="B3642" s="16" t="s">
        <v>1791</v>
      </c>
      <c r="C3642" s="22">
        <f>(15)*(1)*(1)*(1)*(1 + (0))</f>
      </c>
      <c r="D3642" s="22" t="s">
        <v>162</v>
      </c>
      <c r="E3642" s="22"/>
      <c r="F3642" s="22">
        <f>C3642*E3642</f>
      </c>
    </row>
    <row r="3643">
      <c r="A3643" s="5"/>
      <c r="B3643" s="16" t="s">
        <v>1792</v>
      </c>
      <c r="C3643" s="22">
        <f>(3)*(1)*(1)*(1)*(1 + (0))</f>
      </c>
      <c r="D3643" s="22" t="s">
        <v>162</v>
      </c>
      <c r="E3643" s="22"/>
      <c r="F3643" s="22">
        <f>C3643*E3643</f>
      </c>
    </row>
    <row r="3644">
      <c r="A3644" s="5"/>
      <c r="B3644" s="16" t="s">
        <v>1417</v>
      </c>
      <c r="C3644" s="22">
        <f>(2)*(1)*(1)*(1)*(1 + (0))</f>
      </c>
      <c r="D3644" s="22" t="s">
        <v>162</v>
      </c>
      <c r="E3644" s="22"/>
      <c r="F3644" s="22">
        <f>C3644*E3644</f>
      </c>
    </row>
    <row r="3645">
      <c r="A3645" s="6"/>
      <c r="B3645" s="15" t="s">
        <v>1793</v>
      </c>
      <c r="C3645" s="23"/>
      <c r="D3645" s="23"/>
      <c r="E3645" s="23"/>
      <c r="F3645" s="23"/>
    </row>
    <row r="3646">
      <c r="A3646" s="5"/>
      <c r="B3646" s="16" t="s">
        <v>1794</v>
      </c>
      <c r="C3646" s="22">
        <f>(1)*(1)*(1)*(1)*(1 + (0))</f>
      </c>
      <c r="D3646" s="22" t="s">
        <v>162</v>
      </c>
      <c r="E3646" s="22"/>
      <c r="F3646" s="22">
        <f>C3646*E3646</f>
      </c>
    </row>
    <row r="3647">
      <c r="A3647" s="5"/>
      <c r="B3647" s="16" t="s">
        <v>1419</v>
      </c>
      <c r="C3647" s="22">
        <f>(1)*(1)*(1)*(1)*(1 + (0))</f>
      </c>
      <c r="D3647" s="22" t="s">
        <v>162</v>
      </c>
      <c r="E3647" s="22"/>
      <c r="F3647" s="22">
        <f>C3647*E3647</f>
      </c>
    </row>
    <row r="3648">
      <c r="A3648" s="5"/>
      <c r="B3648" s="16" t="s">
        <v>1420</v>
      </c>
      <c r="C3648" s="22">
        <f>(4)*(1)*(1)*(1)*(1 + (0))</f>
      </c>
      <c r="D3648" s="22" t="s">
        <v>162</v>
      </c>
      <c r="E3648" s="22"/>
      <c r="F3648" s="22">
        <f>C3648*E3648</f>
      </c>
    </row>
    <row r="3649">
      <c r="A3649" s="5"/>
      <c r="B3649" s="16" t="s">
        <v>1421</v>
      </c>
      <c r="C3649" s="22">
        <f>(4)*(1)*(1)*(1)*(1 + (0))</f>
      </c>
      <c r="D3649" s="22" t="s">
        <v>162</v>
      </c>
      <c r="E3649" s="22"/>
      <c r="F3649" s="22">
        <f>C3649*E3649</f>
      </c>
    </row>
    <row r="3650">
      <c r="A3650" s="6"/>
      <c r="B3650" s="15" t="s">
        <v>1422</v>
      </c>
      <c r="C3650" s="23"/>
      <c r="D3650" s="23"/>
      <c r="E3650" s="23"/>
      <c r="F3650" s="23"/>
    </row>
    <row r="3651">
      <c r="A3651" s="5"/>
      <c r="B3651" s="16" t="s">
        <v>1423</v>
      </c>
      <c r="C3651" s="22">
        <f>(1)*(1)*(1)*(1)*(1 + (0))</f>
      </c>
      <c r="D3651" s="22" t="s">
        <v>162</v>
      </c>
      <c r="E3651" s="22"/>
      <c r="F3651" s="22">
        <f>C3651*E3651</f>
      </c>
    </row>
    <row r="3652">
      <c r="A3652" s="5"/>
      <c r="B3652" s="16" t="s">
        <v>1424</v>
      </c>
      <c r="C3652" s="22">
        <f>(1)*(1)*(1)*(1)*(1 + (0))</f>
      </c>
      <c r="D3652" s="22" t="s">
        <v>162</v>
      </c>
      <c r="E3652" s="22"/>
      <c r="F3652" s="22">
        <f>C3652*E3652</f>
      </c>
    </row>
    <row r="3653">
      <c r="A3653" s="5"/>
      <c r="B3653" s="14" t="s">
        <v>1436</v>
      </c>
      <c r="C3653" s="22">
        <f>(1)*(1)*(1)*(1)*(1 + (0))</f>
      </c>
      <c r="D3653" s="22" t="s">
        <v>606</v>
      </c>
      <c r="E3653" s="22"/>
      <c r="F3653" s="22">
        <f>C3653*E3653</f>
      </c>
    </row>
    <row r="3654">
      <c r="A3654" s="5"/>
      <c r="B3654" s="7" t="s">
        <v>1437</v>
      </c>
      <c r="C3654" s="22"/>
      <c r="D3654" s="22"/>
      <c r="E3654" s="22"/>
      <c r="F3654" s="22">
        <f>C3654*E3654</f>
      </c>
    </row>
    <row r="3655">
      <c r="A3655" s="5"/>
      <c r="B3655" s="7" t="s">
        <v>1438</v>
      </c>
      <c r="C3655" s="22"/>
      <c r="D3655" s="22"/>
      <c r="E3655" s="22"/>
      <c r="F3655" s="22">
        <f>C3655*E3655</f>
      </c>
    </row>
    <row r="3656">
      <c r="A3656" s="5"/>
      <c r="B3656" s="7" t="s">
        <v>1439</v>
      </c>
      <c r="C3656" s="22"/>
      <c r="D3656" s="22"/>
      <c r="E3656" s="22"/>
      <c r="F3656" s="22">
        <f>C3656*E3656</f>
      </c>
    </row>
    <row r="3657">
      <c r="A3657" s="5"/>
      <c r="B3657" s="7" t="s">
        <v>1440</v>
      </c>
      <c r="C3657" s="22"/>
      <c r="D3657" s="22"/>
      <c r="E3657" s="22"/>
      <c r="F3657" s="22">
        <f>C3657*E3657</f>
      </c>
    </row>
    <row r="3658">
      <c r="A3658" s="2"/>
      <c r="B3658" s="10" t="s">
        <v>1441</v>
      </c>
      <c r="C3658" s="19"/>
      <c r="D3658" s="19"/>
      <c r="E3658" s="19"/>
      <c r="F3658" s="19"/>
    </row>
    <row r="3659">
      <c r="A3659" s="3"/>
      <c r="B3659" s="11" t="s">
        <v>37</v>
      </c>
      <c r="C3659" s="20"/>
      <c r="D3659" s="20"/>
      <c r="E3659" s="20"/>
      <c r="F3659" s="20"/>
    </row>
    <row r="3660">
      <c r="A3660" s="5" t="s">
        <v>1285</v>
      </c>
      <c r="B3660" s="14" t="s">
        <v>39</v>
      </c>
      <c r="C3660" s="22"/>
      <c r="D3660" s="22" t="s">
        <v>10</v>
      </c>
      <c r="E3660" s="22"/>
      <c r="F3660" s="22">
        <f>C3660*E3660</f>
      </c>
    </row>
    <row r="3661">
      <c r="A3661" s="5" t="s">
        <v>1286</v>
      </c>
      <c r="B3661" s="14" t="s">
        <v>41</v>
      </c>
      <c r="C3661" s="22"/>
      <c r="D3661" s="22" t="s">
        <v>10</v>
      </c>
      <c r="E3661" s="22"/>
      <c r="F3661" s="22">
        <f>C3661*E3661</f>
      </c>
    </row>
    <row r="3662">
      <c r="A3662" s="3"/>
      <c r="B3662" s="11" t="s">
        <v>42</v>
      </c>
      <c r="C3662" s="20"/>
      <c r="D3662" s="20"/>
      <c r="E3662" s="20"/>
      <c r="F3662" s="20"/>
    </row>
    <row r="3663">
      <c r="A3663" s="5"/>
      <c r="B3663" s="14" t="s">
        <v>1287</v>
      </c>
      <c r="C3663" s="22"/>
      <c r="D3663" s="22" t="s">
        <v>10</v>
      </c>
      <c r="E3663" s="22"/>
      <c r="F3663" s="22">
        <f>C3663*E3663</f>
      </c>
    </row>
    <row r="3664">
      <c r="A3664" s="5"/>
      <c r="B3664" s="14" t="s">
        <v>1288</v>
      </c>
      <c r="C3664" s="22"/>
      <c r="D3664" s="22" t="s">
        <v>10</v>
      </c>
      <c r="E3664" s="22"/>
      <c r="F3664" s="22">
        <f>C3664*E3664</f>
      </c>
    </row>
    <row r="3665">
      <c r="A3665" s="5"/>
      <c r="B3665" s="14" t="s">
        <v>1289</v>
      </c>
      <c r="C3665" s="22"/>
      <c r="D3665" s="22" t="s">
        <v>10</v>
      </c>
      <c r="E3665" s="22"/>
      <c r="F3665" s="22">
        <f>C3665*E3665</f>
      </c>
    </row>
    <row r="3666">
      <c r="A3666" s="5"/>
      <c r="B3666" s="14" t="s">
        <v>1290</v>
      </c>
      <c r="C3666" s="22"/>
      <c r="D3666" s="22" t="s">
        <v>10</v>
      </c>
      <c r="E3666" s="22"/>
      <c r="F3666" s="22">
        <f>C3666*E3666</f>
      </c>
    </row>
    <row r="3667">
      <c r="A3667" s="3"/>
      <c r="B3667" s="11" t="s">
        <v>44</v>
      </c>
      <c r="C3667" s="20"/>
      <c r="D3667" s="20"/>
      <c r="E3667" s="20"/>
      <c r="F3667" s="20"/>
    </row>
    <row r="3668">
      <c r="A3668" s="4"/>
      <c r="B3668" s="12" t="s">
        <v>45</v>
      </c>
      <c r="C3668" s="21"/>
      <c r="D3668" s="21"/>
      <c r="E3668" s="21"/>
      <c r="F3668" s="21"/>
    </row>
    <row r="3669">
      <c r="A3669" s="5" t="s">
        <v>1291</v>
      </c>
      <c r="B3669" s="13" t="s">
        <v>767</v>
      </c>
      <c r="C3669" s="22"/>
      <c r="D3669" s="22" t="s">
        <v>10</v>
      </c>
      <c r="E3669" s="22"/>
      <c r="F3669" s="22">
        <f>C3669*E3669</f>
      </c>
    </row>
    <row r="3670">
      <c r="A3670" s="5" t="s">
        <v>1292</v>
      </c>
      <c r="B3670" s="13" t="s">
        <v>123</v>
      </c>
      <c r="C3670" s="22"/>
      <c r="D3670" s="22" t="s">
        <v>10</v>
      </c>
      <c r="E3670" s="22"/>
      <c r="F3670" s="22">
        <f>C3670*E3670</f>
      </c>
    </row>
    <row r="3671">
      <c r="A3671" s="3"/>
      <c r="B3671" s="11" t="s">
        <v>68</v>
      </c>
      <c r="C3671" s="20"/>
      <c r="D3671" s="20"/>
      <c r="E3671" s="20"/>
      <c r="F3671" s="20"/>
    </row>
    <row r="3672">
      <c r="A3672" s="5" t="s">
        <v>1293</v>
      </c>
      <c r="B3672" s="14" t="s">
        <v>230</v>
      </c>
      <c r="C3672" s="22">
        <f>(1)*(1)*(1)*(1)*(1 + (0))</f>
      </c>
      <c r="D3672" s="22" t="s">
        <v>71</v>
      </c>
      <c r="E3672" s="22"/>
      <c r="F3672" s="22">
        <f>C3672*E3672</f>
      </c>
    </row>
    <row r="3673">
      <c r="A3673" s="5" t="s">
        <v>1294</v>
      </c>
      <c r="B3673" s="14" t="s">
        <v>70</v>
      </c>
      <c r="C3673" s="22">
        <f>(1)*(1)*(1)*(1)*(1 + (0))</f>
      </c>
      <c r="D3673" s="22" t="s">
        <v>71</v>
      </c>
      <c r="E3673" s="22"/>
      <c r="F3673" s="22">
        <f>C3673*E3673</f>
      </c>
    </row>
    <row r="3674">
      <c r="A3674" s="5" t="s">
        <v>1295</v>
      </c>
      <c r="B3674" s="14" t="s">
        <v>906</v>
      </c>
      <c r="C3674" s="22">
        <f>(1)*(1)*(1)*(1)*(1 + (0))</f>
      </c>
      <c r="D3674" s="22" t="s">
        <v>71</v>
      </c>
      <c r="E3674" s="22"/>
      <c r="F3674" s="22">
        <f>C3674*E3674</f>
      </c>
    </row>
    <row r="3675">
      <c r="A3675" s="5" t="s">
        <v>1296</v>
      </c>
      <c r="B3675" s="14" t="s">
        <v>665</v>
      </c>
      <c r="C3675" s="22">
        <f>(1)*(1)*(1)*(1)*(1 + (0))</f>
      </c>
      <c r="D3675" s="22" t="s">
        <v>71</v>
      </c>
      <c r="E3675" s="22"/>
      <c r="F3675" s="22">
        <f>C3675*E3675</f>
      </c>
    </row>
    <row r="3676">
      <c r="A3676" s="3"/>
      <c r="B3676" s="11" t="s">
        <v>1442</v>
      </c>
      <c r="C3676" s="20"/>
      <c r="D3676" s="20"/>
      <c r="E3676" s="20"/>
      <c r="F3676" s="20"/>
    </row>
    <row r="3677">
      <c r="A3677" s="5"/>
      <c r="B3677" s="14" t="s">
        <v>1795</v>
      </c>
      <c r="C3677" s="22">
        <f>(15)*(1)*(1)*(1)*(1 + (0))</f>
      </c>
      <c r="D3677" s="22" t="s">
        <v>162</v>
      </c>
      <c r="E3677" s="22"/>
      <c r="F3677" s="22">
        <f>C3677*E3677</f>
      </c>
    </row>
    <row r="3678">
      <c r="A3678" s="5"/>
      <c r="B3678" s="14" t="s">
        <v>1796</v>
      </c>
      <c r="C3678" s="22">
        <f>(3)*(1)*(1)*(1)*(1 + (0))</f>
      </c>
      <c r="D3678" s="22" t="s">
        <v>162</v>
      </c>
      <c r="E3678" s="22"/>
      <c r="F3678" s="22">
        <f>C3678*E3678</f>
      </c>
    </row>
    <row r="3679">
      <c r="A3679" s="5"/>
      <c r="B3679" s="14" t="s">
        <v>1797</v>
      </c>
      <c r="C3679" s="22">
        <f>(1)*(1)*(1)*(1)*(1 + (0))</f>
      </c>
      <c r="D3679" s="22" t="s">
        <v>162</v>
      </c>
      <c r="E3679" s="22"/>
      <c r="F3679" s="22">
        <f>C3679*E3679</f>
      </c>
    </row>
    <row r="3680">
      <c r="A3680" s="5"/>
      <c r="B3680" s="7" t="s">
        <v>1452</v>
      </c>
      <c r="C3680" s="22"/>
      <c r="D3680" s="22"/>
      <c r="E3680" s="22"/>
      <c r="F3680" s="22">
        <f>C3680*E3680</f>
      </c>
    </row>
    <row r="3681">
      <c r="A3681" s="5"/>
      <c r="B3681" s="7" t="s">
        <v>1453</v>
      </c>
      <c r="C3681" s="22"/>
      <c r="D3681" s="22"/>
      <c r="E3681" s="22"/>
      <c r="F3681" s="22">
        <f>C3681*E3681</f>
      </c>
    </row>
    <row r="3682">
      <c r="A3682" s="2"/>
      <c r="B3682" s="10" t="s">
        <v>1454</v>
      </c>
      <c r="C3682" s="19"/>
      <c r="D3682" s="19"/>
      <c r="E3682" s="19"/>
      <c r="F3682" s="19"/>
    </row>
    <row r="3683">
      <c r="A3683" s="3"/>
      <c r="B3683" s="11" t="s">
        <v>37</v>
      </c>
      <c r="C3683" s="20"/>
      <c r="D3683" s="20"/>
      <c r="E3683" s="20"/>
      <c r="F3683" s="20"/>
    </row>
    <row r="3684">
      <c r="A3684" s="5" t="s">
        <v>1285</v>
      </c>
      <c r="B3684" s="14" t="s">
        <v>39</v>
      </c>
      <c r="C3684" s="22"/>
      <c r="D3684" s="22" t="s">
        <v>10</v>
      </c>
      <c r="E3684" s="22"/>
      <c r="F3684" s="22">
        <f>C3684*E3684</f>
      </c>
    </row>
    <row r="3685">
      <c r="A3685" s="5" t="s">
        <v>1286</v>
      </c>
      <c r="B3685" s="14" t="s">
        <v>41</v>
      </c>
      <c r="C3685" s="22"/>
      <c r="D3685" s="22" t="s">
        <v>10</v>
      </c>
      <c r="E3685" s="22"/>
      <c r="F3685" s="22">
        <f>C3685*E3685</f>
      </c>
    </row>
    <row r="3686">
      <c r="A3686" s="3"/>
      <c r="B3686" s="11" t="s">
        <v>42</v>
      </c>
      <c r="C3686" s="20"/>
      <c r="D3686" s="20"/>
      <c r="E3686" s="20"/>
      <c r="F3686" s="20"/>
    </row>
    <row r="3687">
      <c r="A3687" s="5"/>
      <c r="B3687" s="14" t="s">
        <v>1287</v>
      </c>
      <c r="C3687" s="22"/>
      <c r="D3687" s="22" t="s">
        <v>10</v>
      </c>
      <c r="E3687" s="22"/>
      <c r="F3687" s="22">
        <f>C3687*E3687</f>
      </c>
    </row>
    <row r="3688">
      <c r="A3688" s="5"/>
      <c r="B3688" s="14" t="s">
        <v>1288</v>
      </c>
      <c r="C3688" s="22"/>
      <c r="D3688" s="22" t="s">
        <v>10</v>
      </c>
      <c r="E3688" s="22"/>
      <c r="F3688" s="22">
        <f>C3688*E3688</f>
      </c>
    </row>
    <row r="3689">
      <c r="A3689" s="5"/>
      <c r="B3689" s="14" t="s">
        <v>1289</v>
      </c>
      <c r="C3689" s="22"/>
      <c r="D3689" s="22" t="s">
        <v>10</v>
      </c>
      <c r="E3689" s="22"/>
      <c r="F3689" s="22">
        <f>C3689*E3689</f>
      </c>
    </row>
    <row r="3690">
      <c r="A3690" s="5"/>
      <c r="B3690" s="14" t="s">
        <v>1290</v>
      </c>
      <c r="C3690" s="22"/>
      <c r="D3690" s="22" t="s">
        <v>10</v>
      </c>
      <c r="E3690" s="22"/>
      <c r="F3690" s="22">
        <f>C3690*E3690</f>
      </c>
    </row>
    <row r="3691">
      <c r="A3691" s="3"/>
      <c r="B3691" s="11" t="s">
        <v>44</v>
      </c>
      <c r="C3691" s="20"/>
      <c r="D3691" s="20"/>
      <c r="E3691" s="20"/>
      <c r="F3691" s="20"/>
    </row>
    <row r="3692">
      <c r="A3692" s="4"/>
      <c r="B3692" s="12" t="s">
        <v>45</v>
      </c>
      <c r="C3692" s="21"/>
      <c r="D3692" s="21"/>
      <c r="E3692" s="21"/>
      <c r="F3692" s="21"/>
    </row>
    <row r="3693">
      <c r="A3693" s="5" t="s">
        <v>1291</v>
      </c>
      <c r="B3693" s="13" t="s">
        <v>767</v>
      </c>
      <c r="C3693" s="22"/>
      <c r="D3693" s="22" t="s">
        <v>10</v>
      </c>
      <c r="E3693" s="22"/>
      <c r="F3693" s="22">
        <f>C3693*E3693</f>
      </c>
    </row>
    <row r="3694">
      <c r="A3694" s="5" t="s">
        <v>1292</v>
      </c>
      <c r="B3694" s="13" t="s">
        <v>123</v>
      </c>
      <c r="C3694" s="22"/>
      <c r="D3694" s="22" t="s">
        <v>10</v>
      </c>
      <c r="E3694" s="22"/>
      <c r="F3694" s="22">
        <f>C3694*E3694</f>
      </c>
    </row>
    <row r="3695">
      <c r="A3695" s="3"/>
      <c r="B3695" s="11" t="s">
        <v>68</v>
      </c>
      <c r="C3695" s="20"/>
      <c r="D3695" s="20"/>
      <c r="E3695" s="20"/>
      <c r="F3695" s="20"/>
    </row>
    <row r="3696">
      <c r="A3696" s="5" t="s">
        <v>1293</v>
      </c>
      <c r="B3696" s="14" t="s">
        <v>230</v>
      </c>
      <c r="C3696" s="22">
        <f>(1)*(1)*(1)*(1)*(1 + (0))</f>
      </c>
      <c r="D3696" s="22" t="s">
        <v>71</v>
      </c>
      <c r="E3696" s="22"/>
      <c r="F3696" s="22">
        <f>C3696*E3696</f>
      </c>
    </row>
    <row r="3697">
      <c r="A3697" s="5" t="s">
        <v>1294</v>
      </c>
      <c r="B3697" s="14" t="s">
        <v>70</v>
      </c>
      <c r="C3697" s="22">
        <f>(1)*(1)*(1)*(1)*(1 + (0))</f>
      </c>
      <c r="D3697" s="22" t="s">
        <v>71</v>
      </c>
      <c r="E3697" s="22"/>
      <c r="F3697" s="22">
        <f>C3697*E3697</f>
      </c>
    </row>
    <row r="3698">
      <c r="A3698" s="5" t="s">
        <v>1295</v>
      </c>
      <c r="B3698" s="14" t="s">
        <v>906</v>
      </c>
      <c r="C3698" s="22">
        <f>(1)*(1)*(1)*(1)*(1 + (0))</f>
      </c>
      <c r="D3698" s="22" t="s">
        <v>71</v>
      </c>
      <c r="E3698" s="22"/>
      <c r="F3698" s="22">
        <f>C3698*E3698</f>
      </c>
    </row>
    <row r="3699">
      <c r="A3699" s="5" t="s">
        <v>1296</v>
      </c>
      <c r="B3699" s="14" t="s">
        <v>665</v>
      </c>
      <c r="C3699" s="22">
        <f>(1)*(1)*(1)*(1)*(1 + (0))</f>
      </c>
      <c r="D3699" s="22" t="s">
        <v>71</v>
      </c>
      <c r="E3699" s="22"/>
      <c r="F3699" s="22">
        <f>C3699*E3699</f>
      </c>
    </row>
    <row r="3700">
      <c r="A3700" s="3"/>
      <c r="B3700" s="11" t="s">
        <v>106</v>
      </c>
      <c r="C3700" s="20"/>
      <c r="D3700" s="20"/>
      <c r="E3700" s="20"/>
      <c r="F3700" s="20"/>
    </row>
    <row r="3701">
      <c r="A3701" s="5"/>
      <c r="B3701" s="14" t="s">
        <v>1455</v>
      </c>
      <c r="C3701" s="22"/>
      <c r="D3701" s="22" t="s">
        <v>1335</v>
      </c>
      <c r="E3701" s="22"/>
      <c r="F3701" s="22">
        <f>C3701*E3701</f>
      </c>
    </row>
    <row r="3702">
      <c r="A3702" s="5"/>
      <c r="B3702" s="14" t="s">
        <v>1456</v>
      </c>
      <c r="C3702" s="22"/>
      <c r="D3702" s="22" t="s">
        <v>1335</v>
      </c>
      <c r="E3702" s="22"/>
      <c r="F3702" s="22">
        <f>C3702*E3702</f>
      </c>
    </row>
    <row r="3703">
      <c r="A3703" s="5"/>
      <c r="B3703" s="14" t="s">
        <v>1457</v>
      </c>
      <c r="C3703" s="22"/>
      <c r="D3703" s="22" t="s">
        <v>1335</v>
      </c>
      <c r="E3703" s="22"/>
      <c r="F3703" s="22">
        <f>C3703*E3703</f>
      </c>
    </row>
    <row r="3704">
      <c r="A3704" s="5"/>
      <c r="B3704" s="14" t="s">
        <v>1458</v>
      </c>
      <c r="C3704" s="22"/>
      <c r="D3704" s="22" t="s">
        <v>1335</v>
      </c>
      <c r="E3704" s="22"/>
      <c r="F3704" s="22">
        <f>C3704*E3704</f>
      </c>
    </row>
    <row r="3705">
      <c r="A3705" s="5"/>
      <c r="B3705" s="14" t="s">
        <v>1459</v>
      </c>
      <c r="C3705" s="22"/>
      <c r="D3705" s="22" t="s">
        <v>1335</v>
      </c>
      <c r="E3705" s="22"/>
      <c r="F3705" s="22">
        <f>C3705*E3705</f>
      </c>
    </row>
    <row r="3706">
      <c r="A3706" s="3"/>
      <c r="B3706" s="11" t="s">
        <v>1460</v>
      </c>
      <c r="C3706" s="20"/>
      <c r="D3706" s="20"/>
      <c r="E3706" s="20"/>
      <c r="F3706" s="20"/>
    </row>
    <row r="3707">
      <c r="A3707" s="4"/>
      <c r="B3707" s="12" t="s">
        <v>1467</v>
      </c>
      <c r="C3707" s="21"/>
      <c r="D3707" s="21"/>
      <c r="E3707" s="21"/>
      <c r="F3707" s="21"/>
    </row>
    <row r="3708">
      <c r="A3708" s="6"/>
      <c r="B3708" s="15" t="s">
        <v>1468</v>
      </c>
      <c r="C3708" s="23"/>
      <c r="D3708" s="23"/>
      <c r="E3708" s="23"/>
      <c r="F3708" s="23"/>
    </row>
    <row r="3709">
      <c r="A3709" s="5"/>
      <c r="B3709" s="16" t="s">
        <v>1469</v>
      </c>
      <c r="C3709" s="22">
        <f>(1)*(1)*(1)*(1)*(1 + (0))</f>
      </c>
      <c r="D3709" s="22" t="s">
        <v>162</v>
      </c>
      <c r="E3709" s="22"/>
      <c r="F3709" s="22">
        <f>C3709*E3709</f>
      </c>
    </row>
    <row r="3710">
      <c r="A3710" s="5"/>
      <c r="B3710" s="16" t="s">
        <v>1470</v>
      </c>
      <c r="C3710" s="22">
        <f>(4)*(1)*(1)*(1)*(1 + (0))</f>
      </c>
      <c r="D3710" s="22" t="s">
        <v>162</v>
      </c>
      <c r="E3710" s="22"/>
      <c r="F3710" s="22">
        <f>C3710*E3710</f>
      </c>
    </row>
    <row r="3711">
      <c r="A3711" s="5"/>
      <c r="B3711" s="16" t="s">
        <v>1798</v>
      </c>
      <c r="C3711" s="22">
        <f>(1)*(1)*(1)*(1)*(1 + (0))</f>
      </c>
      <c r="D3711" s="22" t="s">
        <v>162</v>
      </c>
      <c r="E3711" s="22"/>
      <c r="F3711" s="22">
        <f>C3711*E3711</f>
      </c>
    </row>
    <row r="3712">
      <c r="A3712" s="5"/>
      <c r="B3712" s="16" t="s">
        <v>1799</v>
      </c>
      <c r="C3712" s="22">
        <f>(4)*(1)*(1)*(1)*(1 + (0))</f>
      </c>
      <c r="D3712" s="22" t="s">
        <v>162</v>
      </c>
      <c r="E3712" s="22"/>
      <c r="F3712" s="22">
        <f>C3712*E3712</f>
      </c>
    </row>
    <row r="3713">
      <c r="A3713" s="5"/>
      <c r="B3713" s="16" t="s">
        <v>1800</v>
      </c>
      <c r="C3713" s="22">
        <f>(1)*(1)*(1)*(1)*(1 + (0))</f>
      </c>
      <c r="D3713" s="22" t="s">
        <v>162</v>
      </c>
      <c r="E3713" s="22"/>
      <c r="F3713" s="22">
        <f>C3713*E3713</f>
      </c>
    </row>
    <row r="3714">
      <c r="A3714" s="5"/>
      <c r="B3714" s="16" t="s">
        <v>1801</v>
      </c>
      <c r="C3714" s="22">
        <f>(2)*(1)*(1)*(1)*(1 + (0))</f>
      </c>
      <c r="D3714" s="22" t="s">
        <v>162</v>
      </c>
      <c r="E3714" s="22"/>
      <c r="F3714" s="22">
        <f>C3714*E3714</f>
      </c>
    </row>
    <row r="3715">
      <c r="A3715" s="5"/>
      <c r="B3715" s="16" t="s">
        <v>1802</v>
      </c>
      <c r="C3715" s="22">
        <f>(1)*(1)*(1)*(1)*(1 + (0))</f>
      </c>
      <c r="D3715" s="22" t="s">
        <v>162</v>
      </c>
      <c r="E3715" s="22"/>
      <c r="F3715" s="22">
        <f>C3715*E3715</f>
      </c>
    </row>
    <row r="3716">
      <c r="A3716" s="5"/>
      <c r="B3716" s="16" t="s">
        <v>1803</v>
      </c>
      <c r="C3716" s="22">
        <f>(8)*(1)*(1)*(1)*(1 + (0))</f>
      </c>
      <c r="D3716" s="22" t="s">
        <v>162</v>
      </c>
      <c r="E3716" s="22"/>
      <c r="F3716" s="22">
        <f>C3716*E3716</f>
      </c>
    </row>
    <row r="3717">
      <c r="A3717" s="5"/>
      <c r="B3717" s="16" t="s">
        <v>1804</v>
      </c>
      <c r="C3717" s="22">
        <f>(2)*(1)*(1)*(1)*(1 + (0))</f>
      </c>
      <c r="D3717" s="22" t="s">
        <v>162</v>
      </c>
      <c r="E3717" s="22"/>
      <c r="F3717" s="22">
        <f>C3717*E3717</f>
      </c>
    </row>
    <row r="3718">
      <c r="A3718" s="6"/>
      <c r="B3718" s="15" t="s">
        <v>1479</v>
      </c>
      <c r="C3718" s="23"/>
      <c r="D3718" s="23"/>
      <c r="E3718" s="23"/>
      <c r="F3718" s="23"/>
    </row>
    <row r="3719">
      <c r="A3719" s="5"/>
      <c r="B3719" s="16" t="s">
        <v>1805</v>
      </c>
      <c r="C3719" s="22">
        <f>(4)*(1)*(1)*(1)*(1 + (0))</f>
      </c>
      <c r="D3719" s="22" t="s">
        <v>162</v>
      </c>
      <c r="E3719" s="22"/>
      <c r="F3719" s="22">
        <f>C3719*E3719</f>
      </c>
    </row>
    <row r="3720">
      <c r="A3720" s="5"/>
      <c r="B3720" s="16" t="s">
        <v>1481</v>
      </c>
      <c r="C3720" s="22">
        <f>(6)*(1)*(1)*(1)*(1 + (0))</f>
      </c>
      <c r="D3720" s="22" t="s">
        <v>162</v>
      </c>
      <c r="E3720" s="22"/>
      <c r="F3720" s="22">
        <f>C3720*E3720</f>
      </c>
    </row>
    <row r="3721">
      <c r="A3721" s="5"/>
      <c r="B3721" s="16" t="s">
        <v>1482</v>
      </c>
      <c r="C3721" s="22">
        <f>(8)*(1)*(1)*(1)*(1 + (0))</f>
      </c>
      <c r="D3721" s="22" t="s">
        <v>162</v>
      </c>
      <c r="E3721" s="22"/>
      <c r="F3721" s="22">
        <f>C3721*E3721</f>
      </c>
    </row>
    <row r="3722">
      <c r="A3722" s="5"/>
      <c r="B3722" s="16" t="s">
        <v>1483</v>
      </c>
      <c r="C3722" s="22">
        <f>(1)*(1)*(1)*(1)*(1 + (0))</f>
      </c>
      <c r="D3722" s="22" t="s">
        <v>162</v>
      </c>
      <c r="E3722" s="22"/>
      <c r="F3722" s="22">
        <f>C3722*E3722</f>
      </c>
    </row>
    <row r="3723">
      <c r="A3723" s="5"/>
      <c r="B3723" s="16" t="s">
        <v>1806</v>
      </c>
      <c r="C3723" s="22">
        <f>(1)*(1)*(1)*(1)*(1 + (0))</f>
      </c>
      <c r="D3723" s="22" t="s">
        <v>162</v>
      </c>
      <c r="E3723" s="22"/>
      <c r="F3723" s="22">
        <f>C3723*E3723</f>
      </c>
    </row>
    <row r="3724">
      <c r="A3724" s="5"/>
      <c r="B3724" s="16" t="s">
        <v>1807</v>
      </c>
      <c r="C3724" s="22">
        <f>(1)*(1)*(1)*(1)*(1 + (0))</f>
      </c>
      <c r="D3724" s="22" t="s">
        <v>162</v>
      </c>
      <c r="E3724" s="22"/>
      <c r="F3724" s="22">
        <f>C3724*E3724</f>
      </c>
    </row>
    <row r="3725">
      <c r="A3725" s="5"/>
      <c r="B3725" s="16" t="s">
        <v>1808</v>
      </c>
      <c r="C3725" s="22">
        <f>(16)*(1)*(1)*(1)*(1 + (0))</f>
      </c>
      <c r="D3725" s="22" t="s">
        <v>162</v>
      </c>
      <c r="E3725" s="22"/>
      <c r="F3725" s="22">
        <f>C3725*E3725</f>
      </c>
    </row>
    <row r="3726">
      <c r="A3726" s="5"/>
      <c r="B3726" s="16" t="s">
        <v>1809</v>
      </c>
      <c r="C3726" s="22">
        <f>(8)*(1)*(1)*(1)*(1 + (0))</f>
      </c>
      <c r="D3726" s="22" t="s">
        <v>162</v>
      </c>
      <c r="E3726" s="22"/>
      <c r="F3726" s="22">
        <f>C3726*E3726</f>
      </c>
    </row>
    <row r="3727">
      <c r="A3727" s="5"/>
      <c r="B3727" s="16" t="s">
        <v>1488</v>
      </c>
      <c r="C3727" s="22">
        <f>(3)*(1)*(1)*(1)*(1 + (0))</f>
      </c>
      <c r="D3727" s="22" t="s">
        <v>162</v>
      </c>
      <c r="E3727" s="22"/>
      <c r="F3727" s="22">
        <f>C3727*E3727</f>
      </c>
    </row>
    <row r="3728">
      <c r="A3728" s="6"/>
      <c r="B3728" s="15" t="s">
        <v>1489</v>
      </c>
      <c r="C3728" s="23"/>
      <c r="D3728" s="23"/>
      <c r="E3728" s="23"/>
      <c r="F3728" s="23"/>
    </row>
    <row r="3729">
      <c r="A3729" s="5"/>
      <c r="B3729" s="16" t="s">
        <v>1491</v>
      </c>
      <c r="C3729" s="22">
        <f>(6)*(1)*(1)*(1)*(1 + (0))</f>
      </c>
      <c r="D3729" s="22" t="s">
        <v>162</v>
      </c>
      <c r="E3729" s="22"/>
      <c r="F3729" s="22">
        <f>C3729*E3729</f>
      </c>
    </row>
    <row r="3730">
      <c r="A3730" s="5"/>
      <c r="B3730" s="16" t="s">
        <v>1810</v>
      </c>
      <c r="C3730" s="22">
        <f>(10)*(1)*(1)*(1)*(1 + (0))</f>
      </c>
      <c r="D3730" s="22" t="s">
        <v>162</v>
      </c>
      <c r="E3730" s="22"/>
      <c r="F3730" s="22">
        <f>C3730*E3730</f>
      </c>
    </row>
    <row r="3731">
      <c r="A3731" s="5"/>
      <c r="B3731" s="16" t="s">
        <v>1811</v>
      </c>
      <c r="C3731" s="22">
        <f>(1)*(1)*(1)*(1)*(1 + (0))</f>
      </c>
      <c r="D3731" s="22" t="s">
        <v>162</v>
      </c>
      <c r="E3731" s="22"/>
      <c r="F3731" s="22">
        <f>C3731*E3731</f>
      </c>
    </row>
    <row r="3732">
      <c r="A3732" s="5"/>
      <c r="B3732" s="16" t="s">
        <v>1492</v>
      </c>
      <c r="C3732" s="22">
        <f>(4)*(1)*(1)*(1)*(1 + (0))</f>
      </c>
      <c r="D3732" s="22" t="s">
        <v>162</v>
      </c>
      <c r="E3732" s="22"/>
      <c r="F3732" s="22">
        <f>C3732*E3732</f>
      </c>
    </row>
    <row r="3733">
      <c r="A3733" s="5"/>
      <c r="B3733" s="16" t="s">
        <v>1812</v>
      </c>
      <c r="C3733" s="22">
        <f>(1)*(1)*(1)*(1)*(1 + (0))</f>
      </c>
      <c r="D3733" s="22" t="s">
        <v>162</v>
      </c>
      <c r="E3733" s="22"/>
      <c r="F3733" s="22">
        <f>C3733*E3733</f>
      </c>
    </row>
    <row r="3734">
      <c r="A3734" s="6"/>
      <c r="B3734" s="15" t="s">
        <v>1493</v>
      </c>
      <c r="C3734" s="23"/>
      <c r="D3734" s="23"/>
      <c r="E3734" s="23"/>
      <c r="F3734" s="23"/>
    </row>
    <row r="3735">
      <c r="A3735" s="5"/>
      <c r="B3735" s="16" t="s">
        <v>1494</v>
      </c>
      <c r="C3735" s="22">
        <f>(1)*(1)*(1)*(1)*(1 + (0))</f>
      </c>
      <c r="D3735" s="22" t="s">
        <v>162</v>
      </c>
      <c r="E3735" s="22"/>
      <c r="F3735" s="22">
        <f>C3735*E3735</f>
      </c>
    </row>
    <row r="3736">
      <c r="A3736" s="5"/>
      <c r="B3736" s="16" t="s">
        <v>1813</v>
      </c>
      <c r="C3736" s="22">
        <f>(1)*(1)*(1)*(1)*(1 + (0))</f>
      </c>
      <c r="D3736" s="22" t="s">
        <v>162</v>
      </c>
      <c r="E3736" s="22"/>
      <c r="F3736" s="22">
        <f>C3736*E3736</f>
      </c>
    </row>
    <row r="3737">
      <c r="A3737" s="6"/>
      <c r="B3737" s="15" t="s">
        <v>1496</v>
      </c>
      <c r="C3737" s="23"/>
      <c r="D3737" s="23"/>
      <c r="E3737" s="23"/>
      <c r="F3737" s="23"/>
    </row>
    <row r="3738">
      <c r="A3738" s="5"/>
      <c r="B3738" s="16" t="s">
        <v>1497</v>
      </c>
      <c r="C3738" s="22">
        <f>(18)*(1)*(1)*(1)*(1 + (0))</f>
      </c>
      <c r="D3738" s="22" t="s">
        <v>162</v>
      </c>
      <c r="E3738" s="22"/>
      <c r="F3738" s="22">
        <f>C3738*E3738</f>
      </c>
    </row>
    <row r="3739">
      <c r="A3739" s="5"/>
      <c r="B3739" s="16" t="s">
        <v>1498</v>
      </c>
      <c r="C3739" s="22">
        <f>(3)*(1)*(1)*(1)*(1 + (0))</f>
      </c>
      <c r="D3739" s="22" t="s">
        <v>162</v>
      </c>
      <c r="E3739" s="22"/>
      <c r="F3739" s="22">
        <f>C3739*E3739</f>
      </c>
    </row>
    <row r="3740">
      <c r="A3740" s="4"/>
      <c r="B3740" s="12" t="s">
        <v>1499</v>
      </c>
      <c r="C3740" s="21"/>
      <c r="D3740" s="21"/>
      <c r="E3740" s="21"/>
      <c r="F3740" s="21"/>
    </row>
    <row r="3741">
      <c r="A3741" s="6"/>
      <c r="B3741" s="15" t="s">
        <v>1500</v>
      </c>
      <c r="C3741" s="23"/>
      <c r="D3741" s="23"/>
      <c r="E3741" s="23"/>
      <c r="F3741" s="23"/>
    </row>
    <row r="3742">
      <c r="A3742" s="5"/>
      <c r="B3742" s="16" t="s">
        <v>1814</v>
      </c>
      <c r="C3742" s="22">
        <f>(16)*(1)*(1)*(1)*(1 + (0))</f>
      </c>
      <c r="D3742" s="22" t="s">
        <v>162</v>
      </c>
      <c r="E3742" s="22"/>
      <c r="F3742" s="22">
        <f>C3742*E3742</f>
      </c>
    </row>
    <row r="3743">
      <c r="A3743" s="5"/>
      <c r="B3743" s="16" t="s">
        <v>1815</v>
      </c>
      <c r="C3743" s="22">
        <f>(4)*(1)*(1)*(1)*(1 + (0))</f>
      </c>
      <c r="D3743" s="22" t="s">
        <v>162</v>
      </c>
      <c r="E3743" s="22"/>
      <c r="F3743" s="22">
        <f>C3743*E3743</f>
      </c>
    </row>
    <row r="3744">
      <c r="A3744" s="5"/>
      <c r="B3744" s="16" t="s">
        <v>1816</v>
      </c>
      <c r="C3744" s="22">
        <f>(11)*(1)*(1)*(1)*(1 + (0))</f>
      </c>
      <c r="D3744" s="22" t="s">
        <v>162</v>
      </c>
      <c r="E3744" s="22"/>
      <c r="F3744" s="22">
        <f>C3744*E3744</f>
      </c>
    </row>
    <row r="3745">
      <c r="A3745" s="5"/>
      <c r="B3745" s="16" t="s">
        <v>1817</v>
      </c>
      <c r="C3745" s="22">
        <f>(13)*(1)*(1)*(1)*(1 + (0))</f>
      </c>
      <c r="D3745" s="22" t="s">
        <v>162</v>
      </c>
      <c r="E3745" s="22"/>
      <c r="F3745" s="22">
        <f>C3745*E3745</f>
      </c>
    </row>
    <row r="3746">
      <c r="A3746" s="5"/>
      <c r="B3746" s="16" t="s">
        <v>1505</v>
      </c>
      <c r="C3746" s="22">
        <f>(1)*(1)*(1)*(1)*(1 + (0))</f>
      </c>
      <c r="D3746" s="22" t="s">
        <v>162</v>
      </c>
      <c r="E3746" s="22"/>
      <c r="F3746" s="22">
        <f>C3746*E3746</f>
      </c>
    </row>
    <row r="3747">
      <c r="A3747" s="6"/>
      <c r="B3747" s="15" t="s">
        <v>1507</v>
      </c>
      <c r="C3747" s="23"/>
      <c r="D3747" s="23"/>
      <c r="E3747" s="23"/>
      <c r="F3747" s="23"/>
    </row>
    <row r="3748">
      <c r="A3748" s="5"/>
      <c r="B3748" s="16" t="s">
        <v>1818</v>
      </c>
      <c r="C3748" s="22">
        <f>(3)*(1)*(1)*(1)*(1 + (0))</f>
      </c>
      <c r="D3748" s="22" t="s">
        <v>162</v>
      </c>
      <c r="E3748" s="22"/>
      <c r="F3748" s="22">
        <f>C3748*E3748</f>
      </c>
    </row>
    <row r="3749">
      <c r="A3749" s="5"/>
      <c r="B3749" s="16" t="s">
        <v>1819</v>
      </c>
      <c r="C3749" s="22">
        <f>(1)*(1)*(1)*(1)*(1 + (0))</f>
      </c>
      <c r="D3749" s="22" t="s">
        <v>162</v>
      </c>
      <c r="E3749" s="22"/>
      <c r="F3749" s="22">
        <f>C3749*E3749</f>
      </c>
    </row>
    <row r="3750">
      <c r="A3750" s="5"/>
      <c r="B3750" s="16" t="s">
        <v>1510</v>
      </c>
      <c r="C3750" s="22">
        <f>(6)*(1)*(1)*(1)*(1 + (0))</f>
      </c>
      <c r="D3750" s="22" t="s">
        <v>162</v>
      </c>
      <c r="E3750" s="22"/>
      <c r="F3750" s="22">
        <f>C3750*E3750</f>
      </c>
    </row>
    <row r="3751">
      <c r="A3751" s="6"/>
      <c r="B3751" s="15" t="s">
        <v>1511</v>
      </c>
      <c r="C3751" s="23"/>
      <c r="D3751" s="23"/>
      <c r="E3751" s="23"/>
      <c r="F3751" s="23"/>
    </row>
    <row r="3752">
      <c r="A3752" s="5"/>
      <c r="B3752" s="16" t="s">
        <v>1512</v>
      </c>
      <c r="C3752" s="22">
        <f>(2)*(1)*(1)*(1)*(1 + (0))</f>
      </c>
      <c r="D3752" s="22" t="s">
        <v>162</v>
      </c>
      <c r="E3752" s="22"/>
      <c r="F3752" s="22">
        <f>C3752*E3752</f>
      </c>
    </row>
    <row r="3753">
      <c r="A3753" s="5"/>
      <c r="B3753" s="16" t="s">
        <v>1513</v>
      </c>
      <c r="C3753" s="22">
        <f>(14)*(1)*(1)*(1)*(1 + (0))</f>
      </c>
      <c r="D3753" s="22" t="s">
        <v>162</v>
      </c>
      <c r="E3753" s="22"/>
      <c r="F3753" s="22">
        <f>C3753*E3753</f>
      </c>
    </row>
    <row r="3754">
      <c r="A3754" s="5"/>
      <c r="B3754" s="16" t="s">
        <v>1820</v>
      </c>
      <c r="C3754" s="22">
        <f>(4)*(1)*(1)*(1)*(1 + (0))</f>
      </c>
      <c r="D3754" s="22" t="s">
        <v>162</v>
      </c>
      <c r="E3754" s="22"/>
      <c r="F3754" s="22">
        <f>C3754*E3754</f>
      </c>
    </row>
    <row r="3755">
      <c r="A3755" s="5"/>
      <c r="B3755" s="16" t="s">
        <v>1506</v>
      </c>
      <c r="C3755" s="22">
        <f>(1)*(1)*(1)*(1)*(1 + (0))</f>
      </c>
      <c r="D3755" s="22" t="s">
        <v>162</v>
      </c>
      <c r="E3755" s="22"/>
      <c r="F3755" s="22">
        <f>C3755*E3755</f>
      </c>
    </row>
    <row r="3756">
      <c r="A3756" s="5"/>
      <c r="B3756" s="16" t="s">
        <v>1515</v>
      </c>
      <c r="C3756" s="22">
        <f>(6)*(1)*(1)*(1)*(1 + (0))</f>
      </c>
      <c r="D3756" s="22" t="s">
        <v>162</v>
      </c>
      <c r="E3756" s="22"/>
      <c r="F3756" s="22">
        <f>C3756*E3756</f>
      </c>
    </row>
    <row r="3757">
      <c r="A3757" s="6"/>
      <c r="B3757" s="15" t="s">
        <v>1516</v>
      </c>
      <c r="C3757" s="23"/>
      <c r="D3757" s="23"/>
      <c r="E3757" s="23"/>
      <c r="F3757" s="23"/>
    </row>
    <row r="3758">
      <c r="A3758" s="5"/>
      <c r="B3758" s="16" t="s">
        <v>1517</v>
      </c>
      <c r="C3758" s="22">
        <f>(4)*(1)*(1)*(1)*(1 + (0))</f>
      </c>
      <c r="D3758" s="22" t="s">
        <v>162</v>
      </c>
      <c r="E3758" s="22"/>
      <c r="F3758" s="22">
        <f>C3758*E3758</f>
      </c>
    </row>
    <row r="3759">
      <c r="A3759" s="5"/>
      <c r="B3759" s="16" t="s">
        <v>1518</v>
      </c>
      <c r="C3759" s="22">
        <f>(18)*(1)*(1)*(1)*(1 + (0))</f>
      </c>
      <c r="D3759" s="22" t="s">
        <v>162</v>
      </c>
      <c r="E3759" s="22"/>
      <c r="F3759" s="22">
        <f>C3759*E3759</f>
      </c>
    </row>
    <row r="3760">
      <c r="A3760" s="5"/>
      <c r="B3760" s="16" t="s">
        <v>1519</v>
      </c>
      <c r="C3760" s="22">
        <f>(6)*(1)*(1)*(1)*(1 + (0))</f>
      </c>
      <c r="D3760" s="22" t="s">
        <v>162</v>
      </c>
      <c r="E3760" s="22"/>
      <c r="F3760" s="22">
        <f>C3760*E3760</f>
      </c>
    </row>
    <row r="3761">
      <c r="A3761" s="6"/>
      <c r="B3761" s="15" t="s">
        <v>1520</v>
      </c>
      <c r="C3761" s="23"/>
      <c r="D3761" s="23"/>
      <c r="E3761" s="23"/>
      <c r="F3761" s="23"/>
    </row>
    <row r="3762">
      <c r="A3762" s="5"/>
      <c r="B3762" s="16" t="s">
        <v>1521</v>
      </c>
      <c r="C3762" s="22">
        <f>(1)*(1)*(1)*(1)*(1 + (0))</f>
      </c>
      <c r="D3762" s="22" t="s">
        <v>162</v>
      </c>
      <c r="E3762" s="22"/>
      <c r="F3762" s="22">
        <f>C3762*E3762</f>
      </c>
    </row>
    <row r="3763">
      <c r="A3763" s="6"/>
      <c r="B3763" s="15" t="s">
        <v>1523</v>
      </c>
      <c r="C3763" s="23"/>
      <c r="D3763" s="23"/>
      <c r="E3763" s="23"/>
      <c r="F3763" s="23"/>
    </row>
    <row r="3764">
      <c r="A3764" s="5"/>
      <c r="B3764" s="16" t="s">
        <v>1524</v>
      </c>
      <c r="C3764" s="22">
        <f>(5)*(1)*(1)*(1)*(1 + (0))</f>
      </c>
      <c r="D3764" s="22" t="s">
        <v>162</v>
      </c>
      <c r="E3764" s="22"/>
      <c r="F3764" s="22">
        <f>C3764*E3764</f>
      </c>
    </row>
    <row r="3765">
      <c r="A3765" s="5"/>
      <c r="B3765" s="16" t="s">
        <v>1821</v>
      </c>
      <c r="C3765" s="22">
        <f>(2)*(1)*(1)*(1)*(1 + (0))</f>
      </c>
      <c r="D3765" s="22" t="s">
        <v>162</v>
      </c>
      <c r="E3765" s="22"/>
      <c r="F3765" s="22">
        <f>C3765*E3765</f>
      </c>
    </row>
    <row r="3766">
      <c r="A3766" s="6"/>
      <c r="B3766" s="15" t="s">
        <v>1822</v>
      </c>
      <c r="C3766" s="23"/>
      <c r="D3766" s="23"/>
      <c r="E3766" s="23"/>
      <c r="F3766" s="23"/>
    </row>
    <row r="3767">
      <c r="A3767" s="5"/>
      <c r="B3767" s="16" t="s">
        <v>1823</v>
      </c>
      <c r="C3767" s="22">
        <f>(1)*(1)*(1)*(1)*(1 + (0))</f>
      </c>
      <c r="D3767" s="22" t="s">
        <v>162</v>
      </c>
      <c r="E3767" s="22"/>
      <c r="F3767" s="22">
        <f>C3767*E3767</f>
      </c>
    </row>
    <row r="3768">
      <c r="A3768" s="4"/>
      <c r="B3768" s="12" t="s">
        <v>1527</v>
      </c>
      <c r="C3768" s="21"/>
      <c r="D3768" s="21"/>
      <c r="E3768" s="21"/>
      <c r="F3768" s="21"/>
    </row>
    <row r="3769">
      <c r="A3769" s="5"/>
      <c r="B3769" s="13" t="s">
        <v>1528</v>
      </c>
      <c r="C3769" s="22">
        <f>(5)*(1)*(1)*(1)*(1 + (0))</f>
      </c>
      <c r="D3769" s="22" t="s">
        <v>162</v>
      </c>
      <c r="E3769" s="22"/>
      <c r="F3769" s="22">
        <f>C3769*E3769</f>
      </c>
    </row>
    <row r="3770">
      <c r="A3770" s="6"/>
      <c r="B3770" s="15" t="s">
        <v>1824</v>
      </c>
      <c r="C3770" s="23"/>
      <c r="D3770" s="23"/>
      <c r="E3770" s="23"/>
      <c r="F3770" s="23"/>
    </row>
    <row r="3771">
      <c r="A3771" s="5"/>
      <c r="B3771" s="16" t="s">
        <v>1825</v>
      </c>
      <c r="C3771" s="22">
        <f>(1)*(1)*(1)*(1)*(1 + (0))</f>
      </c>
      <c r="D3771" s="22" t="s">
        <v>162</v>
      </c>
      <c r="E3771" s="22"/>
      <c r="F3771" s="22">
        <f>C3771*E3771</f>
      </c>
    </row>
    <row r="3772">
      <c r="A3772" s="2"/>
      <c r="B3772" s="10" t="s">
        <v>1533</v>
      </c>
      <c r="C3772" s="19"/>
      <c r="D3772" s="19"/>
      <c r="E3772" s="19"/>
      <c r="F3772" s="19"/>
    </row>
    <row r="3773">
      <c r="A3773" s="3"/>
      <c r="B3773" s="11" t="s">
        <v>37</v>
      </c>
      <c r="C3773" s="20"/>
      <c r="D3773" s="20"/>
      <c r="E3773" s="20"/>
      <c r="F3773" s="20"/>
    </row>
    <row r="3774">
      <c r="A3774" s="5" t="s">
        <v>1285</v>
      </c>
      <c r="B3774" s="14" t="s">
        <v>39</v>
      </c>
      <c r="C3774" s="22"/>
      <c r="D3774" s="22" t="s">
        <v>10</v>
      </c>
      <c r="E3774" s="22"/>
      <c r="F3774" s="22">
        <f>C3774*E3774</f>
      </c>
    </row>
    <row r="3775">
      <c r="A3775" s="5" t="s">
        <v>1286</v>
      </c>
      <c r="B3775" s="14" t="s">
        <v>41</v>
      </c>
      <c r="C3775" s="22"/>
      <c r="D3775" s="22" t="s">
        <v>10</v>
      </c>
      <c r="E3775" s="22"/>
      <c r="F3775" s="22">
        <f>C3775*E3775</f>
      </c>
    </row>
    <row r="3776">
      <c r="A3776" s="3"/>
      <c r="B3776" s="11" t="s">
        <v>42</v>
      </c>
      <c r="C3776" s="20"/>
      <c r="D3776" s="20"/>
      <c r="E3776" s="20"/>
      <c r="F3776" s="20"/>
    </row>
    <row r="3777">
      <c r="A3777" s="5"/>
      <c r="B3777" s="14" t="s">
        <v>1287</v>
      </c>
      <c r="C3777" s="22"/>
      <c r="D3777" s="22" t="s">
        <v>10</v>
      </c>
      <c r="E3777" s="22"/>
      <c r="F3777" s="22">
        <f>C3777*E3777</f>
      </c>
    </row>
    <row r="3778">
      <c r="A3778" s="5"/>
      <c r="B3778" s="14" t="s">
        <v>1288</v>
      </c>
      <c r="C3778" s="22"/>
      <c r="D3778" s="22" t="s">
        <v>10</v>
      </c>
      <c r="E3778" s="22"/>
      <c r="F3778" s="22">
        <f>C3778*E3778</f>
      </c>
    </row>
    <row r="3779">
      <c r="A3779" s="5"/>
      <c r="B3779" s="14" t="s">
        <v>1289</v>
      </c>
      <c r="C3779" s="22"/>
      <c r="D3779" s="22" t="s">
        <v>10</v>
      </c>
      <c r="E3779" s="22"/>
      <c r="F3779" s="22">
        <f>C3779*E3779</f>
      </c>
    </row>
    <row r="3780">
      <c r="A3780" s="5"/>
      <c r="B3780" s="14" t="s">
        <v>1290</v>
      </c>
      <c r="C3780" s="22"/>
      <c r="D3780" s="22" t="s">
        <v>10</v>
      </c>
      <c r="E3780" s="22"/>
      <c r="F3780" s="22">
        <f>C3780*E3780</f>
      </c>
    </row>
    <row r="3781">
      <c r="A3781" s="3"/>
      <c r="B3781" s="11" t="s">
        <v>44</v>
      </c>
      <c r="C3781" s="20"/>
      <c r="D3781" s="20"/>
      <c r="E3781" s="20"/>
      <c r="F3781" s="20"/>
    </row>
    <row r="3782">
      <c r="A3782" s="4"/>
      <c r="B3782" s="12" t="s">
        <v>45</v>
      </c>
      <c r="C3782" s="21"/>
      <c r="D3782" s="21"/>
      <c r="E3782" s="21"/>
      <c r="F3782" s="21"/>
    </row>
    <row r="3783">
      <c r="A3783" s="5" t="s">
        <v>1291</v>
      </c>
      <c r="B3783" s="13" t="s">
        <v>767</v>
      </c>
      <c r="C3783" s="22"/>
      <c r="D3783" s="22" t="s">
        <v>10</v>
      </c>
      <c r="E3783" s="22"/>
      <c r="F3783" s="22">
        <f>C3783*E3783</f>
      </c>
    </row>
    <row r="3784">
      <c r="A3784" s="5" t="s">
        <v>1292</v>
      </c>
      <c r="B3784" s="13" t="s">
        <v>123</v>
      </c>
      <c r="C3784" s="22"/>
      <c r="D3784" s="22" t="s">
        <v>10</v>
      </c>
      <c r="E3784" s="22"/>
      <c r="F3784" s="22">
        <f>C3784*E3784</f>
      </c>
    </row>
    <row r="3785">
      <c r="A3785" s="3"/>
      <c r="B3785" s="11" t="s">
        <v>68</v>
      </c>
      <c r="C3785" s="20"/>
      <c r="D3785" s="20"/>
      <c r="E3785" s="20"/>
      <c r="F3785" s="20"/>
    </row>
    <row r="3786">
      <c r="A3786" s="5" t="s">
        <v>1293</v>
      </c>
      <c r="B3786" s="14" t="s">
        <v>230</v>
      </c>
      <c r="C3786" s="22">
        <f>(1)*(1)*(1)*(1)*(1 + (0))</f>
      </c>
      <c r="D3786" s="22" t="s">
        <v>71</v>
      </c>
      <c r="E3786" s="22"/>
      <c r="F3786" s="22">
        <f>C3786*E3786</f>
      </c>
    </row>
    <row r="3787">
      <c r="A3787" s="5" t="s">
        <v>1294</v>
      </c>
      <c r="B3787" s="14" t="s">
        <v>70</v>
      </c>
      <c r="C3787" s="22">
        <f>(1)*(1)*(1)*(1)*(1 + (0))</f>
      </c>
      <c r="D3787" s="22" t="s">
        <v>71</v>
      </c>
      <c r="E3787" s="22"/>
      <c r="F3787" s="22">
        <f>C3787*E3787</f>
      </c>
    </row>
    <row r="3788">
      <c r="A3788" s="5" t="s">
        <v>1295</v>
      </c>
      <c r="B3788" s="14" t="s">
        <v>906</v>
      </c>
      <c r="C3788" s="22">
        <f>(1)*(1)*(1)*(1)*(1 + (0))</f>
      </c>
      <c r="D3788" s="22" t="s">
        <v>71</v>
      </c>
      <c r="E3788" s="22"/>
      <c r="F3788" s="22">
        <f>C3788*E3788</f>
      </c>
    </row>
    <row r="3789">
      <c r="A3789" s="5" t="s">
        <v>1296</v>
      </c>
      <c r="B3789" s="14" t="s">
        <v>665</v>
      </c>
      <c r="C3789" s="22">
        <f>(1)*(1)*(1)*(1)*(1 + (0))</f>
      </c>
      <c r="D3789" s="22" t="s">
        <v>71</v>
      </c>
      <c r="E3789" s="22"/>
      <c r="F3789" s="22">
        <f>C3789*E3789</f>
      </c>
    </row>
    <row r="3790">
      <c r="A3790" s="3"/>
      <c r="B3790" s="11" t="s">
        <v>106</v>
      </c>
      <c r="C3790" s="20"/>
      <c r="D3790" s="20"/>
      <c r="E3790" s="20"/>
      <c r="F3790" s="20"/>
    </row>
    <row r="3791">
      <c r="A3791" s="5"/>
      <c r="B3791" s="14" t="s">
        <v>1455</v>
      </c>
      <c r="C3791" s="22"/>
      <c r="D3791" s="22" t="s">
        <v>1335</v>
      </c>
      <c r="E3791" s="22"/>
      <c r="F3791" s="22">
        <f>C3791*E3791</f>
      </c>
    </row>
    <row r="3792">
      <c r="A3792" s="3"/>
      <c r="B3792" s="11" t="s">
        <v>1534</v>
      </c>
      <c r="C3792" s="20"/>
      <c r="D3792" s="20"/>
      <c r="E3792" s="20"/>
      <c r="F3792" s="20"/>
    </row>
    <row r="3793">
      <c r="A3793" s="4"/>
      <c r="B3793" s="12" t="s">
        <v>1461</v>
      </c>
      <c r="C3793" s="21"/>
      <c r="D3793" s="21"/>
      <c r="E3793" s="21"/>
      <c r="F3793" s="21"/>
    </row>
    <row r="3794">
      <c r="A3794" s="6"/>
      <c r="B3794" s="15" t="s">
        <v>1535</v>
      </c>
      <c r="C3794" s="23"/>
      <c r="D3794" s="23"/>
      <c r="E3794" s="23"/>
      <c r="F3794" s="23"/>
    </row>
    <row r="3795">
      <c r="A3795" s="5"/>
      <c r="B3795" s="16" t="s">
        <v>1826</v>
      </c>
      <c r="C3795" s="22">
        <f>(4)*(1)*(1)*(1)*(1 + (0))</f>
      </c>
      <c r="D3795" s="22" t="s">
        <v>162</v>
      </c>
      <c r="E3795" s="22"/>
      <c r="F3795" s="22">
        <f>C3795*E3795</f>
      </c>
    </row>
    <row r="3796">
      <c r="A3796" s="5"/>
      <c r="B3796" s="16" t="s">
        <v>1827</v>
      </c>
      <c r="C3796" s="22">
        <f>(462)*(1)*(1)*(1)*(1 + (0))</f>
      </c>
      <c r="D3796" s="22" t="s">
        <v>162</v>
      </c>
      <c r="E3796" s="22"/>
      <c r="F3796" s="22">
        <f>C3796*E3796</f>
      </c>
    </row>
    <row r="3797">
      <c r="A3797" s="5"/>
      <c r="B3797" s="16" t="s">
        <v>1828</v>
      </c>
      <c r="C3797" s="22">
        <f>(47)*(1)*(1)*(1)*(1 + (0))</f>
      </c>
      <c r="D3797" s="22" t="s">
        <v>162</v>
      </c>
      <c r="E3797" s="22"/>
      <c r="F3797" s="22">
        <f>C3797*E3797</f>
      </c>
    </row>
    <row r="3798">
      <c r="A3798" s="5"/>
      <c r="B3798" s="16" t="s">
        <v>1829</v>
      </c>
      <c r="C3798" s="22">
        <f>(16)*(1)*(1)*(1)*(1 + (0))</f>
      </c>
      <c r="D3798" s="22" t="s">
        <v>162</v>
      </c>
      <c r="E3798" s="22"/>
      <c r="F3798" s="22">
        <f>C3798*E3798</f>
      </c>
    </row>
    <row r="3799">
      <c r="A3799" s="5"/>
      <c r="B3799" s="16" t="s">
        <v>1542</v>
      </c>
      <c r="C3799" s="22">
        <f>(15)*(1)*(1)*(1)*(1 + (0))</f>
      </c>
      <c r="D3799" s="22" t="s">
        <v>162</v>
      </c>
      <c r="E3799" s="22"/>
      <c r="F3799" s="22">
        <f>C3799*E3799</f>
      </c>
    </row>
    <row r="3800">
      <c r="A3800" s="5"/>
      <c r="B3800" s="16" t="s">
        <v>1830</v>
      </c>
      <c r="C3800" s="22">
        <f>(66)*(1)*(1)*(1)*(1 + (0))</f>
      </c>
      <c r="D3800" s="22" t="s">
        <v>162</v>
      </c>
      <c r="E3800" s="22"/>
      <c r="F3800" s="22">
        <f>C3800*E3800</f>
      </c>
    </row>
    <row r="3801">
      <c r="A3801" s="5"/>
      <c r="B3801" s="16" t="s">
        <v>1547</v>
      </c>
      <c r="C3801" s="22">
        <f>(54)*(1)*(1)*(1)*(1 + (0))</f>
      </c>
      <c r="D3801" s="22" t="s">
        <v>162</v>
      </c>
      <c r="E3801" s="22"/>
      <c r="F3801" s="22">
        <f>C3801*E3801</f>
      </c>
    </row>
    <row r="3802">
      <c r="A3802" s="5"/>
      <c r="B3802" s="16" t="s">
        <v>1831</v>
      </c>
      <c r="C3802" s="22">
        <f>(1)*(1)*(1)*(1)*(1 + (0))</f>
      </c>
      <c r="D3802" s="22" t="s">
        <v>162</v>
      </c>
      <c r="E3802" s="22"/>
      <c r="F3802" s="22">
        <f>C3802*E3802</f>
      </c>
    </row>
    <row r="3803">
      <c r="A3803" s="5"/>
      <c r="B3803" s="16" t="s">
        <v>1832</v>
      </c>
      <c r="C3803" s="22">
        <f>(1)*(1)*(1)*(1)*(1 + (0))</f>
      </c>
      <c r="D3803" s="22" t="s">
        <v>162</v>
      </c>
      <c r="E3803" s="22"/>
      <c r="F3803" s="22">
        <f>C3803*E3803</f>
      </c>
    </row>
    <row r="3804">
      <c r="A3804" s="5"/>
      <c r="B3804" s="16" t="s">
        <v>1833</v>
      </c>
      <c r="C3804" s="22">
        <f>(1)*(1)*(1)*(1)*(1 + (0))</f>
      </c>
      <c r="D3804" s="22" t="s">
        <v>162</v>
      </c>
      <c r="E3804" s="22"/>
      <c r="F3804" s="22">
        <f>C3804*E3804</f>
      </c>
    </row>
    <row r="3805">
      <c r="A3805" s="5"/>
      <c r="B3805" s="16" t="s">
        <v>1834</v>
      </c>
      <c r="C3805" s="22">
        <f>(2)*(1)*(1)*(1)*(1 + (0))</f>
      </c>
      <c r="D3805" s="22" t="s">
        <v>162</v>
      </c>
      <c r="E3805" s="22"/>
      <c r="F3805" s="22">
        <f>C3805*E3805</f>
      </c>
    </row>
    <row r="3806">
      <c r="A3806" s="6"/>
      <c r="B3806" s="15" t="s">
        <v>1553</v>
      </c>
      <c r="C3806" s="23"/>
      <c r="D3806" s="23"/>
      <c r="E3806" s="23"/>
      <c r="F3806" s="23"/>
    </row>
    <row r="3807">
      <c r="A3807" s="5"/>
      <c r="B3807" s="16" t="s">
        <v>1835</v>
      </c>
      <c r="C3807" s="22">
        <f>(18)*(1)*(1)*(1)*(1 + (0))</f>
      </c>
      <c r="D3807" s="22" t="s">
        <v>162</v>
      </c>
      <c r="E3807" s="22"/>
      <c r="F3807" s="22">
        <f>C3807*E3807</f>
      </c>
    </row>
    <row r="3808">
      <c r="A3808" s="5"/>
      <c r="B3808" s="16" t="s">
        <v>1559</v>
      </c>
      <c r="C3808" s="22">
        <f>(249)*(1)*(1)*(1)*(1 + (0))</f>
      </c>
      <c r="D3808" s="22" t="s">
        <v>162</v>
      </c>
      <c r="E3808" s="22"/>
      <c r="F3808" s="22">
        <f>C3808*E3808</f>
      </c>
    </row>
    <row r="3809">
      <c r="A3809" s="5"/>
      <c r="B3809" s="16" t="s">
        <v>1836</v>
      </c>
      <c r="C3809" s="22">
        <f>(18)*(1)*(1)*(1)*(1 + (0))</f>
      </c>
      <c r="D3809" s="22" t="s">
        <v>162</v>
      </c>
      <c r="E3809" s="22"/>
      <c r="F3809" s="22">
        <f>C3809*E3809</f>
      </c>
    </row>
    <row r="3810">
      <c r="A3810" s="5"/>
      <c r="B3810" s="16" t="s">
        <v>1837</v>
      </c>
      <c r="C3810" s="22">
        <f>(9)*(1)*(1)*(1)*(1 + (0))</f>
      </c>
      <c r="D3810" s="22" t="s">
        <v>162</v>
      </c>
      <c r="E3810" s="22"/>
      <c r="F3810" s="22">
        <f>C3810*E3810</f>
      </c>
    </row>
    <row r="3811">
      <c r="A3811" s="5"/>
      <c r="B3811" s="16" t="s">
        <v>1838</v>
      </c>
      <c r="C3811" s="22">
        <f>(24)*(1)*(1)*(1)*(1 + (0))</f>
      </c>
      <c r="D3811" s="22" t="s">
        <v>162</v>
      </c>
      <c r="E3811" s="22"/>
      <c r="F3811" s="22">
        <f>C3811*E3811</f>
      </c>
    </row>
    <row r="3812">
      <c r="A3812" s="5"/>
      <c r="B3812" s="16" t="s">
        <v>1564</v>
      </c>
      <c r="C3812" s="22">
        <f>(1)*(1)*(1)*(1)*(1 + (0))</f>
      </c>
      <c r="D3812" s="22" t="s">
        <v>162</v>
      </c>
      <c r="E3812" s="22"/>
      <c r="F3812" s="22">
        <f>C3812*E3812</f>
      </c>
    </row>
    <row r="3813">
      <c r="A3813" s="5"/>
      <c r="B3813" s="16" t="s">
        <v>1839</v>
      </c>
      <c r="C3813" s="22">
        <f>(9)*(1)*(1)*(1)*(1 + (0))</f>
      </c>
      <c r="D3813" s="22" t="s">
        <v>162</v>
      </c>
      <c r="E3813" s="22"/>
      <c r="F3813" s="22">
        <f>C3813*E3813</f>
      </c>
    </row>
    <row r="3814">
      <c r="A3814" s="5"/>
      <c r="B3814" s="16" t="s">
        <v>1555</v>
      </c>
      <c r="C3814" s="22">
        <f>(15)*(1)*(1)*(1)*(1 + (0))</f>
      </c>
      <c r="D3814" s="22" t="s">
        <v>162</v>
      </c>
      <c r="E3814" s="22"/>
      <c r="F3814" s="22">
        <f>C3814*E3814</f>
      </c>
    </row>
    <row r="3815">
      <c r="A3815" s="6"/>
      <c r="B3815" s="15" t="s">
        <v>1462</v>
      </c>
      <c r="C3815" s="23"/>
      <c r="D3815" s="23"/>
      <c r="E3815" s="23"/>
      <c r="F3815" s="23"/>
    </row>
    <row r="3816">
      <c r="A3816" s="5"/>
      <c r="B3816" s="16" t="s">
        <v>1840</v>
      </c>
      <c r="C3816" s="22">
        <f>(2)*(1)*(1)*(1)*(1 + (0))</f>
      </c>
      <c r="D3816" s="22" t="s">
        <v>162</v>
      </c>
      <c r="E3816" s="22"/>
      <c r="F3816" s="22">
        <f>C3816*E3816</f>
      </c>
    </row>
    <row r="3817">
      <c r="A3817" s="5"/>
      <c r="B3817" s="16" t="s">
        <v>1574</v>
      </c>
      <c r="C3817" s="22">
        <f>(48)*(1)*(1)*(1)*(1 + (0))</f>
      </c>
      <c r="D3817" s="22" t="s">
        <v>162</v>
      </c>
      <c r="E3817" s="22"/>
      <c r="F3817" s="22">
        <f>C3817*E3817</f>
      </c>
    </row>
    <row r="3818">
      <c r="A3818" s="2"/>
      <c r="B3818" s="10" t="s">
        <v>1841</v>
      </c>
      <c r="C3818" s="19"/>
      <c r="D3818" s="19"/>
      <c r="E3818" s="19"/>
      <c r="F3818" s="19"/>
    </row>
    <row r="3819">
      <c r="A3819" s="3"/>
      <c r="B3819" s="11" t="s">
        <v>37</v>
      </c>
      <c r="C3819" s="20"/>
      <c r="D3819" s="20"/>
      <c r="E3819" s="20"/>
      <c r="F3819" s="20"/>
    </row>
    <row r="3820">
      <c r="A3820" s="5" t="s">
        <v>1285</v>
      </c>
      <c r="B3820" s="14" t="s">
        <v>39</v>
      </c>
      <c r="C3820" s="22"/>
      <c r="D3820" s="22" t="s">
        <v>10</v>
      </c>
      <c r="E3820" s="22"/>
      <c r="F3820" s="22">
        <f>C3820*E3820</f>
      </c>
    </row>
    <row r="3821">
      <c r="A3821" s="5" t="s">
        <v>1286</v>
      </c>
      <c r="B3821" s="14" t="s">
        <v>41</v>
      </c>
      <c r="C3821" s="22"/>
      <c r="D3821" s="22" t="s">
        <v>10</v>
      </c>
      <c r="E3821" s="22"/>
      <c r="F3821" s="22">
        <f>C3821*E3821</f>
      </c>
    </row>
    <row r="3822">
      <c r="A3822" s="3"/>
      <c r="B3822" s="11" t="s">
        <v>42</v>
      </c>
      <c r="C3822" s="20"/>
      <c r="D3822" s="20"/>
      <c r="E3822" s="20"/>
      <c r="F3822" s="20"/>
    </row>
    <row r="3823">
      <c r="A3823" s="5"/>
      <c r="B3823" s="14" t="s">
        <v>1287</v>
      </c>
      <c r="C3823" s="22"/>
      <c r="D3823" s="22" t="s">
        <v>10</v>
      </c>
      <c r="E3823" s="22"/>
      <c r="F3823" s="22">
        <f>C3823*E3823</f>
      </c>
    </row>
    <row r="3824">
      <c r="A3824" s="5"/>
      <c r="B3824" s="14" t="s">
        <v>1288</v>
      </c>
      <c r="C3824" s="22"/>
      <c r="D3824" s="22" t="s">
        <v>10</v>
      </c>
      <c r="E3824" s="22"/>
      <c r="F3824" s="22">
        <f>C3824*E3824</f>
      </c>
    </row>
    <row r="3825">
      <c r="A3825" s="5"/>
      <c r="B3825" s="14" t="s">
        <v>1289</v>
      </c>
      <c r="C3825" s="22"/>
      <c r="D3825" s="22" t="s">
        <v>10</v>
      </c>
      <c r="E3825" s="22"/>
      <c r="F3825" s="22">
        <f>C3825*E3825</f>
      </c>
    </row>
    <row r="3826">
      <c r="A3826" s="5"/>
      <c r="B3826" s="14" t="s">
        <v>1290</v>
      </c>
      <c r="C3826" s="22"/>
      <c r="D3826" s="22" t="s">
        <v>10</v>
      </c>
      <c r="E3826" s="22"/>
      <c r="F3826" s="22">
        <f>C3826*E3826</f>
      </c>
    </row>
    <row r="3827">
      <c r="A3827" s="3"/>
      <c r="B3827" s="11" t="s">
        <v>44</v>
      </c>
      <c r="C3827" s="20"/>
      <c r="D3827" s="20"/>
      <c r="E3827" s="20"/>
      <c r="F3827" s="20"/>
    </row>
    <row r="3828">
      <c r="A3828" s="4"/>
      <c r="B3828" s="12" t="s">
        <v>45</v>
      </c>
      <c r="C3828" s="21"/>
      <c r="D3828" s="21"/>
      <c r="E3828" s="21"/>
      <c r="F3828" s="21"/>
    </row>
    <row r="3829">
      <c r="A3829" s="5" t="s">
        <v>1291</v>
      </c>
      <c r="B3829" s="13" t="s">
        <v>767</v>
      </c>
      <c r="C3829" s="22"/>
      <c r="D3829" s="22" t="s">
        <v>10</v>
      </c>
      <c r="E3829" s="22"/>
      <c r="F3829" s="22">
        <f>C3829*E3829</f>
      </c>
    </row>
    <row r="3830">
      <c r="A3830" s="5" t="s">
        <v>1292</v>
      </c>
      <c r="B3830" s="13" t="s">
        <v>123</v>
      </c>
      <c r="C3830" s="22"/>
      <c r="D3830" s="22" t="s">
        <v>10</v>
      </c>
      <c r="E3830" s="22"/>
      <c r="F3830" s="22">
        <f>C3830*E3830</f>
      </c>
    </row>
    <row r="3831">
      <c r="A3831" s="3"/>
      <c r="B3831" s="11" t="s">
        <v>68</v>
      </c>
      <c r="C3831" s="20"/>
      <c r="D3831" s="20"/>
      <c r="E3831" s="20"/>
      <c r="F3831" s="20"/>
    </row>
    <row r="3832">
      <c r="A3832" s="5" t="s">
        <v>1293</v>
      </c>
      <c r="B3832" s="14" t="s">
        <v>230</v>
      </c>
      <c r="C3832" s="22">
        <f>(1)*(1)*(1)*(1)*(1 + (0))</f>
      </c>
      <c r="D3832" s="22" t="s">
        <v>71</v>
      </c>
      <c r="E3832" s="22"/>
      <c r="F3832" s="22">
        <f>C3832*E3832</f>
      </c>
    </row>
    <row r="3833">
      <c r="A3833" s="5" t="s">
        <v>1294</v>
      </c>
      <c r="B3833" s="14" t="s">
        <v>70</v>
      </c>
      <c r="C3833" s="22">
        <f>(1)*(1)*(1)*(1)*(1 + (0))</f>
      </c>
      <c r="D3833" s="22" t="s">
        <v>71</v>
      </c>
      <c r="E3833" s="22"/>
      <c r="F3833" s="22">
        <f>C3833*E3833</f>
      </c>
    </row>
    <row r="3834">
      <c r="A3834" s="5" t="s">
        <v>1295</v>
      </c>
      <c r="B3834" s="14" t="s">
        <v>906</v>
      </c>
      <c r="C3834" s="22">
        <f>(1)*(1)*(1)*(1)*(1 + (0))</f>
      </c>
      <c r="D3834" s="22" t="s">
        <v>71</v>
      </c>
      <c r="E3834" s="22"/>
      <c r="F3834" s="22">
        <f>C3834*E3834</f>
      </c>
    </row>
    <row r="3835">
      <c r="A3835" s="5" t="s">
        <v>1296</v>
      </c>
      <c r="B3835" s="14" t="s">
        <v>665</v>
      </c>
      <c r="C3835" s="22">
        <f>(1)*(1)*(1)*(1)*(1 + (0))</f>
      </c>
      <c r="D3835" s="22" t="s">
        <v>71</v>
      </c>
      <c r="E3835" s="22"/>
      <c r="F3835" s="22">
        <f>C3835*E3835</f>
      </c>
    </row>
    <row r="3836">
      <c r="A3836" s="3"/>
      <c r="B3836" s="11" t="s">
        <v>1585</v>
      </c>
      <c r="C3836" s="20"/>
      <c r="D3836" s="20"/>
      <c r="E3836" s="20"/>
      <c r="F3836" s="20"/>
    </row>
    <row r="3837">
      <c r="A3837" s="4"/>
      <c r="B3837" s="12" t="s">
        <v>1527</v>
      </c>
      <c r="C3837" s="21"/>
      <c r="D3837" s="21"/>
      <c r="E3837" s="21"/>
      <c r="F3837" s="21"/>
    </row>
    <row r="3838">
      <c r="A3838" s="5"/>
      <c r="B3838" s="13" t="s">
        <v>1842</v>
      </c>
      <c r="C3838" s="22">
        <f>(15)*(1)*(1)*(1)*(1 + (0))</f>
      </c>
      <c r="D3838" s="22" t="s">
        <v>162</v>
      </c>
      <c r="E3838" s="22"/>
      <c r="F3838" s="22">
        <f>C3838*E3838</f>
      </c>
    </row>
    <row r="3839">
      <c r="A3839" s="5"/>
      <c r="B3839" s="7"/>
      <c r="C3839" s="22"/>
      <c r="D3839" s="22"/>
      <c r="E3839" s="22"/>
      <c r="F3839" s="22">
        <f>C3839*E3839</f>
      </c>
    </row>
    <row r="3840">
      <c r="A3840" s="5"/>
      <c r="B3840" s="7"/>
      <c r="C3840" s="22"/>
      <c r="D3840" s="22"/>
      <c r="E3840" s="22"/>
      <c r="F3840" s="22">
        <f>C3840*E3840</f>
      </c>
    </row>
    <row r="3841">
      <c r="A3841" s="5"/>
      <c r="B3841" s="7" t="s">
        <v>29</v>
      </c>
      <c r="C3841" s="22"/>
      <c r="D3841" s="22"/>
      <c r="E3841" s="22"/>
      <c r="F3841" s="22">
        <f>C3841*E3841</f>
      </c>
    </row>
    <row r="3842">
      <c r="A3842" s="2"/>
      <c r="B3842" s="10" t="s">
        <v>36</v>
      </c>
      <c r="C3842" s="19"/>
      <c r="D3842" s="19"/>
      <c r="E3842" s="19"/>
      <c r="F3842" s="19"/>
    </row>
    <row r="3843">
      <c r="A3843" s="3"/>
      <c r="B3843" s="11" t="s">
        <v>37</v>
      </c>
      <c r="C3843" s="20"/>
      <c r="D3843" s="20"/>
      <c r="E3843" s="20"/>
      <c r="F3843" s="20"/>
    </row>
    <row r="3844">
      <c r="A3844" s="5" t="s">
        <v>38</v>
      </c>
      <c r="B3844" s="14" t="s">
        <v>39</v>
      </c>
      <c r="C3844" s="22"/>
      <c r="D3844" s="22" t="s">
        <v>10</v>
      </c>
      <c r="E3844" s="22"/>
      <c r="F3844" s="22">
        <f>C3844*E3844</f>
      </c>
    </row>
    <row r="3845">
      <c r="A3845" s="5" t="s">
        <v>40</v>
      </c>
      <c r="B3845" s="14" t="s">
        <v>41</v>
      </c>
      <c r="C3845" s="22"/>
      <c r="D3845" s="22" t="s">
        <v>10</v>
      </c>
      <c r="E3845" s="22"/>
      <c r="F3845" s="22">
        <f>C3845*E3845</f>
      </c>
    </row>
    <row r="3846">
      <c r="A3846" s="3"/>
      <c r="B3846" s="11" t="s">
        <v>42</v>
      </c>
      <c r="C3846" s="20"/>
      <c r="D3846" s="20"/>
      <c r="E3846" s="20"/>
      <c r="F3846" s="20"/>
    </row>
    <row r="3847">
      <c r="A3847" s="5"/>
      <c r="B3847" s="14" t="s">
        <v>636</v>
      </c>
      <c r="C3847" s="22"/>
      <c r="D3847" s="22" t="s">
        <v>10</v>
      </c>
      <c r="E3847" s="22"/>
      <c r="F3847" s="22">
        <f>C3847*E3847</f>
      </c>
    </row>
    <row r="3848">
      <c r="A3848" s="3"/>
      <c r="B3848" s="11" t="s">
        <v>44</v>
      </c>
      <c r="C3848" s="20"/>
      <c r="D3848" s="20"/>
      <c r="E3848" s="20"/>
      <c r="F3848" s="20"/>
    </row>
    <row r="3849">
      <c r="A3849" s="4"/>
      <c r="B3849" s="12" t="s">
        <v>45</v>
      </c>
      <c r="C3849" s="21"/>
      <c r="D3849" s="21"/>
      <c r="E3849" s="21"/>
      <c r="F3849" s="21"/>
    </row>
    <row r="3850">
      <c r="A3850" s="5" t="s">
        <v>46</v>
      </c>
      <c r="B3850" s="13" t="s">
        <v>47</v>
      </c>
      <c r="C3850" s="22"/>
      <c r="D3850" s="22" t="s">
        <v>10</v>
      </c>
      <c r="E3850" s="22"/>
      <c r="F3850" s="22">
        <f>C3850*E3850</f>
      </c>
    </row>
    <row r="3851">
      <c r="A3851" s="5" t="s">
        <v>48</v>
      </c>
      <c r="B3851" s="13" t="s">
        <v>49</v>
      </c>
      <c r="C3851" s="22"/>
      <c r="D3851" s="22" t="s">
        <v>10</v>
      </c>
      <c r="E3851" s="22"/>
      <c r="F3851" s="22">
        <f>C3851*E3851</f>
      </c>
    </row>
    <row r="3852">
      <c r="A3852" s="5" t="s">
        <v>50</v>
      </c>
      <c r="B3852" s="13" t="s">
        <v>51</v>
      </c>
      <c r="C3852" s="22"/>
      <c r="D3852" s="22" t="s">
        <v>10</v>
      </c>
      <c r="E3852" s="22"/>
      <c r="F3852" s="22">
        <f>C3852*E3852</f>
      </c>
    </row>
    <row r="3853">
      <c r="A3853" s="5" t="s">
        <v>52</v>
      </c>
      <c r="B3853" s="13" t="s">
        <v>53</v>
      </c>
      <c r="C3853" s="22"/>
      <c r="D3853" s="22" t="s">
        <v>10</v>
      </c>
      <c r="E3853" s="22"/>
      <c r="F3853" s="22">
        <f>C3853*E3853</f>
      </c>
    </row>
    <row r="3854">
      <c r="A3854" s="5" t="s">
        <v>54</v>
      </c>
      <c r="B3854" s="13" t="s">
        <v>55</v>
      </c>
      <c r="C3854" s="22"/>
      <c r="D3854" s="22" t="s">
        <v>10</v>
      </c>
      <c r="E3854" s="22"/>
      <c r="F3854" s="22">
        <f>C3854*E3854</f>
      </c>
    </row>
    <row r="3855">
      <c r="A3855" s="5" t="s">
        <v>56</v>
      </c>
      <c r="B3855" s="13" t="s">
        <v>57</v>
      </c>
      <c r="C3855" s="22"/>
      <c r="D3855" s="22" t="s">
        <v>10</v>
      </c>
      <c r="E3855" s="22"/>
      <c r="F3855" s="22">
        <f>C3855*E3855</f>
      </c>
    </row>
    <row r="3856">
      <c r="A3856" s="5" t="s">
        <v>58</v>
      </c>
      <c r="B3856" s="13" t="s">
        <v>59</v>
      </c>
      <c r="C3856" s="22"/>
      <c r="D3856" s="22" t="s">
        <v>10</v>
      </c>
      <c r="E3856" s="22"/>
      <c r="F3856" s="22">
        <f>C3856*E3856</f>
      </c>
    </row>
    <row r="3857">
      <c r="A3857" s="5" t="s">
        <v>60</v>
      </c>
      <c r="B3857" s="13" t="s">
        <v>61</v>
      </c>
      <c r="C3857" s="22"/>
      <c r="D3857" s="22" t="s">
        <v>10</v>
      </c>
      <c r="E3857" s="22"/>
      <c r="F3857" s="22">
        <f>C3857*E3857</f>
      </c>
    </row>
    <row r="3858">
      <c r="A3858" s="5" t="s">
        <v>62</v>
      </c>
      <c r="B3858" s="13" t="s">
        <v>63</v>
      </c>
      <c r="C3858" s="22"/>
      <c r="D3858" s="22" t="s">
        <v>10</v>
      </c>
      <c r="E3858" s="22"/>
      <c r="F3858" s="22">
        <f>C3858*E3858</f>
      </c>
    </row>
    <row r="3859">
      <c r="A3859" s="5" t="s">
        <v>64</v>
      </c>
      <c r="B3859" s="13" t="s">
        <v>65</v>
      </c>
      <c r="C3859" s="22"/>
      <c r="D3859" s="22" t="s">
        <v>10</v>
      </c>
      <c r="E3859" s="22"/>
      <c r="F3859" s="22">
        <f>C3859*E3859</f>
      </c>
    </row>
    <row r="3860">
      <c r="A3860" s="5" t="s">
        <v>66</v>
      </c>
      <c r="B3860" s="13" t="s">
        <v>67</v>
      </c>
      <c r="C3860" s="22"/>
      <c r="D3860" s="22" t="s">
        <v>10</v>
      </c>
      <c r="E3860" s="22"/>
      <c r="F3860" s="22">
        <f>C3860*E3860</f>
      </c>
    </row>
    <row r="3861">
      <c r="A3861" s="3"/>
      <c r="B3861" s="11" t="s">
        <v>68</v>
      </c>
      <c r="C3861" s="20"/>
      <c r="D3861" s="20"/>
      <c r="E3861" s="20"/>
      <c r="F3861" s="20"/>
    </row>
    <row r="3862">
      <c r="A3862" s="5" t="s">
        <v>69</v>
      </c>
      <c r="B3862" s="14" t="s">
        <v>70</v>
      </c>
      <c r="C3862" s="22">
        <f>(1)*(1)*(1)*(1)*(1 + (0))</f>
      </c>
      <c r="D3862" s="22" t="s">
        <v>71</v>
      </c>
      <c r="E3862" s="22"/>
      <c r="F3862" s="22">
        <f>C3862*E3862</f>
      </c>
    </row>
    <row r="3863">
      <c r="A3863" s="5" t="s">
        <v>72</v>
      </c>
      <c r="B3863" s="14" t="s">
        <v>73</v>
      </c>
      <c r="C3863" s="22">
        <f>(1)*(1)*(1)*(1)*(1 + (0))</f>
      </c>
      <c r="D3863" s="22" t="s">
        <v>71</v>
      </c>
      <c r="E3863" s="22"/>
      <c r="F3863" s="22">
        <f>C3863*E3863</f>
      </c>
    </row>
    <row r="3864">
      <c r="A3864" s="5" t="s">
        <v>74</v>
      </c>
      <c r="B3864" s="14" t="s">
        <v>75</v>
      </c>
      <c r="C3864" s="22">
        <f>(1)*(1)*(1)*(1)*(1 + (0))</f>
      </c>
      <c r="D3864" s="22" t="s">
        <v>71</v>
      </c>
      <c r="E3864" s="22"/>
      <c r="F3864" s="22">
        <f>C3864*E3864</f>
      </c>
    </row>
    <row r="3865">
      <c r="A3865" s="5" t="s">
        <v>76</v>
      </c>
      <c r="B3865" s="14" t="s">
        <v>77</v>
      </c>
      <c r="C3865" s="22">
        <f>(1)*(1)*(1)*(1)*(1 + (0))</f>
      </c>
      <c r="D3865" s="22" t="s">
        <v>71</v>
      </c>
      <c r="E3865" s="22"/>
      <c r="F3865" s="22">
        <f>C3865*E3865</f>
      </c>
    </row>
    <row r="3866">
      <c r="A3866" s="5" t="s">
        <v>78</v>
      </c>
      <c r="B3866" s="14" t="s">
        <v>79</v>
      </c>
      <c r="C3866" s="22">
        <f>(1)*(1)*(1)*(1)*(1 + (0))</f>
      </c>
      <c r="D3866" s="22" t="s">
        <v>71</v>
      </c>
      <c r="E3866" s="22"/>
      <c r="F3866" s="22">
        <f>C3866*E3866</f>
      </c>
    </row>
    <row r="3867">
      <c r="A3867" s="5" t="s">
        <v>80</v>
      </c>
      <c r="B3867" s="14" t="s">
        <v>81</v>
      </c>
      <c r="C3867" s="22">
        <f>(1)*(1)*(1)*(1)*(1 + (0))</f>
      </c>
      <c r="D3867" s="22" t="s">
        <v>71</v>
      </c>
      <c r="E3867" s="22"/>
      <c r="F3867" s="22">
        <f>C3867*E3867</f>
      </c>
    </row>
    <row r="3868">
      <c r="A3868" s="5" t="s">
        <v>82</v>
      </c>
      <c r="B3868" s="14" t="s">
        <v>83</v>
      </c>
      <c r="C3868" s="22">
        <f>(1)*(1)*(1)*(1)*(1 + (0))</f>
      </c>
      <c r="D3868" s="22" t="s">
        <v>71</v>
      </c>
      <c r="E3868" s="22"/>
      <c r="F3868" s="22">
        <f>C3868*E3868</f>
      </c>
    </row>
    <row r="3869">
      <c r="A3869" s="5" t="s">
        <v>84</v>
      </c>
      <c r="B3869" s="14" t="s">
        <v>85</v>
      </c>
      <c r="C3869" s="22">
        <f>(1)*(1)*(1)*(1)*(1 + (0))</f>
      </c>
      <c r="D3869" s="22" t="s">
        <v>71</v>
      </c>
      <c r="E3869" s="22"/>
      <c r="F3869" s="22">
        <f>C3869*E3869</f>
      </c>
    </row>
    <row r="3870">
      <c r="A3870" s="5" t="s">
        <v>86</v>
      </c>
      <c r="B3870" s="14" t="s">
        <v>87</v>
      </c>
      <c r="C3870" s="22">
        <f>(1)*(1)*(1)*(1)*(1 + (0))</f>
      </c>
      <c r="D3870" s="22" t="s">
        <v>71</v>
      </c>
      <c r="E3870" s="22"/>
      <c r="F3870" s="22">
        <f>C3870*E3870</f>
      </c>
    </row>
    <row r="3871">
      <c r="A3871" s="5" t="s">
        <v>88</v>
      </c>
      <c r="B3871" s="14" t="s">
        <v>89</v>
      </c>
      <c r="C3871" s="22">
        <f>(1)*(1)*(1)*(1)*(1 + (0))</f>
      </c>
      <c r="D3871" s="22" t="s">
        <v>71</v>
      </c>
      <c r="E3871" s="22"/>
      <c r="F3871" s="22">
        <f>C3871*E3871</f>
      </c>
    </row>
    <row r="3872">
      <c r="A3872" s="5" t="s">
        <v>90</v>
      </c>
      <c r="B3872" s="14" t="s">
        <v>91</v>
      </c>
      <c r="C3872" s="22">
        <f>(1)*(1)*(1)*(1)*(1 + (0))</f>
      </c>
      <c r="D3872" s="22" t="s">
        <v>71</v>
      </c>
      <c r="E3872" s="22"/>
      <c r="F3872" s="22">
        <f>C3872*E3872</f>
      </c>
    </row>
    <row r="3873">
      <c r="A3873" s="5" t="s">
        <v>92</v>
      </c>
      <c r="B3873" s="14" t="s">
        <v>93</v>
      </c>
      <c r="C3873" s="22">
        <f>(1)*(1)*(1)*(1)*(1 + (0))</f>
      </c>
      <c r="D3873" s="22" t="s">
        <v>71</v>
      </c>
      <c r="E3873" s="22"/>
      <c r="F3873" s="22">
        <f>C3873*E3873</f>
      </c>
    </row>
    <row r="3874">
      <c r="A3874" s="5" t="s">
        <v>94</v>
      </c>
      <c r="B3874" s="14" t="s">
        <v>95</v>
      </c>
      <c r="C3874" s="22">
        <f>(1)*(1)*(1)*(1)*(1 + (0))</f>
      </c>
      <c r="D3874" s="22" t="s">
        <v>71</v>
      </c>
      <c r="E3874" s="22"/>
      <c r="F3874" s="22">
        <f>C3874*E3874</f>
      </c>
    </row>
    <row r="3875">
      <c r="A3875" s="5" t="s">
        <v>96</v>
      </c>
      <c r="B3875" s="14" t="s">
        <v>97</v>
      </c>
      <c r="C3875" s="22">
        <f>(1)*(1)*(1)*(1)*(1 + (0))</f>
      </c>
      <c r="D3875" s="22" t="s">
        <v>71</v>
      </c>
      <c r="E3875" s="22"/>
      <c r="F3875" s="22">
        <f>C3875*E3875</f>
      </c>
    </row>
    <row r="3876">
      <c r="A3876" s="5" t="s">
        <v>98</v>
      </c>
      <c r="B3876" s="14" t="s">
        <v>99</v>
      </c>
      <c r="C3876" s="22">
        <f>(1)*(1)*(1)*(1)*(1 + (0))</f>
      </c>
      <c r="D3876" s="22" t="s">
        <v>71</v>
      </c>
      <c r="E3876" s="22"/>
      <c r="F3876" s="22">
        <f>C3876*E3876</f>
      </c>
    </row>
    <row r="3877">
      <c r="A3877" s="5" t="s">
        <v>100</v>
      </c>
      <c r="B3877" s="14" t="s">
        <v>101</v>
      </c>
      <c r="C3877" s="22">
        <f>(1)*(1)*(1)*(1)*(1 + (0))</f>
      </c>
      <c r="D3877" s="22" t="s">
        <v>71</v>
      </c>
      <c r="E3877" s="22"/>
      <c r="F3877" s="22">
        <f>C3877*E3877</f>
      </c>
    </row>
    <row r="3878">
      <c r="A3878" s="5" t="s">
        <v>102</v>
      </c>
      <c r="B3878" s="14" t="s">
        <v>103</v>
      </c>
      <c r="C3878" s="22">
        <f>(1)*(1)*(1)*(1)*(1 + (0))</f>
      </c>
      <c r="D3878" s="22" t="s">
        <v>71</v>
      </c>
      <c r="E3878" s="22"/>
      <c r="F3878" s="22">
        <f>C3878*E3878</f>
      </c>
    </row>
    <row r="3879">
      <c r="A3879" s="5" t="s">
        <v>104</v>
      </c>
      <c r="B3879" s="14" t="s">
        <v>105</v>
      </c>
      <c r="C3879" s="22">
        <f>(1)*(1)*(1)*(1)*(1 + (0))</f>
      </c>
      <c r="D3879" s="22" t="s">
        <v>71</v>
      </c>
      <c r="E3879" s="22"/>
      <c r="F3879" s="22">
        <f>C3879*E3879</f>
      </c>
    </row>
    <row r="3880">
      <c r="A3880" s="3"/>
      <c r="B3880" s="11" t="s">
        <v>106</v>
      </c>
      <c r="C3880" s="20"/>
      <c r="D3880" s="20"/>
      <c r="E3880" s="20"/>
      <c r="F3880" s="20"/>
    </row>
    <row r="3881">
      <c r="A3881" s="5"/>
      <c r="B3881" s="14" t="s">
        <v>107</v>
      </c>
      <c r="C3881" s="22"/>
      <c r="D3881" s="22" t="s">
        <v>10</v>
      </c>
      <c r="E3881" s="22"/>
      <c r="F3881" s="22">
        <f>C3881*E3881</f>
      </c>
    </row>
    <row r="3882">
      <c r="A3882" s="3"/>
      <c r="B3882" s="11" t="s">
        <v>108</v>
      </c>
      <c r="C3882" s="20"/>
      <c r="D3882" s="20"/>
      <c r="E3882" s="20"/>
      <c r="F3882" s="20"/>
    </row>
    <row r="3883">
      <c r="A3883" s="4"/>
      <c r="B3883" s="12" t="s">
        <v>109</v>
      </c>
      <c r="C3883" s="21"/>
      <c r="D3883" s="21"/>
      <c r="E3883" s="21"/>
      <c r="F3883" s="21"/>
    </row>
    <row r="3884">
      <c r="A3884" s="5"/>
      <c r="B3884" s="13" t="s">
        <v>1843</v>
      </c>
      <c r="C3884" s="22">
        <f>(94)*(1)*(1)*(1)*(1 + (0))</f>
      </c>
      <c r="D3884" s="22" t="s">
        <v>111</v>
      </c>
      <c r="E3884" s="22"/>
      <c r="F3884" s="22">
        <f>C3884*E3884</f>
      </c>
    </row>
    <row r="3885">
      <c r="A3885" s="5"/>
      <c r="B3885" s="13" t="s">
        <v>114</v>
      </c>
      <c r="C3885" s="22">
        <f>(52)*(1)*(1)*(1)*(1 + (0))</f>
      </c>
      <c r="D3885" s="22" t="s">
        <v>111</v>
      </c>
      <c r="E3885" s="22"/>
      <c r="F3885" s="22">
        <f>C3885*E3885</f>
      </c>
    </row>
    <row r="3886">
      <c r="A3886" s="2"/>
      <c r="B3886" s="10" t="s">
        <v>207</v>
      </c>
      <c r="C3886" s="19"/>
      <c r="D3886" s="19"/>
      <c r="E3886" s="19"/>
      <c r="F3886" s="19"/>
    </row>
    <row r="3887">
      <c r="A3887" s="3"/>
      <c r="B3887" s="11" t="s">
        <v>37</v>
      </c>
      <c r="C3887" s="20"/>
      <c r="D3887" s="20"/>
      <c r="E3887" s="20"/>
      <c r="F3887" s="20"/>
    </row>
    <row r="3888">
      <c r="A3888" s="5" t="s">
        <v>208</v>
      </c>
      <c r="B3888" s="14" t="s">
        <v>39</v>
      </c>
      <c r="C3888" s="22"/>
      <c r="D3888" s="22" t="s">
        <v>10</v>
      </c>
      <c r="E3888" s="22"/>
      <c r="F3888" s="22">
        <f>C3888*E3888</f>
      </c>
    </row>
    <row r="3889">
      <c r="A3889" s="5" t="s">
        <v>209</v>
      </c>
      <c r="B3889" s="14" t="s">
        <v>41</v>
      </c>
      <c r="C3889" s="22"/>
      <c r="D3889" s="22" t="s">
        <v>10</v>
      </c>
      <c r="E3889" s="22"/>
      <c r="F3889" s="22">
        <f>C3889*E3889</f>
      </c>
    </row>
    <row r="3890">
      <c r="A3890" s="3"/>
      <c r="B3890" s="11" t="s">
        <v>42</v>
      </c>
      <c r="C3890" s="20"/>
      <c r="D3890" s="20"/>
      <c r="E3890" s="20"/>
      <c r="F3890" s="20"/>
    </row>
    <row r="3891">
      <c r="A3891" s="5"/>
      <c r="B3891" s="14" t="s">
        <v>118</v>
      </c>
      <c r="C3891" s="22"/>
      <c r="D3891" s="22" t="s">
        <v>10</v>
      </c>
      <c r="E3891" s="22"/>
      <c r="F3891" s="22">
        <f>C3891*E3891</f>
      </c>
    </row>
    <row r="3892">
      <c r="A3892" s="5"/>
      <c r="B3892" s="14" t="s">
        <v>636</v>
      </c>
      <c r="C3892" s="22"/>
      <c r="D3892" s="22" t="s">
        <v>10</v>
      </c>
      <c r="E3892" s="22"/>
      <c r="F3892" s="22">
        <f>C3892*E3892</f>
      </c>
    </row>
    <row r="3893">
      <c r="A3893" s="5"/>
      <c r="B3893" s="14" t="s">
        <v>210</v>
      </c>
      <c r="C3893" s="22"/>
      <c r="D3893" s="22" t="s">
        <v>10</v>
      </c>
      <c r="E3893" s="22"/>
      <c r="F3893" s="22">
        <f>C3893*E3893</f>
      </c>
    </row>
    <row r="3894">
      <c r="A3894" s="3"/>
      <c r="B3894" s="11" t="s">
        <v>44</v>
      </c>
      <c r="C3894" s="20"/>
      <c r="D3894" s="20"/>
      <c r="E3894" s="20"/>
      <c r="F3894" s="20"/>
    </row>
    <row r="3895">
      <c r="A3895" s="4"/>
      <c r="B3895" s="12" t="s">
        <v>45</v>
      </c>
      <c r="C3895" s="21"/>
      <c r="D3895" s="21"/>
      <c r="E3895" s="21"/>
      <c r="F3895" s="21"/>
    </row>
    <row r="3896">
      <c r="A3896" s="5" t="s">
        <v>211</v>
      </c>
      <c r="B3896" s="13" t="s">
        <v>212</v>
      </c>
      <c r="C3896" s="22"/>
      <c r="D3896" s="22" t="s">
        <v>10</v>
      </c>
      <c r="E3896" s="22"/>
      <c r="F3896" s="22">
        <f>C3896*E3896</f>
      </c>
    </row>
    <row r="3897">
      <c r="A3897" s="5" t="s">
        <v>213</v>
      </c>
      <c r="B3897" s="13" t="s">
        <v>214</v>
      </c>
      <c r="C3897" s="22"/>
      <c r="D3897" s="22" t="s">
        <v>10</v>
      </c>
      <c r="E3897" s="22"/>
      <c r="F3897" s="22">
        <f>C3897*E3897</f>
      </c>
    </row>
    <row r="3898">
      <c r="A3898" s="5" t="s">
        <v>215</v>
      </c>
      <c r="B3898" s="13" t="s">
        <v>216</v>
      </c>
      <c r="C3898" s="22"/>
      <c r="D3898" s="22" t="s">
        <v>10</v>
      </c>
      <c r="E3898" s="22"/>
      <c r="F3898" s="22">
        <f>C3898*E3898</f>
      </c>
    </row>
    <row r="3899">
      <c r="A3899" s="5" t="s">
        <v>217</v>
      </c>
      <c r="B3899" s="13" t="s">
        <v>218</v>
      </c>
      <c r="C3899" s="22"/>
      <c r="D3899" s="22" t="s">
        <v>10</v>
      </c>
      <c r="E3899" s="22"/>
      <c r="F3899" s="22">
        <f>C3899*E3899</f>
      </c>
    </row>
    <row r="3900">
      <c r="A3900" s="5" t="s">
        <v>219</v>
      </c>
      <c r="B3900" s="13" t="s">
        <v>220</v>
      </c>
      <c r="C3900" s="22"/>
      <c r="D3900" s="22" t="s">
        <v>10</v>
      </c>
      <c r="E3900" s="22"/>
      <c r="F3900" s="22">
        <f>C3900*E3900</f>
      </c>
    </row>
    <row r="3901">
      <c r="A3901" s="5" t="s">
        <v>221</v>
      </c>
      <c r="B3901" s="13" t="s">
        <v>123</v>
      </c>
      <c r="C3901" s="22"/>
      <c r="D3901" s="22" t="s">
        <v>10</v>
      </c>
      <c r="E3901" s="22"/>
      <c r="F3901" s="22">
        <f>C3901*E3901</f>
      </c>
    </row>
    <row r="3902">
      <c r="A3902" s="3"/>
      <c r="B3902" s="11" t="s">
        <v>68</v>
      </c>
      <c r="C3902" s="20"/>
      <c r="D3902" s="20"/>
      <c r="E3902" s="20"/>
      <c r="F3902" s="20"/>
    </row>
    <row r="3903">
      <c r="A3903" s="5" t="s">
        <v>222</v>
      </c>
      <c r="B3903" s="14" t="s">
        <v>223</v>
      </c>
      <c r="C3903" s="22">
        <f>(1)*(1)*(1)*(1)*(1 + (0))</f>
      </c>
      <c r="D3903" s="22" t="s">
        <v>71</v>
      </c>
      <c r="E3903" s="22"/>
      <c r="F3903" s="22">
        <f>C3903*E3903</f>
      </c>
    </row>
    <row r="3904">
      <c r="A3904" s="5" t="s">
        <v>224</v>
      </c>
      <c r="B3904" s="14" t="s">
        <v>70</v>
      </c>
      <c r="C3904" s="22">
        <f>(1)*(1)*(1)*(1)*(1 + (0))</f>
      </c>
      <c r="D3904" s="22" t="s">
        <v>71</v>
      </c>
      <c r="E3904" s="22"/>
      <c r="F3904" s="22">
        <f>C3904*E3904</f>
      </c>
    </row>
    <row r="3905">
      <c r="A3905" s="5" t="s">
        <v>225</v>
      </c>
      <c r="B3905" s="14" t="s">
        <v>73</v>
      </c>
      <c r="C3905" s="22">
        <f>(1)*(1)*(1)*(1)*(1 + (0))</f>
      </c>
      <c r="D3905" s="22" t="s">
        <v>71</v>
      </c>
      <c r="E3905" s="22"/>
      <c r="F3905" s="22">
        <f>C3905*E3905</f>
      </c>
    </row>
    <row r="3906">
      <c r="A3906" s="5" t="s">
        <v>226</v>
      </c>
      <c r="B3906" s="14" t="s">
        <v>134</v>
      </c>
      <c r="C3906" s="22">
        <f>(1)*(1)*(1)*(1)*(1 + (0))</f>
      </c>
      <c r="D3906" s="22" t="s">
        <v>71</v>
      </c>
      <c r="E3906" s="22"/>
      <c r="F3906" s="22">
        <f>C3906*E3906</f>
      </c>
    </row>
    <row r="3907">
      <c r="A3907" s="5" t="s">
        <v>227</v>
      </c>
      <c r="B3907" s="14" t="s">
        <v>228</v>
      </c>
      <c r="C3907" s="22">
        <f>(1)*(1)*(1)*(1)*(1 + (0))</f>
      </c>
      <c r="D3907" s="22" t="s">
        <v>71</v>
      </c>
      <c r="E3907" s="22"/>
      <c r="F3907" s="22">
        <f>C3907*E3907</f>
      </c>
    </row>
    <row r="3908">
      <c r="A3908" s="5" t="s">
        <v>229</v>
      </c>
      <c r="B3908" s="14" t="s">
        <v>230</v>
      </c>
      <c r="C3908" s="22">
        <f>(1)*(1)*(1)*(1)*(1 + (0))</f>
      </c>
      <c r="D3908" s="22" t="s">
        <v>71</v>
      </c>
      <c r="E3908" s="22"/>
      <c r="F3908" s="22">
        <f>C3908*E3908</f>
      </c>
    </row>
    <row r="3909">
      <c r="A3909" s="5" t="s">
        <v>231</v>
      </c>
      <c r="B3909" s="14" t="s">
        <v>232</v>
      </c>
      <c r="C3909" s="22">
        <f>(1)*(1)*(1)*(1)*(1 + (0))</f>
      </c>
      <c r="D3909" s="22" t="s">
        <v>71</v>
      </c>
      <c r="E3909" s="22"/>
      <c r="F3909" s="22">
        <f>C3909*E3909</f>
      </c>
    </row>
    <row r="3910">
      <c r="A3910" s="5" t="s">
        <v>233</v>
      </c>
      <c r="B3910" s="14" t="s">
        <v>234</v>
      </c>
      <c r="C3910" s="22">
        <f>(1)*(1)*(1)*(1)*(1 + (0))</f>
      </c>
      <c r="D3910" s="22" t="s">
        <v>71</v>
      </c>
      <c r="E3910" s="22"/>
      <c r="F3910" s="22">
        <f>C3910*E3910</f>
      </c>
    </row>
    <row r="3911">
      <c r="A3911" s="5" t="s">
        <v>235</v>
      </c>
      <c r="B3911" s="14" t="s">
        <v>236</v>
      </c>
      <c r="C3911" s="22">
        <f>(1)*(1)*(1)*(1)*(1 + (0))</f>
      </c>
      <c r="D3911" s="22" t="s">
        <v>71</v>
      </c>
      <c r="E3911" s="22"/>
      <c r="F3911" s="22">
        <f>C3911*E3911</f>
      </c>
    </row>
    <row r="3912">
      <c r="A3912" s="5" t="s">
        <v>237</v>
      </c>
      <c r="B3912" s="14" t="s">
        <v>238</v>
      </c>
      <c r="C3912" s="22">
        <f>(1)*(1)*(1)*(1)*(1 + (0))</f>
      </c>
      <c r="D3912" s="22" t="s">
        <v>71</v>
      </c>
      <c r="E3912" s="22"/>
      <c r="F3912" s="22">
        <f>C3912*E3912</f>
      </c>
    </row>
    <row r="3913">
      <c r="A3913" s="5" t="s">
        <v>239</v>
      </c>
      <c r="B3913" s="14" t="s">
        <v>240</v>
      </c>
      <c r="C3913" s="22">
        <f>(1)*(1)*(1)*(1)*(1 + (0))</f>
      </c>
      <c r="D3913" s="22" t="s">
        <v>71</v>
      </c>
      <c r="E3913" s="22"/>
      <c r="F3913" s="22">
        <f>C3913*E3913</f>
      </c>
    </row>
    <row r="3914">
      <c r="A3914" s="3"/>
      <c r="B3914" s="11" t="s">
        <v>106</v>
      </c>
      <c r="C3914" s="20"/>
      <c r="D3914" s="20"/>
      <c r="E3914" s="20"/>
      <c r="F3914" s="20"/>
    </row>
    <row r="3915">
      <c r="A3915" s="5"/>
      <c r="B3915" s="14" t="s">
        <v>241</v>
      </c>
      <c r="C3915" s="22"/>
      <c r="D3915" s="22" t="s">
        <v>10</v>
      </c>
      <c r="E3915" s="22"/>
      <c r="F3915" s="22">
        <f>C3915*E3915</f>
      </c>
    </row>
    <row r="3916">
      <c r="A3916" s="3"/>
      <c r="B3916" s="11" t="s">
        <v>242</v>
      </c>
      <c r="C3916" s="20"/>
      <c r="D3916" s="20"/>
      <c r="E3916" s="20"/>
      <c r="F3916" s="20"/>
    </row>
    <row r="3917">
      <c r="A3917" s="5"/>
      <c r="B3917" s="14" t="s">
        <v>1623</v>
      </c>
      <c r="C3917" s="22">
        <f>(276)*(1)*(1)*(1)*(1 + (0))</f>
      </c>
      <c r="D3917" s="22" t="s">
        <v>111</v>
      </c>
      <c r="E3917" s="22"/>
      <c r="F3917" s="22">
        <f>C3917*E3917</f>
      </c>
    </row>
    <row r="3918">
      <c r="A3918" s="3"/>
      <c r="B3918" s="11" t="s">
        <v>245</v>
      </c>
      <c r="C3918" s="20"/>
      <c r="D3918" s="20"/>
      <c r="E3918" s="20"/>
      <c r="F3918" s="20"/>
    </row>
    <row r="3919">
      <c r="A3919" s="4"/>
      <c r="B3919" s="12" t="s">
        <v>1844</v>
      </c>
      <c r="C3919" s="21"/>
      <c r="D3919" s="21"/>
      <c r="E3919" s="21"/>
      <c r="F3919" s="21"/>
    </row>
    <row r="3920">
      <c r="A3920" s="6"/>
      <c r="B3920" s="15" t="s">
        <v>252</v>
      </c>
      <c r="C3920" s="23"/>
      <c r="D3920" s="23"/>
      <c r="E3920" s="23"/>
      <c r="F3920" s="23"/>
    </row>
    <row r="3921">
      <c r="A3921" s="5"/>
      <c r="B3921" s="16" t="s">
        <v>1845</v>
      </c>
      <c r="C3921" s="22">
        <f>(31)*(1)*(1)*(1)*(1 + (0))</f>
      </c>
      <c r="D3921" s="22" t="s">
        <v>111</v>
      </c>
      <c r="E3921" s="22"/>
      <c r="F3921" s="22">
        <f>C3921*E3921</f>
      </c>
    </row>
    <row r="3922">
      <c r="A3922" s="5"/>
      <c r="B3922" s="16" t="s">
        <v>1846</v>
      </c>
      <c r="C3922" s="22">
        <f>(20)*(1)*(1)*(1)*(1 + (0))</f>
      </c>
      <c r="D3922" s="22" t="s">
        <v>111</v>
      </c>
      <c r="E3922" s="22"/>
      <c r="F3922" s="22">
        <f>C3922*E3922</f>
      </c>
    </row>
    <row r="3923">
      <c r="A3923" s="5"/>
      <c r="B3923" s="16" t="s">
        <v>1847</v>
      </c>
      <c r="C3923" s="22">
        <f>(19)*(1)*(1)*(1)*(1 + (0))</f>
      </c>
      <c r="D3923" s="22" t="s">
        <v>111</v>
      </c>
      <c r="E3923" s="22"/>
      <c r="F3923" s="22">
        <f>C3923*E3923</f>
      </c>
    </row>
    <row r="3924">
      <c r="A3924" s="5"/>
      <c r="B3924" s="16" t="s">
        <v>1848</v>
      </c>
      <c r="C3924" s="22">
        <f>(6)*(1)*(1)*(1)*(1 + (0))</f>
      </c>
      <c r="D3924" s="22" t="s">
        <v>111</v>
      </c>
      <c r="E3924" s="22"/>
      <c r="F3924" s="22">
        <f>C3924*E3924</f>
      </c>
    </row>
    <row r="3925">
      <c r="A3925" s="5"/>
      <c r="B3925" s="16" t="s">
        <v>1849</v>
      </c>
      <c r="C3925" s="22">
        <f>(10)*(1)*(1)*(1)*(1 + (0))</f>
      </c>
      <c r="D3925" s="22" t="s">
        <v>111</v>
      </c>
      <c r="E3925" s="22"/>
      <c r="F3925" s="22">
        <f>C3925*E3925</f>
      </c>
    </row>
    <row r="3926">
      <c r="A3926" s="5"/>
      <c r="B3926" s="16" t="s">
        <v>1850</v>
      </c>
      <c r="C3926" s="22">
        <f>(5)*(1)*(1)*(1)*(1 + (0))</f>
      </c>
      <c r="D3926" s="22" t="s">
        <v>111</v>
      </c>
      <c r="E3926" s="22"/>
      <c r="F3926" s="22">
        <f>C3926*E3926</f>
      </c>
    </row>
    <row r="3927">
      <c r="A3927" s="5"/>
      <c r="B3927" s="16" t="s">
        <v>1851</v>
      </c>
      <c r="C3927" s="22">
        <f>(6)*(1)*(1)*(1)*(1 + (0))</f>
      </c>
      <c r="D3927" s="22" t="s">
        <v>111</v>
      </c>
      <c r="E3927" s="22"/>
      <c r="F3927" s="22">
        <f>C3927*E3927</f>
      </c>
    </row>
    <row r="3928">
      <c r="A3928" s="4"/>
      <c r="B3928" s="12" t="s">
        <v>256</v>
      </c>
      <c r="C3928" s="21"/>
      <c r="D3928" s="21"/>
      <c r="E3928" s="21"/>
      <c r="F3928" s="21"/>
    </row>
    <row r="3929">
      <c r="A3929" s="6"/>
      <c r="B3929" s="15" t="s">
        <v>252</v>
      </c>
      <c r="C3929" s="23"/>
      <c r="D3929" s="23"/>
      <c r="E3929" s="23"/>
      <c r="F3929" s="23"/>
    </row>
    <row r="3930">
      <c r="A3930" s="5"/>
      <c r="B3930" s="16" t="s">
        <v>1852</v>
      </c>
      <c r="C3930" s="22">
        <f>(15)*(1)*(1)*(1)*(1 + (0))</f>
      </c>
      <c r="D3930" s="22" t="s">
        <v>111</v>
      </c>
      <c r="E3930" s="22"/>
      <c r="F3930" s="22">
        <f>C3930*E3930</f>
      </c>
    </row>
    <row r="3931">
      <c r="A3931" s="5"/>
      <c r="B3931" s="16" t="s">
        <v>1853</v>
      </c>
      <c r="C3931" s="22">
        <f>(2)*(1)*(1)*(1)*(1 + (0))</f>
      </c>
      <c r="D3931" s="22" t="s">
        <v>111</v>
      </c>
      <c r="E3931" s="22"/>
      <c r="F3931" s="22">
        <f>C3931*E3931</f>
      </c>
    </row>
    <row r="3932">
      <c r="A3932" s="5"/>
      <c r="B3932" s="16" t="s">
        <v>1854</v>
      </c>
      <c r="C3932" s="22">
        <f>(5)*(1)*(1)*(1)*(1 + (0))</f>
      </c>
      <c r="D3932" s="22" t="s">
        <v>111</v>
      </c>
      <c r="E3932" s="22"/>
      <c r="F3932" s="22">
        <f>C3932*E3932</f>
      </c>
    </row>
    <row r="3933">
      <c r="A3933" s="5"/>
      <c r="B3933" s="16" t="s">
        <v>1855</v>
      </c>
      <c r="C3933" s="22">
        <f>(29)*(1)*(1)*(1)*(1 + (0))</f>
      </c>
      <c r="D3933" s="22" t="s">
        <v>111</v>
      </c>
      <c r="E3933" s="22"/>
      <c r="F3933" s="22">
        <f>C3933*E3933</f>
      </c>
    </row>
    <row r="3934">
      <c r="A3934" s="5"/>
      <c r="B3934" s="16" t="s">
        <v>1856</v>
      </c>
      <c r="C3934" s="22">
        <f>(2)*(1)*(1)*(1)*(1 + (0))</f>
      </c>
      <c r="D3934" s="22" t="s">
        <v>111</v>
      </c>
      <c r="E3934" s="22"/>
      <c r="F3934" s="22">
        <f>C3934*E3934</f>
      </c>
    </row>
    <row r="3935">
      <c r="A3935" s="4"/>
      <c r="B3935" s="12" t="s">
        <v>261</v>
      </c>
      <c r="C3935" s="21"/>
      <c r="D3935" s="21"/>
      <c r="E3935" s="21"/>
      <c r="F3935" s="21"/>
    </row>
    <row r="3936">
      <c r="A3936" s="6"/>
      <c r="B3936" s="15" t="s">
        <v>252</v>
      </c>
      <c r="C3936" s="23"/>
      <c r="D3936" s="23"/>
      <c r="E3936" s="23"/>
      <c r="F3936" s="23"/>
    </row>
    <row r="3937">
      <c r="A3937" s="5"/>
      <c r="B3937" s="16" t="s">
        <v>1857</v>
      </c>
      <c r="C3937" s="22">
        <f>(17)*(1)*(1)*(1)*(1 + (0))</f>
      </c>
      <c r="D3937" s="22" t="s">
        <v>111</v>
      </c>
      <c r="E3937" s="22"/>
      <c r="F3937" s="22">
        <f>C3937*E3937</f>
      </c>
    </row>
    <row r="3938">
      <c r="A3938" s="5"/>
      <c r="B3938" s="16" t="s">
        <v>1858</v>
      </c>
      <c r="C3938" s="22">
        <f>(96)*(1)*(1)*(1)*(1 + (0))</f>
      </c>
      <c r="D3938" s="22" t="s">
        <v>111</v>
      </c>
      <c r="E3938" s="22"/>
      <c r="F3938" s="22">
        <f>C3938*E3938</f>
      </c>
    </row>
    <row r="3939">
      <c r="A3939" s="5"/>
      <c r="B3939" s="16" t="s">
        <v>1859</v>
      </c>
      <c r="C3939" s="22">
        <f>(2)*(1)*(1)*(1)*(1 + (0))</f>
      </c>
      <c r="D3939" s="22" t="s">
        <v>111</v>
      </c>
      <c r="E3939" s="22"/>
      <c r="F3939" s="22">
        <f>C3939*E3939</f>
      </c>
    </row>
    <row r="3940">
      <c r="A3940" s="5"/>
      <c r="B3940" s="16" t="s">
        <v>1860</v>
      </c>
      <c r="C3940" s="22">
        <f>(1)*(1)*(1)*(1)*(1 + (0))</f>
      </c>
      <c r="D3940" s="22" t="s">
        <v>111</v>
      </c>
      <c r="E3940" s="22"/>
      <c r="F3940" s="22">
        <f>C3940*E3940</f>
      </c>
    </row>
    <row r="3941">
      <c r="A3941" s="5"/>
      <c r="B3941" s="16" t="s">
        <v>1861</v>
      </c>
      <c r="C3941" s="22">
        <f>(6)*(1)*(1)*(1)*(1 + (0))</f>
      </c>
      <c r="D3941" s="22" t="s">
        <v>111</v>
      </c>
      <c r="E3941" s="22"/>
      <c r="F3941" s="22">
        <f>C3941*E3941</f>
      </c>
    </row>
    <row r="3942">
      <c r="A3942" s="5"/>
      <c r="B3942" s="16" t="s">
        <v>1862</v>
      </c>
      <c r="C3942" s="22">
        <f>(149)*(1)*(1)*(1)*(1 + (0))</f>
      </c>
      <c r="D3942" s="22" t="s">
        <v>24</v>
      </c>
      <c r="E3942" s="22"/>
      <c r="F3942" s="22">
        <f>C3942*E3942</f>
      </c>
    </row>
    <row r="3943">
      <c r="A3943" s="4"/>
      <c r="B3943" s="12" t="s">
        <v>312</v>
      </c>
      <c r="C3943" s="21"/>
      <c r="D3943" s="21"/>
      <c r="E3943" s="21"/>
      <c r="F3943" s="21"/>
    </row>
    <row r="3944">
      <c r="A3944" s="6"/>
      <c r="B3944" s="15" t="s">
        <v>1863</v>
      </c>
      <c r="C3944" s="23"/>
      <c r="D3944" s="23"/>
      <c r="E3944" s="23"/>
      <c r="F3944" s="23"/>
    </row>
    <row r="3945">
      <c r="A3945" s="5"/>
      <c r="B3945" s="16" t="s">
        <v>1864</v>
      </c>
      <c r="C3945" s="22">
        <f>(3)*(1)*(1)*(1)*(1 + (0))</f>
      </c>
      <c r="D3945" s="22" t="s">
        <v>111</v>
      </c>
      <c r="E3945" s="22"/>
      <c r="F3945" s="22">
        <f>C3945*E3945</f>
      </c>
    </row>
    <row r="3946">
      <c r="A3946" s="5"/>
      <c r="B3946" s="16" t="s">
        <v>1865</v>
      </c>
      <c r="C3946" s="22">
        <f>(1)*(1)*(1)*(1)*(1 + (0))</f>
      </c>
      <c r="D3946" s="22" t="s">
        <v>111</v>
      </c>
      <c r="E3946" s="22"/>
      <c r="F3946" s="22">
        <f>C3946*E3946</f>
      </c>
    </row>
    <row r="3947">
      <c r="A3947" s="3"/>
      <c r="B3947" s="11" t="s">
        <v>325</v>
      </c>
      <c r="C3947" s="20"/>
      <c r="D3947" s="20"/>
      <c r="E3947" s="20"/>
      <c r="F3947" s="20"/>
    </row>
    <row r="3948">
      <c r="A3948" s="4"/>
      <c r="B3948" s="12" t="s">
        <v>326</v>
      </c>
      <c r="C3948" s="21"/>
      <c r="D3948" s="21"/>
      <c r="E3948" s="21"/>
      <c r="F3948" s="21"/>
    </row>
    <row r="3949">
      <c r="A3949" s="5"/>
      <c r="B3949" s="13" t="s">
        <v>327</v>
      </c>
      <c r="C3949" s="22">
        <f>(714)*(1)*(1)*(1)*(1 + (0))</f>
      </c>
      <c r="D3949" s="22" t="s">
        <v>24</v>
      </c>
      <c r="E3949" s="22"/>
      <c r="F3949" s="22">
        <f>C3949*E3949</f>
      </c>
    </row>
    <row r="3950">
      <c r="A3950" s="4"/>
      <c r="B3950" s="12" t="s">
        <v>330</v>
      </c>
      <c r="C3950" s="21"/>
      <c r="D3950" s="21"/>
      <c r="E3950" s="21"/>
      <c r="F3950" s="21"/>
    </row>
    <row r="3951">
      <c r="A3951" s="5"/>
      <c r="B3951" s="13" t="s">
        <v>331</v>
      </c>
      <c r="C3951" s="22">
        <f>(714)*(1)*(1)*(1)*(1 + (0))</f>
      </c>
      <c r="D3951" s="22" t="s">
        <v>24</v>
      </c>
      <c r="E3951" s="22"/>
      <c r="F3951" s="22">
        <f>C3951*E3951</f>
      </c>
    </row>
    <row r="3952">
      <c r="A3952" s="5"/>
      <c r="B3952" s="13" t="s">
        <v>333</v>
      </c>
      <c r="C3952" s="22">
        <f>(49)*(1)*(1)*(1)*(1 + (0))</f>
      </c>
      <c r="D3952" s="22" t="s">
        <v>24</v>
      </c>
      <c r="E3952" s="22"/>
      <c r="F3952" s="22">
        <f>C3952*E3952</f>
      </c>
    </row>
    <row r="3953">
      <c r="A3953" s="3"/>
      <c r="B3953" s="11" t="s">
        <v>344</v>
      </c>
      <c r="C3953" s="20"/>
      <c r="D3953" s="20"/>
      <c r="E3953" s="20"/>
      <c r="F3953" s="20"/>
    </row>
    <row r="3954">
      <c r="A3954" s="5"/>
      <c r="B3954" s="14" t="s">
        <v>345</v>
      </c>
      <c r="C3954" s="22">
        <f>(11)*(1)*(1)*(1)*(1 + (0))</f>
      </c>
      <c r="D3954" s="22" t="s">
        <v>153</v>
      </c>
      <c r="E3954" s="22"/>
      <c r="F3954" s="22">
        <f>C3954*E3954</f>
      </c>
    </row>
    <row r="3955">
      <c r="A3955" s="5"/>
      <c r="B3955" s="14" t="s">
        <v>1663</v>
      </c>
      <c r="C3955" s="22">
        <f>(23)*(1)*(1)*(1)*(1 + (0))</f>
      </c>
      <c r="D3955" s="22" t="s">
        <v>153</v>
      </c>
      <c r="E3955" s="22"/>
      <c r="F3955" s="22">
        <f>C3955*E3955</f>
      </c>
    </row>
    <row r="3956">
      <c r="A3956" s="3"/>
      <c r="B3956" s="11" t="s">
        <v>347</v>
      </c>
      <c r="C3956" s="20"/>
      <c r="D3956" s="20"/>
      <c r="E3956" s="20"/>
      <c r="F3956" s="20"/>
    </row>
    <row r="3957">
      <c r="A3957" s="5"/>
      <c r="B3957" s="14" t="s">
        <v>1866</v>
      </c>
      <c r="C3957" s="22">
        <f>(714)*(1)*(1)*(1)*(1 + (0))</f>
      </c>
      <c r="D3957" s="22" t="s">
        <v>24</v>
      </c>
      <c r="E3957" s="22"/>
      <c r="F3957" s="22">
        <f>C3957*E3957</f>
      </c>
    </row>
    <row r="3958">
      <c r="A3958" s="5"/>
      <c r="B3958" s="14" t="s">
        <v>349</v>
      </c>
      <c r="C3958" s="22">
        <f>(1312)*(1)*(1)*(1)*(1 + (0))</f>
      </c>
      <c r="D3958" s="22" t="s">
        <v>24</v>
      </c>
      <c r="E3958" s="22"/>
      <c r="F3958" s="22">
        <f>C3958*E3958</f>
      </c>
    </row>
    <row r="3959">
      <c r="A3959" s="2"/>
      <c r="B3959" s="10" t="s">
        <v>350</v>
      </c>
      <c r="C3959" s="19"/>
      <c r="D3959" s="19"/>
      <c r="E3959" s="19"/>
      <c r="F3959" s="19"/>
    </row>
    <row r="3960">
      <c r="A3960" s="3"/>
      <c r="B3960" s="11" t="s">
        <v>37</v>
      </c>
      <c r="C3960" s="20"/>
      <c r="D3960" s="20"/>
      <c r="E3960" s="20"/>
      <c r="F3960" s="20"/>
    </row>
    <row r="3961">
      <c r="A3961" s="5" t="s">
        <v>351</v>
      </c>
      <c r="B3961" s="14" t="s">
        <v>39</v>
      </c>
      <c r="C3961" s="22"/>
      <c r="D3961" s="22" t="s">
        <v>10</v>
      </c>
      <c r="E3961" s="22"/>
      <c r="F3961" s="22">
        <f>C3961*E3961</f>
      </c>
    </row>
    <row r="3962">
      <c r="A3962" s="5" t="s">
        <v>352</v>
      </c>
      <c r="B3962" s="14" t="s">
        <v>41</v>
      </c>
      <c r="C3962" s="22"/>
      <c r="D3962" s="22" t="s">
        <v>10</v>
      </c>
      <c r="E3962" s="22"/>
      <c r="F3962" s="22">
        <f>C3962*E3962</f>
      </c>
    </row>
    <row r="3963">
      <c r="A3963" s="3"/>
      <c r="B3963" s="11" t="s">
        <v>42</v>
      </c>
      <c r="C3963" s="20"/>
      <c r="D3963" s="20"/>
      <c r="E3963" s="20"/>
      <c r="F3963" s="20"/>
    </row>
    <row r="3964">
      <c r="A3964" s="5"/>
      <c r="B3964" s="14" t="s">
        <v>118</v>
      </c>
      <c r="C3964" s="22"/>
      <c r="D3964" s="22" t="s">
        <v>10</v>
      </c>
      <c r="E3964" s="22"/>
      <c r="F3964" s="22">
        <f>C3964*E3964</f>
      </c>
    </row>
    <row r="3965">
      <c r="A3965" s="5"/>
      <c r="B3965" s="14" t="s">
        <v>636</v>
      </c>
      <c r="C3965" s="22"/>
      <c r="D3965" s="22" t="s">
        <v>10</v>
      </c>
      <c r="E3965" s="22"/>
      <c r="F3965" s="22">
        <f>C3965*E3965</f>
      </c>
    </row>
    <row r="3966">
      <c r="A3966" s="5"/>
      <c r="B3966" s="14" t="s">
        <v>210</v>
      </c>
      <c r="C3966" s="22"/>
      <c r="D3966" s="22" t="s">
        <v>10</v>
      </c>
      <c r="E3966" s="22"/>
      <c r="F3966" s="22">
        <f>C3966*E3966</f>
      </c>
    </row>
    <row r="3967">
      <c r="A3967" s="3"/>
      <c r="B3967" s="11" t="s">
        <v>44</v>
      </c>
      <c r="C3967" s="20"/>
      <c r="D3967" s="20"/>
      <c r="E3967" s="20"/>
      <c r="F3967" s="20"/>
    </row>
    <row r="3968">
      <c r="A3968" s="4"/>
      <c r="B3968" s="12" t="s">
        <v>45</v>
      </c>
      <c r="C3968" s="21"/>
      <c r="D3968" s="21"/>
      <c r="E3968" s="21"/>
      <c r="F3968" s="21"/>
    </row>
    <row r="3969">
      <c r="A3969" s="5" t="s">
        <v>353</v>
      </c>
      <c r="B3969" s="13" t="s">
        <v>354</v>
      </c>
      <c r="C3969" s="22"/>
      <c r="D3969" s="22" t="s">
        <v>10</v>
      </c>
      <c r="E3969" s="22"/>
      <c r="F3969" s="22">
        <f>C3969*E3969</f>
      </c>
    </row>
    <row r="3970">
      <c r="A3970" s="5" t="s">
        <v>355</v>
      </c>
      <c r="B3970" s="13" t="s">
        <v>356</v>
      </c>
      <c r="C3970" s="22"/>
      <c r="D3970" s="22" t="s">
        <v>10</v>
      </c>
      <c r="E3970" s="22"/>
      <c r="F3970" s="22">
        <f>C3970*E3970</f>
      </c>
    </row>
    <row r="3971">
      <c r="A3971" s="5" t="s">
        <v>357</v>
      </c>
      <c r="B3971" s="13" t="s">
        <v>358</v>
      </c>
      <c r="C3971" s="22"/>
      <c r="D3971" s="22" t="s">
        <v>10</v>
      </c>
      <c r="E3971" s="22"/>
      <c r="F3971" s="22">
        <f>C3971*E3971</f>
      </c>
    </row>
    <row r="3972">
      <c r="A3972" s="5" t="s">
        <v>359</v>
      </c>
      <c r="B3972" s="13" t="s">
        <v>360</v>
      </c>
      <c r="C3972" s="22"/>
      <c r="D3972" s="22" t="s">
        <v>10</v>
      </c>
      <c r="E3972" s="22"/>
      <c r="F3972" s="22">
        <f>C3972*E3972</f>
      </c>
    </row>
    <row r="3973">
      <c r="A3973" s="5" t="s">
        <v>361</v>
      </c>
      <c r="B3973" s="13" t="s">
        <v>362</v>
      </c>
      <c r="C3973" s="22"/>
      <c r="D3973" s="22" t="s">
        <v>10</v>
      </c>
      <c r="E3973" s="22"/>
      <c r="F3973" s="22">
        <f>C3973*E3973</f>
      </c>
    </row>
    <row r="3974">
      <c r="A3974" s="5" t="s">
        <v>363</v>
      </c>
      <c r="B3974" s="13" t="s">
        <v>364</v>
      </c>
      <c r="C3974" s="22"/>
      <c r="D3974" s="22" t="s">
        <v>10</v>
      </c>
      <c r="E3974" s="22"/>
      <c r="F3974" s="22">
        <f>C3974*E3974</f>
      </c>
    </row>
    <row r="3975">
      <c r="A3975" s="5" t="s">
        <v>365</v>
      </c>
      <c r="B3975" s="13" t="s">
        <v>366</v>
      </c>
      <c r="C3975" s="22"/>
      <c r="D3975" s="22" t="s">
        <v>10</v>
      </c>
      <c r="E3975" s="22"/>
      <c r="F3975" s="22">
        <f>C3975*E3975</f>
      </c>
    </row>
    <row r="3976">
      <c r="A3976" s="5" t="s">
        <v>367</v>
      </c>
      <c r="B3976" s="13" t="s">
        <v>368</v>
      </c>
      <c r="C3976" s="22"/>
      <c r="D3976" s="22" t="s">
        <v>10</v>
      </c>
      <c r="E3976" s="22"/>
      <c r="F3976" s="22">
        <f>C3976*E3976</f>
      </c>
    </row>
    <row r="3977">
      <c r="A3977" s="5" t="s">
        <v>369</v>
      </c>
      <c r="B3977" s="13" t="s">
        <v>370</v>
      </c>
      <c r="C3977" s="22"/>
      <c r="D3977" s="22" t="s">
        <v>10</v>
      </c>
      <c r="E3977" s="22"/>
      <c r="F3977" s="22">
        <f>C3977*E3977</f>
      </c>
    </row>
    <row r="3978">
      <c r="A3978" s="5" t="s">
        <v>371</v>
      </c>
      <c r="B3978" s="13" t="s">
        <v>123</v>
      </c>
      <c r="C3978" s="22"/>
      <c r="D3978" s="22" t="s">
        <v>10</v>
      </c>
      <c r="E3978" s="22"/>
      <c r="F3978" s="22">
        <f>C3978*E3978</f>
      </c>
    </row>
    <row r="3979">
      <c r="A3979" s="3"/>
      <c r="B3979" s="11" t="s">
        <v>68</v>
      </c>
      <c r="C3979" s="20"/>
      <c r="D3979" s="20"/>
      <c r="E3979" s="20"/>
      <c r="F3979" s="20"/>
    </row>
    <row r="3980">
      <c r="A3980" s="5" t="s">
        <v>372</v>
      </c>
      <c r="B3980" s="14" t="s">
        <v>70</v>
      </c>
      <c r="C3980" s="22">
        <f>(1)*(1)*(1)*(1)*(1 + (0))</f>
      </c>
      <c r="D3980" s="22" t="s">
        <v>71</v>
      </c>
      <c r="E3980" s="22"/>
      <c r="F3980" s="22">
        <f>C3980*E3980</f>
      </c>
    </row>
    <row r="3981">
      <c r="A3981" s="5" t="s">
        <v>373</v>
      </c>
      <c r="B3981" s="14" t="s">
        <v>73</v>
      </c>
      <c r="C3981" s="22">
        <f>(1)*(1)*(1)*(1)*(1 + (0))</f>
      </c>
      <c r="D3981" s="22" t="s">
        <v>71</v>
      </c>
      <c r="E3981" s="22"/>
      <c r="F3981" s="22">
        <f>C3981*E3981</f>
      </c>
    </row>
    <row r="3982">
      <c r="A3982" s="5" t="s">
        <v>374</v>
      </c>
      <c r="B3982" s="14" t="s">
        <v>79</v>
      </c>
      <c r="C3982" s="22">
        <f>(1)*(1)*(1)*(1)*(1 + (0))</f>
      </c>
      <c r="D3982" s="22" t="s">
        <v>71</v>
      </c>
      <c r="E3982" s="22"/>
      <c r="F3982" s="22">
        <f>C3982*E3982</f>
      </c>
    </row>
    <row r="3983">
      <c r="A3983" s="5" t="s">
        <v>375</v>
      </c>
      <c r="B3983" s="14" t="s">
        <v>376</v>
      </c>
      <c r="C3983" s="22">
        <f>(1)*(1)*(1)*(1)*(1 + (0))</f>
      </c>
      <c r="D3983" s="22" t="s">
        <v>71</v>
      </c>
      <c r="E3983" s="22"/>
      <c r="F3983" s="22">
        <f>C3983*E3983</f>
      </c>
    </row>
    <row r="3984">
      <c r="A3984" s="5" t="s">
        <v>377</v>
      </c>
      <c r="B3984" s="14" t="s">
        <v>378</v>
      </c>
      <c r="C3984" s="22">
        <f>(1)*(1)*(1)*(1)*(1 + (0))</f>
      </c>
      <c r="D3984" s="22" t="s">
        <v>71</v>
      </c>
      <c r="E3984" s="22"/>
      <c r="F3984" s="22">
        <f>C3984*E3984</f>
      </c>
    </row>
    <row r="3985">
      <c r="A3985" s="3"/>
      <c r="B3985" s="11" t="s">
        <v>106</v>
      </c>
      <c r="C3985" s="20"/>
      <c r="D3985" s="20"/>
      <c r="E3985" s="20"/>
      <c r="F3985" s="20"/>
    </row>
    <row r="3986">
      <c r="A3986" s="5"/>
      <c r="B3986" s="14" t="s">
        <v>379</v>
      </c>
      <c r="C3986" s="22"/>
      <c r="D3986" s="22" t="s">
        <v>10</v>
      </c>
      <c r="E3986" s="22"/>
      <c r="F3986" s="22">
        <f>C3986*E3986</f>
      </c>
    </row>
    <row r="3987">
      <c r="A3987" s="5"/>
      <c r="B3987" s="14" t="s">
        <v>380</v>
      </c>
      <c r="C3987" s="22"/>
      <c r="D3987" s="22" t="s">
        <v>10</v>
      </c>
      <c r="E3987" s="22"/>
      <c r="F3987" s="22">
        <f>C3987*E3987</f>
      </c>
    </row>
    <row r="3988">
      <c r="A3988" s="3"/>
      <c r="B3988" s="11" t="s">
        <v>381</v>
      </c>
      <c r="C3988" s="20"/>
      <c r="D3988" s="20"/>
      <c r="E3988" s="20"/>
      <c r="F3988" s="20"/>
    </row>
    <row r="3989">
      <c r="A3989" s="4"/>
      <c r="B3989" s="12" t="s">
        <v>397</v>
      </c>
      <c r="C3989" s="21"/>
      <c r="D3989" s="21"/>
      <c r="E3989" s="21"/>
      <c r="F3989" s="21"/>
    </row>
    <row r="3990">
      <c r="A3990" s="6"/>
      <c r="B3990" s="15" t="s">
        <v>1863</v>
      </c>
      <c r="C3990" s="23"/>
      <c r="D3990" s="23"/>
      <c r="E3990" s="23"/>
      <c r="F3990" s="23"/>
    </row>
    <row r="3991">
      <c r="A3991" s="5"/>
      <c r="B3991" s="16" t="s">
        <v>398</v>
      </c>
      <c r="C3991" s="22">
        <f>(172)*(1)*(1)*(1)*(1 + (0))</f>
      </c>
      <c r="D3991" s="22" t="s">
        <v>153</v>
      </c>
      <c r="E3991" s="22"/>
      <c r="F3991" s="22">
        <f>C3991*E3991</f>
      </c>
    </row>
    <row r="3992">
      <c r="A3992" s="3"/>
      <c r="B3992" s="11" t="s">
        <v>399</v>
      </c>
      <c r="C3992" s="20"/>
      <c r="D3992" s="20"/>
      <c r="E3992" s="20"/>
      <c r="F3992" s="20"/>
    </row>
    <row r="3993">
      <c r="A3993" s="4"/>
      <c r="B3993" s="12" t="s">
        <v>1867</v>
      </c>
      <c r="C3993" s="21"/>
      <c r="D3993" s="21"/>
      <c r="E3993" s="21"/>
      <c r="F3993" s="21"/>
    </row>
    <row r="3994">
      <c r="A3994" s="6"/>
      <c r="B3994" s="15" t="s">
        <v>252</v>
      </c>
      <c r="C3994" s="23"/>
      <c r="D3994" s="23"/>
      <c r="E3994" s="23"/>
      <c r="F3994" s="23"/>
    </row>
    <row r="3995">
      <c r="A3995" s="5"/>
      <c r="B3995" s="16" t="s">
        <v>1868</v>
      </c>
      <c r="C3995" s="22">
        <f>(49)*(1)*(1)*(1)*(1 + (0))</f>
      </c>
      <c r="D3995" s="22" t="s">
        <v>24</v>
      </c>
      <c r="E3995" s="22"/>
      <c r="F3995" s="22">
        <f>C3995*E3995</f>
      </c>
    </row>
    <row r="3996">
      <c r="A3996" s="5"/>
      <c r="B3996" s="16" t="s">
        <v>1869</v>
      </c>
      <c r="C3996" s="22">
        <f>(50)*(1)*(1)*(1)*(1 + (0))</f>
      </c>
      <c r="D3996" s="22" t="s">
        <v>24</v>
      </c>
      <c r="E3996" s="22"/>
      <c r="F3996" s="22">
        <f>C3996*E3996</f>
      </c>
    </row>
    <row r="3997">
      <c r="A3997" s="5"/>
      <c r="B3997" s="16" t="s">
        <v>1870</v>
      </c>
      <c r="C3997" s="22">
        <f>(30)*(1)*(1)*(1)*(1 + (0))</f>
      </c>
      <c r="D3997" s="22" t="s">
        <v>24</v>
      </c>
      <c r="E3997" s="22"/>
      <c r="F3997" s="22">
        <f>C3997*E3997</f>
      </c>
    </row>
    <row r="3998">
      <c r="A3998" s="5"/>
      <c r="B3998" s="16" t="s">
        <v>1871</v>
      </c>
      <c r="C3998" s="22">
        <f>(18)*(1)*(1)*(1)*(1 + (0))</f>
      </c>
      <c r="D3998" s="22" t="s">
        <v>24</v>
      </c>
      <c r="E3998" s="22"/>
      <c r="F3998" s="22">
        <f>C3998*E3998</f>
      </c>
    </row>
    <row r="3999">
      <c r="A3999" s="5"/>
      <c r="B3999" s="16" t="s">
        <v>1872</v>
      </c>
      <c r="C3999" s="22">
        <f>(32)*(1)*(1)*(1)*(1 + (0))</f>
      </c>
      <c r="D3999" s="22" t="s">
        <v>24</v>
      </c>
      <c r="E3999" s="22"/>
      <c r="F3999" s="22">
        <f>C3999*E3999</f>
      </c>
    </row>
    <row r="4000">
      <c r="A4000" s="5"/>
      <c r="B4000" s="16" t="s">
        <v>1873</v>
      </c>
      <c r="C4000" s="22">
        <f>(11)*(1)*(1)*(1)*(1 + (0))</f>
      </c>
      <c r="D4000" s="22" t="s">
        <v>24</v>
      </c>
      <c r="E4000" s="22"/>
      <c r="F4000" s="22">
        <f>C4000*E4000</f>
      </c>
    </row>
    <row r="4001">
      <c r="A4001" s="5"/>
      <c r="B4001" s="16" t="s">
        <v>1874</v>
      </c>
      <c r="C4001" s="22">
        <f>(13)*(1)*(1)*(1)*(1 + (0))</f>
      </c>
      <c r="D4001" s="22" t="s">
        <v>24</v>
      </c>
      <c r="E4001" s="22"/>
      <c r="F4001" s="22">
        <f>C4001*E4001</f>
      </c>
    </row>
    <row r="4002">
      <c r="A4002" s="4"/>
      <c r="B4002" s="12" t="s">
        <v>408</v>
      </c>
      <c r="C4002" s="21"/>
      <c r="D4002" s="21"/>
      <c r="E4002" s="21"/>
      <c r="F4002" s="21"/>
    </row>
    <row r="4003">
      <c r="A4003" s="6"/>
      <c r="B4003" s="15" t="s">
        <v>252</v>
      </c>
      <c r="C4003" s="23"/>
      <c r="D4003" s="23"/>
      <c r="E4003" s="23"/>
      <c r="F4003" s="23"/>
    </row>
    <row r="4004">
      <c r="A4004" s="5"/>
      <c r="B4004" s="16" t="s">
        <v>1671</v>
      </c>
      <c r="C4004" s="22">
        <f>(305)*(1)*(1)*(1)*(1 + (0))</f>
      </c>
      <c r="D4004" s="22" t="s">
        <v>24</v>
      </c>
      <c r="E4004" s="22"/>
      <c r="F4004" s="22">
        <f>C4004*E4004</f>
      </c>
    </row>
    <row r="4005">
      <c r="A4005" s="4"/>
      <c r="B4005" s="12" t="s">
        <v>411</v>
      </c>
      <c r="C4005" s="21"/>
      <c r="D4005" s="21"/>
      <c r="E4005" s="21"/>
      <c r="F4005" s="21"/>
    </row>
    <row r="4006">
      <c r="A4006" s="6"/>
      <c r="B4006" s="15" t="s">
        <v>252</v>
      </c>
      <c r="C4006" s="23"/>
      <c r="D4006" s="23"/>
      <c r="E4006" s="23"/>
      <c r="F4006" s="23"/>
    </row>
    <row r="4007">
      <c r="A4007" s="5"/>
      <c r="B4007" s="16" t="s">
        <v>413</v>
      </c>
      <c r="C4007" s="22">
        <f>(107)*(1)*(1)*(1)*(1 + (0))</f>
      </c>
      <c r="D4007" s="22" t="s">
        <v>153</v>
      </c>
      <c r="E4007" s="22"/>
      <c r="F4007" s="22">
        <f>C4007*E4007</f>
      </c>
    </row>
    <row r="4008">
      <c r="A4008" s="5"/>
      <c r="B4008" s="16" t="s">
        <v>414</v>
      </c>
      <c r="C4008" s="22">
        <f>(123)*(1)*(1)*(1)*(1 + (0))</f>
      </c>
      <c r="D4008" s="22" t="s">
        <v>153</v>
      </c>
      <c r="E4008" s="22"/>
      <c r="F4008" s="22">
        <f>C4008*E4008</f>
      </c>
    </row>
    <row r="4009">
      <c r="A4009" s="2"/>
      <c r="B4009" s="10" t="s">
        <v>178</v>
      </c>
      <c r="C4009" s="19"/>
      <c r="D4009" s="19"/>
      <c r="E4009" s="19"/>
      <c r="F4009" s="19"/>
    </row>
    <row r="4010">
      <c r="A4010" s="3"/>
      <c r="B4010" s="11" t="s">
        <v>37</v>
      </c>
      <c r="C4010" s="20"/>
      <c r="D4010" s="20"/>
      <c r="E4010" s="20"/>
      <c r="F4010" s="20"/>
    </row>
    <row r="4011">
      <c r="A4011" s="5" t="s">
        <v>431</v>
      </c>
      <c r="B4011" s="14" t="s">
        <v>39</v>
      </c>
      <c r="C4011" s="22"/>
      <c r="D4011" s="22" t="s">
        <v>10</v>
      </c>
      <c r="E4011" s="22"/>
      <c r="F4011" s="22">
        <f>C4011*E4011</f>
      </c>
    </row>
    <row r="4012">
      <c r="A4012" s="5" t="s">
        <v>432</v>
      </c>
      <c r="B4012" s="14" t="s">
        <v>41</v>
      </c>
      <c r="C4012" s="22"/>
      <c r="D4012" s="22" t="s">
        <v>10</v>
      </c>
      <c r="E4012" s="22"/>
      <c r="F4012" s="22">
        <f>C4012*E4012</f>
      </c>
    </row>
    <row r="4013">
      <c r="A4013" s="3"/>
      <c r="B4013" s="11" t="s">
        <v>42</v>
      </c>
      <c r="C4013" s="20"/>
      <c r="D4013" s="20"/>
      <c r="E4013" s="20"/>
      <c r="F4013" s="20"/>
    </row>
    <row r="4014">
      <c r="A4014" s="5"/>
      <c r="B4014" s="14" t="s">
        <v>118</v>
      </c>
      <c r="C4014" s="22"/>
      <c r="D4014" s="22" t="s">
        <v>10</v>
      </c>
      <c r="E4014" s="22"/>
      <c r="F4014" s="22">
        <f>C4014*E4014</f>
      </c>
    </row>
    <row r="4015">
      <c r="A4015" s="5"/>
      <c r="B4015" s="14" t="s">
        <v>636</v>
      </c>
      <c r="C4015" s="22"/>
      <c r="D4015" s="22" t="s">
        <v>10</v>
      </c>
      <c r="E4015" s="22"/>
      <c r="F4015" s="22">
        <f>C4015*E4015</f>
      </c>
    </row>
    <row r="4016">
      <c r="A4016" s="5"/>
      <c r="B4016" s="14" t="s">
        <v>210</v>
      </c>
      <c r="C4016" s="22"/>
      <c r="D4016" s="22" t="s">
        <v>10</v>
      </c>
      <c r="E4016" s="22"/>
      <c r="F4016" s="22">
        <f>C4016*E4016</f>
      </c>
    </row>
    <row r="4017">
      <c r="A4017" s="3"/>
      <c r="B4017" s="11" t="s">
        <v>44</v>
      </c>
      <c r="C4017" s="20"/>
      <c r="D4017" s="20"/>
      <c r="E4017" s="20"/>
      <c r="F4017" s="20"/>
    </row>
    <row r="4018">
      <c r="A4018" s="4"/>
      <c r="B4018" s="12" t="s">
        <v>45</v>
      </c>
      <c r="C4018" s="21"/>
      <c r="D4018" s="21"/>
      <c r="E4018" s="21"/>
      <c r="F4018" s="21"/>
    </row>
    <row r="4019">
      <c r="A4019" s="5" t="s">
        <v>433</v>
      </c>
      <c r="B4019" s="13" t="s">
        <v>434</v>
      </c>
      <c r="C4019" s="22"/>
      <c r="D4019" s="22" t="s">
        <v>10</v>
      </c>
      <c r="E4019" s="22"/>
      <c r="F4019" s="22">
        <f>C4019*E4019</f>
      </c>
    </row>
    <row r="4020">
      <c r="A4020" s="5" t="s">
        <v>435</v>
      </c>
      <c r="B4020" s="13" t="s">
        <v>436</v>
      </c>
      <c r="C4020" s="22"/>
      <c r="D4020" s="22" t="s">
        <v>10</v>
      </c>
      <c r="E4020" s="22"/>
      <c r="F4020" s="22">
        <f>C4020*E4020</f>
      </c>
    </row>
    <row r="4021">
      <c r="A4021" s="5" t="s">
        <v>437</v>
      </c>
      <c r="B4021" s="13" t="s">
        <v>438</v>
      </c>
      <c r="C4021" s="22"/>
      <c r="D4021" s="22" t="s">
        <v>10</v>
      </c>
      <c r="E4021" s="22"/>
      <c r="F4021" s="22">
        <f>C4021*E4021</f>
      </c>
    </row>
    <row r="4022">
      <c r="A4022" s="5" t="s">
        <v>439</v>
      </c>
      <c r="B4022" s="13" t="s">
        <v>440</v>
      </c>
      <c r="C4022" s="22"/>
      <c r="D4022" s="22" t="s">
        <v>10</v>
      </c>
      <c r="E4022" s="22"/>
      <c r="F4022" s="22">
        <f>C4022*E4022</f>
      </c>
    </row>
    <row r="4023">
      <c r="A4023" s="5" t="s">
        <v>441</v>
      </c>
      <c r="B4023" s="13" t="s">
        <v>123</v>
      </c>
      <c r="C4023" s="22"/>
      <c r="D4023" s="22" t="s">
        <v>10</v>
      </c>
      <c r="E4023" s="22"/>
      <c r="F4023" s="22">
        <f>C4023*E4023</f>
      </c>
    </row>
    <row r="4024">
      <c r="A4024" s="3"/>
      <c r="B4024" s="11" t="s">
        <v>68</v>
      </c>
      <c r="C4024" s="20"/>
      <c r="D4024" s="20"/>
      <c r="E4024" s="20"/>
      <c r="F4024" s="20"/>
    </row>
    <row r="4025">
      <c r="A4025" s="5" t="s">
        <v>442</v>
      </c>
      <c r="B4025" s="14" t="s">
        <v>70</v>
      </c>
      <c r="C4025" s="22">
        <f>(1)*(1)*(1)*(1)*(1 + (0))</f>
      </c>
      <c r="D4025" s="22" t="s">
        <v>71</v>
      </c>
      <c r="E4025" s="22"/>
      <c r="F4025" s="22">
        <f>C4025*E4025</f>
      </c>
    </row>
    <row r="4026">
      <c r="A4026" s="5" t="s">
        <v>443</v>
      </c>
      <c r="B4026" s="14" t="s">
        <v>73</v>
      </c>
      <c r="C4026" s="22">
        <f>(1)*(1)*(1)*(1)*(1 + (0))</f>
      </c>
      <c r="D4026" s="22" t="s">
        <v>71</v>
      </c>
      <c r="E4026" s="22"/>
      <c r="F4026" s="22">
        <f>C4026*E4026</f>
      </c>
    </row>
    <row r="4027">
      <c r="A4027" s="5" t="s">
        <v>444</v>
      </c>
      <c r="B4027" s="14" t="s">
        <v>445</v>
      </c>
      <c r="C4027" s="22">
        <f>(1)*(1)*(1)*(1)*(1 + (0))</f>
      </c>
      <c r="D4027" s="22" t="s">
        <v>71</v>
      </c>
      <c r="E4027" s="22"/>
      <c r="F4027" s="22">
        <f>C4027*E4027</f>
      </c>
    </row>
    <row r="4028">
      <c r="A4028" s="5" t="s">
        <v>446</v>
      </c>
      <c r="B4028" s="14" t="s">
        <v>447</v>
      </c>
      <c r="C4028" s="22">
        <f>(1)*(1)*(1)*(1)*(1 + (0))</f>
      </c>
      <c r="D4028" s="22" t="s">
        <v>71</v>
      </c>
      <c r="E4028" s="22"/>
      <c r="F4028" s="22">
        <f>C4028*E4028</f>
      </c>
    </row>
    <row r="4029">
      <c r="A4029" s="5" t="s">
        <v>448</v>
      </c>
      <c r="B4029" s="14" t="s">
        <v>449</v>
      </c>
      <c r="C4029" s="22">
        <f>(1)*(1)*(1)*(1)*(1 + (0))</f>
      </c>
      <c r="D4029" s="22" t="s">
        <v>71</v>
      </c>
      <c r="E4029" s="22"/>
      <c r="F4029" s="22">
        <f>C4029*E4029</f>
      </c>
    </row>
    <row r="4030">
      <c r="A4030" s="5" t="s">
        <v>450</v>
      </c>
      <c r="B4030" s="14" t="s">
        <v>451</v>
      </c>
      <c r="C4030" s="22">
        <f>(1)*(1)*(1)*(1)*(1 + (0))</f>
      </c>
      <c r="D4030" s="22" t="s">
        <v>71</v>
      </c>
      <c r="E4030" s="22"/>
      <c r="F4030" s="22">
        <f>C4030*E4030</f>
      </c>
    </row>
    <row r="4031">
      <c r="A4031" s="3"/>
      <c r="B4031" s="11" t="s">
        <v>106</v>
      </c>
      <c r="C4031" s="20"/>
      <c r="D4031" s="20"/>
      <c r="E4031" s="20"/>
      <c r="F4031" s="20"/>
    </row>
    <row r="4032">
      <c r="A4032" s="5"/>
      <c r="B4032" s="14" t="s">
        <v>452</v>
      </c>
      <c r="C4032" s="22"/>
      <c r="D4032" s="22" t="s">
        <v>10</v>
      </c>
      <c r="E4032" s="22"/>
      <c r="F4032" s="22">
        <f>C4032*E4032</f>
      </c>
    </row>
    <row r="4033">
      <c r="A4033" s="3"/>
      <c r="B4033" s="11" t="s">
        <v>453</v>
      </c>
      <c r="C4033" s="20"/>
      <c r="D4033" s="20"/>
      <c r="E4033" s="20"/>
      <c r="F4033" s="20"/>
    </row>
    <row r="4034">
      <c r="A4034" s="5"/>
      <c r="B4034" s="14" t="s">
        <v>454</v>
      </c>
      <c r="C4034" s="22">
        <f>(0.46)*(1)*(1)*(1)*(1 + (0))</f>
      </c>
      <c r="D4034" s="22" t="s">
        <v>182</v>
      </c>
      <c r="E4034" s="22"/>
      <c r="F4034" s="22">
        <f>C4034*E4034</f>
      </c>
    </row>
    <row r="4035">
      <c r="A4035" s="5"/>
      <c r="B4035" s="14" t="s">
        <v>455</v>
      </c>
      <c r="C4035" s="22">
        <f>(21.52)*(1)*(1)*(1)*(1 + (0))</f>
      </c>
      <c r="D4035" s="22" t="s">
        <v>182</v>
      </c>
      <c r="E4035" s="22"/>
      <c r="F4035" s="22">
        <f>C4035*E4035</f>
      </c>
    </row>
    <row r="4036">
      <c r="A4036" s="5"/>
      <c r="B4036" s="14" t="s">
        <v>1875</v>
      </c>
      <c r="C4036" s="22">
        <f>(714)*(1)*(1)*(1)*(1 + (0))</f>
      </c>
      <c r="D4036" s="22" t="s">
        <v>24</v>
      </c>
      <c r="E4036" s="22"/>
      <c r="F4036" s="22">
        <f>C4036*E4036</f>
      </c>
    </row>
    <row r="4037">
      <c r="A4037" s="3"/>
      <c r="B4037" s="11" t="s">
        <v>457</v>
      </c>
      <c r="C4037" s="20"/>
      <c r="D4037" s="20"/>
      <c r="E4037" s="20"/>
      <c r="F4037" s="20"/>
    </row>
    <row r="4038">
      <c r="A4038" s="4"/>
      <c r="B4038" s="12" t="s">
        <v>397</v>
      </c>
      <c r="C4038" s="21"/>
      <c r="D4038" s="21"/>
      <c r="E4038" s="21"/>
      <c r="F4038" s="21"/>
    </row>
    <row r="4039">
      <c r="A4039" s="6"/>
      <c r="B4039" s="15" t="s">
        <v>1863</v>
      </c>
      <c r="C4039" s="23"/>
      <c r="D4039" s="23"/>
      <c r="E4039" s="23"/>
      <c r="F4039" s="23"/>
    </row>
    <row r="4040">
      <c r="A4040" s="5"/>
      <c r="B4040" s="16" t="s">
        <v>458</v>
      </c>
      <c r="C4040" s="22">
        <f>(0.464416106)*(1)*(1)*(1)*(1 + (0))</f>
      </c>
      <c r="D4040" s="22" t="s">
        <v>182</v>
      </c>
      <c r="E4040" s="22"/>
      <c r="F4040" s="22">
        <f>C4040*E4040</f>
      </c>
    </row>
    <row r="4041">
      <c r="A4041" s="3"/>
      <c r="B4041" s="11" t="s">
        <v>459</v>
      </c>
      <c r="C4041" s="20"/>
      <c r="D4041" s="20"/>
      <c r="E4041" s="20"/>
      <c r="F4041" s="20"/>
    </row>
    <row r="4042">
      <c r="A4042" s="4"/>
      <c r="B4042" s="12" t="s">
        <v>1867</v>
      </c>
      <c r="C4042" s="21"/>
      <c r="D4042" s="21"/>
      <c r="E4042" s="21"/>
      <c r="F4042" s="21"/>
    </row>
    <row r="4043">
      <c r="A4043" s="6"/>
      <c r="B4043" s="15" t="s">
        <v>252</v>
      </c>
      <c r="C4043" s="23"/>
      <c r="D4043" s="23"/>
      <c r="E4043" s="23"/>
      <c r="F4043" s="23"/>
    </row>
    <row r="4044">
      <c r="A4044" s="5"/>
      <c r="B4044" s="16" t="s">
        <v>1876</v>
      </c>
      <c r="C4044" s="22">
        <f>(8.42913)*(1)*(1)*(1)*(1 + (0))</f>
      </c>
      <c r="D4044" s="22" t="s">
        <v>182</v>
      </c>
      <c r="E4044" s="22"/>
      <c r="F4044" s="22">
        <f>C4044*E4044</f>
      </c>
    </row>
    <row r="4045">
      <c r="A4045" s="4"/>
      <c r="B4045" s="12" t="s">
        <v>408</v>
      </c>
      <c r="C4045" s="21"/>
      <c r="D4045" s="21"/>
      <c r="E4045" s="21"/>
      <c r="F4045" s="21"/>
    </row>
    <row r="4046">
      <c r="A4046" s="6"/>
      <c r="B4046" s="15" t="s">
        <v>252</v>
      </c>
      <c r="C4046" s="23"/>
      <c r="D4046" s="23"/>
      <c r="E4046" s="23"/>
      <c r="F4046" s="23"/>
    </row>
    <row r="4047">
      <c r="A4047" s="5"/>
      <c r="B4047" s="16" t="s">
        <v>1877</v>
      </c>
      <c r="C4047" s="22">
        <f>(13.0878887219623)*(1)*(1)*(1)*(1 + (0))</f>
      </c>
      <c r="D4047" s="22" t="s">
        <v>182</v>
      </c>
      <c r="E4047" s="22"/>
      <c r="F4047" s="22">
        <f>C4047*E4047</f>
      </c>
    </row>
    <row r="4048">
      <c r="A4048" s="3"/>
      <c r="B4048" s="11" t="s">
        <v>482</v>
      </c>
      <c r="C4048" s="20"/>
      <c r="D4048" s="20"/>
      <c r="E4048" s="20"/>
      <c r="F4048" s="20"/>
    </row>
    <row r="4049">
      <c r="A4049" s="4"/>
      <c r="B4049" s="12" t="s">
        <v>411</v>
      </c>
      <c r="C4049" s="21"/>
      <c r="D4049" s="21"/>
      <c r="E4049" s="21"/>
      <c r="F4049" s="21"/>
    </row>
    <row r="4050">
      <c r="A4050" s="6"/>
      <c r="B4050" s="15" t="s">
        <v>252</v>
      </c>
      <c r="C4050" s="23"/>
      <c r="D4050" s="23"/>
      <c r="E4050" s="23"/>
      <c r="F4050" s="23"/>
    </row>
    <row r="4051">
      <c r="A4051" s="5"/>
      <c r="B4051" s="16" t="s">
        <v>1878</v>
      </c>
      <c r="C4051" s="22">
        <f>(714)*(1)*(1)*(1)*(1 + (0))</f>
      </c>
      <c r="D4051" s="22" t="s">
        <v>24</v>
      </c>
      <c r="E4051" s="22"/>
      <c r="F4051" s="22">
        <f>C4051*E4051</f>
      </c>
    </row>
    <row r="4052">
      <c r="A4052" s="2"/>
      <c r="B4052" s="10" t="s">
        <v>519</v>
      </c>
      <c r="C4052" s="19"/>
      <c r="D4052" s="19"/>
      <c r="E4052" s="19"/>
      <c r="F4052" s="19"/>
    </row>
    <row r="4053">
      <c r="A4053" s="3"/>
      <c r="B4053" s="11" t="s">
        <v>37</v>
      </c>
      <c r="C4053" s="20"/>
      <c r="D4053" s="20"/>
      <c r="E4053" s="20"/>
      <c r="F4053" s="20"/>
    </row>
    <row r="4054">
      <c r="A4054" s="5"/>
      <c r="B4054" s="14" t="s">
        <v>39</v>
      </c>
      <c r="C4054" s="22"/>
      <c r="D4054" s="22" t="s">
        <v>10</v>
      </c>
      <c r="E4054" s="22"/>
      <c r="F4054" s="22">
        <f>C4054*E4054</f>
      </c>
    </row>
    <row r="4055">
      <c r="A4055" s="5"/>
      <c r="B4055" s="14" t="s">
        <v>41</v>
      </c>
      <c r="C4055" s="22"/>
      <c r="D4055" s="22" t="s">
        <v>10</v>
      </c>
      <c r="E4055" s="22"/>
      <c r="F4055" s="22">
        <f>C4055*E4055</f>
      </c>
    </row>
    <row r="4056">
      <c r="A4056" s="3"/>
      <c r="B4056" s="11" t="s">
        <v>44</v>
      </c>
      <c r="C4056" s="20"/>
      <c r="D4056" s="20"/>
      <c r="E4056" s="20"/>
      <c r="F4056" s="20"/>
    </row>
    <row r="4057">
      <c r="A4057" s="4"/>
      <c r="B4057" s="12" t="s">
        <v>45</v>
      </c>
      <c r="C4057" s="21"/>
      <c r="D4057" s="21"/>
      <c r="E4057" s="21"/>
      <c r="F4057" s="21"/>
    </row>
    <row r="4058">
      <c r="A4058" s="5"/>
      <c r="B4058" s="13" t="s">
        <v>1879</v>
      </c>
      <c r="C4058" s="22"/>
      <c r="D4058" s="22" t="s">
        <v>10</v>
      </c>
      <c r="E4058" s="22"/>
      <c r="F4058" s="22">
        <f>C4058*E4058</f>
      </c>
    </row>
    <row r="4059">
      <c r="A4059" s="5"/>
      <c r="B4059" s="13" t="s">
        <v>1880</v>
      </c>
      <c r="C4059" s="22"/>
      <c r="D4059" s="22" t="s">
        <v>10</v>
      </c>
      <c r="E4059" s="22"/>
      <c r="F4059" s="22">
        <f>C4059*E4059</f>
      </c>
    </row>
    <row r="4060">
      <c r="A4060" s="5"/>
      <c r="B4060" s="13" t="s">
        <v>1881</v>
      </c>
      <c r="C4060" s="22"/>
      <c r="D4060" s="22" t="s">
        <v>10</v>
      </c>
      <c r="E4060" s="22"/>
      <c r="F4060" s="22">
        <f>C4060*E4060</f>
      </c>
    </row>
    <row r="4061">
      <c r="A4061" s="5"/>
      <c r="B4061" s="13" t="s">
        <v>1882</v>
      </c>
      <c r="C4061" s="22"/>
      <c r="D4061" s="22" t="s">
        <v>10</v>
      </c>
      <c r="E4061" s="22"/>
      <c r="F4061" s="22">
        <f>C4061*E4061</f>
      </c>
    </row>
    <row r="4062">
      <c r="A4062" s="5"/>
      <c r="B4062" s="13" t="s">
        <v>1883</v>
      </c>
      <c r="C4062" s="22"/>
      <c r="D4062" s="22" t="s">
        <v>10</v>
      </c>
      <c r="E4062" s="22"/>
      <c r="F4062" s="22">
        <f>C4062*E4062</f>
      </c>
    </row>
    <row r="4063">
      <c r="A4063" s="5"/>
      <c r="B4063" s="13" t="s">
        <v>1884</v>
      </c>
      <c r="C4063" s="22"/>
      <c r="D4063" s="22" t="s">
        <v>10</v>
      </c>
      <c r="E4063" s="22"/>
      <c r="F4063" s="22">
        <f>C4063*E4063</f>
      </c>
    </row>
    <row r="4064">
      <c r="A4064" s="5"/>
      <c r="B4064" s="13" t="s">
        <v>1885</v>
      </c>
      <c r="C4064" s="22"/>
      <c r="D4064" s="22" t="s">
        <v>10</v>
      </c>
      <c r="E4064" s="22"/>
      <c r="F4064" s="22">
        <f>C4064*E4064</f>
      </c>
    </row>
    <row r="4065">
      <c r="A4065" s="5"/>
      <c r="B4065" s="13" t="s">
        <v>1886</v>
      </c>
      <c r="C4065" s="22"/>
      <c r="D4065" s="22" t="s">
        <v>10</v>
      </c>
      <c r="E4065" s="22"/>
      <c r="F4065" s="22">
        <f>C4065*E4065</f>
      </c>
    </row>
    <row r="4066">
      <c r="A4066" s="5"/>
      <c r="B4066" s="13" t="s">
        <v>1887</v>
      </c>
      <c r="C4066" s="22"/>
      <c r="D4066" s="22" t="s">
        <v>10</v>
      </c>
      <c r="E4066" s="22"/>
      <c r="F4066" s="22">
        <f>C4066*E4066</f>
      </c>
    </row>
    <row r="4067">
      <c r="A4067" s="5"/>
      <c r="B4067" s="13" t="s">
        <v>1888</v>
      </c>
      <c r="C4067" s="22"/>
      <c r="D4067" s="22" t="s">
        <v>10</v>
      </c>
      <c r="E4067" s="22"/>
      <c r="F4067" s="22">
        <f>C4067*E4067</f>
      </c>
    </row>
    <row r="4068">
      <c r="A4068" s="5"/>
      <c r="B4068" s="13" t="s">
        <v>1889</v>
      </c>
      <c r="C4068" s="22"/>
      <c r="D4068" s="22" t="s">
        <v>10</v>
      </c>
      <c r="E4068" s="22"/>
      <c r="F4068" s="22">
        <f>C4068*E4068</f>
      </c>
    </row>
    <row r="4069">
      <c r="A4069" s="5"/>
      <c r="B4069" s="13" t="s">
        <v>1890</v>
      </c>
      <c r="C4069" s="22"/>
      <c r="D4069" s="22" t="s">
        <v>10</v>
      </c>
      <c r="E4069" s="22"/>
      <c r="F4069" s="22">
        <f>C4069*E4069</f>
      </c>
    </row>
    <row r="4070">
      <c r="A4070" s="5"/>
      <c r="B4070" s="13" t="s">
        <v>1891</v>
      </c>
      <c r="C4070" s="22"/>
      <c r="D4070" s="22" t="s">
        <v>10</v>
      </c>
      <c r="E4070" s="22"/>
      <c r="F4070" s="22">
        <f>C4070*E4070</f>
      </c>
    </row>
    <row r="4071">
      <c r="A4071" s="5"/>
      <c r="B4071" s="13" t="s">
        <v>123</v>
      </c>
      <c r="C4071" s="22"/>
      <c r="D4071" s="22" t="s">
        <v>10</v>
      </c>
      <c r="E4071" s="22"/>
      <c r="F4071" s="22">
        <f>C4071*E4071</f>
      </c>
    </row>
    <row r="4072">
      <c r="A4072" s="3"/>
      <c r="B4072" s="11" t="s">
        <v>106</v>
      </c>
      <c r="C4072" s="20"/>
      <c r="D4072" s="20"/>
      <c r="E4072" s="20"/>
      <c r="F4072" s="20"/>
    </row>
    <row r="4073">
      <c r="A4073" s="5"/>
      <c r="B4073" s="14" t="s">
        <v>1892</v>
      </c>
      <c r="C4073" s="22"/>
      <c r="D4073" s="22" t="s">
        <v>10</v>
      </c>
      <c r="E4073" s="22"/>
      <c r="F4073" s="22">
        <f>C4073*E4073</f>
      </c>
    </row>
    <row r="4074">
      <c r="A4074" s="3"/>
      <c r="B4074" s="11" t="s">
        <v>1893</v>
      </c>
      <c r="C4074" s="20"/>
      <c r="D4074" s="20"/>
      <c r="E4074" s="20"/>
      <c r="F4074" s="20"/>
    </row>
    <row r="4075">
      <c r="A4075" s="4"/>
      <c r="B4075" s="12" t="s">
        <v>1894</v>
      </c>
      <c r="C4075" s="21"/>
      <c r="D4075" s="21"/>
      <c r="E4075" s="21"/>
      <c r="F4075" s="21"/>
    </row>
    <row r="4076">
      <c r="A4076" s="6"/>
      <c r="B4076" s="15" t="s">
        <v>1895</v>
      </c>
      <c r="C4076" s="23"/>
      <c r="D4076" s="23"/>
      <c r="E4076" s="23"/>
      <c r="F4076" s="23"/>
    </row>
    <row r="4077">
      <c r="A4077" s="5"/>
      <c r="B4077" s="16" t="s">
        <v>1896</v>
      </c>
      <c r="C4077" s="22"/>
      <c r="D4077" s="22"/>
      <c r="E4077" s="22"/>
      <c r="F4077" s="22"/>
    </row>
    <row r="4078">
      <c r="A4078" s="5"/>
      <c r="B4078" s="17" t="s">
        <v>1897</v>
      </c>
      <c r="C4078" s="22"/>
      <c r="D4078" s="22"/>
      <c r="E4078" s="22"/>
      <c r="F4078" s="22"/>
    </row>
    <row r="4079">
      <c r="A4079" s="5"/>
      <c r="B4079" s="18" t="s">
        <v>1898</v>
      </c>
      <c r="C4079" s="22">
        <f>(57)*(1)*(1)*(1)*(1 + (0))</f>
      </c>
      <c r="D4079" s="22" t="s">
        <v>24</v>
      </c>
      <c r="E4079" s="22"/>
      <c r="F4079" s="22">
        <f>C4079*E4079</f>
      </c>
    </row>
    <row r="4080">
      <c r="A4080" s="6"/>
      <c r="B4080" s="15" t="s">
        <v>1899</v>
      </c>
      <c r="C4080" s="23"/>
      <c r="D4080" s="23"/>
      <c r="E4080" s="23"/>
      <c r="F4080" s="23"/>
    </row>
    <row r="4081">
      <c r="A4081" s="5"/>
      <c r="B4081" s="16" t="s">
        <v>1900</v>
      </c>
      <c r="C4081" s="22"/>
      <c r="D4081" s="22"/>
      <c r="E4081" s="22"/>
      <c r="F4081" s="22"/>
    </row>
    <row r="4082">
      <c r="A4082" s="5"/>
      <c r="B4082" s="17" t="s">
        <v>1901</v>
      </c>
      <c r="C4082" s="22"/>
      <c r="D4082" s="22"/>
      <c r="E4082" s="22"/>
      <c r="F4082" s="22"/>
    </row>
    <row r="4083">
      <c r="A4083" s="5"/>
      <c r="B4083" s="18" t="s">
        <v>1898</v>
      </c>
      <c r="C4083" s="22">
        <f>(17)*(1)*(1)*(1)*(1 + (0))</f>
      </c>
      <c r="D4083" s="22" t="s">
        <v>24</v>
      </c>
      <c r="E4083" s="22"/>
      <c r="F4083" s="22">
        <f>C4083*E4083</f>
      </c>
    </row>
    <row r="4084">
      <c r="A4084" s="5"/>
      <c r="B4084" s="17" t="s">
        <v>1902</v>
      </c>
      <c r="C4084" s="22"/>
      <c r="D4084" s="22"/>
      <c r="E4084" s="22"/>
      <c r="F4084" s="22"/>
    </row>
    <row r="4085">
      <c r="A4085" s="5"/>
      <c r="B4085" s="18" t="s">
        <v>1898</v>
      </c>
      <c r="C4085" s="22">
        <f>(17)*(1)*(1)*(1)*(1 + (0))</f>
      </c>
      <c r="D4085" s="22" t="s">
        <v>24</v>
      </c>
      <c r="E4085" s="22"/>
      <c r="F4085" s="22">
        <f>C4085*E4085</f>
      </c>
    </row>
    <row r="4086">
      <c r="A4086" s="5"/>
      <c r="B4086" s="17" t="s">
        <v>1903</v>
      </c>
      <c r="C4086" s="22"/>
      <c r="D4086" s="22"/>
      <c r="E4086" s="22"/>
      <c r="F4086" s="22"/>
    </row>
    <row r="4087">
      <c r="A4087" s="5"/>
      <c r="B4087" s="18" t="s">
        <v>1898</v>
      </c>
      <c r="C4087" s="22">
        <f>(11)*(1)*(1)*(1)*(1 + (0))</f>
      </c>
      <c r="D4087" s="22" t="s">
        <v>24</v>
      </c>
      <c r="E4087" s="22"/>
      <c r="F4087" s="22">
        <f>C4087*E4087</f>
      </c>
    </row>
    <row r="4088">
      <c r="A4088" s="5"/>
      <c r="B4088" s="17" t="s">
        <v>1904</v>
      </c>
      <c r="C4088" s="22"/>
      <c r="D4088" s="22"/>
      <c r="E4088" s="22"/>
      <c r="F4088" s="22"/>
    </row>
    <row r="4089">
      <c r="A4089" s="5"/>
      <c r="B4089" s="18" t="s">
        <v>1898</v>
      </c>
      <c r="C4089" s="22">
        <f>(24)*(1)*(1)*(1)*(1 + (0))</f>
      </c>
      <c r="D4089" s="22" t="s">
        <v>24</v>
      </c>
      <c r="E4089" s="22"/>
      <c r="F4089" s="22">
        <f>C4089*E4089</f>
      </c>
    </row>
    <row r="4090">
      <c r="A4090" s="5"/>
      <c r="B4090" s="17" t="s">
        <v>1905</v>
      </c>
      <c r="C4090" s="22"/>
      <c r="D4090" s="22"/>
      <c r="E4090" s="22"/>
      <c r="F4090" s="22"/>
    </row>
    <row r="4091">
      <c r="A4091" s="5"/>
      <c r="B4091" s="18" t="s">
        <v>1898</v>
      </c>
      <c r="C4091" s="22">
        <f>(17)*(1)*(1)*(1)*(1 + (0))</f>
      </c>
      <c r="D4091" s="22" t="s">
        <v>24</v>
      </c>
      <c r="E4091" s="22"/>
      <c r="F4091" s="22">
        <f>C4091*E4091</f>
      </c>
    </row>
    <row r="4092">
      <c r="A4092" s="5"/>
      <c r="B4092" s="16" t="s">
        <v>1906</v>
      </c>
      <c r="C4092" s="22"/>
      <c r="D4092" s="22"/>
      <c r="E4092" s="22"/>
      <c r="F4092" s="22"/>
    </row>
    <row r="4093">
      <c r="A4093" s="5"/>
      <c r="B4093" s="17" t="s">
        <v>1907</v>
      </c>
      <c r="C4093" s="22"/>
      <c r="D4093" s="22"/>
      <c r="E4093" s="22"/>
      <c r="F4093" s="22"/>
    </row>
    <row r="4094">
      <c r="A4094" s="5"/>
      <c r="B4094" s="18" t="s">
        <v>1898</v>
      </c>
      <c r="C4094" s="22">
        <f>(7)*(1)*(1)*(1)*(1 + (0))</f>
      </c>
      <c r="D4094" s="22" t="s">
        <v>24</v>
      </c>
      <c r="E4094" s="22"/>
      <c r="F4094" s="22">
        <f>C4094*E4094</f>
      </c>
    </row>
    <row r="4095">
      <c r="A4095" s="5"/>
      <c r="B4095" s="17" t="s">
        <v>1908</v>
      </c>
      <c r="C4095" s="22"/>
      <c r="D4095" s="22"/>
      <c r="E4095" s="22"/>
      <c r="F4095" s="22"/>
    </row>
    <row r="4096">
      <c r="A4096" s="5"/>
      <c r="B4096" s="18" t="s">
        <v>1898</v>
      </c>
      <c r="C4096" s="22">
        <f>(70)*(1)*(1)*(1)*(1 + (0))</f>
      </c>
      <c r="D4096" s="22" t="s">
        <v>24</v>
      </c>
      <c r="E4096" s="22"/>
      <c r="F4096" s="22">
        <f>C4096*E4096</f>
      </c>
    </row>
    <row r="4097">
      <c r="A4097" s="5"/>
      <c r="B4097" s="17" t="s">
        <v>1909</v>
      </c>
      <c r="C4097" s="22"/>
      <c r="D4097" s="22"/>
      <c r="E4097" s="22"/>
      <c r="F4097" s="22"/>
    </row>
    <row r="4098">
      <c r="A4098" s="5"/>
      <c r="B4098" s="18" t="s">
        <v>1898</v>
      </c>
      <c r="C4098" s="22">
        <f>(33)*(1)*(1)*(1)*(1 + (0))</f>
      </c>
      <c r="D4098" s="22" t="s">
        <v>24</v>
      </c>
      <c r="E4098" s="22"/>
      <c r="F4098" s="22">
        <f>C4098*E4098</f>
      </c>
    </row>
    <row r="4099">
      <c r="A4099" s="6"/>
      <c r="B4099" s="15" t="s">
        <v>1910</v>
      </c>
      <c r="C4099" s="23"/>
      <c r="D4099" s="23"/>
      <c r="E4099" s="23"/>
      <c r="F4099" s="23"/>
    </row>
    <row r="4100">
      <c r="A4100" s="5"/>
      <c r="B4100" s="16" t="s">
        <v>1898</v>
      </c>
      <c r="C4100" s="22">
        <f>(7)*(1)*(1)*(1)*(1 + (0))</f>
      </c>
      <c r="D4100" s="22" t="s">
        <v>24</v>
      </c>
      <c r="E4100" s="22"/>
      <c r="F4100" s="22">
        <f>C4100*E4100</f>
      </c>
    </row>
    <row r="4101">
      <c r="A4101" s="4"/>
      <c r="B4101" s="12" t="s">
        <v>1911</v>
      </c>
      <c r="C4101" s="21"/>
      <c r="D4101" s="21"/>
      <c r="E4101" s="21"/>
      <c r="F4101" s="21"/>
    </row>
    <row r="4102">
      <c r="A4102" s="6"/>
      <c r="B4102" s="15" t="s">
        <v>1912</v>
      </c>
      <c r="C4102" s="23"/>
      <c r="D4102" s="23"/>
      <c r="E4102" s="23"/>
      <c r="F4102" s="23"/>
    </row>
    <row r="4103">
      <c r="A4103" s="5"/>
      <c r="B4103" s="16" t="s">
        <v>1913</v>
      </c>
      <c r="C4103" s="22"/>
      <c r="D4103" s="22"/>
      <c r="E4103" s="22"/>
      <c r="F4103" s="22"/>
    </row>
    <row r="4104">
      <c r="A4104" s="5"/>
      <c r="B4104" s="17" t="s">
        <v>1914</v>
      </c>
      <c r="C4104" s="22"/>
      <c r="D4104" s="22"/>
      <c r="E4104" s="22"/>
      <c r="F4104" s="22"/>
    </row>
    <row r="4105">
      <c r="A4105" s="5"/>
      <c r="B4105" s="18" t="s">
        <v>1898</v>
      </c>
      <c r="C4105" s="22">
        <f>(7)*(1)*(1)*(1)*(1 + (0))</f>
      </c>
      <c r="D4105" s="22" t="s">
        <v>111</v>
      </c>
      <c r="E4105" s="22"/>
      <c r="F4105" s="22">
        <f>C4105*E4105</f>
      </c>
    </row>
    <row r="4106">
      <c r="A4106" s="6"/>
      <c r="B4106" s="15" t="s">
        <v>1915</v>
      </c>
      <c r="C4106" s="23"/>
      <c r="D4106" s="23"/>
      <c r="E4106" s="23"/>
      <c r="F4106" s="23"/>
    </row>
    <row r="4107">
      <c r="A4107" s="5"/>
      <c r="B4107" s="16" t="s">
        <v>1916</v>
      </c>
      <c r="C4107" s="22"/>
      <c r="D4107" s="22"/>
      <c r="E4107" s="22"/>
      <c r="F4107" s="22"/>
    </row>
    <row r="4108">
      <c r="A4108" s="5"/>
      <c r="B4108" s="17" t="s">
        <v>1917</v>
      </c>
      <c r="C4108" s="22"/>
      <c r="D4108" s="22"/>
      <c r="E4108" s="22"/>
      <c r="F4108" s="22"/>
    </row>
    <row r="4109">
      <c r="A4109" s="5"/>
      <c r="B4109" s="18" t="s">
        <v>1898</v>
      </c>
      <c r="C4109" s="22">
        <f>(3)*(1)*(1)*(1)*(1 + (0))</f>
      </c>
      <c r="D4109" s="22" t="s">
        <v>111</v>
      </c>
      <c r="E4109" s="22"/>
      <c r="F4109" s="22">
        <f>C4109*E4109</f>
      </c>
    </row>
    <row r="4110">
      <c r="A4110" s="5"/>
      <c r="B4110" s="17" t="s">
        <v>1918</v>
      </c>
      <c r="C4110" s="22"/>
      <c r="D4110" s="22"/>
      <c r="E4110" s="22"/>
      <c r="F4110" s="22"/>
    </row>
    <row r="4111">
      <c r="A4111" s="5"/>
      <c r="B4111" s="18" t="s">
        <v>1898</v>
      </c>
      <c r="C4111" s="22">
        <f>(2)*(1)*(1)*(1)*(1 + (0))</f>
      </c>
      <c r="D4111" s="22" t="s">
        <v>111</v>
      </c>
      <c r="E4111" s="22"/>
      <c r="F4111" s="22">
        <f>C4111*E4111</f>
      </c>
    </row>
    <row r="4112">
      <c r="A4112" s="5"/>
      <c r="B4112" s="17" t="s">
        <v>1919</v>
      </c>
      <c r="C4112" s="22"/>
      <c r="D4112" s="22"/>
      <c r="E4112" s="22"/>
      <c r="F4112" s="22"/>
    </row>
    <row r="4113">
      <c r="A4113" s="5"/>
      <c r="B4113" s="18" t="s">
        <v>1898</v>
      </c>
      <c r="C4113" s="22">
        <f>(2)*(1)*(1)*(1)*(1 + (0))</f>
      </c>
      <c r="D4113" s="22" t="s">
        <v>111</v>
      </c>
      <c r="E4113" s="22"/>
      <c r="F4113" s="22">
        <f>C4113*E4113</f>
      </c>
    </row>
    <row r="4114">
      <c r="A4114" s="5"/>
      <c r="B4114" s="17" t="s">
        <v>1920</v>
      </c>
      <c r="C4114" s="22"/>
      <c r="D4114" s="22"/>
      <c r="E4114" s="22"/>
      <c r="F4114" s="22"/>
    </row>
    <row r="4115">
      <c r="A4115" s="5"/>
      <c r="B4115" s="18" t="s">
        <v>1898</v>
      </c>
      <c r="C4115" s="22">
        <f>(3)*(1)*(1)*(1)*(1 + (0))</f>
      </c>
      <c r="D4115" s="22" t="s">
        <v>111</v>
      </c>
      <c r="E4115" s="22"/>
      <c r="F4115" s="22">
        <f>C4115*E4115</f>
      </c>
    </row>
    <row r="4116">
      <c r="A4116" s="5"/>
      <c r="B4116" s="17" t="s">
        <v>1921</v>
      </c>
      <c r="C4116" s="22"/>
      <c r="D4116" s="22"/>
      <c r="E4116" s="22"/>
      <c r="F4116" s="22"/>
    </row>
    <row r="4117">
      <c r="A4117" s="5"/>
      <c r="B4117" s="18" t="s">
        <v>1898</v>
      </c>
      <c r="C4117" s="22">
        <f>(2)*(1)*(1)*(1)*(1 + (0))</f>
      </c>
      <c r="D4117" s="22" t="s">
        <v>111</v>
      </c>
      <c r="E4117" s="22"/>
      <c r="F4117" s="22">
        <f>C4117*E4117</f>
      </c>
    </row>
    <row r="4118">
      <c r="A4118" s="5"/>
      <c r="B4118" s="16" t="s">
        <v>1922</v>
      </c>
      <c r="C4118" s="22"/>
      <c r="D4118" s="22"/>
      <c r="E4118" s="22"/>
      <c r="F4118" s="22"/>
    </row>
    <row r="4119">
      <c r="A4119" s="5"/>
      <c r="B4119" s="17" t="s">
        <v>1923</v>
      </c>
      <c r="C4119" s="22"/>
      <c r="D4119" s="22"/>
      <c r="E4119" s="22"/>
      <c r="F4119" s="22"/>
    </row>
    <row r="4120">
      <c r="A4120" s="5"/>
      <c r="B4120" s="18" t="s">
        <v>1898</v>
      </c>
      <c r="C4120" s="22">
        <f>(1)*(1)*(1)*(1)*(1 + (0))</f>
      </c>
      <c r="D4120" s="22" t="s">
        <v>111</v>
      </c>
      <c r="E4120" s="22"/>
      <c r="F4120" s="22">
        <f>C4120*E4120</f>
      </c>
    </row>
    <row r="4121">
      <c r="A4121" s="5"/>
      <c r="B4121" s="17" t="s">
        <v>1920</v>
      </c>
      <c r="C4121" s="22"/>
      <c r="D4121" s="22"/>
      <c r="E4121" s="22"/>
      <c r="F4121" s="22"/>
    </row>
    <row r="4122">
      <c r="A4122" s="5"/>
      <c r="B4122" s="18" t="s">
        <v>1898</v>
      </c>
      <c r="C4122" s="22">
        <f>(9)*(1)*(1)*(1)*(1 + (0))</f>
      </c>
      <c r="D4122" s="22" t="s">
        <v>111</v>
      </c>
      <c r="E4122" s="22"/>
      <c r="F4122" s="22">
        <f>C4122*E4122</f>
      </c>
    </row>
    <row r="4123">
      <c r="A4123" s="5"/>
      <c r="B4123" s="17" t="s">
        <v>1924</v>
      </c>
      <c r="C4123" s="22"/>
      <c r="D4123" s="22"/>
      <c r="E4123" s="22"/>
      <c r="F4123" s="22"/>
    </row>
    <row r="4124">
      <c r="A4124" s="5"/>
      <c r="B4124" s="18" t="s">
        <v>1898</v>
      </c>
      <c r="C4124" s="22">
        <f>(4)*(1)*(1)*(1)*(1 + (0))</f>
      </c>
      <c r="D4124" s="22" t="s">
        <v>111</v>
      </c>
      <c r="E4124" s="22"/>
      <c r="F4124" s="22">
        <f>C4124*E4124</f>
      </c>
    </row>
    <row r="4125">
      <c r="A4125" s="6"/>
      <c r="B4125" s="15" t="s">
        <v>1925</v>
      </c>
      <c r="C4125" s="23"/>
      <c r="D4125" s="23"/>
      <c r="E4125" s="23"/>
      <c r="F4125" s="23"/>
    </row>
    <row r="4126">
      <c r="A4126" s="5"/>
      <c r="B4126" s="16" t="s">
        <v>1898</v>
      </c>
      <c r="C4126" s="22">
        <f>(1)*(1)*(1)*(1)*(1 + (0))</f>
      </c>
      <c r="D4126" s="22" t="s">
        <v>111</v>
      </c>
      <c r="E4126" s="22"/>
      <c r="F4126" s="22">
        <f>C4126*E4126</f>
      </c>
    </row>
    <row r="4127">
      <c r="A4127" s="4"/>
      <c r="B4127" s="12" t="s">
        <v>1926</v>
      </c>
      <c r="C4127" s="21"/>
      <c r="D4127" s="21"/>
      <c r="E4127" s="21"/>
      <c r="F4127" s="21"/>
    </row>
    <row r="4128">
      <c r="A4128" s="6"/>
      <c r="B4128" s="15" t="s">
        <v>1927</v>
      </c>
      <c r="C4128" s="23"/>
      <c r="D4128" s="23"/>
      <c r="E4128" s="23"/>
      <c r="F4128" s="23"/>
    </row>
    <row r="4129">
      <c r="A4129" s="5"/>
      <c r="B4129" s="16" t="s">
        <v>1928</v>
      </c>
      <c r="C4129" s="22"/>
      <c r="D4129" s="22"/>
      <c r="E4129" s="22"/>
      <c r="F4129" s="22"/>
    </row>
    <row r="4130">
      <c r="A4130" s="5"/>
      <c r="B4130" s="17" t="s">
        <v>1929</v>
      </c>
      <c r="C4130" s="22"/>
      <c r="D4130" s="22"/>
      <c r="E4130" s="22"/>
      <c r="F4130" s="22"/>
    </row>
    <row r="4131">
      <c r="A4131" s="5"/>
      <c r="B4131" s="18" t="s">
        <v>1898</v>
      </c>
      <c r="C4131" s="22">
        <f>(0.646044541731993)*(1)*(1)*(1)*(1 + (0))</f>
      </c>
      <c r="D4131" s="22" t="s">
        <v>182</v>
      </c>
      <c r="E4131" s="22"/>
      <c r="F4131" s="22">
        <f>C4131*E4131</f>
      </c>
    </row>
    <row r="4132">
      <c r="A4132" s="6"/>
      <c r="B4132" s="15" t="s">
        <v>1930</v>
      </c>
      <c r="C4132" s="23"/>
      <c r="D4132" s="23"/>
      <c r="E4132" s="23"/>
      <c r="F4132" s="23"/>
    </row>
    <row r="4133">
      <c r="A4133" s="5"/>
      <c r="B4133" s="16" t="s">
        <v>1931</v>
      </c>
      <c r="C4133" s="22"/>
      <c r="D4133" s="22"/>
      <c r="E4133" s="22"/>
      <c r="F4133" s="22"/>
    </row>
    <row r="4134">
      <c r="A4134" s="5"/>
      <c r="B4134" s="17" t="s">
        <v>1932</v>
      </c>
      <c r="C4134" s="22"/>
      <c r="D4134" s="22"/>
      <c r="E4134" s="22"/>
      <c r="F4134" s="22"/>
    </row>
    <row r="4135">
      <c r="A4135" s="5"/>
      <c r="B4135" s="18" t="s">
        <v>1898</v>
      </c>
      <c r="C4135" s="22">
        <f>(0.193116210932093)*(1)*(1)*(1)*(1 + (0))</f>
      </c>
      <c r="D4135" s="22" t="s">
        <v>182</v>
      </c>
      <c r="E4135" s="22"/>
      <c r="F4135" s="22">
        <f>C4135*E4135</f>
      </c>
    </row>
    <row r="4136">
      <c r="A4136" s="5"/>
      <c r="B4136" s="17" t="s">
        <v>1933</v>
      </c>
      <c r="C4136" s="22"/>
      <c r="D4136" s="22"/>
      <c r="E4136" s="22"/>
      <c r="F4136" s="22"/>
    </row>
    <row r="4137">
      <c r="A4137" s="5"/>
      <c r="B4137" s="18" t="s">
        <v>1898</v>
      </c>
      <c r="C4137" s="22">
        <f>(0.188333287794746)*(1)*(1)*(1)*(1 + (0))</f>
      </c>
      <c r="D4137" s="22" t="s">
        <v>182</v>
      </c>
      <c r="E4137" s="22"/>
      <c r="F4137" s="22">
        <f>C4137*E4137</f>
      </c>
    </row>
    <row r="4138">
      <c r="A4138" s="5"/>
      <c r="B4138" s="17" t="s">
        <v>1934</v>
      </c>
      <c r="C4138" s="22"/>
      <c r="D4138" s="22"/>
      <c r="E4138" s="22"/>
      <c r="F4138" s="22"/>
    </row>
    <row r="4139">
      <c r="A4139" s="5"/>
      <c r="B4139" s="18" t="s">
        <v>1898</v>
      </c>
      <c r="C4139" s="22">
        <f>(0.117084674688882)*(1)*(1)*(1)*(1 + (0))</f>
      </c>
      <c r="D4139" s="22" t="s">
        <v>182</v>
      </c>
      <c r="E4139" s="22"/>
      <c r="F4139" s="22">
        <f>C4139*E4139</f>
      </c>
    </row>
    <row r="4140">
      <c r="A4140" s="5"/>
      <c r="B4140" s="17" t="s">
        <v>1935</v>
      </c>
      <c r="C4140" s="22"/>
      <c r="D4140" s="22"/>
      <c r="E4140" s="22"/>
      <c r="F4140" s="22"/>
    </row>
    <row r="4141">
      <c r="A4141" s="5"/>
      <c r="B4141" s="18" t="s">
        <v>1898</v>
      </c>
      <c r="C4141" s="22">
        <f>(0.269976055932204)*(1)*(1)*(1)*(1 + (0))</f>
      </c>
      <c r="D4141" s="22" t="s">
        <v>182</v>
      </c>
      <c r="E4141" s="22"/>
      <c r="F4141" s="22">
        <f>C4141*E4141</f>
      </c>
    </row>
    <row r="4142">
      <c r="A4142" s="5"/>
      <c r="B4142" s="17" t="s">
        <v>1936</v>
      </c>
      <c r="C4142" s="22"/>
      <c r="D4142" s="22"/>
      <c r="E4142" s="22"/>
      <c r="F4142" s="22"/>
    </row>
    <row r="4143">
      <c r="A4143" s="5"/>
      <c r="B4143" s="18" t="s">
        <v>1898</v>
      </c>
      <c r="C4143" s="22">
        <f>(0.183258831347278)*(1)*(1)*(1)*(1 + (0))</f>
      </c>
      <c r="D4143" s="22" t="s">
        <v>182</v>
      </c>
      <c r="E4143" s="22"/>
      <c r="F4143" s="22">
        <f>C4143*E4143</f>
      </c>
    </row>
    <row r="4144">
      <c r="A4144" s="5"/>
      <c r="B4144" s="16" t="s">
        <v>1937</v>
      </c>
      <c r="C4144" s="22"/>
      <c r="D4144" s="22"/>
      <c r="E4144" s="22"/>
      <c r="F4144" s="22"/>
    </row>
    <row r="4145">
      <c r="A4145" s="5"/>
      <c r="B4145" s="17" t="s">
        <v>1938</v>
      </c>
      <c r="C4145" s="22"/>
      <c r="D4145" s="22"/>
      <c r="E4145" s="22"/>
      <c r="F4145" s="22"/>
    </row>
    <row r="4146">
      <c r="A4146" s="5"/>
      <c r="B4146" s="18" t="s">
        <v>1898</v>
      </c>
      <c r="C4146" s="22">
        <f>(0.0789555995725489)*(1)*(1)*(1)*(1 + (0))</f>
      </c>
      <c r="D4146" s="22" t="s">
        <v>182</v>
      </c>
      <c r="E4146" s="22"/>
      <c r="F4146" s="22">
        <f>C4146*E4146</f>
      </c>
    </row>
    <row r="4147">
      <c r="A4147" s="5"/>
      <c r="B4147" s="17" t="s">
        <v>1935</v>
      </c>
      <c r="C4147" s="22"/>
      <c r="D4147" s="22"/>
      <c r="E4147" s="22"/>
      <c r="F4147" s="22"/>
    </row>
    <row r="4148">
      <c r="A4148" s="5"/>
      <c r="B4148" s="18" t="s">
        <v>1898</v>
      </c>
      <c r="C4148" s="22">
        <f>(0.789875654002596)*(1)*(1)*(1)*(1 + (0))</f>
      </c>
      <c r="D4148" s="22" t="s">
        <v>182</v>
      </c>
      <c r="E4148" s="22"/>
      <c r="F4148" s="22">
        <f>C4148*E4148</f>
      </c>
    </row>
    <row r="4149">
      <c r="A4149" s="5"/>
      <c r="B4149" s="17" t="s">
        <v>1939</v>
      </c>
      <c r="C4149" s="22"/>
      <c r="D4149" s="22"/>
      <c r="E4149" s="22"/>
      <c r="F4149" s="22"/>
    </row>
    <row r="4150">
      <c r="A4150" s="5"/>
      <c r="B4150" s="18" t="s">
        <v>1898</v>
      </c>
      <c r="C4150" s="22">
        <f>(0.3656135600917)*(1)*(1)*(1)*(1 + (0))</f>
      </c>
      <c r="D4150" s="22" t="s">
        <v>182</v>
      </c>
      <c r="E4150" s="22"/>
      <c r="F4150" s="22">
        <f>C4150*E4150</f>
      </c>
    </row>
    <row r="4151">
      <c r="A4151" s="3"/>
      <c r="B4151" s="11" t="s">
        <v>1940</v>
      </c>
      <c r="C4151" s="20"/>
      <c r="D4151" s="20"/>
      <c r="E4151" s="20"/>
      <c r="F4151" s="20"/>
    </row>
    <row r="4152">
      <c r="A4152" s="4"/>
      <c r="B4152" s="12" t="s">
        <v>1941</v>
      </c>
      <c r="C4152" s="21"/>
      <c r="D4152" s="21"/>
      <c r="E4152" s="21"/>
      <c r="F4152" s="21"/>
    </row>
    <row r="4153">
      <c r="A4153" s="5"/>
      <c r="B4153" s="13" t="s">
        <v>1942</v>
      </c>
      <c r="C4153" s="22">
        <f>(223)*(1)*(1)*(1)*(1 + (0))</f>
      </c>
      <c r="D4153" s="22" t="s">
        <v>24</v>
      </c>
      <c r="E4153" s="22"/>
      <c r="F4153" s="22">
        <f>C4153*E4153</f>
      </c>
    </row>
    <row r="4154">
      <c r="A4154" s="2"/>
      <c r="B4154" s="10" t="s">
        <v>520</v>
      </c>
      <c r="C4154" s="19"/>
      <c r="D4154" s="19"/>
      <c r="E4154" s="19"/>
      <c r="F4154" s="19"/>
    </row>
    <row r="4155">
      <c r="A4155" s="3"/>
      <c r="B4155" s="11" t="s">
        <v>37</v>
      </c>
      <c r="C4155" s="20"/>
      <c r="D4155" s="20"/>
      <c r="E4155" s="20"/>
      <c r="F4155" s="20"/>
    </row>
    <row r="4156">
      <c r="A4156" s="5" t="s">
        <v>521</v>
      </c>
      <c r="B4156" s="14" t="s">
        <v>39</v>
      </c>
      <c r="C4156" s="22"/>
      <c r="D4156" s="22" t="s">
        <v>10</v>
      </c>
      <c r="E4156" s="22"/>
      <c r="F4156" s="22">
        <f>C4156*E4156</f>
      </c>
    </row>
    <row r="4157">
      <c r="A4157" s="5" t="s">
        <v>522</v>
      </c>
      <c r="B4157" s="14" t="s">
        <v>41</v>
      </c>
      <c r="C4157" s="22"/>
      <c r="D4157" s="22" t="s">
        <v>10</v>
      </c>
      <c r="E4157" s="22"/>
      <c r="F4157" s="22">
        <f>C4157*E4157</f>
      </c>
    </row>
    <row r="4158">
      <c r="A4158" s="3"/>
      <c r="B4158" s="11" t="s">
        <v>523</v>
      </c>
      <c r="C4158" s="20"/>
      <c r="D4158" s="20"/>
      <c r="E4158" s="20"/>
      <c r="F4158" s="20"/>
    </row>
    <row r="4159">
      <c r="A4159" s="5"/>
      <c r="B4159" s="14" t="s">
        <v>524</v>
      </c>
      <c r="C4159" s="22"/>
      <c r="D4159" s="22" t="s">
        <v>10</v>
      </c>
      <c r="E4159" s="22"/>
      <c r="F4159" s="22">
        <f>C4159*E4159</f>
      </c>
    </row>
    <row r="4160">
      <c r="A4160" s="5"/>
      <c r="B4160" s="14" t="s">
        <v>1943</v>
      </c>
      <c r="C4160" s="22"/>
      <c r="D4160" s="22" t="s">
        <v>10</v>
      </c>
      <c r="E4160" s="22"/>
      <c r="F4160" s="22">
        <f>C4160*E4160</f>
      </c>
    </row>
    <row r="4161">
      <c r="A4161" s="3"/>
      <c r="B4161" s="11" t="s">
        <v>44</v>
      </c>
      <c r="C4161" s="20"/>
      <c r="D4161" s="20"/>
      <c r="E4161" s="20"/>
      <c r="F4161" s="20"/>
    </row>
    <row r="4162">
      <c r="A4162" s="4"/>
      <c r="B4162" s="12" t="s">
        <v>45</v>
      </c>
      <c r="C4162" s="21"/>
      <c r="D4162" s="21"/>
      <c r="E4162" s="21"/>
      <c r="F4162" s="21"/>
    </row>
    <row r="4163">
      <c r="A4163" s="5" t="s">
        <v>527</v>
      </c>
      <c r="B4163" s="13" t="s">
        <v>528</v>
      </c>
      <c r="C4163" s="22"/>
      <c r="D4163" s="22" t="s">
        <v>10</v>
      </c>
      <c r="E4163" s="22"/>
      <c r="F4163" s="22">
        <f>C4163*E4163</f>
      </c>
    </row>
    <row r="4164">
      <c r="A4164" s="5" t="s">
        <v>529</v>
      </c>
      <c r="B4164" s="13" t="s">
        <v>530</v>
      </c>
      <c r="C4164" s="22"/>
      <c r="D4164" s="22" t="s">
        <v>10</v>
      </c>
      <c r="E4164" s="22"/>
      <c r="F4164" s="22">
        <f>C4164*E4164</f>
      </c>
    </row>
    <row r="4165">
      <c r="A4165" s="5" t="s">
        <v>531</v>
      </c>
      <c r="B4165" s="13" t="s">
        <v>532</v>
      </c>
      <c r="C4165" s="22"/>
      <c r="D4165" s="22" t="s">
        <v>10</v>
      </c>
      <c r="E4165" s="22"/>
      <c r="F4165" s="22">
        <f>C4165*E4165</f>
      </c>
    </row>
    <row r="4166">
      <c r="A4166" s="5" t="s">
        <v>533</v>
      </c>
      <c r="B4166" s="13" t="s">
        <v>534</v>
      </c>
      <c r="C4166" s="22"/>
      <c r="D4166" s="22" t="s">
        <v>10</v>
      </c>
      <c r="E4166" s="22"/>
      <c r="F4166" s="22">
        <f>C4166*E4166</f>
      </c>
    </row>
    <row r="4167">
      <c r="A4167" s="5" t="s">
        <v>535</v>
      </c>
      <c r="B4167" s="13" t="s">
        <v>536</v>
      </c>
      <c r="C4167" s="22"/>
      <c r="D4167" s="22" t="s">
        <v>10</v>
      </c>
      <c r="E4167" s="22"/>
      <c r="F4167" s="22">
        <f>C4167*E4167</f>
      </c>
    </row>
    <row r="4168">
      <c r="A4168" s="5" t="s">
        <v>537</v>
      </c>
      <c r="B4168" s="13" t="s">
        <v>538</v>
      </c>
      <c r="C4168" s="22"/>
      <c r="D4168" s="22" t="s">
        <v>10</v>
      </c>
      <c r="E4168" s="22"/>
      <c r="F4168" s="22">
        <f>C4168*E4168</f>
      </c>
    </row>
    <row r="4169">
      <c r="A4169" s="5" t="s">
        <v>539</v>
      </c>
      <c r="B4169" s="13" t="s">
        <v>123</v>
      </c>
      <c r="C4169" s="22"/>
      <c r="D4169" s="22" t="s">
        <v>10</v>
      </c>
      <c r="E4169" s="22"/>
      <c r="F4169" s="22">
        <f>C4169*E4169</f>
      </c>
    </row>
    <row r="4170">
      <c r="A4170" s="3"/>
      <c r="B4170" s="11" t="s">
        <v>68</v>
      </c>
      <c r="C4170" s="20"/>
      <c r="D4170" s="20"/>
      <c r="E4170" s="20"/>
      <c r="F4170" s="20"/>
    </row>
    <row r="4171">
      <c r="A4171" s="5" t="s">
        <v>540</v>
      </c>
      <c r="B4171" s="14" t="s">
        <v>70</v>
      </c>
      <c r="C4171" s="22">
        <f>(1)*(1)*(1)*(1)*(1 + (0))</f>
      </c>
      <c r="D4171" s="22" t="s">
        <v>71</v>
      </c>
      <c r="E4171" s="22"/>
      <c r="F4171" s="22">
        <f>C4171*E4171</f>
      </c>
    </row>
    <row r="4172">
      <c r="A4172" s="5" t="s">
        <v>541</v>
      </c>
      <c r="B4172" s="14" t="s">
        <v>73</v>
      </c>
      <c r="C4172" s="22">
        <f>(1)*(1)*(1)*(1)*(1 + (0))</f>
      </c>
      <c r="D4172" s="22" t="s">
        <v>71</v>
      </c>
      <c r="E4172" s="22"/>
      <c r="F4172" s="22">
        <f>C4172*E4172</f>
      </c>
    </row>
    <row r="4173">
      <c r="A4173" s="5" t="s">
        <v>542</v>
      </c>
      <c r="B4173" s="14" t="s">
        <v>543</v>
      </c>
      <c r="C4173" s="22">
        <f>(1)*(1)*(1)*(1)*(1 + (0))</f>
      </c>
      <c r="D4173" s="22" t="s">
        <v>71</v>
      </c>
      <c r="E4173" s="22"/>
      <c r="F4173" s="22">
        <f>C4173*E4173</f>
      </c>
    </row>
    <row r="4174">
      <c r="A4174" s="5" t="s">
        <v>544</v>
      </c>
      <c r="B4174" s="14" t="s">
        <v>545</v>
      </c>
      <c r="C4174" s="22">
        <f>(1)*(1)*(1)*(1)*(1 + (0))</f>
      </c>
      <c r="D4174" s="22" t="s">
        <v>71</v>
      </c>
      <c r="E4174" s="22"/>
      <c r="F4174" s="22">
        <f>C4174*E4174</f>
      </c>
    </row>
    <row r="4175">
      <c r="A4175" s="5" t="s">
        <v>546</v>
      </c>
      <c r="B4175" s="14" t="s">
        <v>547</v>
      </c>
      <c r="C4175" s="22">
        <f>(1)*(1)*(1)*(1)*(1 + (0))</f>
      </c>
      <c r="D4175" s="22" t="s">
        <v>71</v>
      </c>
      <c r="E4175" s="22"/>
      <c r="F4175" s="22">
        <f>C4175*E4175</f>
      </c>
    </row>
    <row r="4176">
      <c r="A4176" s="5" t="s">
        <v>548</v>
      </c>
      <c r="B4176" s="14" t="s">
        <v>549</v>
      </c>
      <c r="C4176" s="22">
        <f>(1)*(1)*(1)*(1)*(1 + (0))</f>
      </c>
      <c r="D4176" s="22" t="s">
        <v>71</v>
      </c>
      <c r="E4176" s="22"/>
      <c r="F4176" s="22">
        <f>C4176*E4176</f>
      </c>
    </row>
    <row r="4177">
      <c r="A4177" s="5" t="s">
        <v>550</v>
      </c>
      <c r="B4177" s="14" t="s">
        <v>551</v>
      </c>
      <c r="C4177" s="22">
        <f>(1)*(1)*(1)*(1)*(1 + (0))</f>
      </c>
      <c r="D4177" s="22" t="s">
        <v>71</v>
      </c>
      <c r="E4177" s="22"/>
      <c r="F4177" s="22">
        <f>C4177*E4177</f>
      </c>
    </row>
    <row r="4178">
      <c r="A4178" s="5" t="s">
        <v>552</v>
      </c>
      <c r="B4178" s="14" t="s">
        <v>553</v>
      </c>
      <c r="C4178" s="22">
        <f>(1)*(1)*(1)*(1)*(1 + (0))</f>
      </c>
      <c r="D4178" s="22" t="s">
        <v>71</v>
      </c>
      <c r="E4178" s="22"/>
      <c r="F4178" s="22">
        <f>C4178*E4178</f>
      </c>
    </row>
    <row r="4179">
      <c r="A4179" s="5" t="s">
        <v>554</v>
      </c>
      <c r="B4179" s="14" t="s">
        <v>555</v>
      </c>
      <c r="C4179" s="22">
        <f>(1)*(1)*(1)*(1)*(1 + (0))</f>
      </c>
      <c r="D4179" s="22" t="s">
        <v>71</v>
      </c>
      <c r="E4179" s="22"/>
      <c r="F4179" s="22">
        <f>C4179*E4179</f>
      </c>
    </row>
    <row r="4180">
      <c r="A4180" s="5" t="s">
        <v>556</v>
      </c>
      <c r="B4180" s="14" t="s">
        <v>447</v>
      </c>
      <c r="C4180" s="22">
        <f>(1)*(1)*(1)*(1)*(1 + (0))</f>
      </c>
      <c r="D4180" s="22" t="s">
        <v>71</v>
      </c>
      <c r="E4180" s="22"/>
      <c r="F4180" s="22">
        <f>C4180*E4180</f>
      </c>
    </row>
    <row r="4181">
      <c r="A4181" s="5" t="s">
        <v>557</v>
      </c>
      <c r="B4181" s="14" t="s">
        <v>558</v>
      </c>
      <c r="C4181" s="22">
        <f>(1)*(1)*(1)*(1)*(1 + (0))</f>
      </c>
      <c r="D4181" s="22" t="s">
        <v>71</v>
      </c>
      <c r="E4181" s="22"/>
      <c r="F4181" s="22">
        <f>C4181*E4181</f>
      </c>
    </row>
    <row r="4182">
      <c r="A4182" s="3"/>
      <c r="B4182" s="11" t="s">
        <v>560</v>
      </c>
      <c r="C4182" s="20"/>
      <c r="D4182" s="20"/>
      <c r="E4182" s="20"/>
      <c r="F4182" s="20"/>
    </row>
    <row r="4183">
      <c r="A4183" s="4"/>
      <c r="B4183" s="12" t="s">
        <v>392</v>
      </c>
      <c r="C4183" s="21"/>
      <c r="D4183" s="21"/>
      <c r="E4183" s="21"/>
      <c r="F4183" s="21"/>
    </row>
    <row r="4184">
      <c r="A4184" s="6"/>
      <c r="B4184" s="15" t="s">
        <v>252</v>
      </c>
      <c r="C4184" s="23"/>
      <c r="D4184" s="23"/>
      <c r="E4184" s="23"/>
      <c r="F4184" s="23"/>
    </row>
    <row r="4185">
      <c r="A4185" s="5"/>
      <c r="B4185" s="16" t="s">
        <v>1944</v>
      </c>
      <c r="C4185" s="22">
        <f>(1.4012)*(1)*(1)*(1)*(1 + (0))</f>
      </c>
      <c r="D4185" s="22" t="s">
        <v>182</v>
      </c>
      <c r="E4185" s="22"/>
      <c r="F4185" s="22">
        <f>C4185*E4185</f>
      </c>
    </row>
    <row r="4186">
      <c r="A4186" s="5"/>
      <c r="B4186" s="16" t="s">
        <v>1945</v>
      </c>
      <c r="C4186" s="22">
        <f>(1.55)*(1)*(1)*(1)*(1 + (0))</f>
      </c>
      <c r="D4186" s="22" t="s">
        <v>182</v>
      </c>
      <c r="E4186" s="22"/>
      <c r="F4186" s="22">
        <f>C4186*E4186</f>
      </c>
    </row>
    <row r="4187">
      <c r="A4187" s="5"/>
      <c r="B4187" s="16" t="s">
        <v>1946</v>
      </c>
      <c r="C4187" s="22">
        <f>(0.28272)*(1)*(1)*(1)*(1 + (0))</f>
      </c>
      <c r="D4187" s="22" t="s">
        <v>182</v>
      </c>
      <c r="E4187" s="22"/>
      <c r="F4187" s="22">
        <f>C4187*E4187</f>
      </c>
    </row>
    <row r="4188">
      <c r="A4188" s="5"/>
      <c r="B4188" s="16" t="s">
        <v>1676</v>
      </c>
      <c r="C4188" s="22">
        <f>(4.34588)*(1)*(1)*(1)*(1 + (0))</f>
      </c>
      <c r="D4188" s="22" t="s">
        <v>182</v>
      </c>
      <c r="E4188" s="22"/>
      <c r="F4188" s="22">
        <f>C4188*E4188</f>
      </c>
    </row>
    <row r="4189">
      <c r="A4189" s="5"/>
      <c r="B4189" s="16" t="s">
        <v>1947</v>
      </c>
      <c r="C4189" s="22">
        <f>(1.68744)*(1)*(1)*(1)*(1 + (0))</f>
      </c>
      <c r="D4189" s="22" t="s">
        <v>182</v>
      </c>
      <c r="E4189" s="22"/>
      <c r="F4189" s="22">
        <f>C4189*E4189</f>
      </c>
    </row>
    <row r="4190">
      <c r="A4190" s="5"/>
      <c r="B4190" s="16" t="s">
        <v>1948</v>
      </c>
      <c r="C4190" s="22">
        <f>(0.89252)*(1)*(1)*(1)*(1 + (0))</f>
      </c>
      <c r="D4190" s="22" t="s">
        <v>182</v>
      </c>
      <c r="E4190" s="22"/>
      <c r="F4190" s="22">
        <f>C4190*E4190</f>
      </c>
    </row>
    <row r="4191">
      <c r="A4191" s="5"/>
      <c r="B4191" s="16" t="s">
        <v>563</v>
      </c>
      <c r="C4191" s="22">
        <f>(1.524)*(1)*(1)*(1)*(1 + (0))</f>
      </c>
      <c r="D4191" s="22" t="s">
        <v>182</v>
      </c>
      <c r="E4191" s="22"/>
      <c r="F4191" s="22">
        <f>C4191*E4191</f>
      </c>
    </row>
    <row r="4192">
      <c r="A4192" s="5"/>
      <c r="B4192" s="16" t="s">
        <v>1949</v>
      </c>
      <c r="C4192" s="22">
        <f>(2)*(1)*(1)*(1)*(1 + (0))</f>
      </c>
      <c r="D4192" s="22" t="s">
        <v>162</v>
      </c>
      <c r="E4192" s="22"/>
      <c r="F4192" s="22">
        <f>C4192*E4192</f>
      </c>
    </row>
    <row r="4193">
      <c r="A4193" s="5"/>
      <c r="B4193" s="16" t="s">
        <v>1950</v>
      </c>
      <c r="C4193" s="22">
        <f>(2)*(1)*(1)*(1)*(1 + (0))</f>
      </c>
      <c r="D4193" s="22" t="s">
        <v>162</v>
      </c>
      <c r="E4193" s="22"/>
      <c r="F4193" s="22">
        <f>C4193*E4193</f>
      </c>
    </row>
    <row r="4194">
      <c r="A4194" s="5"/>
      <c r="B4194" s="16" t="s">
        <v>1951</v>
      </c>
      <c r="C4194" s="22">
        <f>(2)*(1)*(1)*(1)*(1 + (0))</f>
      </c>
      <c r="D4194" s="22" t="s">
        <v>162</v>
      </c>
      <c r="E4194" s="22"/>
      <c r="F4194" s="22">
        <f>C4194*E4194</f>
      </c>
    </row>
    <row r="4195">
      <c r="A4195" s="5"/>
      <c r="B4195" s="16" t="s">
        <v>1952</v>
      </c>
      <c r="C4195" s="22">
        <f>(16)*(1)*(1)*(1)*(1 + (0))</f>
      </c>
      <c r="D4195" s="22" t="s">
        <v>162</v>
      </c>
      <c r="E4195" s="22"/>
      <c r="F4195" s="22">
        <f>C4195*E4195</f>
      </c>
    </row>
    <row r="4196">
      <c r="A4196" s="5"/>
      <c r="B4196" s="16" t="s">
        <v>1953</v>
      </c>
      <c r="C4196" s="22">
        <f>(20)*(1)*(1)*(1)*(1 + (0))</f>
      </c>
      <c r="D4196" s="22" t="s">
        <v>162</v>
      </c>
      <c r="E4196" s="22"/>
      <c r="F4196" s="22">
        <f>C4196*E4196</f>
      </c>
    </row>
    <row r="4197">
      <c r="A4197" s="5"/>
      <c r="B4197" s="16" t="s">
        <v>1954</v>
      </c>
      <c r="C4197" s="22">
        <f>(4)*(1)*(1)*(1)*(1 + (0))</f>
      </c>
      <c r="D4197" s="22" t="s">
        <v>162</v>
      </c>
      <c r="E4197" s="22"/>
      <c r="F4197" s="22">
        <f>C4197*E4197</f>
      </c>
    </row>
    <row r="4198">
      <c r="A4198" s="5"/>
      <c r="B4198" s="16" t="s">
        <v>1955</v>
      </c>
      <c r="C4198" s="22">
        <f>(42)*(1)*(1)*(1)*(1 + (0))</f>
      </c>
      <c r="D4198" s="22" t="s">
        <v>162</v>
      </c>
      <c r="E4198" s="22"/>
      <c r="F4198" s="22">
        <f>C4198*E4198</f>
      </c>
    </row>
    <row r="4199">
      <c r="A4199" s="5"/>
      <c r="B4199" s="16" t="s">
        <v>1956</v>
      </c>
      <c r="C4199" s="22">
        <f>(4)*(1)*(1)*(1)*(1 + (0))</f>
      </c>
      <c r="D4199" s="22" t="s">
        <v>162</v>
      </c>
      <c r="E4199" s="22"/>
      <c r="F4199" s="22">
        <f>C4199*E4199</f>
      </c>
    </row>
    <row r="4200">
      <c r="A4200" s="6"/>
      <c r="B4200" s="15" t="s">
        <v>1957</v>
      </c>
      <c r="C4200" s="23"/>
      <c r="D4200" s="23"/>
      <c r="E4200" s="23"/>
      <c r="F4200" s="23"/>
    </row>
    <row r="4201">
      <c r="A4201" s="5"/>
      <c r="B4201" s="16" t="s">
        <v>1948</v>
      </c>
      <c r="C4201" s="22">
        <f>(0.1684)*(1)*(1)*(1)*(1 + (0))</f>
      </c>
      <c r="D4201" s="22" t="s">
        <v>182</v>
      </c>
      <c r="E4201" s="22"/>
      <c r="F4201" s="22">
        <f>C4201*E4201</f>
      </c>
    </row>
    <row r="4202">
      <c r="A4202" s="5"/>
      <c r="B4202" s="16" t="s">
        <v>563</v>
      </c>
      <c r="C4202" s="22">
        <f>(0.0255)*(1)*(1)*(1)*(1 + (0))</f>
      </c>
      <c r="D4202" s="22" t="s">
        <v>182</v>
      </c>
      <c r="E4202" s="22"/>
      <c r="F4202" s="22">
        <f>C4202*E4202</f>
      </c>
    </row>
    <row r="4203">
      <c r="A4203" s="4"/>
      <c r="B4203" s="12" t="s">
        <v>565</v>
      </c>
      <c r="C4203" s="21"/>
      <c r="D4203" s="21"/>
      <c r="E4203" s="21"/>
      <c r="F4203" s="21"/>
    </row>
    <row r="4204">
      <c r="A4204" s="6"/>
      <c r="B4204" s="15" t="s">
        <v>1958</v>
      </c>
      <c r="C4204" s="23"/>
      <c r="D4204" s="23"/>
      <c r="E4204" s="23"/>
      <c r="F4204" s="23"/>
    </row>
    <row r="4205">
      <c r="A4205" s="5"/>
      <c r="B4205" s="16" t="s">
        <v>1959</v>
      </c>
      <c r="C4205" s="22">
        <f>(0.0968296084780196)*(1)*(1)*(1)*(1 + (0))</f>
      </c>
      <c r="D4205" s="22" t="s">
        <v>182</v>
      </c>
      <c r="E4205" s="22"/>
      <c r="F4205" s="22">
        <f>C4205*E4205</f>
      </c>
    </row>
    <row r="4206">
      <c r="A4206" s="5"/>
      <c r="B4206" s="16" t="s">
        <v>1960</v>
      </c>
      <c r="C4206" s="22">
        <f>(2.58406280780404)*(1)*(1)*(1)*(1 + (0))</f>
      </c>
      <c r="D4206" s="22" t="s">
        <v>182</v>
      </c>
      <c r="E4206" s="22"/>
      <c r="F4206" s="22">
        <f>C4206*E4206</f>
      </c>
    </row>
    <row r="4207">
      <c r="A4207" s="5"/>
      <c r="B4207" s="16" t="s">
        <v>1961</v>
      </c>
      <c r="C4207" s="22">
        <f>(0.336225550048539)*(1)*(1)*(1)*(1 + (0))</f>
      </c>
      <c r="D4207" s="22" t="s">
        <v>182</v>
      </c>
      <c r="E4207" s="22"/>
      <c r="F4207" s="22">
        <f>C4207*E4207</f>
      </c>
    </row>
    <row r="4208">
      <c r="A4208" s="5"/>
      <c r="B4208" s="16" t="s">
        <v>582</v>
      </c>
      <c r="C4208" s="22">
        <f>(0.200704529820001)*(1)*(1)*(1)*(1 + (0))</f>
      </c>
      <c r="D4208" s="22" t="s">
        <v>182</v>
      </c>
      <c r="E4208" s="22"/>
      <c r="F4208" s="22">
        <f>C4208*E4208</f>
      </c>
    </row>
    <row r="4209">
      <c r="A4209" s="5"/>
      <c r="B4209" s="16" t="s">
        <v>1962</v>
      </c>
      <c r="C4209" s="22">
        <f>(1.66327159537997)*(1)*(1)*(1)*(1 + (0))</f>
      </c>
      <c r="D4209" s="22" t="s">
        <v>182</v>
      </c>
      <c r="E4209" s="22"/>
      <c r="F4209" s="22">
        <f>C4209*E4209</f>
      </c>
    </row>
    <row r="4210">
      <c r="A4210" s="5"/>
      <c r="B4210" s="16" t="s">
        <v>569</v>
      </c>
      <c r="C4210" s="22">
        <f>(0.196944590765011)*(1)*(1)*(1)*(1 + (0))</f>
      </c>
      <c r="D4210" s="22" t="s">
        <v>182</v>
      </c>
      <c r="E4210" s="22"/>
      <c r="F4210" s="22">
        <f>C4210*E4210</f>
      </c>
    </row>
    <row r="4211">
      <c r="A4211" s="5"/>
      <c r="B4211" s="16" t="s">
        <v>563</v>
      </c>
      <c r="C4211" s="22">
        <f>(0.762)*(1)*(1)*(1)*(1 + (0))</f>
      </c>
      <c r="D4211" s="22" t="s">
        <v>182</v>
      </c>
      <c r="E4211" s="22"/>
      <c r="F4211" s="22">
        <f>C4211*E4211</f>
      </c>
    </row>
    <row r="4212">
      <c r="A4212" s="6"/>
      <c r="B4212" s="15" t="s">
        <v>1957</v>
      </c>
      <c r="C4212" s="23"/>
      <c r="D4212" s="23"/>
      <c r="E4212" s="23"/>
      <c r="F4212" s="23"/>
    </row>
    <row r="4213">
      <c r="A4213" s="5"/>
      <c r="B4213" s="16" t="s">
        <v>1960</v>
      </c>
      <c r="C4213" s="22">
        <f>(0.543788704067533)*(1)*(1)*(1)*(1 + (0))</f>
      </c>
      <c r="D4213" s="22" t="s">
        <v>182</v>
      </c>
      <c r="E4213" s="22"/>
      <c r="F4213" s="22">
        <f>C4213*E4213</f>
      </c>
    </row>
    <row r="4214">
      <c r="A4214" s="5"/>
      <c r="B4214" s="16" t="s">
        <v>582</v>
      </c>
      <c r="C4214" s="22">
        <f>(1.9172432433218)*(1)*(1)*(1)*(1 + (0))</f>
      </c>
      <c r="D4214" s="22" t="s">
        <v>182</v>
      </c>
      <c r="E4214" s="22"/>
      <c r="F4214" s="22">
        <f>C4214*E4214</f>
      </c>
    </row>
    <row r="4215">
      <c r="A4215" s="5"/>
      <c r="B4215" s="16" t="s">
        <v>1963</v>
      </c>
      <c r="C4215" s="22">
        <f>(2.9672207520104)*(1)*(1)*(1)*(1 + (0))</f>
      </c>
      <c r="D4215" s="22" t="s">
        <v>182</v>
      </c>
      <c r="E4215" s="22"/>
      <c r="F4215" s="22">
        <f>C4215*E4215</f>
      </c>
    </row>
    <row r="4216">
      <c r="A4216" s="5"/>
      <c r="B4216" s="16" t="s">
        <v>1964</v>
      </c>
      <c r="C4216" s="22">
        <f>(4.23248026449319)*(1)*(1)*(1)*(1 + (0))</f>
      </c>
      <c r="D4216" s="22" t="s">
        <v>182</v>
      </c>
      <c r="E4216" s="22"/>
      <c r="F4216" s="22">
        <f>C4216*E4216</f>
      </c>
    </row>
    <row r="4217">
      <c r="A4217" s="5"/>
      <c r="B4217" s="16" t="s">
        <v>1965</v>
      </c>
      <c r="C4217" s="22">
        <f>(0.828862288878898)*(1)*(1)*(1)*(1 + (0))</f>
      </c>
      <c r="D4217" s="22" t="s">
        <v>182</v>
      </c>
      <c r="E4217" s="22"/>
      <c r="F4217" s="22">
        <f>C4217*E4217</f>
      </c>
    </row>
    <row r="4218">
      <c r="A4218" s="5"/>
      <c r="B4218" s="16" t="s">
        <v>1676</v>
      </c>
      <c r="C4218" s="22">
        <f>(2.14104200047591)*(1)*(1)*(1)*(1 + (0))</f>
      </c>
      <c r="D4218" s="22" t="s">
        <v>182</v>
      </c>
      <c r="E4218" s="22"/>
      <c r="F4218" s="22">
        <f>C4218*E4218</f>
      </c>
    </row>
    <row r="4219">
      <c r="A4219" s="5"/>
      <c r="B4219" s="16" t="s">
        <v>1966</v>
      </c>
      <c r="C4219" s="22">
        <f>(0.526689744173881)*(1)*(1)*(1)*(1 + (0))</f>
      </c>
      <c r="D4219" s="22" t="s">
        <v>182</v>
      </c>
      <c r="E4219" s="22"/>
      <c r="F4219" s="22">
        <f>C4219*E4219</f>
      </c>
    </row>
    <row r="4220">
      <c r="A4220" s="5"/>
      <c r="B4220" s="16" t="s">
        <v>1967</v>
      </c>
      <c r="C4220" s="22">
        <f>(0.883771737383626)*(1)*(1)*(1)*(1 + (0))</f>
      </c>
      <c r="D4220" s="22" t="s">
        <v>182</v>
      </c>
      <c r="E4220" s="22"/>
      <c r="F4220" s="22">
        <f>C4220*E4220</f>
      </c>
    </row>
    <row r="4221">
      <c r="A4221" s="5"/>
      <c r="B4221" s="16" t="s">
        <v>581</v>
      </c>
      <c r="C4221" s="22">
        <f>(0.168978429455361)*(1)*(1)*(1)*(1 + (0))</f>
      </c>
      <c r="D4221" s="22" t="s">
        <v>182</v>
      </c>
      <c r="E4221" s="22"/>
      <c r="F4221" s="22">
        <f>C4221*E4221</f>
      </c>
    </row>
    <row r="4222">
      <c r="A4222" s="5"/>
      <c r="B4222" s="16" t="s">
        <v>569</v>
      </c>
      <c r="C4222" s="22">
        <f>(3.04856098854716)*(1)*(1)*(1)*(1 + (0))</f>
      </c>
      <c r="D4222" s="22" t="s">
        <v>182</v>
      </c>
      <c r="E4222" s="22"/>
      <c r="F4222" s="22">
        <f>C4222*E4222</f>
      </c>
    </row>
    <row r="4223">
      <c r="A4223" s="5"/>
      <c r="B4223" s="16" t="s">
        <v>563</v>
      </c>
      <c r="C4223" s="22">
        <f>(2.589)*(1)*(1)*(1)*(1 + (0))</f>
      </c>
      <c r="D4223" s="22" t="s">
        <v>182</v>
      </c>
      <c r="E4223" s="22"/>
      <c r="F4223" s="22">
        <f>C4223*E4223</f>
      </c>
    </row>
    <row r="4224">
      <c r="A4224" s="4"/>
      <c r="B4224" s="12" t="s">
        <v>583</v>
      </c>
      <c r="C4224" s="21"/>
      <c r="D4224" s="21"/>
      <c r="E4224" s="21"/>
      <c r="F4224" s="21"/>
    </row>
    <row r="4225">
      <c r="A4225" s="6"/>
      <c r="B4225" s="15" t="s">
        <v>1958</v>
      </c>
      <c r="C4225" s="23"/>
      <c r="D4225" s="23"/>
      <c r="E4225" s="23"/>
      <c r="F4225" s="23"/>
    </row>
    <row r="4226">
      <c r="A4226" s="5"/>
      <c r="B4226" s="16" t="s">
        <v>1968</v>
      </c>
      <c r="C4226" s="22">
        <f>(0.0845570522171318)*(1)*(1)*(1)*(1 + (0))</f>
      </c>
      <c r="D4226" s="22" t="s">
        <v>182</v>
      </c>
      <c r="E4226" s="22"/>
      <c r="F4226" s="22">
        <f>C4226*E4226</f>
      </c>
    </row>
    <row r="4227">
      <c r="A4227" s="5"/>
      <c r="B4227" s="16" t="s">
        <v>585</v>
      </c>
      <c r="C4227" s="22">
        <f>(0.09044)*(1)*(1)*(1)*(1 + (0))</f>
      </c>
      <c r="D4227" s="22" t="s">
        <v>182</v>
      </c>
      <c r="E4227" s="22"/>
      <c r="F4227" s="22">
        <f>C4227*E4227</f>
      </c>
    </row>
    <row r="4228">
      <c r="A4228" s="5"/>
      <c r="B4228" s="16" t="s">
        <v>563</v>
      </c>
      <c r="C4228" s="22">
        <f>(0.0255)*(1)*(1)*(1)*(1 + (0))</f>
      </c>
      <c r="D4228" s="22" t="s">
        <v>182</v>
      </c>
      <c r="E4228" s="22"/>
      <c r="F4228" s="22">
        <f>C4228*E4228</f>
      </c>
    </row>
    <row r="4229">
      <c r="A4229" s="6"/>
      <c r="B4229" s="15" t="s">
        <v>1957</v>
      </c>
      <c r="C4229" s="23"/>
      <c r="D4229" s="23"/>
      <c r="E4229" s="23"/>
      <c r="F4229" s="23"/>
    </row>
    <row r="4230">
      <c r="A4230" s="5"/>
      <c r="B4230" s="16" t="s">
        <v>1969</v>
      </c>
      <c r="C4230" s="22">
        <f>(1.06697543601324)*(1)*(1)*(1)*(1 + (0))</f>
      </c>
      <c r="D4230" s="22" t="s">
        <v>182</v>
      </c>
      <c r="E4230" s="22"/>
      <c r="F4230" s="22">
        <f>C4230*E4230</f>
      </c>
    </row>
    <row r="4231">
      <c r="A4231" s="5"/>
      <c r="B4231" s="16" t="s">
        <v>585</v>
      </c>
      <c r="C4231" s="22">
        <f>(0.17136)*(1)*(1)*(1)*(1 + (0))</f>
      </c>
      <c r="D4231" s="22" t="s">
        <v>182</v>
      </c>
      <c r="E4231" s="22"/>
      <c r="F4231" s="22">
        <f>C4231*E4231</f>
      </c>
    </row>
    <row r="4232">
      <c r="A4232" s="5"/>
      <c r="B4232" s="16" t="s">
        <v>563</v>
      </c>
      <c r="C4232" s="22">
        <f>(0.186)*(1)*(1)*(1)*(1 + (0))</f>
      </c>
      <c r="D4232" s="22" t="s">
        <v>182</v>
      </c>
      <c r="E4232" s="22"/>
      <c r="F4232" s="22">
        <f>C4232*E4232</f>
      </c>
    </row>
    <row r="4233">
      <c r="A4233" s="4"/>
      <c r="B4233" s="12" t="s">
        <v>586</v>
      </c>
      <c r="C4233" s="21"/>
      <c r="D4233" s="21"/>
      <c r="E4233" s="21"/>
      <c r="F4233" s="21"/>
    </row>
    <row r="4234">
      <c r="A4234" s="6"/>
      <c r="B4234" s="15" t="s">
        <v>1958</v>
      </c>
      <c r="C4234" s="23"/>
      <c r="D4234" s="23"/>
      <c r="E4234" s="23"/>
      <c r="F4234" s="23"/>
    </row>
    <row r="4235">
      <c r="A4235" s="5"/>
      <c r="B4235" s="16" t="s">
        <v>1970</v>
      </c>
      <c r="C4235" s="22">
        <f>(23)*(1)*(1)*(1)*(1 + (0))</f>
      </c>
      <c r="D4235" s="22" t="s">
        <v>153</v>
      </c>
      <c r="E4235" s="22"/>
      <c r="F4235" s="22">
        <f>C4235*E4235</f>
      </c>
    </row>
    <row r="4236">
      <c r="A4236" s="5"/>
      <c r="B4236" s="16" t="s">
        <v>592</v>
      </c>
      <c r="C4236" s="22">
        <f>(127)*(1)*(1)*(1)*(1 + (0))</f>
      </c>
      <c r="D4236" s="22" t="s">
        <v>153</v>
      </c>
      <c r="E4236" s="22"/>
      <c r="F4236" s="22">
        <f>C4236*E4236</f>
      </c>
    </row>
    <row r="4237">
      <c r="A4237" s="5"/>
      <c r="B4237" s="16" t="s">
        <v>1971</v>
      </c>
      <c r="C4237" s="22">
        <f>(19)*(1)*(1)*(1)*(1 + (0))</f>
      </c>
      <c r="D4237" s="22" t="s">
        <v>153</v>
      </c>
      <c r="E4237" s="22"/>
      <c r="F4237" s="22">
        <f>C4237*E4237</f>
      </c>
    </row>
    <row r="4238">
      <c r="A4238" s="5"/>
      <c r="B4238" s="16" t="s">
        <v>1972</v>
      </c>
      <c r="C4238" s="22">
        <f>(5)*(1)*(1)*(1)*(1 + (0))</f>
      </c>
      <c r="D4238" s="22" t="s">
        <v>153</v>
      </c>
      <c r="E4238" s="22"/>
      <c r="F4238" s="22">
        <f>C4238*E4238</f>
      </c>
    </row>
    <row r="4239">
      <c r="A4239" s="5"/>
      <c r="B4239" s="16" t="s">
        <v>1973</v>
      </c>
      <c r="C4239" s="22">
        <f>(22)*(1)*(1)*(1)*(1 + (0))</f>
      </c>
      <c r="D4239" s="22" t="s">
        <v>153</v>
      </c>
      <c r="E4239" s="22"/>
      <c r="F4239" s="22">
        <f>C4239*E4239</f>
      </c>
    </row>
    <row r="4240">
      <c r="A4240" s="6"/>
      <c r="B4240" s="15" t="s">
        <v>1957</v>
      </c>
      <c r="C4240" s="23"/>
      <c r="D4240" s="23"/>
      <c r="E4240" s="23"/>
      <c r="F4240" s="23"/>
    </row>
    <row r="4241">
      <c r="A4241" s="5"/>
      <c r="B4241" s="16" t="s">
        <v>1974</v>
      </c>
      <c r="C4241" s="22">
        <f>(107)*(1)*(1)*(1)*(1 + (0))</f>
      </c>
      <c r="D4241" s="22" t="s">
        <v>153</v>
      </c>
      <c r="E4241" s="22"/>
      <c r="F4241" s="22">
        <f>C4241*E4241</f>
      </c>
    </row>
    <row r="4242">
      <c r="A4242" s="5"/>
      <c r="B4242" s="16" t="s">
        <v>1975</v>
      </c>
      <c r="C4242" s="22">
        <f>(712)*(1)*(1)*(1)*(1 + (0))</f>
      </c>
      <c r="D4242" s="22" t="s">
        <v>153</v>
      </c>
      <c r="E4242" s="22"/>
      <c r="F4242" s="22">
        <f>C4242*E4242</f>
      </c>
    </row>
    <row r="4243">
      <c r="A4243" s="5"/>
      <c r="B4243" s="16" t="s">
        <v>596</v>
      </c>
      <c r="C4243" s="22">
        <f>(544.004633086768)*(1)*(1)*(1)*(1 + (0))</f>
      </c>
      <c r="D4243" s="22" t="s">
        <v>153</v>
      </c>
      <c r="E4243" s="22"/>
      <c r="F4243" s="22">
        <f>C4243*E4243</f>
      </c>
    </row>
    <row r="4244">
      <c r="A4244" s="5"/>
      <c r="B4244" s="16" t="s">
        <v>1976</v>
      </c>
      <c r="C4244" s="22">
        <f>(111)*(1)*(1)*(1)*(1 + (0))</f>
      </c>
      <c r="D4244" s="22" t="s">
        <v>153</v>
      </c>
      <c r="E4244" s="22"/>
      <c r="F4244" s="22">
        <f>C4244*E4244</f>
      </c>
    </row>
    <row r="4245">
      <c r="A4245" s="5"/>
      <c r="B4245" s="16" t="s">
        <v>1681</v>
      </c>
      <c r="C4245" s="22">
        <f>(74)*(1)*(1)*(1)*(1 + (0))</f>
      </c>
      <c r="D4245" s="22" t="s">
        <v>153</v>
      </c>
      <c r="E4245" s="22"/>
      <c r="F4245" s="22">
        <f>C4245*E4245</f>
      </c>
    </row>
    <row r="4246">
      <c r="A4246" s="4"/>
      <c r="B4246" s="12" t="s">
        <v>598</v>
      </c>
      <c r="C4246" s="21"/>
      <c r="D4246" s="21"/>
      <c r="E4246" s="21"/>
      <c r="F4246" s="21"/>
    </row>
    <row r="4247">
      <c r="A4247" s="6"/>
      <c r="B4247" s="15" t="s">
        <v>1977</v>
      </c>
      <c r="C4247" s="23"/>
      <c r="D4247" s="23"/>
      <c r="E4247" s="23"/>
      <c r="F4247" s="23"/>
    </row>
    <row r="4248">
      <c r="A4248" s="5"/>
      <c r="B4248" s="16" t="s">
        <v>1978</v>
      </c>
      <c r="C4248" s="22">
        <f>(0.656490406874977)*(1)*(1)*(1)*(1 + (0))</f>
      </c>
      <c r="D4248" s="22" t="s">
        <v>182</v>
      </c>
      <c r="E4248" s="22"/>
      <c r="F4248" s="22">
        <f>C4248*E4248</f>
      </c>
    </row>
    <row r="4249">
      <c r="A4249" s="5"/>
      <c r="B4249" s="16" t="s">
        <v>1979</v>
      </c>
      <c r="C4249" s="22">
        <f>(0.320823946346121)*(1)*(1)*(1)*(1 + (0))</f>
      </c>
      <c r="D4249" s="22" t="s">
        <v>182</v>
      </c>
      <c r="E4249" s="22"/>
      <c r="F4249" s="22">
        <f>C4249*E4249</f>
      </c>
    </row>
    <row r="4250">
      <c r="A4250" s="5"/>
      <c r="B4250" s="16" t="s">
        <v>1980</v>
      </c>
      <c r="C4250" s="22">
        <f>(0.727248798770042)*(1)*(1)*(1)*(1 + (0))</f>
      </c>
      <c r="D4250" s="22" t="s">
        <v>182</v>
      </c>
      <c r="E4250" s="22"/>
      <c r="F4250" s="22">
        <f>C4250*E4250</f>
      </c>
    </row>
    <row r="4251">
      <c r="A4251" s="5"/>
      <c r="B4251" s="16" t="s">
        <v>1981</v>
      </c>
      <c r="C4251" s="22">
        <f>(1.22571602918859)*(1)*(1)*(1)*(1 + (0))</f>
      </c>
      <c r="D4251" s="22" t="s">
        <v>182</v>
      </c>
      <c r="E4251" s="22"/>
      <c r="F4251" s="22">
        <f>C4251*E4251</f>
      </c>
    </row>
    <row r="4252">
      <c r="A4252" s="5"/>
      <c r="B4252" s="16" t="s">
        <v>615</v>
      </c>
      <c r="C4252" s="22">
        <f>(1.01984656872459)*(1)*(1)*(1)*(1 + (0))</f>
      </c>
      <c r="D4252" s="22" t="s">
        <v>182</v>
      </c>
      <c r="E4252" s="22"/>
      <c r="F4252" s="22">
        <f>C4252*E4252</f>
      </c>
    </row>
    <row r="4253">
      <c r="A4253" s="5"/>
      <c r="B4253" s="16" t="s">
        <v>616</v>
      </c>
      <c r="C4253" s="22">
        <f>(0.279253941371572)*(1)*(1)*(1)*(1 + (0))</f>
      </c>
      <c r="D4253" s="22" t="s">
        <v>182</v>
      </c>
      <c r="E4253" s="22"/>
      <c r="F4253" s="22">
        <f>C4253*E4253</f>
      </c>
    </row>
    <row r="4254">
      <c r="A4254" s="5"/>
      <c r="B4254" s="16" t="s">
        <v>563</v>
      </c>
      <c r="C4254" s="22">
        <f>(0.636)*(1)*(1)*(1)*(1 + (0))</f>
      </c>
      <c r="D4254" s="22" t="s">
        <v>182</v>
      </c>
      <c r="E4254" s="22"/>
      <c r="F4254" s="22">
        <f>C4254*E4254</f>
      </c>
    </row>
    <row r="4255">
      <c r="A4255" s="5"/>
      <c r="B4255" s="16" t="s">
        <v>1982</v>
      </c>
      <c r="C4255" s="22">
        <f>(9)*(1)*(1)*(1)*(1 + (0))</f>
      </c>
      <c r="D4255" s="22" t="s">
        <v>162</v>
      </c>
      <c r="E4255" s="22"/>
      <c r="F4255" s="22">
        <f>C4255*E4255</f>
      </c>
    </row>
    <row r="4256">
      <c r="A4256" s="3"/>
      <c r="B4256" s="11" t="s">
        <v>619</v>
      </c>
      <c r="C4256" s="20"/>
      <c r="D4256" s="20"/>
      <c r="E4256" s="20"/>
      <c r="F4256" s="20"/>
    </row>
    <row r="4257">
      <c r="A4257" s="4"/>
      <c r="B4257" s="12" t="s">
        <v>620</v>
      </c>
      <c r="C4257" s="21"/>
      <c r="D4257" s="21"/>
      <c r="E4257" s="21"/>
      <c r="F4257" s="21"/>
    </row>
    <row r="4258">
      <c r="A4258" s="5"/>
      <c r="B4258" s="13" t="s">
        <v>621</v>
      </c>
      <c r="C4258" s="22">
        <f>(11.87)*(1)*(1)*(1)*(1 + (0))</f>
      </c>
      <c r="D4258" s="22" t="s">
        <v>182</v>
      </c>
      <c r="E4258" s="22"/>
      <c r="F4258" s="22">
        <f>C4258*E4258</f>
      </c>
    </row>
    <row r="4259">
      <c r="A4259" s="5"/>
      <c r="B4259" s="13" t="s">
        <v>623</v>
      </c>
      <c r="C4259" s="22">
        <f>(25.69)*(1)*(1)*(1)*(1 + (0))</f>
      </c>
      <c r="D4259" s="22" t="s">
        <v>182</v>
      </c>
      <c r="E4259" s="22"/>
      <c r="F4259" s="22">
        <f>C4259*E4259</f>
      </c>
    </row>
    <row r="4260">
      <c r="A4260" s="5"/>
      <c r="B4260" s="13" t="s">
        <v>1702</v>
      </c>
      <c r="C4260" s="22">
        <f>(1.62)*(1)*(1)*(1)*(1 + (0))</f>
      </c>
      <c r="D4260" s="22" t="s">
        <v>182</v>
      </c>
      <c r="E4260" s="22"/>
      <c r="F4260" s="22">
        <f>C4260*E4260</f>
      </c>
    </row>
    <row r="4261">
      <c r="A4261" s="5"/>
      <c r="B4261" s="13" t="s">
        <v>622</v>
      </c>
      <c r="C4261" s="22">
        <f>(4.87)*(1)*(1)*(1)*(1 + (0))</f>
      </c>
      <c r="D4261" s="22" t="s">
        <v>182</v>
      </c>
      <c r="E4261" s="22"/>
      <c r="F4261" s="22">
        <f>C4261*E4261</f>
      </c>
    </row>
    <row r="4262">
      <c r="A4262" s="4"/>
      <c r="B4262" s="12" t="s">
        <v>625</v>
      </c>
      <c r="C4262" s="21"/>
      <c r="D4262" s="21"/>
      <c r="E4262" s="21"/>
      <c r="F4262" s="21"/>
    </row>
    <row r="4263">
      <c r="A4263" s="5"/>
      <c r="B4263" s="13" t="s">
        <v>1703</v>
      </c>
      <c r="C4263" s="22">
        <f>(11.87)*(1)*(1)*(1)*(1 + (0))</f>
      </c>
      <c r="D4263" s="22" t="s">
        <v>182</v>
      </c>
      <c r="E4263" s="22"/>
      <c r="F4263" s="22">
        <f>C4263*E4263</f>
      </c>
    </row>
    <row r="4264">
      <c r="A4264" s="5"/>
      <c r="B4264" s="13" t="s">
        <v>628</v>
      </c>
      <c r="C4264" s="22">
        <f>(25.69)*(1)*(1)*(1)*(1 + (0))</f>
      </c>
      <c r="D4264" s="22" t="s">
        <v>182</v>
      </c>
      <c r="E4264" s="22"/>
      <c r="F4264" s="22">
        <f>C4264*E4264</f>
      </c>
    </row>
    <row r="4265">
      <c r="A4265" s="5"/>
      <c r="B4265" s="13" t="s">
        <v>1704</v>
      </c>
      <c r="C4265" s="22">
        <f>(1.62)*(1)*(1)*(1)*(1 + (0))</f>
      </c>
      <c r="D4265" s="22" t="s">
        <v>182</v>
      </c>
      <c r="E4265" s="22"/>
      <c r="F4265" s="22">
        <f>C4265*E4265</f>
      </c>
    </row>
    <row r="4266">
      <c r="A4266" s="5"/>
      <c r="B4266" s="13" t="s">
        <v>627</v>
      </c>
      <c r="C4266" s="22">
        <f>(4.87)*(1)*(1)*(1)*(1 + (0))</f>
      </c>
      <c r="D4266" s="22" t="s">
        <v>182</v>
      </c>
      <c r="E4266" s="22"/>
      <c r="F4266" s="22">
        <f>C4266*E4266</f>
      </c>
    </row>
    <row r="4267">
      <c r="A4267" s="4"/>
      <c r="B4267" s="12" t="s">
        <v>629</v>
      </c>
      <c r="C4267" s="21"/>
      <c r="D4267" s="21"/>
      <c r="E4267" s="21"/>
      <c r="F4267" s="21"/>
    </row>
    <row r="4268">
      <c r="A4268" s="5"/>
      <c r="B4268" s="13" t="s">
        <v>1706</v>
      </c>
      <c r="C4268" s="22">
        <f>(11.87)*(1)*(1)*(1)*(1 + (0))</f>
      </c>
      <c r="D4268" s="22" t="s">
        <v>182</v>
      </c>
      <c r="E4268" s="22"/>
      <c r="F4268" s="22">
        <f>C4268*E4268</f>
      </c>
    </row>
    <row r="4269">
      <c r="A4269" s="5"/>
      <c r="B4269" s="13" t="s">
        <v>1707</v>
      </c>
      <c r="C4269" s="22">
        <f>(25.69)*(1)*(1)*(1)*(1 + (0))</f>
      </c>
      <c r="D4269" s="22" t="s">
        <v>182</v>
      </c>
      <c r="E4269" s="22"/>
      <c r="F4269" s="22">
        <f>C4269*E4269</f>
      </c>
    </row>
    <row r="4270">
      <c r="A4270" s="5"/>
      <c r="B4270" s="13" t="s">
        <v>1708</v>
      </c>
      <c r="C4270" s="22">
        <f>(1.62)*(1)*(1)*(1)*(1 + (0))</f>
      </c>
      <c r="D4270" s="22" t="s">
        <v>182</v>
      </c>
      <c r="E4270" s="22"/>
      <c r="F4270" s="22">
        <f>C4270*E4270</f>
      </c>
    </row>
    <row r="4271">
      <c r="A4271" s="2"/>
      <c r="B4271" s="10" t="s">
        <v>631</v>
      </c>
      <c r="C4271" s="19"/>
      <c r="D4271" s="19"/>
      <c r="E4271" s="19"/>
      <c r="F4271" s="19"/>
    </row>
    <row r="4272">
      <c r="A4272" s="3"/>
      <c r="B4272" s="11" t="s">
        <v>37</v>
      </c>
      <c r="C4272" s="20"/>
      <c r="D4272" s="20"/>
      <c r="E4272" s="20"/>
      <c r="F4272" s="20"/>
    </row>
    <row r="4273">
      <c r="A4273" s="5" t="s">
        <v>632</v>
      </c>
      <c r="B4273" s="14" t="s">
        <v>39</v>
      </c>
      <c r="C4273" s="22"/>
      <c r="D4273" s="22" t="s">
        <v>10</v>
      </c>
      <c r="E4273" s="22"/>
      <c r="F4273" s="22">
        <f>C4273*E4273</f>
      </c>
    </row>
    <row r="4274">
      <c r="A4274" s="5" t="s">
        <v>633</v>
      </c>
      <c r="B4274" s="14" t="s">
        <v>41</v>
      </c>
      <c r="C4274" s="22"/>
      <c r="D4274" s="22" t="s">
        <v>10</v>
      </c>
      <c r="E4274" s="22"/>
      <c r="F4274" s="22">
        <f>C4274*E4274</f>
      </c>
    </row>
    <row r="4275">
      <c r="A4275" s="3"/>
      <c r="B4275" s="11" t="s">
        <v>523</v>
      </c>
      <c r="C4275" s="20"/>
      <c r="D4275" s="20"/>
      <c r="E4275" s="20"/>
      <c r="F4275" s="20"/>
    </row>
    <row r="4276">
      <c r="A4276" s="5"/>
      <c r="B4276" s="14" t="s">
        <v>1709</v>
      </c>
      <c r="C4276" s="22"/>
      <c r="D4276" s="22" t="s">
        <v>10</v>
      </c>
      <c r="E4276" s="22"/>
      <c r="F4276" s="22">
        <f>C4276*E4276</f>
      </c>
    </row>
    <row r="4277">
      <c r="A4277" s="5"/>
      <c r="B4277" s="14" t="s">
        <v>635</v>
      </c>
      <c r="C4277" s="22"/>
      <c r="D4277" s="22" t="s">
        <v>10</v>
      </c>
      <c r="E4277" s="22"/>
      <c r="F4277" s="22">
        <f>C4277*E4277</f>
      </c>
    </row>
    <row r="4278">
      <c r="A4278" s="3"/>
      <c r="B4278" s="11" t="s">
        <v>44</v>
      </c>
      <c r="C4278" s="20"/>
      <c r="D4278" s="20"/>
      <c r="E4278" s="20"/>
      <c r="F4278" s="20"/>
    </row>
    <row r="4279">
      <c r="A4279" s="4"/>
      <c r="B4279" s="12" t="s">
        <v>45</v>
      </c>
      <c r="C4279" s="21"/>
      <c r="D4279" s="21"/>
      <c r="E4279" s="21"/>
      <c r="F4279" s="21"/>
    </row>
    <row r="4280">
      <c r="A4280" s="5" t="s">
        <v>637</v>
      </c>
      <c r="B4280" s="13" t="s">
        <v>638</v>
      </c>
      <c r="C4280" s="22"/>
      <c r="D4280" s="22" t="s">
        <v>10</v>
      </c>
      <c r="E4280" s="22"/>
      <c r="F4280" s="22">
        <f>C4280*E4280</f>
      </c>
    </row>
    <row r="4281">
      <c r="A4281" s="5" t="s">
        <v>639</v>
      </c>
      <c r="B4281" s="13" t="s">
        <v>640</v>
      </c>
      <c r="C4281" s="22"/>
      <c r="D4281" s="22" t="s">
        <v>10</v>
      </c>
      <c r="E4281" s="22"/>
      <c r="F4281" s="22">
        <f>C4281*E4281</f>
      </c>
    </row>
    <row r="4282">
      <c r="A4282" s="5" t="s">
        <v>641</v>
      </c>
      <c r="B4282" s="13" t="s">
        <v>642</v>
      </c>
      <c r="C4282" s="22"/>
      <c r="D4282" s="22" t="s">
        <v>10</v>
      </c>
      <c r="E4282" s="22"/>
      <c r="F4282" s="22">
        <f>C4282*E4282</f>
      </c>
    </row>
    <row r="4283">
      <c r="A4283" s="5" t="s">
        <v>643</v>
      </c>
      <c r="B4283" s="13" t="s">
        <v>644</v>
      </c>
      <c r="C4283" s="22"/>
      <c r="D4283" s="22" t="s">
        <v>10</v>
      </c>
      <c r="E4283" s="22"/>
      <c r="F4283" s="22">
        <f>C4283*E4283</f>
      </c>
    </row>
    <row r="4284">
      <c r="A4284" s="5" t="s">
        <v>645</v>
      </c>
      <c r="B4284" s="13" t="s">
        <v>646</v>
      </c>
      <c r="C4284" s="22"/>
      <c r="D4284" s="22" t="s">
        <v>10</v>
      </c>
      <c r="E4284" s="22"/>
      <c r="F4284" s="22">
        <f>C4284*E4284</f>
      </c>
    </row>
    <row r="4285">
      <c r="A4285" s="5" t="s">
        <v>647</v>
      </c>
      <c r="B4285" s="13" t="s">
        <v>648</v>
      </c>
      <c r="C4285" s="22"/>
      <c r="D4285" s="22" t="s">
        <v>10</v>
      </c>
      <c r="E4285" s="22"/>
      <c r="F4285" s="22">
        <f>C4285*E4285</f>
      </c>
    </row>
    <row r="4286">
      <c r="A4286" s="5" t="s">
        <v>649</v>
      </c>
      <c r="B4286" s="13" t="s">
        <v>650</v>
      </c>
      <c r="C4286" s="22"/>
      <c r="D4286" s="22" t="s">
        <v>10</v>
      </c>
      <c r="E4286" s="22"/>
      <c r="F4286" s="22">
        <f>C4286*E4286</f>
      </c>
    </row>
    <row r="4287">
      <c r="A4287" s="5" t="s">
        <v>651</v>
      </c>
      <c r="B4287" s="13" t="s">
        <v>652</v>
      </c>
      <c r="C4287" s="22"/>
      <c r="D4287" s="22" t="s">
        <v>10</v>
      </c>
      <c r="E4287" s="22"/>
      <c r="F4287" s="22">
        <f>C4287*E4287</f>
      </c>
    </row>
    <row r="4288">
      <c r="A4288" s="5" t="s">
        <v>653</v>
      </c>
      <c r="B4288" s="13" t="s">
        <v>654</v>
      </c>
      <c r="C4288" s="22"/>
      <c r="D4288" s="22" t="s">
        <v>10</v>
      </c>
      <c r="E4288" s="22"/>
      <c r="F4288" s="22">
        <f>C4288*E4288</f>
      </c>
    </row>
    <row r="4289">
      <c r="A4289" s="3"/>
      <c r="B4289" s="11" t="s">
        <v>68</v>
      </c>
      <c r="C4289" s="20"/>
      <c r="D4289" s="20"/>
      <c r="E4289" s="20"/>
      <c r="F4289" s="20"/>
    </row>
    <row r="4290">
      <c r="A4290" s="5" t="s">
        <v>655</v>
      </c>
      <c r="B4290" s="14" t="s">
        <v>656</v>
      </c>
      <c r="C4290" s="22">
        <f>(1)*(1)*(1)*(1)*(1 + (0))</f>
      </c>
      <c r="D4290" s="22" t="s">
        <v>71</v>
      </c>
      <c r="E4290" s="22"/>
      <c r="F4290" s="22">
        <f>C4290*E4290</f>
      </c>
    </row>
    <row r="4291">
      <c r="A4291" s="5" t="s">
        <v>657</v>
      </c>
      <c r="B4291" s="14" t="s">
        <v>658</v>
      </c>
      <c r="C4291" s="22">
        <f>(1)*(1)*(1)*(1)*(1 + (0))</f>
      </c>
      <c r="D4291" s="22" t="s">
        <v>71</v>
      </c>
      <c r="E4291" s="22"/>
      <c r="F4291" s="22">
        <f>C4291*E4291</f>
      </c>
    </row>
    <row r="4292">
      <c r="A4292" s="5" t="s">
        <v>659</v>
      </c>
      <c r="B4292" s="14" t="s">
        <v>660</v>
      </c>
      <c r="C4292" s="22">
        <f>(1)*(1)*(1)*(1)*(1 + (0))</f>
      </c>
      <c r="D4292" s="22" t="s">
        <v>71</v>
      </c>
      <c r="E4292" s="22"/>
      <c r="F4292" s="22">
        <f>C4292*E4292</f>
      </c>
    </row>
    <row r="4293">
      <c r="A4293" s="5" t="s">
        <v>661</v>
      </c>
      <c r="B4293" s="14" t="s">
        <v>77</v>
      </c>
      <c r="C4293" s="22">
        <f>(1)*(1)*(1)*(1)*(1 + (0))</f>
      </c>
      <c r="D4293" s="22" t="s">
        <v>71</v>
      </c>
      <c r="E4293" s="22"/>
      <c r="F4293" s="22">
        <f>C4293*E4293</f>
      </c>
    </row>
    <row r="4294">
      <c r="A4294" s="5" t="s">
        <v>662</v>
      </c>
      <c r="B4294" s="14" t="s">
        <v>663</v>
      </c>
      <c r="C4294" s="22">
        <f>(1)*(1)*(1)*(1)*(1 + (0))</f>
      </c>
      <c r="D4294" s="22" t="s">
        <v>71</v>
      </c>
      <c r="E4294" s="22"/>
      <c r="F4294" s="22">
        <f>C4294*E4294</f>
      </c>
    </row>
    <row r="4295">
      <c r="A4295" s="5" t="s">
        <v>664</v>
      </c>
      <c r="B4295" s="14" t="s">
        <v>665</v>
      </c>
      <c r="C4295" s="22">
        <f>(1)*(1)*(1)*(1)*(1 + (0))</f>
      </c>
      <c r="D4295" s="22" t="s">
        <v>71</v>
      </c>
      <c r="E4295" s="22"/>
      <c r="F4295" s="22">
        <f>C4295*E4295</f>
      </c>
    </row>
    <row r="4296">
      <c r="A4296" s="5" t="s">
        <v>666</v>
      </c>
      <c r="B4296" s="14" t="s">
        <v>667</v>
      </c>
      <c r="C4296" s="22">
        <f>(1)*(1)*(1)*(1)*(1 + (0))</f>
      </c>
      <c r="D4296" s="22" t="s">
        <v>71</v>
      </c>
      <c r="E4296" s="22"/>
      <c r="F4296" s="22">
        <f>C4296*E4296</f>
      </c>
    </row>
    <row r="4297">
      <c r="A4297" s="5" t="s">
        <v>668</v>
      </c>
      <c r="B4297" s="14" t="s">
        <v>669</v>
      </c>
      <c r="C4297" s="22">
        <f>(1)*(1)*(1)*(1)*(1 + (0))</f>
      </c>
      <c r="D4297" s="22" t="s">
        <v>71</v>
      </c>
      <c r="E4297" s="22"/>
      <c r="F4297" s="22">
        <f>C4297*E4297</f>
      </c>
    </row>
    <row r="4298">
      <c r="A4298" s="3"/>
      <c r="B4298" s="11" t="s">
        <v>106</v>
      </c>
      <c r="C4298" s="20"/>
      <c r="D4298" s="20"/>
      <c r="E4298" s="20"/>
      <c r="F4298" s="20"/>
    </row>
    <row r="4299">
      <c r="A4299" s="5"/>
      <c r="B4299" s="14" t="s">
        <v>671</v>
      </c>
      <c r="C4299" s="22"/>
      <c r="D4299" s="22" t="s">
        <v>10</v>
      </c>
      <c r="E4299" s="22"/>
      <c r="F4299" s="22">
        <f>C4299*E4299</f>
      </c>
    </row>
    <row r="4300">
      <c r="A4300" s="3"/>
      <c r="B4300" s="11" t="s">
        <v>672</v>
      </c>
      <c r="C4300" s="20"/>
      <c r="D4300" s="20"/>
      <c r="E4300" s="20"/>
      <c r="F4300" s="20"/>
    </row>
    <row r="4301">
      <c r="A4301" s="4"/>
      <c r="B4301" s="12" t="s">
        <v>673</v>
      </c>
      <c r="C4301" s="21"/>
      <c r="D4301" s="21"/>
      <c r="E4301" s="21"/>
      <c r="F4301" s="21"/>
    </row>
    <row r="4302">
      <c r="A4302" s="6"/>
      <c r="B4302" s="15" t="s">
        <v>674</v>
      </c>
      <c r="C4302" s="23"/>
      <c r="D4302" s="23"/>
      <c r="E4302" s="23"/>
      <c r="F4302" s="23"/>
    </row>
    <row r="4303">
      <c r="A4303" s="5"/>
      <c r="B4303" s="16" t="s">
        <v>675</v>
      </c>
      <c r="C4303" s="22"/>
      <c r="D4303" s="22"/>
      <c r="E4303" s="22"/>
      <c r="F4303" s="22"/>
    </row>
    <row r="4304">
      <c r="A4304" s="5"/>
      <c r="B4304" s="17" t="s">
        <v>1710</v>
      </c>
      <c r="C4304" s="22">
        <f>(46)*(1)*(1)*(1)*(1 + (0))</f>
      </c>
      <c r="D4304" s="22" t="s">
        <v>24</v>
      </c>
      <c r="E4304" s="22"/>
      <c r="F4304" s="22">
        <f>C4304*E4304</f>
      </c>
    </row>
    <row r="4305">
      <c r="A4305" s="5"/>
      <c r="B4305" s="16" t="s">
        <v>677</v>
      </c>
      <c r="C4305" s="22"/>
      <c r="D4305" s="22"/>
      <c r="E4305" s="22"/>
      <c r="F4305" s="22"/>
    </row>
    <row r="4306">
      <c r="A4306" s="5"/>
      <c r="B4306" s="17" t="s">
        <v>1710</v>
      </c>
      <c r="C4306" s="22">
        <f>(12)*(1)*(1)*(1)*(1 + (0))</f>
      </c>
      <c r="D4306" s="22" t="s">
        <v>24</v>
      </c>
      <c r="E4306" s="22"/>
      <c r="F4306" s="22">
        <f>C4306*E4306</f>
      </c>
    </row>
    <row r="4307">
      <c r="A4307" s="5"/>
      <c r="B4307" s="16" t="s">
        <v>678</v>
      </c>
      <c r="C4307" s="22"/>
      <c r="D4307" s="22"/>
      <c r="E4307" s="22"/>
      <c r="F4307" s="22"/>
    </row>
    <row r="4308">
      <c r="A4308" s="5"/>
      <c r="B4308" s="17" t="s">
        <v>1711</v>
      </c>
      <c r="C4308" s="22">
        <f>(47)*(1)*(1)*(1)*(1 + (0))</f>
      </c>
      <c r="D4308" s="22" t="s">
        <v>153</v>
      </c>
      <c r="E4308" s="22"/>
      <c r="F4308" s="22">
        <f>C4308*E4308</f>
      </c>
    </row>
    <row r="4309">
      <c r="A4309" s="2"/>
      <c r="B4309" s="10" t="s">
        <v>689</v>
      </c>
      <c r="C4309" s="19"/>
      <c r="D4309" s="19"/>
      <c r="E4309" s="19"/>
      <c r="F4309" s="19"/>
    </row>
    <row r="4310">
      <c r="A4310" s="3"/>
      <c r="B4310" s="11" t="s">
        <v>37</v>
      </c>
      <c r="C4310" s="20"/>
      <c r="D4310" s="20"/>
      <c r="E4310" s="20"/>
      <c r="F4310" s="20"/>
    </row>
    <row r="4311">
      <c r="A4311" s="5" t="s">
        <v>690</v>
      </c>
      <c r="B4311" s="14" t="s">
        <v>39</v>
      </c>
      <c r="C4311" s="22"/>
      <c r="D4311" s="22" t="s">
        <v>10</v>
      </c>
      <c r="E4311" s="22"/>
      <c r="F4311" s="22">
        <f>C4311*E4311</f>
      </c>
    </row>
    <row r="4312">
      <c r="A4312" s="5" t="s">
        <v>691</v>
      </c>
      <c r="B4312" s="14" t="s">
        <v>41</v>
      </c>
      <c r="C4312" s="22"/>
      <c r="D4312" s="22" t="s">
        <v>10</v>
      </c>
      <c r="E4312" s="22"/>
      <c r="F4312" s="22">
        <f>C4312*E4312</f>
      </c>
    </row>
    <row r="4313">
      <c r="A4313" s="3"/>
      <c r="B4313" s="11" t="s">
        <v>42</v>
      </c>
      <c r="C4313" s="20"/>
      <c r="D4313" s="20"/>
      <c r="E4313" s="20"/>
      <c r="F4313" s="20"/>
    </row>
    <row r="4314">
      <c r="A4314" s="5"/>
      <c r="B4314" s="14" t="s">
        <v>692</v>
      </c>
      <c r="C4314" s="22"/>
      <c r="D4314" s="22" t="s">
        <v>10</v>
      </c>
      <c r="E4314" s="22"/>
      <c r="F4314" s="22">
        <f>C4314*E4314</f>
      </c>
    </row>
    <row r="4315">
      <c r="A4315" s="5"/>
      <c r="B4315" s="14" t="s">
        <v>693</v>
      </c>
      <c r="C4315" s="22"/>
      <c r="D4315" s="22" t="s">
        <v>10</v>
      </c>
      <c r="E4315" s="22"/>
      <c r="F4315" s="22">
        <f>C4315*E4315</f>
      </c>
    </row>
    <row r="4316">
      <c r="A4316" s="5"/>
      <c r="B4316" s="14" t="s">
        <v>694</v>
      </c>
      <c r="C4316" s="22"/>
      <c r="D4316" s="22" t="s">
        <v>10</v>
      </c>
      <c r="E4316" s="22"/>
      <c r="F4316" s="22">
        <f>C4316*E4316</f>
      </c>
    </row>
    <row r="4317">
      <c r="A4317" s="3"/>
      <c r="B4317" s="11" t="s">
        <v>44</v>
      </c>
      <c r="C4317" s="20"/>
      <c r="D4317" s="20"/>
      <c r="E4317" s="20"/>
      <c r="F4317" s="20"/>
    </row>
    <row r="4318">
      <c r="A4318" s="4"/>
      <c r="B4318" s="12" t="s">
        <v>45</v>
      </c>
      <c r="C4318" s="21"/>
      <c r="D4318" s="21"/>
      <c r="E4318" s="21"/>
      <c r="F4318" s="21"/>
    </row>
    <row r="4319">
      <c r="A4319" s="5" t="s">
        <v>695</v>
      </c>
      <c r="B4319" s="13" t="s">
        <v>696</v>
      </c>
      <c r="C4319" s="22"/>
      <c r="D4319" s="22" t="s">
        <v>10</v>
      </c>
      <c r="E4319" s="22"/>
      <c r="F4319" s="22">
        <f>C4319*E4319</f>
      </c>
    </row>
    <row r="4320">
      <c r="A4320" s="5" t="s">
        <v>697</v>
      </c>
      <c r="B4320" s="13" t="s">
        <v>698</v>
      </c>
      <c r="C4320" s="22"/>
      <c r="D4320" s="22" t="s">
        <v>10</v>
      </c>
      <c r="E4320" s="22"/>
      <c r="F4320" s="22">
        <f>C4320*E4320</f>
      </c>
    </row>
    <row r="4321">
      <c r="A4321" s="5" t="s">
        <v>699</v>
      </c>
      <c r="B4321" s="13" t="s">
        <v>700</v>
      </c>
      <c r="C4321" s="22"/>
      <c r="D4321" s="22" t="s">
        <v>10</v>
      </c>
      <c r="E4321" s="22"/>
      <c r="F4321" s="22">
        <f>C4321*E4321</f>
      </c>
    </row>
    <row r="4322">
      <c r="A4322" s="5" t="s">
        <v>701</v>
      </c>
      <c r="B4322" s="13" t="s">
        <v>646</v>
      </c>
      <c r="C4322" s="22"/>
      <c r="D4322" s="22" t="s">
        <v>10</v>
      </c>
      <c r="E4322" s="22"/>
      <c r="F4322" s="22">
        <f>C4322*E4322</f>
      </c>
    </row>
    <row r="4323">
      <c r="A4323" s="5" t="s">
        <v>702</v>
      </c>
      <c r="B4323" s="13" t="s">
        <v>648</v>
      </c>
      <c r="C4323" s="22"/>
      <c r="D4323" s="22" t="s">
        <v>10</v>
      </c>
      <c r="E4323" s="22"/>
      <c r="F4323" s="22">
        <f>C4323*E4323</f>
      </c>
    </row>
    <row r="4324">
      <c r="A4324" s="5" t="s">
        <v>703</v>
      </c>
      <c r="B4324" s="13" t="s">
        <v>704</v>
      </c>
      <c r="C4324" s="22"/>
      <c r="D4324" s="22" t="s">
        <v>10</v>
      </c>
      <c r="E4324" s="22"/>
      <c r="F4324" s="22">
        <f>C4324*E4324</f>
      </c>
    </row>
    <row r="4325">
      <c r="A4325" s="5" t="s">
        <v>705</v>
      </c>
      <c r="B4325" s="13" t="s">
        <v>123</v>
      </c>
      <c r="C4325" s="22"/>
      <c r="D4325" s="22" t="s">
        <v>10</v>
      </c>
      <c r="E4325" s="22"/>
      <c r="F4325" s="22">
        <f>C4325*E4325</f>
      </c>
    </row>
    <row r="4326">
      <c r="A4326" s="3"/>
      <c r="B4326" s="11" t="s">
        <v>68</v>
      </c>
      <c r="C4326" s="20"/>
      <c r="D4326" s="20"/>
      <c r="E4326" s="20"/>
      <c r="F4326" s="20"/>
    </row>
    <row r="4327">
      <c r="A4327" s="5" t="s">
        <v>706</v>
      </c>
      <c r="B4327" s="14" t="s">
        <v>707</v>
      </c>
      <c r="C4327" s="22">
        <f>(1)*(1)*(1)*(1)*(1 + (0))</f>
      </c>
      <c r="D4327" s="22" t="s">
        <v>71</v>
      </c>
      <c r="E4327" s="22"/>
      <c r="F4327" s="22">
        <f>C4327*E4327</f>
      </c>
    </row>
    <row r="4328">
      <c r="A4328" s="5" t="s">
        <v>708</v>
      </c>
      <c r="B4328" s="14" t="s">
        <v>709</v>
      </c>
      <c r="C4328" s="22">
        <f>(1)*(1)*(1)*(1)*(1 + (0))</f>
      </c>
      <c r="D4328" s="22" t="s">
        <v>71</v>
      </c>
      <c r="E4328" s="22"/>
      <c r="F4328" s="22">
        <f>C4328*E4328</f>
      </c>
    </row>
    <row r="4329">
      <c r="A4329" s="5" t="s">
        <v>710</v>
      </c>
      <c r="B4329" s="14" t="s">
        <v>711</v>
      </c>
      <c r="C4329" s="22">
        <f>(1)*(1)*(1)*(1)*(1 + (0))</f>
      </c>
      <c r="D4329" s="22" t="s">
        <v>71</v>
      </c>
      <c r="E4329" s="22"/>
      <c r="F4329" s="22">
        <f>C4329*E4329</f>
      </c>
    </row>
    <row r="4330">
      <c r="A4330" s="5" t="s">
        <v>712</v>
      </c>
      <c r="B4330" s="14" t="s">
        <v>79</v>
      </c>
      <c r="C4330" s="22">
        <f>(1)*(1)*(1)*(1)*(1 + (0))</f>
      </c>
      <c r="D4330" s="22" t="s">
        <v>71</v>
      </c>
      <c r="E4330" s="22"/>
      <c r="F4330" s="22">
        <f>C4330*E4330</f>
      </c>
    </row>
    <row r="4331">
      <c r="A4331" s="5" t="s">
        <v>713</v>
      </c>
      <c r="B4331" s="14" t="s">
        <v>714</v>
      </c>
      <c r="C4331" s="22">
        <f>(1)*(1)*(1)*(1)*(1 + (0))</f>
      </c>
      <c r="D4331" s="22" t="s">
        <v>71</v>
      </c>
      <c r="E4331" s="22"/>
      <c r="F4331" s="22">
        <f>C4331*E4331</f>
      </c>
    </row>
    <row r="4332">
      <c r="A4332" s="5" t="s">
        <v>715</v>
      </c>
      <c r="B4332" s="14" t="s">
        <v>716</v>
      </c>
      <c r="C4332" s="22">
        <f>(1)*(1)*(1)*(1)*(1 + (0))</f>
      </c>
      <c r="D4332" s="22" t="s">
        <v>71</v>
      </c>
      <c r="E4332" s="22"/>
      <c r="F4332" s="22">
        <f>C4332*E4332</f>
      </c>
    </row>
    <row r="4333">
      <c r="A4333" s="5" t="s">
        <v>717</v>
      </c>
      <c r="B4333" s="14" t="s">
        <v>718</v>
      </c>
      <c r="C4333" s="22">
        <f>(1)*(1)*(1)*(1)*(1 + (0))</f>
      </c>
      <c r="D4333" s="22" t="s">
        <v>71</v>
      </c>
      <c r="E4333" s="22"/>
      <c r="F4333" s="22">
        <f>C4333*E4333</f>
      </c>
    </row>
    <row r="4334">
      <c r="A4334" s="5" t="s">
        <v>719</v>
      </c>
      <c r="B4334" s="14" t="s">
        <v>720</v>
      </c>
      <c r="C4334" s="22">
        <f>(1)*(1)*(1)*(1)*(1 + (0))</f>
      </c>
      <c r="D4334" s="22" t="s">
        <v>71</v>
      </c>
      <c r="E4334" s="22"/>
      <c r="F4334" s="22">
        <f>C4334*E4334</f>
      </c>
    </row>
    <row r="4335">
      <c r="A4335" s="3"/>
      <c r="B4335" s="11" t="s">
        <v>721</v>
      </c>
      <c r="C4335" s="20"/>
      <c r="D4335" s="20"/>
      <c r="E4335" s="20"/>
      <c r="F4335" s="20"/>
    </row>
    <row r="4336">
      <c r="A4336" s="5"/>
      <c r="B4336" s="14" t="s">
        <v>722</v>
      </c>
      <c r="C4336" s="22">
        <f>(876)*(1)*(1)*(1)*(1 + (0))</f>
      </c>
      <c r="D4336" s="22" t="s">
        <v>24</v>
      </c>
      <c r="E4336" s="22"/>
      <c r="F4336" s="22">
        <f>C4336*E4336</f>
      </c>
    </row>
    <row r="4337">
      <c r="A4337" s="5"/>
      <c r="B4337" s="14" t="s">
        <v>1983</v>
      </c>
      <c r="C4337" s="22">
        <f>(153)*(1)*(1)*(1)*(1 + (0))</f>
      </c>
      <c r="D4337" s="22" t="s">
        <v>24</v>
      </c>
      <c r="E4337" s="22"/>
      <c r="F4337" s="22">
        <f>C4337*E4337</f>
      </c>
    </row>
    <row r="4338">
      <c r="A4338" s="5"/>
      <c r="B4338" s="14" t="s">
        <v>1984</v>
      </c>
      <c r="C4338" s="22">
        <f>(410)*(1)*(1)*(1)*(1 + (0))</f>
      </c>
      <c r="D4338" s="22" t="s">
        <v>24</v>
      </c>
      <c r="E4338" s="22"/>
      <c r="F4338" s="22">
        <f>C4338*E4338</f>
      </c>
    </row>
    <row r="4339">
      <c r="A4339" s="3"/>
      <c r="B4339" s="11" t="s">
        <v>723</v>
      </c>
      <c r="C4339" s="20"/>
      <c r="D4339" s="20"/>
      <c r="E4339" s="20"/>
      <c r="F4339" s="20"/>
    </row>
    <row r="4340">
      <c r="A4340" s="5"/>
      <c r="B4340" s="14" t="s">
        <v>727</v>
      </c>
      <c r="C4340" s="22">
        <f>(876)*(1)*(1)*(1)*(1 + (0))</f>
      </c>
      <c r="D4340" s="22" t="s">
        <v>24</v>
      </c>
      <c r="E4340" s="22"/>
      <c r="F4340" s="22">
        <f>C4340*E4340</f>
      </c>
    </row>
    <row r="4341">
      <c r="A4341" s="5"/>
      <c r="B4341" s="14" t="s">
        <v>1985</v>
      </c>
      <c r="C4341" s="22">
        <f>(113)*(1)*(1)*(1)*(1 + (0))</f>
      </c>
      <c r="D4341" s="22" t="s">
        <v>24</v>
      </c>
      <c r="E4341" s="22"/>
      <c r="F4341" s="22">
        <f>C4341*E4341</f>
      </c>
    </row>
    <row r="4342">
      <c r="A4342" s="5"/>
      <c r="B4342" s="14" t="s">
        <v>1986</v>
      </c>
      <c r="C4342" s="22">
        <f>(410)*(1)*(1)*(1)*(1 + (0))</f>
      </c>
      <c r="D4342" s="22" t="s">
        <v>24</v>
      </c>
      <c r="E4342" s="22"/>
      <c r="F4342" s="22">
        <f>C4342*E4342</f>
      </c>
    </row>
    <row r="4343">
      <c r="A4343" s="3"/>
      <c r="B4343" s="11" t="s">
        <v>728</v>
      </c>
      <c r="C4343" s="20"/>
      <c r="D4343" s="20"/>
      <c r="E4343" s="20"/>
      <c r="F4343" s="20"/>
    </row>
    <row r="4344">
      <c r="A4344" s="5"/>
      <c r="B4344" s="14" t="s">
        <v>729</v>
      </c>
      <c r="C4344" s="22">
        <f>(1398)*(1)*(1)*(1)*(1 + (0))</f>
      </c>
      <c r="D4344" s="22" t="s">
        <v>24</v>
      </c>
      <c r="E4344" s="22"/>
      <c r="F4344" s="22">
        <f>C4344*E4344</f>
      </c>
    </row>
    <row r="4345">
      <c r="A4345" s="3"/>
      <c r="B4345" s="11" t="s">
        <v>730</v>
      </c>
      <c r="C4345" s="20"/>
      <c r="D4345" s="20"/>
      <c r="E4345" s="20"/>
      <c r="F4345" s="20"/>
    </row>
    <row r="4346">
      <c r="A4346" s="4"/>
      <c r="B4346" s="12" t="s">
        <v>731</v>
      </c>
      <c r="C4346" s="21"/>
      <c r="D4346" s="21"/>
      <c r="E4346" s="21"/>
      <c r="F4346" s="21"/>
    </row>
    <row r="4347">
      <c r="A4347" s="5"/>
      <c r="B4347" s="13" t="s">
        <v>732</v>
      </c>
      <c r="C4347" s="22">
        <f>(72)*(1)*(1)*(1)*(1 + (0))</f>
      </c>
      <c r="D4347" s="22" t="s">
        <v>153</v>
      </c>
      <c r="E4347" s="22"/>
      <c r="F4347" s="22">
        <f>C4347*E4347</f>
      </c>
    </row>
    <row r="4348">
      <c r="A4348" s="5"/>
      <c r="B4348" s="13" t="s">
        <v>733</v>
      </c>
      <c r="C4348" s="22">
        <f>(114)*(1)*(1)*(1)*(1 + (0))</f>
      </c>
      <c r="D4348" s="22" t="s">
        <v>153</v>
      </c>
      <c r="E4348" s="22"/>
      <c r="F4348" s="22">
        <f>C4348*E4348</f>
      </c>
    </row>
    <row r="4349">
      <c r="A4349" s="4"/>
      <c r="B4349" s="12" t="s">
        <v>734</v>
      </c>
      <c r="C4349" s="21"/>
      <c r="D4349" s="21"/>
      <c r="E4349" s="21"/>
      <c r="F4349" s="21"/>
    </row>
    <row r="4350">
      <c r="A4350" s="5"/>
      <c r="B4350" s="13" t="s">
        <v>737</v>
      </c>
      <c r="C4350" s="22">
        <f>(127)*(1)*(1)*(1)*(1 + (0))</f>
      </c>
      <c r="D4350" s="22" t="s">
        <v>153</v>
      </c>
      <c r="E4350" s="22"/>
      <c r="F4350" s="22">
        <f>C4350*E4350</f>
      </c>
    </row>
    <row r="4351">
      <c r="A4351" s="4"/>
      <c r="B4351" s="12" t="s">
        <v>738</v>
      </c>
      <c r="C4351" s="21"/>
      <c r="D4351" s="21"/>
      <c r="E4351" s="21"/>
      <c r="F4351" s="21"/>
    </row>
    <row r="4352">
      <c r="A4352" s="5"/>
      <c r="B4352" s="13" t="s">
        <v>1987</v>
      </c>
      <c r="C4352" s="22">
        <f>(7)*(1)*(1)*(1)*(1 + (0))</f>
      </c>
      <c r="D4352" s="22" t="s">
        <v>24</v>
      </c>
      <c r="E4352" s="22"/>
      <c r="F4352" s="22">
        <f>C4352*E4352</f>
      </c>
    </row>
    <row r="4353">
      <c r="A4353" s="5"/>
      <c r="B4353" s="13" t="s">
        <v>1988</v>
      </c>
      <c r="C4353" s="22">
        <f>(15)*(1)*(1)*(1)*(1 + (0))</f>
      </c>
      <c r="D4353" s="22" t="s">
        <v>24</v>
      </c>
      <c r="E4353" s="22"/>
      <c r="F4353" s="22">
        <f>C4353*E4353</f>
      </c>
    </row>
    <row r="4354">
      <c r="A4354" s="5"/>
      <c r="B4354" s="13" t="s">
        <v>1989</v>
      </c>
      <c r="C4354" s="22">
        <f>(23)*(1)*(1)*(1)*(1 + (0))</f>
      </c>
      <c r="D4354" s="22" t="s">
        <v>24</v>
      </c>
      <c r="E4354" s="22"/>
      <c r="F4354" s="22">
        <f>C4354*E4354</f>
      </c>
    </row>
    <row r="4355">
      <c r="A4355" s="3"/>
      <c r="B4355" s="11" t="s">
        <v>740</v>
      </c>
      <c r="C4355" s="20"/>
      <c r="D4355" s="20"/>
      <c r="E4355" s="20"/>
      <c r="F4355" s="20"/>
    </row>
    <row r="4356">
      <c r="A4356" s="5"/>
      <c r="B4356" s="14" t="s">
        <v>741</v>
      </c>
      <c r="C4356" s="22">
        <f>(81)*(1)*(1)*(1)*(1 + (0))</f>
      </c>
      <c r="D4356" s="22" t="s">
        <v>153</v>
      </c>
      <c r="E4356" s="22"/>
      <c r="F4356" s="22">
        <f>C4356*E4356</f>
      </c>
    </row>
    <row r="4357">
      <c r="A4357" s="5"/>
      <c r="B4357" s="14" t="s">
        <v>1990</v>
      </c>
      <c r="C4357" s="22">
        <f>(4)*(1)*(1)*(1)*(1 + (0))</f>
      </c>
      <c r="D4357" s="22" t="s">
        <v>162</v>
      </c>
      <c r="E4357" s="22"/>
      <c r="F4357" s="22">
        <f>C4357*E4357</f>
      </c>
    </row>
    <row r="4358">
      <c r="A4358" s="5"/>
      <c r="B4358" s="14" t="s">
        <v>1991</v>
      </c>
      <c r="C4358" s="22">
        <f>(2)*(1)*(1)*(1)*(1 + (0))</f>
      </c>
      <c r="D4358" s="22" t="s">
        <v>162</v>
      </c>
      <c r="E4358" s="22"/>
      <c r="F4358" s="22">
        <f>C4358*E4358</f>
      </c>
    </row>
    <row r="4359">
      <c r="A4359" s="5"/>
      <c r="B4359" s="14" t="s">
        <v>1992</v>
      </c>
      <c r="C4359" s="22">
        <f>(4)*(1)*(1)*(1)*(1 + (0))</f>
      </c>
      <c r="D4359" s="22" t="s">
        <v>162</v>
      </c>
      <c r="E4359" s="22"/>
      <c r="F4359" s="22">
        <f>C4359*E4359</f>
      </c>
    </row>
    <row r="4360">
      <c r="A4360" s="5"/>
      <c r="B4360" s="14" t="s">
        <v>1993</v>
      </c>
      <c r="C4360" s="22">
        <f>(33)*(1)*(1)*(1)*(1 + (0))</f>
      </c>
      <c r="D4360" s="22" t="s">
        <v>153</v>
      </c>
      <c r="E4360" s="22"/>
      <c r="F4360" s="22">
        <f>C4360*E4360</f>
      </c>
    </row>
    <row r="4361">
      <c r="A4361" s="5"/>
      <c r="B4361" s="14" t="s">
        <v>1994</v>
      </c>
      <c r="C4361" s="22">
        <f>(4)*(1)*(1)*(1)*(1 + (0))</f>
      </c>
      <c r="D4361" s="22" t="s">
        <v>162</v>
      </c>
      <c r="E4361" s="22"/>
      <c r="F4361" s="22">
        <f>C4361*E4361</f>
      </c>
    </row>
    <row r="4362">
      <c r="A4362" s="5"/>
      <c r="B4362" s="14" t="s">
        <v>748</v>
      </c>
      <c r="C4362" s="22">
        <f>(14)*(1)*(1)*(1)*(1 + (0))</f>
      </c>
      <c r="D4362" s="22" t="s">
        <v>162</v>
      </c>
      <c r="E4362" s="22"/>
      <c r="F4362" s="22">
        <f>C4362*E4362</f>
      </c>
    </row>
    <row r="4363">
      <c r="A4363" s="5"/>
      <c r="B4363" s="14" t="s">
        <v>749</v>
      </c>
      <c r="C4363" s="22">
        <f>(114)*(1)*(1)*(1)*(1 + (0))</f>
      </c>
      <c r="D4363" s="22" t="s">
        <v>153</v>
      </c>
      <c r="E4363" s="22"/>
      <c r="F4363" s="22">
        <f>C4363*E4363</f>
      </c>
    </row>
    <row r="4364">
      <c r="A4364" s="5"/>
      <c r="B4364" s="14" t="s">
        <v>751</v>
      </c>
      <c r="C4364" s="22">
        <f>(14)*(1)*(1)*(1)*(1 + (0))</f>
      </c>
      <c r="D4364" s="22" t="s">
        <v>162</v>
      </c>
      <c r="E4364" s="22"/>
      <c r="F4364" s="22">
        <f>C4364*E4364</f>
      </c>
    </row>
    <row r="4365">
      <c r="A4365" s="3"/>
      <c r="B4365" s="11" t="s">
        <v>1995</v>
      </c>
      <c r="C4365" s="20"/>
      <c r="D4365" s="20"/>
      <c r="E4365" s="20"/>
      <c r="F4365" s="20"/>
    </row>
    <row r="4366">
      <c r="A4366" s="5"/>
      <c r="B4366" s="14" t="s">
        <v>1996</v>
      </c>
      <c r="C4366" s="22">
        <f>(3)*(1)*(1)*(1)*(1 + (0))</f>
      </c>
      <c r="D4366" s="22" t="s">
        <v>162</v>
      </c>
      <c r="E4366" s="22"/>
      <c r="F4366" s="22">
        <f>C4366*E4366</f>
      </c>
    </row>
    <row r="4367">
      <c r="A4367" s="3"/>
      <c r="B4367" s="11" t="s">
        <v>753</v>
      </c>
      <c r="C4367" s="20"/>
      <c r="D4367" s="20"/>
      <c r="E4367" s="20"/>
      <c r="F4367" s="20"/>
    </row>
    <row r="4368">
      <c r="A4368" s="5"/>
      <c r="B4368" s="14" t="s">
        <v>755</v>
      </c>
      <c r="C4368" s="22">
        <f>(1)*(1)*(1)*(1)*(1 + (0))</f>
      </c>
      <c r="D4368" s="22" t="s">
        <v>162</v>
      </c>
      <c r="E4368" s="22"/>
      <c r="F4368" s="22">
        <f>C4368*E4368</f>
      </c>
    </row>
    <row r="4369">
      <c r="A4369" s="5"/>
      <c r="B4369" s="14" t="s">
        <v>756</v>
      </c>
      <c r="C4369" s="22">
        <f>(1)*(1)*(1)*(1)*(1 + (0))</f>
      </c>
      <c r="D4369" s="22" t="s">
        <v>71</v>
      </c>
      <c r="E4369" s="22"/>
      <c r="F4369" s="22">
        <f>C4369*E4369</f>
      </c>
    </row>
    <row r="4370">
      <c r="A4370" s="2"/>
      <c r="B4370" s="10" t="s">
        <v>757</v>
      </c>
      <c r="C4370" s="19"/>
      <c r="D4370" s="19"/>
      <c r="E4370" s="19"/>
      <c r="F4370" s="19"/>
    </row>
    <row r="4371">
      <c r="A4371" s="3"/>
      <c r="B4371" s="11" t="s">
        <v>37</v>
      </c>
      <c r="C4371" s="20"/>
      <c r="D4371" s="20"/>
      <c r="E4371" s="20"/>
      <c r="F4371" s="20"/>
    </row>
    <row r="4372">
      <c r="A4372" s="5" t="s">
        <v>758</v>
      </c>
      <c r="B4372" s="14" t="s">
        <v>759</v>
      </c>
      <c r="C4372" s="22"/>
      <c r="D4372" s="22" t="s">
        <v>10</v>
      </c>
      <c r="E4372" s="22"/>
      <c r="F4372" s="22">
        <f>C4372*E4372</f>
      </c>
    </row>
    <row r="4373">
      <c r="A4373" s="5" t="s">
        <v>760</v>
      </c>
      <c r="B4373" s="14" t="s">
        <v>41</v>
      </c>
      <c r="C4373" s="22"/>
      <c r="D4373" s="22" t="s">
        <v>10</v>
      </c>
      <c r="E4373" s="22"/>
      <c r="F4373" s="22">
        <f>C4373*E4373</f>
      </c>
    </row>
    <row r="4374">
      <c r="A4374" s="3"/>
      <c r="B4374" s="11" t="s">
        <v>42</v>
      </c>
      <c r="C4374" s="20"/>
      <c r="D4374" s="20"/>
      <c r="E4374" s="20"/>
      <c r="F4374" s="20"/>
    </row>
    <row r="4375">
      <c r="A4375" s="5"/>
      <c r="B4375" s="14" t="s">
        <v>761</v>
      </c>
      <c r="C4375" s="22"/>
      <c r="D4375" s="22" t="s">
        <v>10</v>
      </c>
      <c r="E4375" s="22"/>
      <c r="F4375" s="22">
        <f>C4375*E4375</f>
      </c>
    </row>
    <row r="4376">
      <c r="A4376" s="5"/>
      <c r="B4376" s="14" t="s">
        <v>762</v>
      </c>
      <c r="C4376" s="22"/>
      <c r="D4376" s="22" t="s">
        <v>10</v>
      </c>
      <c r="E4376" s="22"/>
      <c r="F4376" s="22">
        <f>C4376*E4376</f>
      </c>
    </row>
    <row r="4377">
      <c r="A4377" s="5"/>
      <c r="B4377" s="14" t="s">
        <v>763</v>
      </c>
      <c r="C4377" s="22"/>
      <c r="D4377" s="22" t="s">
        <v>10</v>
      </c>
      <c r="E4377" s="22"/>
      <c r="F4377" s="22">
        <f>C4377*E4377</f>
      </c>
    </row>
    <row r="4378">
      <c r="A4378" s="5"/>
      <c r="B4378" s="14" t="s">
        <v>764</v>
      </c>
      <c r="C4378" s="22"/>
      <c r="D4378" s="22" t="s">
        <v>10</v>
      </c>
      <c r="E4378" s="22"/>
      <c r="F4378" s="22">
        <f>C4378*E4378</f>
      </c>
    </row>
    <row r="4379">
      <c r="A4379" s="3"/>
      <c r="B4379" s="11" t="s">
        <v>44</v>
      </c>
      <c r="C4379" s="20"/>
      <c r="D4379" s="20"/>
      <c r="E4379" s="20"/>
      <c r="F4379" s="20"/>
    </row>
    <row r="4380">
      <c r="A4380" s="4"/>
      <c r="B4380" s="12" t="s">
        <v>45</v>
      </c>
      <c r="C4380" s="21"/>
      <c r="D4380" s="21"/>
      <c r="E4380" s="21"/>
      <c r="F4380" s="21"/>
    </row>
    <row r="4381">
      <c r="A4381" s="5" t="s">
        <v>765</v>
      </c>
      <c r="B4381" s="13" t="s">
        <v>696</v>
      </c>
      <c r="C4381" s="22"/>
      <c r="D4381" s="22" t="s">
        <v>10</v>
      </c>
      <c r="E4381" s="22"/>
      <c r="F4381" s="22">
        <f>C4381*E4381</f>
      </c>
    </row>
    <row r="4382">
      <c r="A4382" s="5" t="s">
        <v>766</v>
      </c>
      <c r="B4382" s="13" t="s">
        <v>767</v>
      </c>
      <c r="C4382" s="22"/>
      <c r="D4382" s="22" t="s">
        <v>10</v>
      </c>
      <c r="E4382" s="22"/>
      <c r="F4382" s="22">
        <f>C4382*E4382</f>
      </c>
    </row>
    <row r="4383">
      <c r="A4383" s="5" t="s">
        <v>768</v>
      </c>
      <c r="B4383" s="13" t="s">
        <v>769</v>
      </c>
      <c r="C4383" s="22"/>
      <c r="D4383" s="22" t="s">
        <v>10</v>
      </c>
      <c r="E4383" s="22"/>
      <c r="F4383" s="22">
        <f>C4383*E4383</f>
      </c>
    </row>
    <row r="4384">
      <c r="A4384" s="5" t="s">
        <v>770</v>
      </c>
      <c r="B4384" s="13" t="s">
        <v>654</v>
      </c>
      <c r="C4384" s="22"/>
      <c r="D4384" s="22" t="s">
        <v>10</v>
      </c>
      <c r="E4384" s="22"/>
      <c r="F4384" s="22">
        <f>C4384*E4384</f>
      </c>
    </row>
    <row r="4385">
      <c r="A4385" s="6"/>
      <c r="B4385" s="15" t="s">
        <v>771</v>
      </c>
      <c r="C4385" s="23"/>
      <c r="D4385" s="23"/>
      <c r="E4385" s="23"/>
      <c r="F4385" s="23"/>
    </row>
    <row r="4386">
      <c r="A4386" s="5" t="s">
        <v>772</v>
      </c>
      <c r="B4386" s="16" t="s">
        <v>528</v>
      </c>
      <c r="C4386" s="22"/>
      <c r="D4386" s="22" t="s">
        <v>10</v>
      </c>
      <c r="E4386" s="22"/>
      <c r="F4386" s="22">
        <f>C4386*E4386</f>
      </c>
    </row>
    <row r="4387">
      <c r="A4387" s="5" t="s">
        <v>773</v>
      </c>
      <c r="B4387" s="16" t="s">
        <v>530</v>
      </c>
      <c r="C4387" s="22"/>
      <c r="D4387" s="22" t="s">
        <v>10</v>
      </c>
      <c r="E4387" s="22"/>
      <c r="F4387" s="22">
        <f>C4387*E4387</f>
      </c>
    </row>
    <row r="4388">
      <c r="A4388" s="5" t="s">
        <v>774</v>
      </c>
      <c r="B4388" s="16" t="s">
        <v>532</v>
      </c>
      <c r="C4388" s="22"/>
      <c r="D4388" s="22" t="s">
        <v>10</v>
      </c>
      <c r="E4388" s="22"/>
      <c r="F4388" s="22">
        <f>C4388*E4388</f>
      </c>
    </row>
    <row r="4389">
      <c r="A4389" s="5" t="s">
        <v>775</v>
      </c>
      <c r="B4389" s="16" t="s">
        <v>536</v>
      </c>
      <c r="C4389" s="22"/>
      <c r="D4389" s="22" t="s">
        <v>10</v>
      </c>
      <c r="E4389" s="22"/>
      <c r="F4389" s="22">
        <f>C4389*E4389</f>
      </c>
    </row>
    <row r="4390">
      <c r="A4390" s="5" t="s">
        <v>776</v>
      </c>
      <c r="B4390" s="16" t="s">
        <v>777</v>
      </c>
      <c r="C4390" s="22"/>
      <c r="D4390" s="22" t="s">
        <v>10</v>
      </c>
      <c r="E4390" s="22"/>
      <c r="F4390" s="22">
        <f>C4390*E4390</f>
      </c>
    </row>
    <row r="4391">
      <c r="A4391" s="6"/>
      <c r="B4391" s="15" t="s">
        <v>778</v>
      </c>
      <c r="C4391" s="23"/>
      <c r="D4391" s="23"/>
      <c r="E4391" s="23"/>
      <c r="F4391" s="23"/>
    </row>
    <row r="4392">
      <c r="A4392" s="5" t="s">
        <v>779</v>
      </c>
      <c r="B4392" s="16" t="s">
        <v>780</v>
      </c>
      <c r="C4392" s="22"/>
      <c r="D4392" s="22" t="s">
        <v>10</v>
      </c>
      <c r="E4392" s="22"/>
      <c r="F4392" s="22">
        <f>C4392*E4392</f>
      </c>
    </row>
    <row r="4393">
      <c r="A4393" s="5" t="s">
        <v>781</v>
      </c>
      <c r="B4393" s="16" t="s">
        <v>782</v>
      </c>
      <c r="C4393" s="22"/>
      <c r="D4393" s="22" t="s">
        <v>10</v>
      </c>
      <c r="E4393" s="22"/>
      <c r="F4393" s="22">
        <f>C4393*E4393</f>
      </c>
    </row>
    <row r="4394">
      <c r="A4394" s="5" t="s">
        <v>783</v>
      </c>
      <c r="B4394" s="16" t="s">
        <v>784</v>
      </c>
      <c r="C4394" s="22"/>
      <c r="D4394" s="22" t="s">
        <v>10</v>
      </c>
      <c r="E4394" s="22"/>
      <c r="F4394" s="22">
        <f>C4394*E4394</f>
      </c>
    </row>
    <row r="4395">
      <c r="A4395" s="5" t="s">
        <v>785</v>
      </c>
      <c r="B4395" s="16" t="s">
        <v>786</v>
      </c>
      <c r="C4395" s="22"/>
      <c r="D4395" s="22" t="s">
        <v>10</v>
      </c>
      <c r="E4395" s="22"/>
      <c r="F4395" s="22">
        <f>C4395*E4395</f>
      </c>
    </row>
    <row r="4396">
      <c r="A4396" s="5" t="s">
        <v>787</v>
      </c>
      <c r="B4396" s="16" t="s">
        <v>788</v>
      </c>
      <c r="C4396" s="22"/>
      <c r="D4396" s="22" t="s">
        <v>10</v>
      </c>
      <c r="E4396" s="22"/>
      <c r="F4396" s="22">
        <f>C4396*E4396</f>
      </c>
    </row>
    <row r="4397">
      <c r="A4397" s="5" t="s">
        <v>789</v>
      </c>
      <c r="B4397" s="16" t="s">
        <v>769</v>
      </c>
      <c r="C4397" s="22"/>
      <c r="D4397" s="22" t="s">
        <v>10</v>
      </c>
      <c r="E4397" s="22"/>
      <c r="F4397" s="22">
        <f>C4397*E4397</f>
      </c>
    </row>
    <row r="4398">
      <c r="A4398" s="6"/>
      <c r="B4398" s="15" t="s">
        <v>790</v>
      </c>
      <c r="C4398" s="23"/>
      <c r="D4398" s="23"/>
      <c r="E4398" s="23"/>
      <c r="F4398" s="23"/>
    </row>
    <row r="4399">
      <c r="A4399" s="5" t="s">
        <v>791</v>
      </c>
      <c r="B4399" s="16" t="s">
        <v>652</v>
      </c>
      <c r="C4399" s="22"/>
      <c r="D4399" s="22" t="s">
        <v>10</v>
      </c>
      <c r="E4399" s="22"/>
      <c r="F4399" s="22">
        <f>C4399*E4399</f>
      </c>
    </row>
    <row r="4400">
      <c r="A4400" s="5" t="s">
        <v>792</v>
      </c>
      <c r="B4400" s="16" t="s">
        <v>700</v>
      </c>
      <c r="C4400" s="22"/>
      <c r="D4400" s="22" t="s">
        <v>10</v>
      </c>
      <c r="E4400" s="22"/>
      <c r="F4400" s="22">
        <f>C4400*E4400</f>
      </c>
    </row>
    <row r="4401">
      <c r="A4401" s="5" t="s">
        <v>793</v>
      </c>
      <c r="B4401" s="16" t="s">
        <v>650</v>
      </c>
      <c r="C4401" s="22"/>
      <c r="D4401" s="22" t="s">
        <v>10</v>
      </c>
      <c r="E4401" s="22"/>
      <c r="F4401" s="22">
        <f>C4401*E4401</f>
      </c>
    </row>
    <row r="4402">
      <c r="A4402" s="3"/>
      <c r="B4402" s="11" t="s">
        <v>68</v>
      </c>
      <c r="C4402" s="20"/>
      <c r="D4402" s="20"/>
      <c r="E4402" s="20"/>
      <c r="F4402" s="20"/>
    </row>
    <row r="4403">
      <c r="A4403" s="5" t="s">
        <v>794</v>
      </c>
      <c r="B4403" s="14" t="s">
        <v>70</v>
      </c>
      <c r="C4403" s="22">
        <f>(1)*(1)*(1)*(1)*(1 + (0))</f>
      </c>
      <c r="D4403" s="22" t="s">
        <v>71</v>
      </c>
      <c r="E4403" s="22"/>
      <c r="F4403" s="22">
        <f>C4403*E4403</f>
      </c>
    </row>
    <row r="4404">
      <c r="A4404" s="5" t="s">
        <v>795</v>
      </c>
      <c r="B4404" s="14" t="s">
        <v>796</v>
      </c>
      <c r="C4404" s="22">
        <f>(1)*(1)*(1)*(1)*(1 + (0))</f>
      </c>
      <c r="D4404" s="22" t="s">
        <v>71</v>
      </c>
      <c r="E4404" s="22"/>
      <c r="F4404" s="22">
        <f>C4404*E4404</f>
      </c>
    </row>
    <row r="4405">
      <c r="A4405" s="5" t="s">
        <v>797</v>
      </c>
      <c r="B4405" s="14" t="s">
        <v>798</v>
      </c>
      <c r="C4405" s="22">
        <f>(1)*(1)*(1)*(1)*(1 + (0))</f>
      </c>
      <c r="D4405" s="22" t="s">
        <v>71</v>
      </c>
      <c r="E4405" s="22"/>
      <c r="F4405" s="22">
        <f>C4405*E4405</f>
      </c>
    </row>
    <row r="4406">
      <c r="A4406" s="5" t="s">
        <v>799</v>
      </c>
      <c r="B4406" s="14" t="s">
        <v>800</v>
      </c>
      <c r="C4406" s="22">
        <f>(1)*(1)*(1)*(1)*(1 + (0))</f>
      </c>
      <c r="D4406" s="22" t="s">
        <v>71</v>
      </c>
      <c r="E4406" s="22"/>
      <c r="F4406" s="22">
        <f>C4406*E4406</f>
      </c>
    </row>
    <row r="4407">
      <c r="A4407" s="5" t="s">
        <v>801</v>
      </c>
      <c r="B4407" s="14" t="s">
        <v>73</v>
      </c>
      <c r="C4407" s="22">
        <f>(1)*(1)*(1)*(1)*(1 + (0))</f>
      </c>
      <c r="D4407" s="22" t="s">
        <v>71</v>
      </c>
      <c r="E4407" s="22"/>
      <c r="F4407" s="22">
        <f>C4407*E4407</f>
      </c>
    </row>
    <row r="4408">
      <c r="A4408" s="5" t="s">
        <v>802</v>
      </c>
      <c r="B4408" s="14" t="s">
        <v>803</v>
      </c>
      <c r="C4408" s="22">
        <f>(1)*(1)*(1)*(1)*(1 + (0))</f>
      </c>
      <c r="D4408" s="22" t="s">
        <v>71</v>
      </c>
      <c r="E4408" s="22"/>
      <c r="F4408" s="22">
        <f>C4408*E4408</f>
      </c>
    </row>
    <row r="4409">
      <c r="A4409" s="5" t="s">
        <v>804</v>
      </c>
      <c r="B4409" s="14" t="s">
        <v>805</v>
      </c>
      <c r="C4409" s="22">
        <f>(1)*(1)*(1)*(1)*(1 + (0))</f>
      </c>
      <c r="D4409" s="22" t="s">
        <v>71</v>
      </c>
      <c r="E4409" s="22"/>
      <c r="F4409" s="22">
        <f>C4409*E4409</f>
      </c>
    </row>
    <row r="4410">
      <c r="A4410" s="5" t="s">
        <v>806</v>
      </c>
      <c r="B4410" s="14" t="s">
        <v>230</v>
      </c>
      <c r="C4410" s="22">
        <f>(1)*(1)*(1)*(1)*(1 + (0))</f>
      </c>
      <c r="D4410" s="22" t="s">
        <v>71</v>
      </c>
      <c r="E4410" s="22"/>
      <c r="F4410" s="22">
        <f>C4410*E4410</f>
      </c>
    </row>
    <row r="4411">
      <c r="A4411" s="5" t="s">
        <v>807</v>
      </c>
      <c r="B4411" s="14" t="s">
        <v>808</v>
      </c>
      <c r="C4411" s="22">
        <f>(1)*(1)*(1)*(1)*(1 + (0))</f>
      </c>
      <c r="D4411" s="22" t="s">
        <v>71</v>
      </c>
      <c r="E4411" s="22"/>
      <c r="F4411" s="22">
        <f>C4411*E4411</f>
      </c>
    </row>
    <row r="4412">
      <c r="A4412" s="5" t="s">
        <v>809</v>
      </c>
      <c r="B4412" s="14" t="s">
        <v>810</v>
      </c>
      <c r="C4412" s="22">
        <f>(1)*(1)*(1)*(1)*(1 + (0))</f>
      </c>
      <c r="D4412" s="22" t="s">
        <v>71</v>
      </c>
      <c r="E4412" s="22"/>
      <c r="F4412" s="22">
        <f>C4412*E4412</f>
      </c>
    </row>
    <row r="4413">
      <c r="A4413" s="5" t="s">
        <v>811</v>
      </c>
      <c r="B4413" s="14" t="s">
        <v>812</v>
      </c>
      <c r="C4413" s="22">
        <f>(1)*(1)*(1)*(1)*(1 + (0))</f>
      </c>
      <c r="D4413" s="22" t="s">
        <v>71</v>
      </c>
      <c r="E4413" s="22"/>
      <c r="F4413" s="22">
        <f>C4413*E4413</f>
      </c>
    </row>
    <row r="4414">
      <c r="A4414" s="5" t="s">
        <v>813</v>
      </c>
      <c r="B4414" s="14" t="s">
        <v>814</v>
      </c>
      <c r="C4414" s="22">
        <f>(1)*(1)*(1)*(1)*(1 + (0))</f>
      </c>
      <c r="D4414" s="22" t="s">
        <v>71</v>
      </c>
      <c r="E4414" s="22"/>
      <c r="F4414" s="22">
        <f>C4414*E4414</f>
      </c>
    </row>
    <row r="4415">
      <c r="A4415" s="5" t="s">
        <v>815</v>
      </c>
      <c r="B4415" s="14" t="s">
        <v>816</v>
      </c>
      <c r="C4415" s="22">
        <f>(1)*(1)*(1)*(1)*(1 + (0))</f>
      </c>
      <c r="D4415" s="22" t="s">
        <v>71</v>
      </c>
      <c r="E4415" s="22"/>
      <c r="F4415" s="22">
        <f>C4415*E4415</f>
      </c>
    </row>
    <row r="4416">
      <c r="A4416" s="5" t="s">
        <v>817</v>
      </c>
      <c r="B4416" s="14" t="s">
        <v>667</v>
      </c>
      <c r="C4416" s="22">
        <f>(1)*(1)*(1)*(1)*(1 + (0))</f>
      </c>
      <c r="D4416" s="22" t="s">
        <v>71</v>
      </c>
      <c r="E4416" s="22"/>
      <c r="F4416" s="22">
        <f>C4416*E4416</f>
      </c>
    </row>
    <row r="4417">
      <c r="A4417" s="3"/>
      <c r="B4417" s="11" t="s">
        <v>106</v>
      </c>
      <c r="C4417" s="20"/>
      <c r="D4417" s="20"/>
      <c r="E4417" s="20"/>
      <c r="F4417" s="20"/>
    </row>
    <row r="4418">
      <c r="A4418" s="5"/>
      <c r="B4418" s="14" t="s">
        <v>818</v>
      </c>
      <c r="C4418" s="22"/>
      <c r="D4418" s="22" t="s">
        <v>10</v>
      </c>
      <c r="E4418" s="22"/>
      <c r="F4418" s="22">
        <f>C4418*E4418</f>
      </c>
    </row>
    <row r="4419">
      <c r="A4419" s="3"/>
      <c r="B4419" s="11" t="s">
        <v>819</v>
      </c>
      <c r="C4419" s="20"/>
      <c r="D4419" s="20"/>
      <c r="E4419" s="20"/>
      <c r="F4419" s="20"/>
    </row>
    <row r="4420">
      <c r="A4420" s="4"/>
      <c r="B4420" s="12" t="s">
        <v>820</v>
      </c>
      <c r="C4420" s="21"/>
      <c r="D4420" s="21"/>
      <c r="E4420" s="21"/>
      <c r="F4420" s="21"/>
    </row>
    <row r="4421">
      <c r="A4421" s="5"/>
      <c r="B4421" s="13" t="s">
        <v>1997</v>
      </c>
      <c r="C4421" s="22">
        <f>(408)*(1)*(1)*(1)*(1 + (0))</f>
      </c>
      <c r="D4421" s="22" t="s">
        <v>24</v>
      </c>
      <c r="E4421" s="22"/>
      <c r="F4421" s="22">
        <f>C4421*E4421</f>
      </c>
    </row>
    <row r="4422">
      <c r="A4422" s="4"/>
      <c r="B4422" s="12" t="s">
        <v>1998</v>
      </c>
      <c r="C4422" s="21"/>
      <c r="D4422" s="21"/>
      <c r="E4422" s="21"/>
      <c r="F4422" s="21"/>
    </row>
    <row r="4423">
      <c r="A4423" s="5"/>
      <c r="B4423" s="13" t="s">
        <v>1997</v>
      </c>
      <c r="C4423" s="22">
        <f>(5)*(1)*(1)*(1)*(1 + (0))</f>
      </c>
      <c r="D4423" s="22" t="s">
        <v>24</v>
      </c>
      <c r="E4423" s="22"/>
      <c r="F4423" s="22">
        <f>C4423*E4423</f>
      </c>
    </row>
    <row r="4424">
      <c r="A4424" s="4"/>
      <c r="B4424" s="12" t="s">
        <v>826</v>
      </c>
      <c r="C4424" s="21"/>
      <c r="D4424" s="21"/>
      <c r="E4424" s="21"/>
      <c r="F4424" s="21"/>
    </row>
    <row r="4425">
      <c r="A4425" s="5"/>
      <c r="B4425" s="13" t="s">
        <v>1997</v>
      </c>
      <c r="C4425" s="22">
        <f>(266)*(1)*(1)*(1)*(1 + (0))</f>
      </c>
      <c r="D4425" s="22" t="s">
        <v>24</v>
      </c>
      <c r="E4425" s="22"/>
      <c r="F4425" s="22">
        <f>C4425*E4425</f>
      </c>
    </row>
    <row r="4426">
      <c r="A4426" s="4"/>
      <c r="B4426" s="12" t="s">
        <v>1999</v>
      </c>
      <c r="C4426" s="21"/>
      <c r="D4426" s="21"/>
      <c r="E4426" s="21"/>
      <c r="F4426" s="21"/>
    </row>
    <row r="4427">
      <c r="A4427" s="5"/>
      <c r="B4427" s="13" t="s">
        <v>1997</v>
      </c>
      <c r="C4427" s="22">
        <f>(91)*(1)*(1)*(1)*(1 + (0))</f>
      </c>
      <c r="D4427" s="22" t="s">
        <v>24</v>
      </c>
      <c r="E4427" s="22"/>
      <c r="F4427" s="22">
        <f>C4427*E4427</f>
      </c>
    </row>
    <row r="4428">
      <c r="A4428" s="2"/>
      <c r="B4428" s="10" t="s">
        <v>828</v>
      </c>
      <c r="C4428" s="19"/>
      <c r="D4428" s="19"/>
      <c r="E4428" s="19"/>
      <c r="F4428" s="19"/>
    </row>
    <row r="4429">
      <c r="A4429" s="3"/>
      <c r="B4429" s="11" t="s">
        <v>37</v>
      </c>
      <c r="C4429" s="20"/>
      <c r="D4429" s="20"/>
      <c r="E4429" s="20"/>
      <c r="F4429" s="20"/>
    </row>
    <row r="4430">
      <c r="A4430" s="5" t="s">
        <v>829</v>
      </c>
      <c r="B4430" s="14" t="s">
        <v>39</v>
      </c>
      <c r="C4430" s="22"/>
      <c r="D4430" s="22" t="s">
        <v>10</v>
      </c>
      <c r="E4430" s="22"/>
      <c r="F4430" s="22">
        <f>C4430*E4430</f>
      </c>
    </row>
    <row r="4431">
      <c r="A4431" s="5" t="s">
        <v>830</v>
      </c>
      <c r="B4431" s="14" t="s">
        <v>41</v>
      </c>
      <c r="C4431" s="22"/>
      <c r="D4431" s="22" t="s">
        <v>10</v>
      </c>
      <c r="E4431" s="22"/>
      <c r="F4431" s="22">
        <f>C4431*E4431</f>
      </c>
    </row>
    <row r="4432">
      <c r="A4432" s="3"/>
      <c r="B4432" s="11" t="s">
        <v>42</v>
      </c>
      <c r="C4432" s="20"/>
      <c r="D4432" s="20"/>
      <c r="E4432" s="20"/>
      <c r="F4432" s="20"/>
    </row>
    <row r="4433">
      <c r="A4433" s="5"/>
      <c r="B4433" s="14" t="s">
        <v>1722</v>
      </c>
      <c r="C4433" s="22"/>
      <c r="D4433" s="22" t="s">
        <v>10</v>
      </c>
      <c r="E4433" s="22"/>
      <c r="F4433" s="22">
        <f>C4433*E4433</f>
      </c>
    </row>
    <row r="4434">
      <c r="A4434" s="5"/>
      <c r="B4434" s="14" t="s">
        <v>1723</v>
      </c>
      <c r="C4434" s="22"/>
      <c r="D4434" s="22" t="s">
        <v>10</v>
      </c>
      <c r="E4434" s="22"/>
      <c r="F4434" s="22">
        <f>C4434*E4434</f>
      </c>
    </row>
    <row r="4435">
      <c r="A4435" s="3"/>
      <c r="B4435" s="11" t="s">
        <v>44</v>
      </c>
      <c r="C4435" s="20"/>
      <c r="D4435" s="20"/>
      <c r="E4435" s="20"/>
      <c r="F4435" s="20"/>
    </row>
    <row r="4436">
      <c r="A4436" s="4"/>
      <c r="B4436" s="12" t="s">
        <v>45</v>
      </c>
      <c r="C4436" s="21"/>
      <c r="D4436" s="21"/>
      <c r="E4436" s="21"/>
      <c r="F4436" s="21"/>
    </row>
    <row r="4437">
      <c r="A4437" s="5" t="s">
        <v>831</v>
      </c>
      <c r="B4437" s="13" t="s">
        <v>832</v>
      </c>
      <c r="C4437" s="22"/>
      <c r="D4437" s="22" t="s">
        <v>10</v>
      </c>
      <c r="E4437" s="22"/>
      <c r="F4437" s="22">
        <f>C4437*E4437</f>
      </c>
    </row>
    <row r="4438">
      <c r="A4438" s="5" t="s">
        <v>833</v>
      </c>
      <c r="B4438" s="13" t="s">
        <v>530</v>
      </c>
      <c r="C4438" s="22"/>
      <c r="D4438" s="22" t="s">
        <v>10</v>
      </c>
      <c r="E4438" s="22"/>
      <c r="F4438" s="22">
        <f>C4438*E4438</f>
      </c>
    </row>
    <row r="4439">
      <c r="A4439" s="5" t="s">
        <v>834</v>
      </c>
      <c r="B4439" s="13" t="s">
        <v>835</v>
      </c>
      <c r="C4439" s="22"/>
      <c r="D4439" s="22" t="s">
        <v>10</v>
      </c>
      <c r="E4439" s="22"/>
      <c r="F4439" s="22">
        <f>C4439*E4439</f>
      </c>
    </row>
    <row r="4440">
      <c r="A4440" s="5" t="s">
        <v>836</v>
      </c>
      <c r="B4440" s="13" t="s">
        <v>837</v>
      </c>
      <c r="C4440" s="22"/>
      <c r="D4440" s="22" t="s">
        <v>10</v>
      </c>
      <c r="E4440" s="22"/>
      <c r="F4440" s="22">
        <f>C4440*E4440</f>
      </c>
    </row>
    <row r="4441">
      <c r="A4441" s="5" t="s">
        <v>838</v>
      </c>
      <c r="B4441" s="13" t="s">
        <v>839</v>
      </c>
      <c r="C4441" s="22"/>
      <c r="D4441" s="22" t="s">
        <v>10</v>
      </c>
      <c r="E4441" s="22"/>
      <c r="F4441" s="22">
        <f>C4441*E4441</f>
      </c>
    </row>
    <row r="4442">
      <c r="A4442" s="5" t="s">
        <v>840</v>
      </c>
      <c r="B4442" s="13" t="s">
        <v>841</v>
      </c>
      <c r="C4442" s="22"/>
      <c r="D4442" s="22" t="s">
        <v>10</v>
      </c>
      <c r="E4442" s="22"/>
      <c r="F4442" s="22">
        <f>C4442*E4442</f>
      </c>
    </row>
    <row r="4443">
      <c r="A4443" s="5" t="s">
        <v>842</v>
      </c>
      <c r="B4443" s="13" t="s">
        <v>843</v>
      </c>
      <c r="C4443" s="22"/>
      <c r="D4443" s="22" t="s">
        <v>10</v>
      </c>
      <c r="E4443" s="22"/>
      <c r="F4443" s="22">
        <f>C4443*E4443</f>
      </c>
    </row>
    <row r="4444">
      <c r="A4444" s="5" t="s">
        <v>844</v>
      </c>
      <c r="B4444" s="13" t="s">
        <v>845</v>
      </c>
      <c r="C4444" s="22"/>
      <c r="D4444" s="22" t="s">
        <v>10</v>
      </c>
      <c r="E4444" s="22"/>
      <c r="F4444" s="22">
        <f>C4444*E4444</f>
      </c>
    </row>
    <row r="4445">
      <c r="A4445" s="5" t="s">
        <v>846</v>
      </c>
      <c r="B4445" s="13" t="s">
        <v>847</v>
      </c>
      <c r="C4445" s="22"/>
      <c r="D4445" s="22" t="s">
        <v>10</v>
      </c>
      <c r="E4445" s="22"/>
      <c r="F4445" s="22">
        <f>C4445*E4445</f>
      </c>
    </row>
    <row r="4446">
      <c r="A4446" s="5" t="s">
        <v>848</v>
      </c>
      <c r="B4446" s="13" t="s">
        <v>849</v>
      </c>
      <c r="C4446" s="22"/>
      <c r="D4446" s="22" t="s">
        <v>10</v>
      </c>
      <c r="E4446" s="22"/>
      <c r="F4446" s="22">
        <f>C4446*E4446</f>
      </c>
    </row>
    <row r="4447">
      <c r="A4447" s="5" t="s">
        <v>850</v>
      </c>
      <c r="B4447" s="13" t="s">
        <v>851</v>
      </c>
      <c r="C4447" s="22"/>
      <c r="D4447" s="22" t="s">
        <v>10</v>
      </c>
      <c r="E4447" s="22"/>
      <c r="F4447" s="22">
        <f>C4447*E4447</f>
      </c>
    </row>
    <row r="4448">
      <c r="A4448" s="5" t="s">
        <v>852</v>
      </c>
      <c r="B4448" s="13" t="s">
        <v>853</v>
      </c>
      <c r="C4448" s="22"/>
      <c r="D4448" s="22" t="s">
        <v>10</v>
      </c>
      <c r="E4448" s="22"/>
      <c r="F4448" s="22">
        <f>C4448*E4448</f>
      </c>
    </row>
    <row r="4449">
      <c r="A4449" s="5" t="s">
        <v>854</v>
      </c>
      <c r="B4449" s="13" t="s">
        <v>123</v>
      </c>
      <c r="C4449" s="22"/>
      <c r="D4449" s="22" t="s">
        <v>10</v>
      </c>
      <c r="E4449" s="22"/>
      <c r="F4449" s="22">
        <f>C4449*E4449</f>
      </c>
    </row>
    <row r="4450">
      <c r="A4450" s="3"/>
      <c r="B4450" s="11" t="s">
        <v>68</v>
      </c>
      <c r="C4450" s="20"/>
      <c r="D4450" s="20"/>
      <c r="E4450" s="20"/>
      <c r="F4450" s="20"/>
    </row>
    <row r="4451">
      <c r="A4451" s="5" t="s">
        <v>857</v>
      </c>
      <c r="B4451" s="14" t="s">
        <v>858</v>
      </c>
      <c r="C4451" s="22">
        <f>(1)*(1)*(1)*(1)*(1 + (0))</f>
      </c>
      <c r="D4451" s="22" t="s">
        <v>71</v>
      </c>
      <c r="E4451" s="22"/>
      <c r="F4451" s="22">
        <f>C4451*E4451</f>
      </c>
    </row>
    <row r="4452">
      <c r="A4452" s="5" t="s">
        <v>859</v>
      </c>
      <c r="B4452" s="14" t="s">
        <v>136</v>
      </c>
      <c r="C4452" s="22">
        <f>(1)*(1)*(1)*(1)*(1 + (0))</f>
      </c>
      <c r="D4452" s="22" t="s">
        <v>71</v>
      </c>
      <c r="E4452" s="22"/>
      <c r="F4452" s="22">
        <f>C4452*E4452</f>
      </c>
    </row>
    <row r="4453">
      <c r="A4453" s="5" t="s">
        <v>860</v>
      </c>
      <c r="B4453" s="14" t="s">
        <v>77</v>
      </c>
      <c r="C4453" s="22">
        <f>(1)*(1)*(1)*(1)*(1 + (0))</f>
      </c>
      <c r="D4453" s="22" t="s">
        <v>71</v>
      </c>
      <c r="E4453" s="22"/>
      <c r="F4453" s="22">
        <f>C4453*E4453</f>
      </c>
    </row>
    <row r="4454">
      <c r="A4454" s="5" t="s">
        <v>861</v>
      </c>
      <c r="B4454" s="14" t="s">
        <v>70</v>
      </c>
      <c r="C4454" s="22">
        <f>(1)*(1)*(1)*(1)*(1 + (0))</f>
      </c>
      <c r="D4454" s="22" t="s">
        <v>71</v>
      </c>
      <c r="E4454" s="22"/>
      <c r="F4454" s="22">
        <f>C4454*E4454</f>
      </c>
    </row>
    <row r="4455">
      <c r="A4455" s="5" t="s">
        <v>862</v>
      </c>
      <c r="B4455" s="14" t="s">
        <v>863</v>
      </c>
      <c r="C4455" s="22">
        <f>(1)*(1)*(1)*(1)*(1 + (0))</f>
      </c>
      <c r="D4455" s="22" t="s">
        <v>71</v>
      </c>
      <c r="E4455" s="22"/>
      <c r="F4455" s="22">
        <f>C4455*E4455</f>
      </c>
    </row>
    <row r="4456">
      <c r="A4456" s="5" t="s">
        <v>864</v>
      </c>
      <c r="B4456" s="14" t="s">
        <v>816</v>
      </c>
      <c r="C4456" s="22">
        <f>(1)*(1)*(1)*(1)*(1 + (0))</f>
      </c>
      <c r="D4456" s="22" t="s">
        <v>71</v>
      </c>
      <c r="E4456" s="22"/>
      <c r="F4456" s="22">
        <f>C4456*E4456</f>
      </c>
    </row>
    <row r="4457">
      <c r="A4457" s="5" t="s">
        <v>865</v>
      </c>
      <c r="B4457" s="14" t="s">
        <v>798</v>
      </c>
      <c r="C4457" s="22">
        <f>(1)*(1)*(1)*(1)*(1 + (0))</f>
      </c>
      <c r="D4457" s="22" t="s">
        <v>71</v>
      </c>
      <c r="E4457" s="22"/>
      <c r="F4457" s="22">
        <f>C4457*E4457</f>
      </c>
    </row>
    <row r="4458">
      <c r="A4458" s="5" t="s">
        <v>866</v>
      </c>
      <c r="B4458" s="14" t="s">
        <v>230</v>
      </c>
      <c r="C4458" s="22">
        <f>(1)*(1)*(1)*(1)*(1 + (0))</f>
      </c>
      <c r="D4458" s="22" t="s">
        <v>71</v>
      </c>
      <c r="E4458" s="22"/>
      <c r="F4458" s="22">
        <f>C4458*E4458</f>
      </c>
    </row>
    <row r="4459">
      <c r="A4459" s="5" t="s">
        <v>867</v>
      </c>
      <c r="B4459" s="14" t="s">
        <v>665</v>
      </c>
      <c r="C4459" s="22">
        <f>(1)*(1)*(1)*(1)*(1 + (0))</f>
      </c>
      <c r="D4459" s="22" t="s">
        <v>71</v>
      </c>
      <c r="E4459" s="22"/>
      <c r="F4459" s="22">
        <f>C4459*E4459</f>
      </c>
    </row>
    <row r="4460">
      <c r="A4460" s="3"/>
      <c r="B4460" s="11" t="s">
        <v>869</v>
      </c>
      <c r="C4460" s="20"/>
      <c r="D4460" s="20"/>
      <c r="E4460" s="20"/>
      <c r="F4460" s="20"/>
    </row>
    <row r="4461">
      <c r="A4461" s="4"/>
      <c r="B4461" s="12" t="s">
        <v>1710</v>
      </c>
      <c r="C4461" s="21"/>
      <c r="D4461" s="21"/>
      <c r="E4461" s="21"/>
      <c r="F4461" s="21"/>
    </row>
    <row r="4462">
      <c r="A4462" s="6"/>
      <c r="B4462" s="15" t="s">
        <v>871</v>
      </c>
      <c r="C4462" s="23"/>
      <c r="D4462" s="23"/>
      <c r="E4462" s="23"/>
      <c r="F4462" s="23"/>
    </row>
    <row r="4463">
      <c r="A4463" s="5"/>
      <c r="B4463" s="16" t="s">
        <v>2000</v>
      </c>
      <c r="C4463" s="22">
        <f>(1)*(1)*(1)*(1)*(1 + (0))</f>
      </c>
      <c r="D4463" s="22" t="s">
        <v>162</v>
      </c>
      <c r="E4463" s="22"/>
      <c r="F4463" s="22">
        <f>C4463*E4463</f>
      </c>
    </row>
    <row r="4464">
      <c r="A4464" s="5"/>
      <c r="B4464" s="16" t="s">
        <v>2001</v>
      </c>
      <c r="C4464" s="22">
        <f>(2)*(1)*(1)*(1)*(1 + (0))</f>
      </c>
      <c r="D4464" s="22" t="s">
        <v>162</v>
      </c>
      <c r="E4464" s="22"/>
      <c r="F4464" s="22">
        <f>C4464*E4464</f>
      </c>
    </row>
    <row r="4465">
      <c r="A4465" s="6"/>
      <c r="B4465" s="15" t="s">
        <v>874</v>
      </c>
      <c r="C4465" s="23"/>
      <c r="D4465" s="23"/>
      <c r="E4465" s="23"/>
      <c r="F4465" s="23"/>
    </row>
    <row r="4466">
      <c r="A4466" s="5"/>
      <c r="B4466" s="16" t="s">
        <v>2002</v>
      </c>
      <c r="C4466" s="22">
        <f>(1)*(1)*(1)*(1)*(1 + (0))</f>
      </c>
      <c r="D4466" s="22" t="s">
        <v>162</v>
      </c>
      <c r="E4466" s="22"/>
      <c r="F4466" s="22">
        <f>C4466*E4466</f>
      </c>
    </row>
    <row r="4467">
      <c r="A4467" s="3"/>
      <c r="B4467" s="11" t="s">
        <v>879</v>
      </c>
      <c r="C4467" s="20"/>
      <c r="D4467" s="20"/>
      <c r="E4467" s="20"/>
      <c r="F4467" s="20"/>
    </row>
    <row r="4468">
      <c r="A4468" s="4"/>
      <c r="B4468" s="12" t="s">
        <v>1710</v>
      </c>
      <c r="C4468" s="21"/>
      <c r="D4468" s="21"/>
      <c r="E4468" s="21"/>
      <c r="F4468" s="21"/>
    </row>
    <row r="4469">
      <c r="A4469" s="6"/>
      <c r="B4469" s="15" t="s">
        <v>871</v>
      </c>
      <c r="C4469" s="23"/>
      <c r="D4469" s="23"/>
      <c r="E4469" s="23"/>
      <c r="F4469" s="23"/>
    </row>
    <row r="4470">
      <c r="A4470" s="5"/>
      <c r="B4470" s="16" t="s">
        <v>2003</v>
      </c>
      <c r="C4470" s="22">
        <f>(2)*(1)*(1)*(1)*(1 + (0))</f>
      </c>
      <c r="D4470" s="22" t="s">
        <v>162</v>
      </c>
      <c r="E4470" s="22"/>
      <c r="F4470" s="22">
        <f>C4470*E4470</f>
      </c>
    </row>
    <row r="4471">
      <c r="A4471" s="3"/>
      <c r="B4471" s="11" t="s">
        <v>884</v>
      </c>
      <c r="C4471" s="20"/>
      <c r="D4471" s="20"/>
      <c r="E4471" s="20"/>
      <c r="F4471" s="20"/>
    </row>
    <row r="4472">
      <c r="A4472" s="4"/>
      <c r="B4472" s="12" t="s">
        <v>1710</v>
      </c>
      <c r="C4472" s="21"/>
      <c r="D4472" s="21"/>
      <c r="E4472" s="21"/>
      <c r="F4472" s="21"/>
    </row>
    <row r="4473">
      <c r="A4473" s="6"/>
      <c r="B4473" s="15" t="s">
        <v>1725</v>
      </c>
      <c r="C4473" s="23"/>
      <c r="D4473" s="23"/>
      <c r="E4473" s="23"/>
      <c r="F4473" s="23"/>
    </row>
    <row r="4474">
      <c r="A4474" s="5"/>
      <c r="B4474" s="16" t="s">
        <v>2004</v>
      </c>
      <c r="C4474" s="22">
        <f>(2)*(1)*(1)*(1)*(1 + (0))</f>
      </c>
      <c r="D4474" s="22" t="s">
        <v>162</v>
      </c>
      <c r="E4474" s="22"/>
      <c r="F4474" s="22">
        <f>C4474*E4474</f>
      </c>
    </row>
    <row r="4475">
      <c r="A4475" s="5"/>
      <c r="B4475" s="16" t="s">
        <v>2005</v>
      </c>
      <c r="C4475" s="22">
        <f>(1)*(1)*(1)*(1)*(1 + (0))</f>
      </c>
      <c r="D4475" s="22" t="s">
        <v>162</v>
      </c>
      <c r="E4475" s="22"/>
      <c r="F4475" s="22">
        <f>C4475*E4475</f>
      </c>
    </row>
    <row r="4476">
      <c r="A4476" s="2"/>
      <c r="B4476" s="10" t="s">
        <v>897</v>
      </c>
      <c r="C4476" s="19"/>
      <c r="D4476" s="19"/>
      <c r="E4476" s="19"/>
      <c r="F4476" s="19"/>
    </row>
    <row r="4477">
      <c r="A4477" s="3"/>
      <c r="B4477" s="11" t="s">
        <v>37</v>
      </c>
      <c r="C4477" s="20"/>
      <c r="D4477" s="20"/>
      <c r="E4477" s="20"/>
      <c r="F4477" s="20"/>
    </row>
    <row r="4478">
      <c r="A4478" s="5" t="s">
        <v>758</v>
      </c>
      <c r="B4478" s="14" t="s">
        <v>39</v>
      </c>
      <c r="C4478" s="22"/>
      <c r="D4478" s="22" t="s">
        <v>10</v>
      </c>
      <c r="E4478" s="22"/>
      <c r="F4478" s="22">
        <f>C4478*E4478</f>
      </c>
    </row>
    <row r="4479">
      <c r="A4479" s="5" t="s">
        <v>760</v>
      </c>
      <c r="B4479" s="14" t="s">
        <v>41</v>
      </c>
      <c r="C4479" s="22"/>
      <c r="D4479" s="22" t="s">
        <v>10</v>
      </c>
      <c r="E4479" s="22"/>
      <c r="F4479" s="22">
        <f>C4479*E4479</f>
      </c>
    </row>
    <row r="4480">
      <c r="A4480" s="3"/>
      <c r="B4480" s="11" t="s">
        <v>44</v>
      </c>
      <c r="C4480" s="20"/>
      <c r="D4480" s="20"/>
      <c r="E4480" s="20"/>
      <c r="F4480" s="20"/>
    </row>
    <row r="4481">
      <c r="A4481" s="4"/>
      <c r="B4481" s="12" t="s">
        <v>45</v>
      </c>
      <c r="C4481" s="21"/>
      <c r="D4481" s="21"/>
      <c r="E4481" s="21"/>
      <c r="F4481" s="21"/>
    </row>
    <row r="4482">
      <c r="A4482" s="5" t="s">
        <v>765</v>
      </c>
      <c r="B4482" s="13" t="s">
        <v>898</v>
      </c>
      <c r="C4482" s="22"/>
      <c r="D4482" s="22" t="s">
        <v>10</v>
      </c>
      <c r="E4482" s="22"/>
      <c r="F4482" s="22">
        <f>C4482*E4482</f>
      </c>
    </row>
    <row r="4483">
      <c r="A4483" s="5" t="s">
        <v>766</v>
      </c>
      <c r="B4483" s="13" t="s">
        <v>899</v>
      </c>
      <c r="C4483" s="22"/>
      <c r="D4483" s="22" t="s">
        <v>10</v>
      </c>
      <c r="E4483" s="22"/>
      <c r="F4483" s="22">
        <f>C4483*E4483</f>
      </c>
    </row>
    <row r="4484">
      <c r="A4484" s="5" t="s">
        <v>768</v>
      </c>
      <c r="B4484" s="13" t="s">
        <v>767</v>
      </c>
      <c r="C4484" s="22"/>
      <c r="D4484" s="22" t="s">
        <v>10</v>
      </c>
      <c r="E4484" s="22"/>
      <c r="F4484" s="22">
        <f>C4484*E4484</f>
      </c>
    </row>
    <row r="4485">
      <c r="A4485" s="5" t="s">
        <v>770</v>
      </c>
      <c r="B4485" s="13" t="s">
        <v>900</v>
      </c>
      <c r="C4485" s="22"/>
      <c r="D4485" s="22" t="s">
        <v>10</v>
      </c>
      <c r="E4485" s="22"/>
      <c r="F4485" s="22">
        <f>C4485*E4485</f>
      </c>
    </row>
    <row r="4486">
      <c r="A4486" s="5" t="s">
        <v>794</v>
      </c>
      <c r="B4486" s="13" t="s">
        <v>901</v>
      </c>
      <c r="C4486" s="22"/>
      <c r="D4486" s="22" t="s">
        <v>10</v>
      </c>
      <c r="E4486" s="22"/>
      <c r="F4486" s="22">
        <f>C4486*E4486</f>
      </c>
    </row>
    <row r="4487">
      <c r="A4487" s="5" t="s">
        <v>795</v>
      </c>
      <c r="B4487" s="13" t="s">
        <v>123</v>
      </c>
      <c r="C4487" s="22"/>
      <c r="D4487" s="22" t="s">
        <v>10</v>
      </c>
      <c r="E4487" s="22"/>
      <c r="F4487" s="22">
        <f>C4487*E4487</f>
      </c>
    </row>
    <row r="4488">
      <c r="A4488" s="3"/>
      <c r="B4488" s="11" t="s">
        <v>42</v>
      </c>
      <c r="C4488" s="20"/>
      <c r="D4488" s="20"/>
      <c r="E4488" s="20"/>
      <c r="F4488" s="20"/>
    </row>
    <row r="4489">
      <c r="A4489" s="5"/>
      <c r="B4489" s="14" t="s">
        <v>902</v>
      </c>
      <c r="C4489" s="22"/>
      <c r="D4489" s="22" t="s">
        <v>10</v>
      </c>
      <c r="E4489" s="22"/>
      <c r="F4489" s="22">
        <f>C4489*E4489</f>
      </c>
    </row>
    <row r="4490">
      <c r="A4490" s="5"/>
      <c r="B4490" s="14" t="s">
        <v>762</v>
      </c>
      <c r="C4490" s="22"/>
      <c r="D4490" s="22" t="s">
        <v>10</v>
      </c>
      <c r="E4490" s="22"/>
      <c r="F4490" s="22">
        <f>C4490*E4490</f>
      </c>
    </row>
    <row r="4491">
      <c r="A4491" s="5"/>
      <c r="B4491" s="14" t="s">
        <v>856</v>
      </c>
      <c r="C4491" s="22"/>
      <c r="D4491" s="22" t="s">
        <v>10</v>
      </c>
      <c r="E4491" s="22"/>
      <c r="F4491" s="22">
        <f>C4491*E4491</f>
      </c>
    </row>
    <row r="4492">
      <c r="A4492" s="3"/>
      <c r="B4492" s="11" t="s">
        <v>68</v>
      </c>
      <c r="C4492" s="20"/>
      <c r="D4492" s="20"/>
      <c r="E4492" s="20"/>
      <c r="F4492" s="20"/>
    </row>
    <row r="4493">
      <c r="A4493" s="5" t="s">
        <v>797</v>
      </c>
      <c r="B4493" s="14" t="s">
        <v>903</v>
      </c>
      <c r="C4493" s="22">
        <f>(1)*(1)*(1)*(1)*(1 + (0))</f>
      </c>
      <c r="D4493" s="22" t="s">
        <v>71</v>
      </c>
      <c r="E4493" s="22"/>
      <c r="F4493" s="22">
        <f>C4493*E4493</f>
      </c>
    </row>
    <row r="4494">
      <c r="A4494" s="5" t="s">
        <v>799</v>
      </c>
      <c r="B4494" s="14" t="s">
        <v>904</v>
      </c>
      <c r="C4494" s="22">
        <f>(1)*(1)*(1)*(1)*(1 + (0))</f>
      </c>
      <c r="D4494" s="22" t="s">
        <v>71</v>
      </c>
      <c r="E4494" s="22"/>
      <c r="F4494" s="22">
        <f>C4494*E4494</f>
      </c>
    </row>
    <row r="4495">
      <c r="A4495" s="5" t="s">
        <v>801</v>
      </c>
      <c r="B4495" s="14" t="s">
        <v>77</v>
      </c>
      <c r="C4495" s="22">
        <f>(1)*(1)*(1)*(1)*(1 + (0))</f>
      </c>
      <c r="D4495" s="22" t="s">
        <v>71</v>
      </c>
      <c r="E4495" s="22"/>
      <c r="F4495" s="22">
        <f>C4495*E4495</f>
      </c>
    </row>
    <row r="4496">
      <c r="A4496" s="5" t="s">
        <v>905</v>
      </c>
      <c r="B4496" s="14" t="s">
        <v>906</v>
      </c>
      <c r="C4496" s="22">
        <f>(1)*(1)*(1)*(1)*(1 + (0))</f>
      </c>
      <c r="D4496" s="22" t="s">
        <v>71</v>
      </c>
      <c r="E4496" s="22"/>
      <c r="F4496" s="22">
        <f>C4496*E4496</f>
      </c>
    </row>
    <row r="4497">
      <c r="A4497" s="5" t="s">
        <v>907</v>
      </c>
      <c r="B4497" s="14" t="s">
        <v>447</v>
      </c>
      <c r="C4497" s="22">
        <f>(1)*(1)*(1)*(1)*(1 + (0))</f>
      </c>
      <c r="D4497" s="22" t="s">
        <v>71</v>
      </c>
      <c r="E4497" s="22"/>
      <c r="F4497" s="22">
        <f>C4497*E4497</f>
      </c>
    </row>
    <row r="4498">
      <c r="A4498" s="5" t="s">
        <v>908</v>
      </c>
      <c r="B4498" s="14" t="s">
        <v>798</v>
      </c>
      <c r="C4498" s="22">
        <f>(1)*(1)*(1)*(1)*(1 + (0))</f>
      </c>
      <c r="D4498" s="22" t="s">
        <v>71</v>
      </c>
      <c r="E4498" s="22"/>
      <c r="F4498" s="22">
        <f>C4498*E4498</f>
      </c>
    </row>
    <row r="4499">
      <c r="A4499" s="5" t="s">
        <v>909</v>
      </c>
      <c r="B4499" s="14" t="s">
        <v>910</v>
      </c>
      <c r="C4499" s="22">
        <f>(1)*(1)*(1)*(1)*(1 + (0))</f>
      </c>
      <c r="D4499" s="22" t="s">
        <v>71</v>
      </c>
      <c r="E4499" s="22"/>
      <c r="F4499" s="22">
        <f>C4499*E4499</f>
      </c>
    </row>
    <row r="4500">
      <c r="A4500" s="5" t="s">
        <v>911</v>
      </c>
      <c r="B4500" s="14" t="s">
        <v>912</v>
      </c>
      <c r="C4500" s="22">
        <f>(1)*(1)*(1)*(1)*(1 + (0))</f>
      </c>
      <c r="D4500" s="22" t="s">
        <v>71</v>
      </c>
      <c r="E4500" s="22"/>
      <c r="F4500" s="22">
        <f>C4500*E4500</f>
      </c>
    </row>
    <row r="4501">
      <c r="A4501" s="5" t="s">
        <v>913</v>
      </c>
      <c r="B4501" s="14" t="s">
        <v>665</v>
      </c>
      <c r="C4501" s="22">
        <f>(1)*(1)*(1)*(1)*(1 + (0))</f>
      </c>
      <c r="D4501" s="22" t="s">
        <v>71</v>
      </c>
      <c r="E4501" s="22"/>
      <c r="F4501" s="22">
        <f>C4501*E4501</f>
      </c>
    </row>
    <row r="4502">
      <c r="A4502" s="3"/>
      <c r="B4502" s="11" t="s">
        <v>914</v>
      </c>
      <c r="C4502" s="20"/>
      <c r="D4502" s="20"/>
      <c r="E4502" s="20"/>
      <c r="F4502" s="20"/>
    </row>
    <row r="4503">
      <c r="A4503" s="4"/>
      <c r="B4503" s="12" t="s">
        <v>1710</v>
      </c>
      <c r="C4503" s="21"/>
      <c r="D4503" s="21"/>
      <c r="E4503" s="21"/>
      <c r="F4503" s="21"/>
    </row>
    <row r="4504">
      <c r="A4504" s="6"/>
      <c r="B4504" s="15" t="s">
        <v>918</v>
      </c>
      <c r="C4504" s="23"/>
      <c r="D4504" s="23"/>
      <c r="E4504" s="23"/>
      <c r="F4504" s="23"/>
    </row>
    <row r="4505">
      <c r="A4505" s="5"/>
      <c r="B4505" s="16" t="s">
        <v>2006</v>
      </c>
      <c r="C4505" s="22">
        <f>(1)*(1)*(1)*(1)*(1 + (0))</f>
      </c>
      <c r="D4505" s="22" t="s">
        <v>162</v>
      </c>
      <c r="E4505" s="22"/>
      <c r="F4505" s="22">
        <f>C4505*E4505</f>
      </c>
    </row>
    <row r="4506">
      <c r="A4506" s="5"/>
      <c r="B4506" s="16" t="s">
        <v>2007</v>
      </c>
      <c r="C4506" s="22">
        <f>(2)*(1)*(1)*(1)*(1 + (0))</f>
      </c>
      <c r="D4506" s="22" t="s">
        <v>162</v>
      </c>
      <c r="E4506" s="22"/>
      <c r="F4506" s="22">
        <f>C4506*E4506</f>
      </c>
    </row>
    <row r="4507">
      <c r="A4507" s="3"/>
      <c r="B4507" s="11" t="s">
        <v>924</v>
      </c>
      <c r="C4507" s="20"/>
      <c r="D4507" s="20"/>
      <c r="E4507" s="20"/>
      <c r="F4507" s="20"/>
    </row>
    <row r="4508">
      <c r="A4508" s="4"/>
      <c r="B4508" s="12" t="s">
        <v>1710</v>
      </c>
      <c r="C4508" s="21"/>
      <c r="D4508" s="21"/>
      <c r="E4508" s="21"/>
      <c r="F4508" s="21"/>
    </row>
    <row r="4509">
      <c r="A4509" s="6"/>
      <c r="B4509" s="15" t="s">
        <v>915</v>
      </c>
      <c r="C4509" s="23"/>
      <c r="D4509" s="23"/>
      <c r="E4509" s="23"/>
      <c r="F4509" s="23"/>
    </row>
    <row r="4510">
      <c r="A4510" s="5"/>
      <c r="B4510" s="16" t="s">
        <v>2008</v>
      </c>
      <c r="C4510" s="22">
        <f>(1)*(1)*(1)*(1)*(1 + (0))</f>
      </c>
      <c r="D4510" s="22" t="s">
        <v>162</v>
      </c>
      <c r="E4510" s="22"/>
      <c r="F4510" s="22">
        <f>C4510*E4510</f>
      </c>
    </row>
    <row r="4511">
      <c r="A4511" s="5"/>
      <c r="B4511" s="16" t="s">
        <v>2009</v>
      </c>
      <c r="C4511" s="22">
        <f>(1)*(1)*(1)*(1)*(1 + (0))</f>
      </c>
      <c r="D4511" s="22" t="s">
        <v>162</v>
      </c>
      <c r="E4511" s="22"/>
      <c r="F4511" s="22">
        <f>C4511*E4511</f>
      </c>
    </row>
    <row r="4512">
      <c r="A4512" s="5"/>
      <c r="B4512" s="16" t="s">
        <v>2010</v>
      </c>
      <c r="C4512" s="22">
        <f>(2)*(1)*(1)*(1)*(1 + (0))</f>
      </c>
      <c r="D4512" s="22" t="s">
        <v>162</v>
      </c>
      <c r="E4512" s="22"/>
      <c r="F4512" s="22">
        <f>C4512*E4512</f>
      </c>
    </row>
    <row r="4513">
      <c r="A4513" s="5"/>
      <c r="B4513" s="16" t="s">
        <v>2011</v>
      </c>
      <c r="C4513" s="22">
        <f>(1)*(1)*(1)*(1)*(1 + (0))</f>
      </c>
      <c r="D4513" s="22" t="s">
        <v>162</v>
      </c>
      <c r="E4513" s="22"/>
      <c r="F4513" s="22">
        <f>C4513*E4513</f>
      </c>
    </row>
    <row r="4514">
      <c r="A4514" s="6"/>
      <c r="B4514" s="15" t="s">
        <v>918</v>
      </c>
      <c r="C4514" s="23"/>
      <c r="D4514" s="23"/>
      <c r="E4514" s="23"/>
      <c r="F4514" s="23"/>
    </row>
    <row r="4515">
      <c r="A4515" s="5"/>
      <c r="B4515" s="16" t="s">
        <v>2012</v>
      </c>
      <c r="C4515" s="22">
        <f>(12)*(1)*(1)*(1)*(1 + (0))</f>
      </c>
      <c r="D4515" s="22" t="s">
        <v>162</v>
      </c>
      <c r="E4515" s="22"/>
      <c r="F4515" s="22">
        <f>C4515*E4515</f>
      </c>
    </row>
    <row r="4516">
      <c r="A4516" s="5"/>
      <c r="B4516" s="16" t="s">
        <v>2013</v>
      </c>
      <c r="C4516" s="22">
        <f>(1)*(1)*(1)*(1)*(1 + (0))</f>
      </c>
      <c r="D4516" s="22" t="s">
        <v>162</v>
      </c>
      <c r="E4516" s="22"/>
      <c r="F4516" s="22">
        <f>C4516*E4516</f>
      </c>
    </row>
    <row r="4517">
      <c r="A4517" s="5"/>
      <c r="B4517" s="16" t="s">
        <v>927</v>
      </c>
      <c r="C4517" s="22">
        <f>(1)*(1)*(1)*(1)*(1 + (0))</f>
      </c>
      <c r="D4517" s="22" t="s">
        <v>162</v>
      </c>
      <c r="E4517" s="22"/>
      <c r="F4517" s="22">
        <f>C4517*E4517</f>
      </c>
    </row>
    <row r="4518">
      <c r="A4518" s="5"/>
      <c r="B4518" s="16" t="s">
        <v>2014</v>
      </c>
      <c r="C4518" s="22">
        <f>(1)*(1)*(1)*(1)*(1 + (0))</f>
      </c>
      <c r="D4518" s="22" t="s">
        <v>162</v>
      </c>
      <c r="E4518" s="22"/>
      <c r="F4518" s="22">
        <f>C4518*E4518</f>
      </c>
    </row>
    <row r="4519">
      <c r="A4519" s="5"/>
      <c r="B4519" s="16" t="s">
        <v>2015</v>
      </c>
      <c r="C4519" s="22">
        <f>(1)*(1)*(1)*(1)*(1 + (0))</f>
      </c>
      <c r="D4519" s="22" t="s">
        <v>162</v>
      </c>
      <c r="E4519" s="22"/>
      <c r="F4519" s="22">
        <f>C4519*E4519</f>
      </c>
    </row>
    <row r="4520">
      <c r="A4520" s="3"/>
      <c r="B4520" s="11" t="s">
        <v>931</v>
      </c>
      <c r="C4520" s="20"/>
      <c r="D4520" s="20"/>
      <c r="E4520" s="20"/>
      <c r="F4520" s="20"/>
    </row>
    <row r="4521">
      <c r="A4521" s="4"/>
      <c r="B4521" s="12" t="s">
        <v>1710</v>
      </c>
      <c r="C4521" s="21"/>
      <c r="D4521" s="21"/>
      <c r="E4521" s="21"/>
      <c r="F4521" s="21"/>
    </row>
    <row r="4522">
      <c r="A4522" s="5"/>
      <c r="B4522" s="13" t="s">
        <v>933</v>
      </c>
      <c r="C4522" s="22">
        <f>(3)*(1)*(1)*(1)*(1 + (0))</f>
      </c>
      <c r="D4522" s="22" t="s">
        <v>162</v>
      </c>
      <c r="E4522" s="22"/>
      <c r="F4522" s="22">
        <f>C4522*E4522</f>
      </c>
    </row>
    <row r="4523">
      <c r="A4523" s="3"/>
      <c r="B4523" s="11" t="s">
        <v>934</v>
      </c>
      <c r="C4523" s="20"/>
      <c r="D4523" s="20"/>
      <c r="E4523" s="20"/>
      <c r="F4523" s="20"/>
    </row>
    <row r="4524">
      <c r="A4524" s="4"/>
      <c r="B4524" s="12" t="s">
        <v>1710</v>
      </c>
      <c r="C4524" s="21"/>
      <c r="D4524" s="21"/>
      <c r="E4524" s="21"/>
      <c r="F4524" s="21"/>
    </row>
    <row r="4525">
      <c r="A4525" s="5"/>
      <c r="B4525" s="13" t="s">
        <v>932</v>
      </c>
      <c r="C4525" s="22">
        <f>(5)*(1)*(1)*(1)*(1 + (0))</f>
      </c>
      <c r="D4525" s="22" t="s">
        <v>162</v>
      </c>
      <c r="E4525" s="22"/>
      <c r="F4525" s="22">
        <f>C4525*E4525</f>
      </c>
    </row>
    <row r="4526">
      <c r="A4526" s="5"/>
      <c r="B4526" s="13" t="s">
        <v>933</v>
      </c>
      <c r="C4526" s="22">
        <f>(16)*(1)*(1)*(1)*(1 + (0))</f>
      </c>
      <c r="D4526" s="22" t="s">
        <v>162</v>
      </c>
      <c r="E4526" s="22"/>
      <c r="F4526" s="22">
        <f>C4526*E4526</f>
      </c>
    </row>
    <row r="4527">
      <c r="A4527" s="2"/>
      <c r="B4527" s="10" t="s">
        <v>935</v>
      </c>
      <c r="C4527" s="19"/>
      <c r="D4527" s="19"/>
      <c r="E4527" s="19"/>
      <c r="F4527" s="19"/>
    </row>
    <row r="4528">
      <c r="A4528" s="3"/>
      <c r="B4528" s="11" t="s">
        <v>37</v>
      </c>
      <c r="C4528" s="20"/>
      <c r="D4528" s="20"/>
      <c r="E4528" s="20"/>
      <c r="F4528" s="20"/>
    </row>
    <row r="4529">
      <c r="A4529" s="5" t="s">
        <v>936</v>
      </c>
      <c r="B4529" s="14" t="s">
        <v>39</v>
      </c>
      <c r="C4529" s="22"/>
      <c r="D4529" s="22" t="s">
        <v>10</v>
      </c>
      <c r="E4529" s="22"/>
      <c r="F4529" s="22">
        <f>C4529*E4529</f>
      </c>
    </row>
    <row r="4530">
      <c r="A4530" s="5" t="s">
        <v>937</v>
      </c>
      <c r="B4530" s="14" t="s">
        <v>41</v>
      </c>
      <c r="C4530" s="22"/>
      <c r="D4530" s="22" t="s">
        <v>10</v>
      </c>
      <c r="E4530" s="22"/>
      <c r="F4530" s="22">
        <f>C4530*E4530</f>
      </c>
    </row>
    <row r="4531">
      <c r="A4531" s="3"/>
      <c r="B4531" s="11" t="s">
        <v>42</v>
      </c>
      <c r="C4531" s="20"/>
      <c r="D4531" s="20"/>
      <c r="E4531" s="20"/>
      <c r="F4531" s="20"/>
    </row>
    <row r="4532">
      <c r="A4532" s="5"/>
      <c r="B4532" s="14" t="s">
        <v>938</v>
      </c>
      <c r="C4532" s="22"/>
      <c r="D4532" s="22" t="s">
        <v>10</v>
      </c>
      <c r="E4532" s="22"/>
      <c r="F4532" s="22">
        <f>C4532*E4532</f>
      </c>
    </row>
    <row r="4533">
      <c r="A4533" s="5"/>
      <c r="B4533" s="14" t="s">
        <v>762</v>
      </c>
      <c r="C4533" s="22"/>
      <c r="D4533" s="22" t="s">
        <v>10</v>
      </c>
      <c r="E4533" s="22"/>
      <c r="F4533" s="22">
        <f>C4533*E4533</f>
      </c>
    </row>
    <row r="4534">
      <c r="A4534" s="5"/>
      <c r="B4534" s="14" t="s">
        <v>763</v>
      </c>
      <c r="C4534" s="22"/>
      <c r="D4534" s="22" t="s">
        <v>10</v>
      </c>
      <c r="E4534" s="22"/>
      <c r="F4534" s="22">
        <f>C4534*E4534</f>
      </c>
    </row>
    <row r="4535">
      <c r="A4535" s="5"/>
      <c r="B4535" s="14" t="s">
        <v>939</v>
      </c>
      <c r="C4535" s="22"/>
      <c r="D4535" s="22" t="s">
        <v>10</v>
      </c>
      <c r="E4535" s="22"/>
      <c r="F4535" s="22">
        <f>C4535*E4535</f>
      </c>
    </row>
    <row r="4536">
      <c r="A4536" s="3"/>
      <c r="B4536" s="11" t="s">
        <v>44</v>
      </c>
      <c r="C4536" s="20"/>
      <c r="D4536" s="20"/>
      <c r="E4536" s="20"/>
      <c r="F4536" s="20"/>
    </row>
    <row r="4537">
      <c r="A4537" s="4"/>
      <c r="B4537" s="12" t="s">
        <v>45</v>
      </c>
      <c r="C4537" s="21"/>
      <c r="D4537" s="21"/>
      <c r="E4537" s="21"/>
      <c r="F4537" s="21"/>
    </row>
    <row r="4538">
      <c r="A4538" s="5" t="s">
        <v>940</v>
      </c>
      <c r="B4538" s="13" t="s">
        <v>123</v>
      </c>
      <c r="C4538" s="22"/>
      <c r="D4538" s="22" t="s">
        <v>10</v>
      </c>
      <c r="E4538" s="22"/>
      <c r="F4538" s="22">
        <f>C4538*E4538</f>
      </c>
    </row>
    <row r="4539">
      <c r="A4539" s="6"/>
      <c r="B4539" s="15" t="s">
        <v>771</v>
      </c>
      <c r="C4539" s="23"/>
      <c r="D4539" s="23"/>
      <c r="E4539" s="23"/>
      <c r="F4539" s="23"/>
    </row>
    <row r="4540">
      <c r="A4540" s="5" t="s">
        <v>772</v>
      </c>
      <c r="B4540" s="16" t="s">
        <v>528</v>
      </c>
      <c r="C4540" s="22"/>
      <c r="D4540" s="22" t="s">
        <v>10</v>
      </c>
      <c r="E4540" s="22"/>
      <c r="F4540" s="22">
        <f>C4540*E4540</f>
      </c>
    </row>
    <row r="4541">
      <c r="A4541" s="5" t="s">
        <v>773</v>
      </c>
      <c r="B4541" s="16" t="s">
        <v>530</v>
      </c>
      <c r="C4541" s="22"/>
      <c r="D4541" s="22" t="s">
        <v>10</v>
      </c>
      <c r="E4541" s="22"/>
      <c r="F4541" s="22">
        <f>C4541*E4541</f>
      </c>
    </row>
    <row r="4542">
      <c r="A4542" s="5" t="s">
        <v>774</v>
      </c>
      <c r="B4542" s="16" t="s">
        <v>532</v>
      </c>
      <c r="C4542" s="22"/>
      <c r="D4542" s="22" t="s">
        <v>10</v>
      </c>
      <c r="E4542" s="22"/>
      <c r="F4542" s="22">
        <f>C4542*E4542</f>
      </c>
    </row>
    <row r="4543">
      <c r="A4543" s="5" t="s">
        <v>775</v>
      </c>
      <c r="B4543" s="16" t="s">
        <v>536</v>
      </c>
      <c r="C4543" s="22"/>
      <c r="D4543" s="22" t="s">
        <v>10</v>
      </c>
      <c r="E4543" s="22"/>
      <c r="F4543" s="22">
        <f>C4543*E4543</f>
      </c>
    </row>
    <row r="4544">
      <c r="A4544" s="5" t="s">
        <v>776</v>
      </c>
      <c r="B4544" s="16" t="s">
        <v>777</v>
      </c>
      <c r="C4544" s="22"/>
      <c r="D4544" s="22" t="s">
        <v>10</v>
      </c>
      <c r="E4544" s="22"/>
      <c r="F4544" s="22">
        <f>C4544*E4544</f>
      </c>
    </row>
    <row r="4545">
      <c r="A4545" s="6"/>
      <c r="B4545" s="15" t="s">
        <v>778</v>
      </c>
      <c r="C4545" s="23"/>
      <c r="D4545" s="23"/>
      <c r="E4545" s="23"/>
      <c r="F4545" s="23"/>
    </row>
    <row r="4546">
      <c r="A4546" s="5" t="s">
        <v>779</v>
      </c>
      <c r="B4546" s="16" t="s">
        <v>780</v>
      </c>
      <c r="C4546" s="22"/>
      <c r="D4546" s="22" t="s">
        <v>10</v>
      </c>
      <c r="E4546" s="22"/>
      <c r="F4546" s="22">
        <f>C4546*E4546</f>
      </c>
    </row>
    <row r="4547">
      <c r="A4547" s="5" t="s">
        <v>781</v>
      </c>
      <c r="B4547" s="16" t="s">
        <v>782</v>
      </c>
      <c r="C4547" s="22"/>
      <c r="D4547" s="22" t="s">
        <v>10</v>
      </c>
      <c r="E4547" s="22"/>
      <c r="F4547" s="22">
        <f>C4547*E4547</f>
      </c>
    </row>
    <row r="4548">
      <c r="A4548" s="5" t="s">
        <v>783</v>
      </c>
      <c r="B4548" s="16" t="s">
        <v>784</v>
      </c>
      <c r="C4548" s="22"/>
      <c r="D4548" s="22" t="s">
        <v>10</v>
      </c>
      <c r="E4548" s="22"/>
      <c r="F4548" s="22">
        <f>C4548*E4548</f>
      </c>
    </row>
    <row r="4549">
      <c r="A4549" s="5" t="s">
        <v>785</v>
      </c>
      <c r="B4549" s="16" t="s">
        <v>786</v>
      </c>
      <c r="C4549" s="22"/>
      <c r="D4549" s="22" t="s">
        <v>10</v>
      </c>
      <c r="E4549" s="22"/>
      <c r="F4549" s="22">
        <f>C4549*E4549</f>
      </c>
    </row>
    <row r="4550">
      <c r="A4550" s="5" t="s">
        <v>787</v>
      </c>
      <c r="B4550" s="16" t="s">
        <v>788</v>
      </c>
      <c r="C4550" s="22"/>
      <c r="D4550" s="22" t="s">
        <v>10</v>
      </c>
      <c r="E4550" s="22"/>
      <c r="F4550" s="22">
        <f>C4550*E4550</f>
      </c>
    </row>
    <row r="4551">
      <c r="A4551" s="5" t="s">
        <v>789</v>
      </c>
      <c r="B4551" s="16" t="s">
        <v>769</v>
      </c>
      <c r="C4551" s="22"/>
      <c r="D4551" s="22" t="s">
        <v>10</v>
      </c>
      <c r="E4551" s="22"/>
      <c r="F4551" s="22">
        <f>C4551*E4551</f>
      </c>
    </row>
    <row r="4552">
      <c r="A4552" s="6"/>
      <c r="B4552" s="15" t="s">
        <v>790</v>
      </c>
      <c r="C4552" s="23"/>
      <c r="D4552" s="23"/>
      <c r="E4552" s="23"/>
      <c r="F4552" s="23"/>
    </row>
    <row r="4553">
      <c r="A4553" s="5" t="s">
        <v>791</v>
      </c>
      <c r="B4553" s="16" t="s">
        <v>652</v>
      </c>
      <c r="C4553" s="22"/>
      <c r="D4553" s="22" t="s">
        <v>10</v>
      </c>
      <c r="E4553" s="22"/>
      <c r="F4553" s="22">
        <f>C4553*E4553</f>
      </c>
    </row>
    <row r="4554">
      <c r="A4554" s="5" t="s">
        <v>792</v>
      </c>
      <c r="B4554" s="16" t="s">
        <v>700</v>
      </c>
      <c r="C4554" s="22"/>
      <c r="D4554" s="22" t="s">
        <v>10</v>
      </c>
      <c r="E4554" s="22"/>
      <c r="F4554" s="22">
        <f>C4554*E4554</f>
      </c>
    </row>
    <row r="4555">
      <c r="A4555" s="5" t="s">
        <v>793</v>
      </c>
      <c r="B4555" s="16" t="s">
        <v>650</v>
      </c>
      <c r="C4555" s="22"/>
      <c r="D4555" s="22" t="s">
        <v>10</v>
      </c>
      <c r="E4555" s="22"/>
      <c r="F4555" s="22">
        <f>C4555*E4555</f>
      </c>
    </row>
    <row r="4556">
      <c r="A4556" s="3"/>
      <c r="B4556" s="11" t="s">
        <v>68</v>
      </c>
      <c r="C4556" s="20"/>
      <c r="D4556" s="20"/>
      <c r="E4556" s="20"/>
      <c r="F4556" s="20"/>
    </row>
    <row r="4557">
      <c r="A4557" s="5" t="s">
        <v>807</v>
      </c>
      <c r="B4557" s="14" t="s">
        <v>808</v>
      </c>
      <c r="C4557" s="22">
        <f>(1)*(1)*(1)*(1)*(1 + (0))</f>
      </c>
      <c r="D4557" s="22" t="s">
        <v>71</v>
      </c>
      <c r="E4557" s="22"/>
      <c r="F4557" s="22">
        <f>C4557*E4557</f>
      </c>
    </row>
    <row r="4558">
      <c r="A4558" s="5" t="s">
        <v>809</v>
      </c>
      <c r="B4558" s="14" t="s">
        <v>810</v>
      </c>
      <c r="C4558" s="22">
        <f>(1)*(1)*(1)*(1)*(1 + (0))</f>
      </c>
      <c r="D4558" s="22" t="s">
        <v>71</v>
      </c>
      <c r="E4558" s="22"/>
      <c r="F4558" s="22">
        <f>C4558*E4558</f>
      </c>
    </row>
    <row r="4559">
      <c r="A4559" s="5" t="s">
        <v>811</v>
      </c>
      <c r="B4559" s="14" t="s">
        <v>812</v>
      </c>
      <c r="C4559" s="22">
        <f>(1)*(1)*(1)*(1)*(1 + (0))</f>
      </c>
      <c r="D4559" s="22" t="s">
        <v>71</v>
      </c>
      <c r="E4559" s="22"/>
      <c r="F4559" s="22">
        <f>C4559*E4559</f>
      </c>
    </row>
    <row r="4560">
      <c r="A4560" s="5" t="s">
        <v>941</v>
      </c>
      <c r="B4560" s="14" t="s">
        <v>447</v>
      </c>
      <c r="C4560" s="22">
        <f>(1)*(1)*(1)*(1)*(1 + (0))</f>
      </c>
      <c r="D4560" s="22" t="s">
        <v>71</v>
      </c>
      <c r="E4560" s="22"/>
      <c r="F4560" s="22">
        <f>C4560*E4560</f>
      </c>
    </row>
    <row r="4561">
      <c r="A4561" s="5" t="s">
        <v>942</v>
      </c>
      <c r="B4561" s="14" t="s">
        <v>70</v>
      </c>
      <c r="C4561" s="22">
        <f>(1)*(1)*(1)*(1)*(1 + (0))</f>
      </c>
      <c r="D4561" s="22" t="s">
        <v>71</v>
      </c>
      <c r="E4561" s="22"/>
      <c r="F4561" s="22">
        <f>C4561*E4561</f>
      </c>
    </row>
    <row r="4562">
      <c r="A4562" s="5" t="s">
        <v>813</v>
      </c>
      <c r="B4562" s="14" t="s">
        <v>814</v>
      </c>
      <c r="C4562" s="22">
        <f>(1)*(1)*(1)*(1)*(1 + (0))</f>
      </c>
      <c r="D4562" s="22" t="s">
        <v>71</v>
      </c>
      <c r="E4562" s="22"/>
      <c r="F4562" s="22">
        <f>C4562*E4562</f>
      </c>
    </row>
    <row r="4563">
      <c r="A4563" s="5" t="s">
        <v>815</v>
      </c>
      <c r="B4563" s="14" t="s">
        <v>816</v>
      </c>
      <c r="C4563" s="22">
        <f>(1)*(1)*(1)*(1)*(1 + (0))</f>
      </c>
      <c r="D4563" s="22" t="s">
        <v>71</v>
      </c>
      <c r="E4563" s="22"/>
      <c r="F4563" s="22">
        <f>C4563*E4563</f>
      </c>
    </row>
    <row r="4564">
      <c r="A4564" s="5" t="s">
        <v>943</v>
      </c>
      <c r="B4564" s="14" t="s">
        <v>798</v>
      </c>
      <c r="C4564" s="22">
        <f>(1)*(1)*(1)*(1)*(1 + (0))</f>
      </c>
      <c r="D4564" s="22" t="s">
        <v>71</v>
      </c>
      <c r="E4564" s="22"/>
      <c r="F4564" s="22">
        <f>C4564*E4564</f>
      </c>
    </row>
    <row r="4565">
      <c r="A4565" s="5" t="s">
        <v>944</v>
      </c>
      <c r="B4565" s="14" t="s">
        <v>800</v>
      </c>
      <c r="C4565" s="22">
        <f>(1)*(1)*(1)*(1)*(1 + (0))</f>
      </c>
      <c r="D4565" s="22" t="s">
        <v>71</v>
      </c>
      <c r="E4565" s="22"/>
      <c r="F4565" s="22">
        <f>C4565*E4565</f>
      </c>
    </row>
    <row r="4566">
      <c r="A4566" s="5" t="s">
        <v>817</v>
      </c>
      <c r="B4566" s="14" t="s">
        <v>667</v>
      </c>
      <c r="C4566" s="22">
        <f>(1)*(1)*(1)*(1)*(1 + (0))</f>
      </c>
      <c r="D4566" s="22" t="s">
        <v>71</v>
      </c>
      <c r="E4566" s="22"/>
      <c r="F4566" s="22">
        <f>C4566*E4566</f>
      </c>
    </row>
    <row r="4567">
      <c r="A4567" s="5" t="s">
        <v>945</v>
      </c>
      <c r="B4567" s="14" t="s">
        <v>665</v>
      </c>
      <c r="C4567" s="22">
        <f>(1)*(1)*(1)*(1)*(1 + (0))</f>
      </c>
      <c r="D4567" s="22" t="s">
        <v>71</v>
      </c>
      <c r="E4567" s="22"/>
      <c r="F4567" s="22">
        <f>C4567*E4567</f>
      </c>
    </row>
    <row r="4568">
      <c r="A4568" s="3"/>
      <c r="B4568" s="11" t="s">
        <v>106</v>
      </c>
      <c r="C4568" s="20"/>
      <c r="D4568" s="20"/>
      <c r="E4568" s="20"/>
      <c r="F4568" s="20"/>
    </row>
    <row r="4569">
      <c r="A4569" s="5"/>
      <c r="B4569" s="14" t="s">
        <v>946</v>
      </c>
      <c r="C4569" s="22"/>
      <c r="D4569" s="22" t="s">
        <v>10</v>
      </c>
      <c r="E4569" s="22"/>
      <c r="F4569" s="22">
        <f>C4569*E4569</f>
      </c>
    </row>
    <row r="4570">
      <c r="A4570" s="3"/>
      <c r="B4570" s="11" t="s">
        <v>947</v>
      </c>
      <c r="C4570" s="20"/>
      <c r="D4570" s="20"/>
      <c r="E4570" s="20"/>
      <c r="F4570" s="20"/>
    </row>
    <row r="4571">
      <c r="A4571" s="4"/>
      <c r="B4571" s="12" t="s">
        <v>955</v>
      </c>
      <c r="C4571" s="21"/>
      <c r="D4571" s="21"/>
      <c r="E4571" s="21"/>
      <c r="F4571" s="21"/>
    </row>
    <row r="4572">
      <c r="A4572" s="6"/>
      <c r="B4572" s="15" t="s">
        <v>2016</v>
      </c>
      <c r="C4572" s="23"/>
      <c r="D4572" s="23"/>
      <c r="E4572" s="23"/>
      <c r="F4572" s="23"/>
    </row>
    <row r="4573">
      <c r="A4573" s="5"/>
      <c r="B4573" s="16" t="s">
        <v>1898</v>
      </c>
      <c r="C4573" s="22">
        <f>(395)*(1)*(1)*(1)*(1 + (0))</f>
      </c>
      <c r="D4573" s="22" t="s">
        <v>24</v>
      </c>
      <c r="E4573" s="22"/>
      <c r="F4573" s="22">
        <f>C4573*E4573</f>
      </c>
    </row>
    <row r="4574">
      <c r="A4574" s="6"/>
      <c r="B4574" s="15" t="s">
        <v>2017</v>
      </c>
      <c r="C4574" s="23"/>
      <c r="D4574" s="23"/>
      <c r="E4574" s="23"/>
      <c r="F4574" s="23"/>
    </row>
    <row r="4575">
      <c r="A4575" s="5"/>
      <c r="B4575" s="16" t="s">
        <v>1898</v>
      </c>
      <c r="C4575" s="22">
        <f>(110)*(1)*(1)*(1)*(1 + (0))</f>
      </c>
      <c r="D4575" s="22" t="s">
        <v>24</v>
      </c>
      <c r="E4575" s="22"/>
      <c r="F4575" s="22">
        <f>C4575*E4575</f>
      </c>
    </row>
    <row r="4576">
      <c r="A4576" s="3"/>
      <c r="B4576" s="11" t="s">
        <v>960</v>
      </c>
      <c r="C4576" s="20"/>
      <c r="D4576" s="20"/>
      <c r="E4576" s="20"/>
      <c r="F4576" s="20"/>
    </row>
    <row r="4577">
      <c r="A4577" s="4"/>
      <c r="B4577" s="12" t="s">
        <v>948</v>
      </c>
      <c r="C4577" s="21"/>
      <c r="D4577" s="21"/>
      <c r="E4577" s="21"/>
      <c r="F4577" s="21"/>
    </row>
    <row r="4578">
      <c r="A4578" s="6"/>
      <c r="B4578" s="15" t="s">
        <v>967</v>
      </c>
      <c r="C4578" s="23"/>
      <c r="D4578" s="23"/>
      <c r="E4578" s="23"/>
      <c r="F4578" s="23"/>
    </row>
    <row r="4579">
      <c r="A4579" s="5"/>
      <c r="B4579" s="16" t="s">
        <v>1898</v>
      </c>
      <c r="C4579" s="22">
        <f>(7)*(1)*(1)*(1)*(1 + (0))</f>
      </c>
      <c r="D4579" s="22" t="s">
        <v>24</v>
      </c>
      <c r="E4579" s="22"/>
      <c r="F4579" s="22">
        <f>C4579*E4579</f>
      </c>
    </row>
    <row r="4580">
      <c r="A4580" s="6"/>
      <c r="B4580" s="15" t="s">
        <v>2018</v>
      </c>
      <c r="C4580" s="23"/>
      <c r="D4580" s="23"/>
      <c r="E4580" s="23"/>
      <c r="F4580" s="23"/>
    </row>
    <row r="4581">
      <c r="A4581" s="5"/>
      <c r="B4581" s="16" t="s">
        <v>1898</v>
      </c>
      <c r="C4581" s="22">
        <f>(105)*(1)*(1)*(1)*(1 + (0))</f>
      </c>
      <c r="D4581" s="22" t="s">
        <v>24</v>
      </c>
      <c r="E4581" s="22"/>
      <c r="F4581" s="22">
        <f>C4581*E4581</f>
      </c>
    </row>
    <row r="4582">
      <c r="A4582" s="6"/>
      <c r="B4582" s="15" t="s">
        <v>2019</v>
      </c>
      <c r="C4582" s="23"/>
      <c r="D4582" s="23"/>
      <c r="E4582" s="23"/>
      <c r="F4582" s="23"/>
    </row>
    <row r="4583">
      <c r="A4583" s="5"/>
      <c r="B4583" s="16" t="s">
        <v>1898</v>
      </c>
      <c r="C4583" s="22">
        <f>(14)*(1)*(1)*(1)*(1 + (0))</f>
      </c>
      <c r="D4583" s="22" t="s">
        <v>24</v>
      </c>
      <c r="E4583" s="22"/>
      <c r="F4583" s="22">
        <f>C4583*E4583</f>
      </c>
    </row>
    <row r="4584">
      <c r="A4584" s="4"/>
      <c r="B4584" s="12" t="s">
        <v>953</v>
      </c>
      <c r="C4584" s="21"/>
      <c r="D4584" s="21"/>
      <c r="E4584" s="21"/>
      <c r="F4584" s="21"/>
    </row>
    <row r="4585">
      <c r="A4585" s="6"/>
      <c r="B4585" s="15" t="s">
        <v>1737</v>
      </c>
      <c r="C4585" s="23"/>
      <c r="D4585" s="23"/>
      <c r="E4585" s="23"/>
      <c r="F4585" s="23"/>
    </row>
    <row r="4586">
      <c r="A4586" s="5"/>
      <c r="B4586" s="16" t="s">
        <v>1898</v>
      </c>
      <c r="C4586" s="22">
        <f>(30)*(1)*(1)*(1)*(1 + (0))</f>
      </c>
      <c r="D4586" s="22" t="s">
        <v>24</v>
      </c>
      <c r="E4586" s="22"/>
      <c r="F4586" s="22">
        <f>C4586*E4586</f>
      </c>
    </row>
    <row r="4587">
      <c r="A4587" s="6"/>
      <c r="B4587" s="15" t="s">
        <v>974</v>
      </c>
      <c r="C4587" s="23"/>
      <c r="D4587" s="23"/>
      <c r="E4587" s="23"/>
      <c r="F4587" s="23"/>
    </row>
    <row r="4588">
      <c r="A4588" s="5"/>
      <c r="B4588" s="16" t="s">
        <v>1898</v>
      </c>
      <c r="C4588" s="22">
        <f>(90)*(1)*(1)*(1)*(1 + (0))</f>
      </c>
      <c r="D4588" s="22" t="s">
        <v>24</v>
      </c>
      <c r="E4588" s="22"/>
      <c r="F4588" s="22">
        <f>C4588*E4588</f>
      </c>
    </row>
    <row r="4589">
      <c r="A4589" s="6"/>
      <c r="B4589" s="15" t="s">
        <v>973</v>
      </c>
      <c r="C4589" s="23"/>
      <c r="D4589" s="23"/>
      <c r="E4589" s="23"/>
      <c r="F4589" s="23"/>
    </row>
    <row r="4590">
      <c r="A4590" s="5"/>
      <c r="B4590" s="16" t="s">
        <v>1898</v>
      </c>
      <c r="C4590" s="22">
        <f>(20)*(1)*(1)*(1)*(1 + (0))</f>
      </c>
      <c r="D4590" s="22" t="s">
        <v>24</v>
      </c>
      <c r="E4590" s="22"/>
      <c r="F4590" s="22">
        <f>C4590*E4590</f>
      </c>
    </row>
    <row r="4591">
      <c r="A4591" s="6"/>
      <c r="B4591" s="15" t="s">
        <v>980</v>
      </c>
      <c r="C4591" s="23"/>
      <c r="D4591" s="23"/>
      <c r="E4591" s="23"/>
      <c r="F4591" s="23"/>
    </row>
    <row r="4592">
      <c r="A4592" s="5"/>
      <c r="B4592" s="16" t="s">
        <v>1898</v>
      </c>
      <c r="C4592" s="22">
        <f>(11)*(1)*(1)*(1)*(1 + (0))</f>
      </c>
      <c r="D4592" s="22" t="s">
        <v>24</v>
      </c>
      <c r="E4592" s="22"/>
      <c r="F4592" s="22">
        <f>C4592*E4592</f>
      </c>
    </row>
    <row r="4593">
      <c r="A4593" s="6"/>
      <c r="B4593" s="15" t="s">
        <v>1739</v>
      </c>
      <c r="C4593" s="23"/>
      <c r="D4593" s="23"/>
      <c r="E4593" s="23"/>
      <c r="F4593" s="23"/>
    </row>
    <row r="4594">
      <c r="A4594" s="5"/>
      <c r="B4594" s="16" t="s">
        <v>1898</v>
      </c>
      <c r="C4594" s="22">
        <f>(53)*(1)*(1)*(1)*(1 + (0))</f>
      </c>
      <c r="D4594" s="22" t="s">
        <v>24</v>
      </c>
      <c r="E4594" s="22"/>
      <c r="F4594" s="22">
        <f>C4594*E4594</f>
      </c>
    </row>
    <row r="4595">
      <c r="A4595" s="6"/>
      <c r="B4595" s="15" t="s">
        <v>1740</v>
      </c>
      <c r="C4595" s="23"/>
      <c r="D4595" s="23"/>
      <c r="E4595" s="23"/>
      <c r="F4595" s="23"/>
    </row>
    <row r="4596">
      <c r="A4596" s="5"/>
      <c r="B4596" s="16" t="s">
        <v>1898</v>
      </c>
      <c r="C4596" s="22">
        <f>(16)*(1)*(1)*(1)*(1 + (0))</f>
      </c>
      <c r="D4596" s="22" t="s">
        <v>24</v>
      </c>
      <c r="E4596" s="22"/>
      <c r="F4596" s="22">
        <f>C4596*E4596</f>
      </c>
    </row>
    <row r="4597">
      <c r="A4597" s="6"/>
      <c r="B4597" s="15" t="s">
        <v>983</v>
      </c>
      <c r="C4597" s="23"/>
      <c r="D4597" s="23"/>
      <c r="E4597" s="23"/>
      <c r="F4597" s="23"/>
    </row>
    <row r="4598">
      <c r="A4598" s="5"/>
      <c r="B4598" s="16" t="s">
        <v>1898</v>
      </c>
      <c r="C4598" s="22">
        <f>(51)*(1)*(1)*(1)*(1 + (0))</f>
      </c>
      <c r="D4598" s="22" t="s">
        <v>24</v>
      </c>
      <c r="E4598" s="22"/>
      <c r="F4598" s="22">
        <f>C4598*E4598</f>
      </c>
    </row>
    <row r="4599">
      <c r="A4599" s="6"/>
      <c r="B4599" s="15" t="s">
        <v>2020</v>
      </c>
      <c r="C4599" s="23"/>
      <c r="D4599" s="23"/>
      <c r="E4599" s="23"/>
      <c r="F4599" s="23"/>
    </row>
    <row r="4600">
      <c r="A4600" s="5"/>
      <c r="B4600" s="16" t="s">
        <v>1898</v>
      </c>
      <c r="C4600" s="22">
        <f>(113)*(1)*(1)*(1)*(1 + (0))</f>
      </c>
      <c r="D4600" s="22" t="s">
        <v>24</v>
      </c>
      <c r="E4600" s="22"/>
      <c r="F4600" s="22">
        <f>C4600*E4600</f>
      </c>
    </row>
    <row r="4601">
      <c r="A4601" s="6"/>
      <c r="B4601" s="15" t="s">
        <v>2021</v>
      </c>
      <c r="C4601" s="23"/>
      <c r="D4601" s="23"/>
      <c r="E4601" s="23"/>
      <c r="F4601" s="23"/>
    </row>
    <row r="4602">
      <c r="A4602" s="5"/>
      <c r="B4602" s="16" t="s">
        <v>1898</v>
      </c>
      <c r="C4602" s="22">
        <f>(16)*(1)*(1)*(1)*(1 + (0))</f>
      </c>
      <c r="D4602" s="22" t="s">
        <v>24</v>
      </c>
      <c r="E4602" s="22"/>
      <c r="F4602" s="22">
        <f>C4602*E4602</f>
      </c>
    </row>
    <row r="4603">
      <c r="A4603" s="6"/>
      <c r="B4603" s="15" t="s">
        <v>2022</v>
      </c>
      <c r="C4603" s="23"/>
      <c r="D4603" s="23"/>
      <c r="E4603" s="23"/>
      <c r="F4603" s="23"/>
    </row>
    <row r="4604">
      <c r="A4604" s="5"/>
      <c r="B4604" s="16" t="s">
        <v>1898</v>
      </c>
      <c r="C4604" s="22">
        <f>(16)*(1)*(1)*(1)*(1 + (0))</f>
      </c>
      <c r="D4604" s="22" t="s">
        <v>24</v>
      </c>
      <c r="E4604" s="22"/>
      <c r="F4604" s="22">
        <f>C4604*E4604</f>
      </c>
    </row>
    <row r="4605">
      <c r="A4605" s="4"/>
      <c r="B4605" s="12" t="s">
        <v>955</v>
      </c>
      <c r="C4605" s="21"/>
      <c r="D4605" s="21"/>
      <c r="E4605" s="21"/>
      <c r="F4605" s="21"/>
    </row>
    <row r="4606">
      <c r="A4606" s="6"/>
      <c r="B4606" s="15" t="s">
        <v>987</v>
      </c>
      <c r="C4606" s="23"/>
      <c r="D4606" s="23"/>
      <c r="E4606" s="23"/>
      <c r="F4606" s="23"/>
    </row>
    <row r="4607">
      <c r="A4607" s="5"/>
      <c r="B4607" s="16" t="s">
        <v>1898</v>
      </c>
      <c r="C4607" s="22">
        <f>(3)*(1)*(1)*(1)*(1 + (0))</f>
      </c>
      <c r="D4607" s="22" t="s">
        <v>24</v>
      </c>
      <c r="E4607" s="22"/>
      <c r="F4607" s="22">
        <f>C4607*E4607</f>
      </c>
    </row>
    <row r="4608">
      <c r="A4608" s="6"/>
      <c r="B4608" s="15" t="s">
        <v>2023</v>
      </c>
      <c r="C4608" s="23"/>
      <c r="D4608" s="23"/>
      <c r="E4608" s="23"/>
      <c r="F4608" s="23"/>
    </row>
    <row r="4609">
      <c r="A4609" s="5"/>
      <c r="B4609" s="16" t="s">
        <v>1898</v>
      </c>
      <c r="C4609" s="22">
        <f>(10)*(1)*(1)*(1)*(1 + (0))</f>
      </c>
      <c r="D4609" s="22" t="s">
        <v>24</v>
      </c>
      <c r="E4609" s="22"/>
      <c r="F4609" s="22">
        <f>C4609*E4609</f>
      </c>
    </row>
    <row r="4610">
      <c r="A4610" s="3"/>
      <c r="B4610" s="11" t="s">
        <v>996</v>
      </c>
      <c r="C4610" s="20"/>
      <c r="D4610" s="20"/>
      <c r="E4610" s="20"/>
      <c r="F4610" s="20"/>
    </row>
    <row r="4611">
      <c r="A4611" s="4"/>
      <c r="B4611" s="12" t="s">
        <v>2024</v>
      </c>
      <c r="C4611" s="21"/>
      <c r="D4611" s="21"/>
      <c r="E4611" s="21"/>
      <c r="F4611" s="21"/>
    </row>
    <row r="4612">
      <c r="A4612" s="5"/>
      <c r="B4612" s="13" t="s">
        <v>1942</v>
      </c>
      <c r="C4612" s="22">
        <f>(3)*(1)*(1)*(1)*(1 + (0))</f>
      </c>
      <c r="D4612" s="22" t="s">
        <v>24</v>
      </c>
      <c r="E4612" s="22"/>
      <c r="F4612" s="22">
        <f>C4612*E4612</f>
      </c>
    </row>
    <row r="4613">
      <c r="A4613" s="3"/>
      <c r="B4613" s="11" t="s">
        <v>989</v>
      </c>
      <c r="C4613" s="20"/>
      <c r="D4613" s="20"/>
      <c r="E4613" s="20"/>
      <c r="F4613" s="20"/>
    </row>
    <row r="4614">
      <c r="A4614" s="4"/>
      <c r="B4614" s="12" t="s">
        <v>2025</v>
      </c>
      <c r="C4614" s="21"/>
      <c r="D4614" s="21"/>
      <c r="E4614" s="21"/>
      <c r="F4614" s="21"/>
    </row>
    <row r="4615">
      <c r="A4615" s="5"/>
      <c r="B4615" s="13" t="s">
        <v>1942</v>
      </c>
      <c r="C4615" s="22">
        <f>(8)*(1)*(1)*(1)*(1 + (0))</f>
      </c>
      <c r="D4615" s="22" t="s">
        <v>24</v>
      </c>
      <c r="E4615" s="22"/>
      <c r="F4615" s="22">
        <f>C4615*E4615</f>
      </c>
    </row>
    <row r="4616">
      <c r="A4616" s="3"/>
      <c r="B4616" s="11" t="s">
        <v>2026</v>
      </c>
      <c r="C4616" s="20"/>
      <c r="D4616" s="20"/>
      <c r="E4616" s="20"/>
      <c r="F4616" s="20"/>
    </row>
    <row r="4617">
      <c r="A4617" s="4"/>
      <c r="B4617" s="12" t="s">
        <v>2027</v>
      </c>
      <c r="C4617" s="21"/>
      <c r="D4617" s="21"/>
      <c r="E4617" s="21"/>
      <c r="F4617" s="21"/>
    </row>
    <row r="4618">
      <c r="A4618" s="5"/>
      <c r="B4618" s="13" t="s">
        <v>1942</v>
      </c>
      <c r="C4618" s="22">
        <f>(101)*(1)*(1)*(1)*(1 + (0))</f>
      </c>
      <c r="D4618" s="22" t="s">
        <v>24</v>
      </c>
      <c r="E4618" s="22"/>
      <c r="F4618" s="22">
        <f>C4618*E4618</f>
      </c>
    </row>
    <row r="4619">
      <c r="A4619" s="4"/>
      <c r="B4619" s="12" t="s">
        <v>2028</v>
      </c>
      <c r="C4619" s="21"/>
      <c r="D4619" s="21"/>
      <c r="E4619" s="21"/>
      <c r="F4619" s="21"/>
    </row>
    <row r="4620">
      <c r="A4620" s="5"/>
      <c r="B4620" s="13" t="s">
        <v>1942</v>
      </c>
      <c r="C4620" s="22">
        <f>(114)*(1)*(1)*(1)*(1 + (0))</f>
      </c>
      <c r="D4620" s="22" t="s">
        <v>24</v>
      </c>
      <c r="E4620" s="22"/>
      <c r="F4620" s="22">
        <f>C4620*E4620</f>
      </c>
    </row>
    <row r="4621">
      <c r="A4621" s="4"/>
      <c r="B4621" s="12" t="s">
        <v>999</v>
      </c>
      <c r="C4621" s="21"/>
      <c r="D4621" s="21"/>
      <c r="E4621" s="21"/>
      <c r="F4621" s="21"/>
    </row>
    <row r="4622">
      <c r="A4622" s="5"/>
      <c r="B4622" s="13" t="s">
        <v>30</v>
      </c>
      <c r="C4622" s="22">
        <f>(164)*(1)*(1)*(1)*(1 + (0))</f>
      </c>
      <c r="D4622" s="22" t="s">
        <v>24</v>
      </c>
      <c r="E4622" s="22"/>
      <c r="F4622" s="22">
        <f>C4622*E4622</f>
      </c>
    </row>
    <row r="4623">
      <c r="A4623" s="3"/>
      <c r="B4623" s="11" t="s">
        <v>2029</v>
      </c>
      <c r="C4623" s="20"/>
      <c r="D4623" s="20"/>
      <c r="E4623" s="20"/>
      <c r="F4623" s="20"/>
    </row>
    <row r="4624">
      <c r="A4624" s="4"/>
      <c r="B4624" s="12" t="s">
        <v>2030</v>
      </c>
      <c r="C4624" s="21"/>
      <c r="D4624" s="21"/>
      <c r="E4624" s="21"/>
      <c r="F4624" s="21"/>
    </row>
    <row r="4625">
      <c r="A4625" s="5"/>
      <c r="B4625" s="13" t="s">
        <v>1942</v>
      </c>
      <c r="C4625" s="22">
        <f>(190)*(1)*(1)*(1)*(1 + (0))</f>
      </c>
      <c r="D4625" s="22" t="s">
        <v>24</v>
      </c>
      <c r="E4625" s="22"/>
      <c r="F4625" s="22">
        <f>C4625*E4625</f>
      </c>
    </row>
    <row r="4626">
      <c r="A4626" s="3"/>
      <c r="B4626" s="11" t="s">
        <v>1749</v>
      </c>
      <c r="C4626" s="20"/>
      <c r="D4626" s="20"/>
      <c r="E4626" s="20"/>
      <c r="F4626" s="20"/>
    </row>
    <row r="4627">
      <c r="A4627" s="4"/>
      <c r="B4627" s="12" t="s">
        <v>1750</v>
      </c>
      <c r="C4627" s="21"/>
      <c r="D4627" s="21"/>
      <c r="E4627" s="21"/>
      <c r="F4627" s="21"/>
    </row>
    <row r="4628">
      <c r="A4628" s="5"/>
      <c r="B4628" s="13" t="s">
        <v>1942</v>
      </c>
      <c r="C4628" s="22">
        <f>(92)*(1)*(1)*(1)*(1 + (0))</f>
      </c>
      <c r="D4628" s="22" t="s">
        <v>153</v>
      </c>
      <c r="E4628" s="22"/>
      <c r="F4628" s="22">
        <f>C4628*E4628</f>
      </c>
    </row>
    <row r="4629">
      <c r="A4629" s="2"/>
      <c r="B4629" s="10" t="s">
        <v>1003</v>
      </c>
      <c r="C4629" s="19"/>
      <c r="D4629" s="19"/>
      <c r="E4629" s="19"/>
      <c r="F4629" s="19"/>
    </row>
    <row r="4630">
      <c r="A4630" s="3"/>
      <c r="B4630" s="11" t="s">
        <v>37</v>
      </c>
      <c r="C4630" s="20"/>
      <c r="D4630" s="20"/>
      <c r="E4630" s="20"/>
      <c r="F4630" s="20"/>
    </row>
    <row r="4631">
      <c r="A4631" s="5" t="s">
        <v>758</v>
      </c>
      <c r="B4631" s="14" t="s">
        <v>39</v>
      </c>
      <c r="C4631" s="22"/>
      <c r="D4631" s="22" t="s">
        <v>10</v>
      </c>
      <c r="E4631" s="22"/>
      <c r="F4631" s="22">
        <f>C4631*E4631</f>
      </c>
    </row>
    <row r="4632">
      <c r="A4632" s="5" t="s">
        <v>760</v>
      </c>
      <c r="B4632" s="14" t="s">
        <v>41</v>
      </c>
      <c r="C4632" s="22"/>
      <c r="D4632" s="22" t="s">
        <v>10</v>
      </c>
      <c r="E4632" s="22"/>
      <c r="F4632" s="22">
        <f>C4632*E4632</f>
      </c>
    </row>
    <row r="4633">
      <c r="A4633" s="3"/>
      <c r="B4633" s="11" t="s">
        <v>44</v>
      </c>
      <c r="C4633" s="20"/>
      <c r="D4633" s="20"/>
      <c r="E4633" s="20"/>
      <c r="F4633" s="20"/>
    </row>
    <row r="4634">
      <c r="A4634" s="4"/>
      <c r="B4634" s="12" t="s">
        <v>45</v>
      </c>
      <c r="C4634" s="21"/>
      <c r="D4634" s="21"/>
      <c r="E4634" s="21"/>
      <c r="F4634" s="21"/>
    </row>
    <row r="4635">
      <c r="A4635" s="5" t="s">
        <v>765</v>
      </c>
      <c r="B4635" s="13" t="s">
        <v>898</v>
      </c>
      <c r="C4635" s="22"/>
      <c r="D4635" s="22" t="s">
        <v>10</v>
      </c>
      <c r="E4635" s="22"/>
      <c r="F4635" s="22">
        <f>C4635*E4635</f>
      </c>
    </row>
    <row r="4636">
      <c r="A4636" s="5" t="s">
        <v>766</v>
      </c>
      <c r="B4636" s="13" t="s">
        <v>899</v>
      </c>
      <c r="C4636" s="22"/>
      <c r="D4636" s="22" t="s">
        <v>10</v>
      </c>
      <c r="E4636" s="22"/>
      <c r="F4636" s="22">
        <f>C4636*E4636</f>
      </c>
    </row>
    <row r="4637">
      <c r="A4637" s="5" t="s">
        <v>768</v>
      </c>
      <c r="B4637" s="13" t="s">
        <v>767</v>
      </c>
      <c r="C4637" s="22"/>
      <c r="D4637" s="22" t="s">
        <v>10</v>
      </c>
      <c r="E4637" s="22"/>
      <c r="F4637" s="22">
        <f>C4637*E4637</f>
      </c>
    </row>
    <row r="4638">
      <c r="A4638" s="5" t="s">
        <v>770</v>
      </c>
      <c r="B4638" s="13" t="s">
        <v>900</v>
      </c>
      <c r="C4638" s="22"/>
      <c r="D4638" s="22" t="s">
        <v>10</v>
      </c>
      <c r="E4638" s="22"/>
      <c r="F4638" s="22">
        <f>C4638*E4638</f>
      </c>
    </row>
    <row r="4639">
      <c r="A4639" s="5" t="s">
        <v>794</v>
      </c>
      <c r="B4639" s="13" t="s">
        <v>901</v>
      </c>
      <c r="C4639" s="22"/>
      <c r="D4639" s="22" t="s">
        <v>10</v>
      </c>
      <c r="E4639" s="22"/>
      <c r="F4639" s="22">
        <f>C4639*E4639</f>
      </c>
    </row>
    <row r="4640">
      <c r="A4640" s="5" t="s">
        <v>795</v>
      </c>
      <c r="B4640" s="13" t="s">
        <v>123</v>
      </c>
      <c r="C4640" s="22"/>
      <c r="D4640" s="22" t="s">
        <v>10</v>
      </c>
      <c r="E4640" s="22"/>
      <c r="F4640" s="22">
        <f>C4640*E4640</f>
      </c>
    </row>
    <row r="4641">
      <c r="A4641" s="3"/>
      <c r="B4641" s="11" t="s">
        <v>42</v>
      </c>
      <c r="C4641" s="20"/>
      <c r="D4641" s="20"/>
      <c r="E4641" s="20"/>
      <c r="F4641" s="20"/>
    </row>
    <row r="4642">
      <c r="A4642" s="5"/>
      <c r="B4642" s="14" t="s">
        <v>902</v>
      </c>
      <c r="C4642" s="22"/>
      <c r="D4642" s="22" t="s">
        <v>10</v>
      </c>
      <c r="E4642" s="22"/>
      <c r="F4642" s="22">
        <f>C4642*E4642</f>
      </c>
    </row>
    <row r="4643">
      <c r="A4643" s="5"/>
      <c r="B4643" s="14" t="s">
        <v>762</v>
      </c>
      <c r="C4643" s="22"/>
      <c r="D4643" s="22" t="s">
        <v>10</v>
      </c>
      <c r="E4643" s="22"/>
      <c r="F4643" s="22">
        <f>C4643*E4643</f>
      </c>
    </row>
    <row r="4644">
      <c r="A4644" s="5"/>
      <c r="B4644" s="14" t="s">
        <v>856</v>
      </c>
      <c r="C4644" s="22"/>
      <c r="D4644" s="22" t="s">
        <v>10</v>
      </c>
      <c r="E4644" s="22"/>
      <c r="F4644" s="22">
        <f>C4644*E4644</f>
      </c>
    </row>
    <row r="4645">
      <c r="A4645" s="3"/>
      <c r="B4645" s="11" t="s">
        <v>68</v>
      </c>
      <c r="C4645" s="20"/>
      <c r="D4645" s="20"/>
      <c r="E4645" s="20"/>
      <c r="F4645" s="20"/>
    </row>
    <row r="4646">
      <c r="A4646" s="5" t="s">
        <v>797</v>
      </c>
      <c r="B4646" s="14" t="s">
        <v>903</v>
      </c>
      <c r="C4646" s="22">
        <f>(1)*(1)*(1)*(1)*(1 + (0))</f>
      </c>
      <c r="D4646" s="22" t="s">
        <v>71</v>
      </c>
      <c r="E4646" s="22"/>
      <c r="F4646" s="22">
        <f>C4646*E4646</f>
      </c>
    </row>
    <row r="4647">
      <c r="A4647" s="5" t="s">
        <v>799</v>
      </c>
      <c r="B4647" s="14" t="s">
        <v>904</v>
      </c>
      <c r="C4647" s="22">
        <f>(1)*(1)*(1)*(1)*(1 + (0))</f>
      </c>
      <c r="D4647" s="22" t="s">
        <v>71</v>
      </c>
      <c r="E4647" s="22"/>
      <c r="F4647" s="22">
        <f>C4647*E4647</f>
      </c>
    </row>
    <row r="4648">
      <c r="A4648" s="5" t="s">
        <v>801</v>
      </c>
      <c r="B4648" s="14" t="s">
        <v>77</v>
      </c>
      <c r="C4648" s="22">
        <f>(1)*(1)*(1)*(1)*(1 + (0))</f>
      </c>
      <c r="D4648" s="22" t="s">
        <v>71</v>
      </c>
      <c r="E4648" s="22"/>
      <c r="F4648" s="22">
        <f>C4648*E4648</f>
      </c>
    </row>
    <row r="4649">
      <c r="A4649" s="5" t="s">
        <v>905</v>
      </c>
      <c r="B4649" s="14" t="s">
        <v>906</v>
      </c>
      <c r="C4649" s="22">
        <f>(1)*(1)*(1)*(1)*(1 + (0))</f>
      </c>
      <c r="D4649" s="22" t="s">
        <v>71</v>
      </c>
      <c r="E4649" s="22"/>
      <c r="F4649" s="22">
        <f>C4649*E4649</f>
      </c>
    </row>
    <row r="4650">
      <c r="A4650" s="5" t="s">
        <v>907</v>
      </c>
      <c r="B4650" s="14" t="s">
        <v>447</v>
      </c>
      <c r="C4650" s="22">
        <f>(1)*(1)*(1)*(1)*(1 + (0))</f>
      </c>
      <c r="D4650" s="22" t="s">
        <v>71</v>
      </c>
      <c r="E4650" s="22"/>
      <c r="F4650" s="22">
        <f>C4650*E4650</f>
      </c>
    </row>
    <row r="4651">
      <c r="A4651" s="5" t="s">
        <v>908</v>
      </c>
      <c r="B4651" s="14" t="s">
        <v>798</v>
      </c>
      <c r="C4651" s="22">
        <f>(1)*(1)*(1)*(1)*(1 + (0))</f>
      </c>
      <c r="D4651" s="22" t="s">
        <v>71</v>
      </c>
      <c r="E4651" s="22"/>
      <c r="F4651" s="22">
        <f>C4651*E4651</f>
      </c>
    </row>
    <row r="4652">
      <c r="A4652" s="5" t="s">
        <v>909</v>
      </c>
      <c r="B4652" s="14" t="s">
        <v>910</v>
      </c>
      <c r="C4652" s="22">
        <f>(1)*(1)*(1)*(1)*(1 + (0))</f>
      </c>
      <c r="D4652" s="22" t="s">
        <v>71</v>
      </c>
      <c r="E4652" s="22"/>
      <c r="F4652" s="22">
        <f>C4652*E4652</f>
      </c>
    </row>
    <row r="4653">
      <c r="A4653" s="5" t="s">
        <v>911</v>
      </c>
      <c r="B4653" s="14" t="s">
        <v>912</v>
      </c>
      <c r="C4653" s="22">
        <f>(1)*(1)*(1)*(1)*(1 + (0))</f>
      </c>
      <c r="D4653" s="22" t="s">
        <v>71</v>
      </c>
      <c r="E4653" s="22"/>
      <c r="F4653" s="22">
        <f>C4653*E4653</f>
      </c>
    </row>
    <row r="4654">
      <c r="A4654" s="5" t="s">
        <v>913</v>
      </c>
      <c r="B4654" s="14" t="s">
        <v>665</v>
      </c>
      <c r="C4654" s="22">
        <f>(1)*(1)*(1)*(1)*(1 + (0))</f>
      </c>
      <c r="D4654" s="22" t="s">
        <v>71</v>
      </c>
      <c r="E4654" s="22"/>
      <c r="F4654" s="22">
        <f>C4654*E4654</f>
      </c>
    </row>
    <row r="4655">
      <c r="A4655" s="3"/>
      <c r="B4655" s="11" t="s">
        <v>924</v>
      </c>
      <c r="C4655" s="20"/>
      <c r="D4655" s="20"/>
      <c r="E4655" s="20"/>
      <c r="F4655" s="20"/>
    </row>
    <row r="4656">
      <c r="A4656" s="4"/>
      <c r="B4656" s="12" t="s">
        <v>1710</v>
      </c>
      <c r="C4656" s="21"/>
      <c r="D4656" s="21"/>
      <c r="E4656" s="21"/>
      <c r="F4656" s="21"/>
    </row>
    <row r="4657">
      <c r="A4657" s="6"/>
      <c r="B4657" s="15" t="s">
        <v>2031</v>
      </c>
      <c r="C4657" s="23"/>
      <c r="D4657" s="23"/>
      <c r="E4657" s="23"/>
      <c r="F4657" s="23"/>
    </row>
    <row r="4658">
      <c r="A4658" s="5"/>
      <c r="B4658" s="16" t="s">
        <v>2032</v>
      </c>
      <c r="C4658" s="22">
        <f>(1)*(1)*(1)*(1)*(1 + (0))</f>
      </c>
      <c r="D4658" s="22" t="s">
        <v>162</v>
      </c>
      <c r="E4658" s="22"/>
      <c r="F4658" s="22">
        <f>C4658*E4658</f>
      </c>
    </row>
    <row r="4659">
      <c r="A4659" s="2"/>
      <c r="B4659" s="10" t="s">
        <v>1006</v>
      </c>
      <c r="C4659" s="19"/>
      <c r="D4659" s="19"/>
      <c r="E4659" s="19"/>
      <c r="F4659" s="19"/>
    </row>
    <row r="4660">
      <c r="A4660" s="3"/>
      <c r="B4660" s="11" t="s">
        <v>37</v>
      </c>
      <c r="C4660" s="20"/>
      <c r="D4660" s="20"/>
      <c r="E4660" s="20"/>
      <c r="F4660" s="20"/>
    </row>
    <row r="4661">
      <c r="A4661" s="5" t="s">
        <v>1007</v>
      </c>
      <c r="B4661" s="14" t="s">
        <v>39</v>
      </c>
      <c r="C4661" s="22"/>
      <c r="D4661" s="22" t="s">
        <v>10</v>
      </c>
      <c r="E4661" s="22"/>
      <c r="F4661" s="22">
        <f>C4661*E4661</f>
      </c>
    </row>
    <row r="4662">
      <c r="A4662" s="5" t="s">
        <v>1008</v>
      </c>
      <c r="B4662" s="14" t="s">
        <v>41</v>
      </c>
      <c r="C4662" s="22"/>
      <c r="D4662" s="22" t="s">
        <v>10</v>
      </c>
      <c r="E4662" s="22"/>
      <c r="F4662" s="22">
        <f>C4662*E4662</f>
      </c>
    </row>
    <row r="4663">
      <c r="A4663" s="3"/>
      <c r="B4663" s="11" t="s">
        <v>42</v>
      </c>
      <c r="C4663" s="20"/>
      <c r="D4663" s="20"/>
      <c r="E4663" s="20"/>
      <c r="F4663" s="20"/>
    </row>
    <row r="4664">
      <c r="A4664" s="5"/>
      <c r="B4664" s="14" t="s">
        <v>1009</v>
      </c>
      <c r="C4664" s="22"/>
      <c r="D4664" s="22" t="s">
        <v>10</v>
      </c>
      <c r="E4664" s="22"/>
      <c r="F4664" s="22">
        <f>C4664*E4664</f>
      </c>
    </row>
    <row r="4665">
      <c r="A4665" s="5"/>
      <c r="B4665" s="14" t="s">
        <v>1010</v>
      </c>
      <c r="C4665" s="22"/>
      <c r="D4665" s="22" t="s">
        <v>10</v>
      </c>
      <c r="E4665" s="22"/>
      <c r="F4665" s="22">
        <f>C4665*E4665</f>
      </c>
    </row>
    <row r="4666">
      <c r="A4666" s="5"/>
      <c r="B4666" s="14" t="s">
        <v>1011</v>
      </c>
      <c r="C4666" s="22"/>
      <c r="D4666" s="22" t="s">
        <v>10</v>
      </c>
      <c r="E4666" s="22"/>
      <c r="F4666" s="22">
        <f>C4666*E4666</f>
      </c>
    </row>
    <row r="4667">
      <c r="A4667" s="3"/>
      <c r="B4667" s="11" t="s">
        <v>44</v>
      </c>
      <c r="C4667" s="20"/>
      <c r="D4667" s="20"/>
      <c r="E4667" s="20"/>
      <c r="F4667" s="20"/>
    </row>
    <row r="4668">
      <c r="A4668" s="4"/>
      <c r="B4668" s="12" t="s">
        <v>45</v>
      </c>
      <c r="C4668" s="21"/>
      <c r="D4668" s="21"/>
      <c r="E4668" s="21"/>
      <c r="F4668" s="21"/>
    </row>
    <row r="4669">
      <c r="A4669" s="5" t="s">
        <v>1012</v>
      </c>
      <c r="B4669" s="13" t="s">
        <v>1013</v>
      </c>
      <c r="C4669" s="22"/>
      <c r="D4669" s="22" t="s">
        <v>10</v>
      </c>
      <c r="E4669" s="22"/>
      <c r="F4669" s="22">
        <f>C4669*E4669</f>
      </c>
    </row>
    <row r="4670">
      <c r="A4670" s="5" t="s">
        <v>1014</v>
      </c>
      <c r="B4670" s="13" t="s">
        <v>1015</v>
      </c>
      <c r="C4670" s="22"/>
      <c r="D4670" s="22" t="s">
        <v>10</v>
      </c>
      <c r="E4670" s="22"/>
      <c r="F4670" s="22">
        <f>C4670*E4670</f>
      </c>
    </row>
    <row r="4671">
      <c r="A4671" s="5" t="s">
        <v>1016</v>
      </c>
      <c r="B4671" s="13" t="s">
        <v>1017</v>
      </c>
      <c r="C4671" s="22"/>
      <c r="D4671" s="22" t="s">
        <v>10</v>
      </c>
      <c r="E4671" s="22"/>
      <c r="F4671" s="22">
        <f>C4671*E4671</f>
      </c>
    </row>
    <row r="4672">
      <c r="A4672" s="5" t="s">
        <v>1018</v>
      </c>
      <c r="B4672" s="13" t="s">
        <v>784</v>
      </c>
      <c r="C4672" s="22"/>
      <c r="D4672" s="22" t="s">
        <v>10</v>
      </c>
      <c r="E4672" s="22"/>
      <c r="F4672" s="22">
        <f>C4672*E4672</f>
      </c>
    </row>
    <row r="4673">
      <c r="A4673" s="5" t="s">
        <v>1019</v>
      </c>
      <c r="B4673" s="13" t="s">
        <v>123</v>
      </c>
      <c r="C4673" s="22"/>
      <c r="D4673" s="22" t="s">
        <v>10</v>
      </c>
      <c r="E4673" s="22"/>
      <c r="F4673" s="22">
        <f>C4673*E4673</f>
      </c>
    </row>
    <row r="4674">
      <c r="A4674" s="3"/>
      <c r="B4674" s="11" t="s">
        <v>68</v>
      </c>
      <c r="C4674" s="20"/>
      <c r="D4674" s="20"/>
      <c r="E4674" s="20"/>
      <c r="F4674" s="20"/>
    </row>
    <row r="4675">
      <c r="A4675" s="5" t="s">
        <v>1020</v>
      </c>
      <c r="B4675" s="14" t="s">
        <v>230</v>
      </c>
      <c r="C4675" s="22">
        <f>(1)*(1)*(1)*(1)*(1 + (0))</f>
      </c>
      <c r="D4675" s="22" t="s">
        <v>71</v>
      </c>
      <c r="E4675" s="22"/>
      <c r="F4675" s="22">
        <f>C4675*E4675</f>
      </c>
    </row>
    <row r="4676">
      <c r="A4676" s="5" t="s">
        <v>1021</v>
      </c>
      <c r="B4676" s="14" t="s">
        <v>1022</v>
      </c>
      <c r="C4676" s="22">
        <f>(1)*(1)*(1)*(1)*(1 + (0))</f>
      </c>
      <c r="D4676" s="22" t="s">
        <v>71</v>
      </c>
      <c r="E4676" s="22"/>
      <c r="F4676" s="22">
        <f>C4676*E4676</f>
      </c>
    </row>
    <row r="4677">
      <c r="A4677" s="5" t="s">
        <v>1023</v>
      </c>
      <c r="B4677" s="14" t="s">
        <v>812</v>
      </c>
      <c r="C4677" s="22">
        <f>(1)*(1)*(1)*(1)*(1 + (0))</f>
      </c>
      <c r="D4677" s="22" t="s">
        <v>71</v>
      </c>
      <c r="E4677" s="22"/>
      <c r="F4677" s="22">
        <f>C4677*E4677</f>
      </c>
    </row>
    <row r="4678">
      <c r="A4678" s="5" t="s">
        <v>1024</v>
      </c>
      <c r="B4678" s="14" t="s">
        <v>814</v>
      </c>
      <c r="C4678" s="22">
        <f>(1)*(1)*(1)*(1)*(1 + (0))</f>
      </c>
      <c r="D4678" s="22" t="s">
        <v>71</v>
      </c>
      <c r="E4678" s="22"/>
      <c r="F4678" s="22">
        <f>C4678*E4678</f>
      </c>
    </row>
    <row r="4679">
      <c r="A4679" s="5" t="s">
        <v>1025</v>
      </c>
      <c r="B4679" s="14" t="s">
        <v>798</v>
      </c>
      <c r="C4679" s="22">
        <f>(1)*(1)*(1)*(1)*(1 + (0))</f>
      </c>
      <c r="D4679" s="22" t="s">
        <v>71</v>
      </c>
      <c r="E4679" s="22"/>
      <c r="F4679" s="22">
        <f>C4679*E4679</f>
      </c>
    </row>
    <row r="4680">
      <c r="A4680" s="5" t="s">
        <v>1026</v>
      </c>
      <c r="B4680" s="14" t="s">
        <v>805</v>
      </c>
      <c r="C4680" s="22">
        <f>(1)*(1)*(1)*(1)*(1 + (0))</f>
      </c>
      <c r="D4680" s="22" t="s">
        <v>71</v>
      </c>
      <c r="E4680" s="22"/>
      <c r="F4680" s="22">
        <f>C4680*E4680</f>
      </c>
    </row>
    <row r="4681">
      <c r="A4681" s="5" t="s">
        <v>1027</v>
      </c>
      <c r="B4681" s="14" t="s">
        <v>800</v>
      </c>
      <c r="C4681" s="22">
        <f>(1)*(1)*(1)*(1)*(1 + (0))</f>
      </c>
      <c r="D4681" s="22" t="s">
        <v>71</v>
      </c>
      <c r="E4681" s="22"/>
      <c r="F4681" s="22">
        <f>C4681*E4681</f>
      </c>
    </row>
    <row r="4682">
      <c r="A4682" s="5" t="s">
        <v>1028</v>
      </c>
      <c r="B4682" s="14" t="s">
        <v>1029</v>
      </c>
      <c r="C4682" s="22">
        <f>(1)*(1)*(1)*(1)*(1 + (0))</f>
      </c>
      <c r="D4682" s="22" t="s">
        <v>71</v>
      </c>
      <c r="E4682" s="22"/>
      <c r="F4682" s="22">
        <f>C4682*E4682</f>
      </c>
    </row>
    <row r="4683">
      <c r="A4683" s="5" t="s">
        <v>1030</v>
      </c>
      <c r="B4683" s="14" t="s">
        <v>1031</v>
      </c>
      <c r="C4683" s="22">
        <f>(1)*(1)*(1)*(1)*(1 + (0))</f>
      </c>
      <c r="D4683" s="22" t="s">
        <v>71</v>
      </c>
      <c r="E4683" s="22"/>
      <c r="F4683" s="22">
        <f>C4683*E4683</f>
      </c>
    </row>
    <row r="4684">
      <c r="A4684" s="3"/>
      <c r="B4684" s="11" t="s">
        <v>106</v>
      </c>
      <c r="C4684" s="20"/>
      <c r="D4684" s="20"/>
      <c r="E4684" s="20"/>
      <c r="F4684" s="20"/>
    </row>
    <row r="4685">
      <c r="A4685" s="5"/>
      <c r="B4685" s="14" t="s">
        <v>1751</v>
      </c>
      <c r="C4685" s="22"/>
      <c r="D4685" s="22" t="s">
        <v>10</v>
      </c>
      <c r="E4685" s="22"/>
      <c r="F4685" s="22">
        <f>C4685*E4685</f>
      </c>
    </row>
    <row r="4686">
      <c r="A4686" s="3"/>
      <c r="B4686" s="11" t="s">
        <v>1033</v>
      </c>
      <c r="C4686" s="20"/>
      <c r="D4686" s="20"/>
      <c r="E4686" s="20"/>
      <c r="F4686" s="20"/>
    </row>
    <row r="4687">
      <c r="A4687" s="4"/>
      <c r="B4687" s="12" t="s">
        <v>1034</v>
      </c>
      <c r="C4687" s="21"/>
      <c r="D4687" s="21"/>
      <c r="E4687" s="21"/>
      <c r="F4687" s="21"/>
    </row>
    <row r="4688">
      <c r="A4688" s="6"/>
      <c r="B4688" s="15" t="s">
        <v>1035</v>
      </c>
      <c r="C4688" s="23"/>
      <c r="D4688" s="23"/>
      <c r="E4688" s="23"/>
      <c r="F4688" s="23"/>
    </row>
    <row r="4689">
      <c r="A4689" s="5"/>
      <c r="B4689" s="16" t="s">
        <v>30</v>
      </c>
      <c r="C4689" s="22">
        <f>(87)*(1)*(1)*(1)*(1 + (0))</f>
      </c>
      <c r="D4689" s="22" t="s">
        <v>24</v>
      </c>
      <c r="E4689" s="22"/>
      <c r="F4689" s="22">
        <f>C4689*E4689</f>
      </c>
    </row>
    <row r="4690">
      <c r="A4690" s="6"/>
      <c r="B4690" s="15" t="s">
        <v>1036</v>
      </c>
      <c r="C4690" s="23"/>
      <c r="D4690" s="23"/>
      <c r="E4690" s="23"/>
      <c r="F4690" s="23"/>
    </row>
    <row r="4691">
      <c r="A4691" s="5"/>
      <c r="B4691" s="16" t="s">
        <v>30</v>
      </c>
      <c r="C4691" s="22">
        <f>(53)*(1)*(1)*(1)*(1 + (0))</f>
      </c>
      <c r="D4691" s="22" t="s">
        <v>24</v>
      </c>
      <c r="E4691" s="22"/>
      <c r="F4691" s="22">
        <f>C4691*E4691</f>
      </c>
    </row>
    <row r="4692">
      <c r="A4692" s="6"/>
      <c r="B4692" s="15" t="s">
        <v>2033</v>
      </c>
      <c r="C4692" s="23"/>
      <c r="D4692" s="23"/>
      <c r="E4692" s="23"/>
      <c r="F4692" s="23"/>
    </row>
    <row r="4693">
      <c r="A4693" s="5"/>
      <c r="B4693" s="16" t="s">
        <v>30</v>
      </c>
      <c r="C4693" s="22">
        <f>(62)*(1)*(1)*(1)*(1 + (0))</f>
      </c>
      <c r="D4693" s="22" t="s">
        <v>24</v>
      </c>
      <c r="E4693" s="22"/>
      <c r="F4693" s="22">
        <f>C4693*E4693</f>
      </c>
    </row>
    <row r="4694">
      <c r="A4694" s="6"/>
      <c r="B4694" s="15" t="s">
        <v>1037</v>
      </c>
      <c r="C4694" s="23"/>
      <c r="D4694" s="23"/>
      <c r="E4694" s="23"/>
      <c r="F4694" s="23"/>
    </row>
    <row r="4695">
      <c r="A4695" s="5"/>
      <c r="B4695" s="16" t="s">
        <v>30</v>
      </c>
      <c r="C4695" s="22">
        <f>(9)*(1)*(1)*(1)*(1 + (0))</f>
      </c>
      <c r="D4695" s="22" t="s">
        <v>24</v>
      </c>
      <c r="E4695" s="22"/>
      <c r="F4695" s="22">
        <f>C4695*E4695</f>
      </c>
    </row>
    <row r="4696">
      <c r="A4696" s="6"/>
      <c r="B4696" s="15" t="s">
        <v>1039</v>
      </c>
      <c r="C4696" s="23"/>
      <c r="D4696" s="23"/>
      <c r="E4696" s="23"/>
      <c r="F4696" s="23"/>
    </row>
    <row r="4697">
      <c r="A4697" s="5"/>
      <c r="B4697" s="16" t="s">
        <v>30</v>
      </c>
      <c r="C4697" s="22">
        <f>(81)*(1)*(1)*(1)*(1 + (0))</f>
      </c>
      <c r="D4697" s="22" t="s">
        <v>24</v>
      </c>
      <c r="E4697" s="22"/>
      <c r="F4697" s="22">
        <f>C4697*E4697</f>
      </c>
    </row>
    <row r="4698">
      <c r="A4698" s="6"/>
      <c r="B4698" s="15" t="s">
        <v>1041</v>
      </c>
      <c r="C4698" s="23"/>
      <c r="D4698" s="23"/>
      <c r="E4698" s="23"/>
      <c r="F4698" s="23"/>
    </row>
    <row r="4699">
      <c r="A4699" s="5"/>
      <c r="B4699" s="16" t="s">
        <v>30</v>
      </c>
      <c r="C4699" s="22">
        <f>(104)*(1)*(1)*(1)*(1 + (0))</f>
      </c>
      <c r="D4699" s="22" t="s">
        <v>24</v>
      </c>
      <c r="E4699" s="22"/>
      <c r="F4699" s="22">
        <f>C4699*E4699</f>
      </c>
    </row>
    <row r="4700">
      <c r="A4700" s="4"/>
      <c r="B4700" s="12" t="s">
        <v>1042</v>
      </c>
      <c r="C4700" s="21"/>
      <c r="D4700" s="21"/>
      <c r="E4700" s="21"/>
      <c r="F4700" s="21"/>
    </row>
    <row r="4701">
      <c r="A4701" s="6"/>
      <c r="B4701" s="15" t="s">
        <v>1035</v>
      </c>
      <c r="C4701" s="23"/>
      <c r="D4701" s="23"/>
      <c r="E4701" s="23"/>
      <c r="F4701" s="23"/>
    </row>
    <row r="4702">
      <c r="A4702" s="5"/>
      <c r="B4702" s="16" t="s">
        <v>30</v>
      </c>
      <c r="C4702" s="22">
        <f>(61)*(1)*(1)*(1)*(1 + (0))</f>
      </c>
      <c r="D4702" s="22" t="s">
        <v>24</v>
      </c>
      <c r="E4702" s="22"/>
      <c r="F4702" s="22">
        <f>C4702*E4702</f>
      </c>
    </row>
    <row r="4703">
      <c r="A4703" s="6"/>
      <c r="B4703" s="15" t="s">
        <v>2034</v>
      </c>
      <c r="C4703" s="23"/>
      <c r="D4703" s="23"/>
      <c r="E4703" s="23"/>
      <c r="F4703" s="23"/>
    </row>
    <row r="4704">
      <c r="A4704" s="5"/>
      <c r="B4704" s="16" t="s">
        <v>30</v>
      </c>
      <c r="C4704" s="22">
        <f>(159)*(1)*(1)*(1)*(1 + (0))</f>
      </c>
      <c r="D4704" s="22" t="s">
        <v>24</v>
      </c>
      <c r="E4704" s="22"/>
      <c r="F4704" s="22">
        <f>C4704*E4704</f>
      </c>
    </row>
    <row r="4705">
      <c r="A4705" s="6"/>
      <c r="B4705" s="15" t="s">
        <v>2035</v>
      </c>
      <c r="C4705" s="23"/>
      <c r="D4705" s="23"/>
      <c r="E4705" s="23"/>
      <c r="F4705" s="23"/>
    </row>
    <row r="4706">
      <c r="A4706" s="5"/>
      <c r="B4706" s="16" t="s">
        <v>30</v>
      </c>
      <c r="C4706" s="22">
        <f>(150)*(1)*(1)*(1)*(1 + (0))</f>
      </c>
      <c r="D4706" s="22" t="s">
        <v>24</v>
      </c>
      <c r="E4706" s="22"/>
      <c r="F4706" s="22">
        <f>C4706*E4706</f>
      </c>
    </row>
    <row r="4707">
      <c r="A4707" s="3"/>
      <c r="B4707" s="11" t="s">
        <v>1044</v>
      </c>
      <c r="C4707" s="20"/>
      <c r="D4707" s="20"/>
      <c r="E4707" s="20"/>
      <c r="F4707" s="20"/>
    </row>
    <row r="4708">
      <c r="A4708" s="4"/>
      <c r="B4708" s="12" t="s">
        <v>1047</v>
      </c>
      <c r="C4708" s="21"/>
      <c r="D4708" s="21"/>
      <c r="E4708" s="21"/>
      <c r="F4708" s="21"/>
    </row>
    <row r="4709">
      <c r="A4709" s="6"/>
      <c r="B4709" s="15" t="s">
        <v>1048</v>
      </c>
      <c r="C4709" s="23"/>
      <c r="D4709" s="23"/>
      <c r="E4709" s="23"/>
      <c r="F4709" s="23"/>
    </row>
    <row r="4710">
      <c r="A4710" s="5"/>
      <c r="B4710" s="16" t="s">
        <v>30</v>
      </c>
      <c r="C4710" s="22">
        <f>(16)*(1)*(1)*(1)*(1 + (0))</f>
      </c>
      <c r="D4710" s="22" t="s">
        <v>153</v>
      </c>
      <c r="E4710" s="22"/>
      <c r="F4710" s="22">
        <f>C4710*E4710</f>
      </c>
    </row>
    <row r="4711">
      <c r="A4711" s="6"/>
      <c r="B4711" s="15" t="s">
        <v>1049</v>
      </c>
      <c r="C4711" s="23"/>
      <c r="D4711" s="23"/>
      <c r="E4711" s="23"/>
      <c r="F4711" s="23"/>
    </row>
    <row r="4712">
      <c r="A4712" s="5"/>
      <c r="B4712" s="16" t="s">
        <v>30</v>
      </c>
      <c r="C4712" s="22">
        <f>(411)*(1)*(1)*(1)*(1 + (0))</f>
      </c>
      <c r="D4712" s="22" t="s">
        <v>153</v>
      </c>
      <c r="E4712" s="22"/>
      <c r="F4712" s="22">
        <f>C4712*E4712</f>
      </c>
    </row>
    <row r="4713">
      <c r="A4713" s="4"/>
      <c r="B4713" s="12" t="s">
        <v>1050</v>
      </c>
      <c r="C4713" s="21"/>
      <c r="D4713" s="21"/>
      <c r="E4713" s="21"/>
      <c r="F4713" s="21"/>
    </row>
    <row r="4714">
      <c r="A4714" s="6"/>
      <c r="B4714" s="15" t="s">
        <v>1051</v>
      </c>
      <c r="C4714" s="23"/>
      <c r="D4714" s="23"/>
      <c r="E4714" s="23"/>
      <c r="F4714" s="23"/>
    </row>
    <row r="4715">
      <c r="A4715" s="5"/>
      <c r="B4715" s="16" t="s">
        <v>30</v>
      </c>
      <c r="C4715" s="22">
        <f>(2)*(1)*(1)*(1)*(1 + (0))</f>
      </c>
      <c r="D4715" s="22" t="s">
        <v>162</v>
      </c>
      <c r="E4715" s="22"/>
      <c r="F4715" s="22">
        <f>C4715*E4715</f>
      </c>
    </row>
    <row r="4716">
      <c r="A4716" s="6"/>
      <c r="B4716" s="15" t="s">
        <v>1052</v>
      </c>
      <c r="C4716" s="23"/>
      <c r="D4716" s="23"/>
      <c r="E4716" s="23"/>
      <c r="F4716" s="23"/>
    </row>
    <row r="4717">
      <c r="A4717" s="5"/>
      <c r="B4717" s="16" t="s">
        <v>30</v>
      </c>
      <c r="C4717" s="22">
        <f>(5)*(1)*(1)*(1)*(1 + (0))</f>
      </c>
      <c r="D4717" s="22" t="s">
        <v>162</v>
      </c>
      <c r="E4717" s="22"/>
      <c r="F4717" s="22">
        <f>C4717*E4717</f>
      </c>
    </row>
    <row r="4718">
      <c r="A4718" s="6"/>
      <c r="B4718" s="15" t="s">
        <v>1053</v>
      </c>
      <c r="C4718" s="23"/>
      <c r="D4718" s="23"/>
      <c r="E4718" s="23"/>
      <c r="F4718" s="23"/>
    </row>
    <row r="4719">
      <c r="A4719" s="5"/>
      <c r="B4719" s="16" t="s">
        <v>30</v>
      </c>
      <c r="C4719" s="22">
        <f>(2)*(1)*(1)*(1)*(1 + (0))</f>
      </c>
      <c r="D4719" s="22" t="s">
        <v>162</v>
      </c>
      <c r="E4719" s="22"/>
      <c r="F4719" s="22">
        <f>C4719*E4719</f>
      </c>
    </row>
    <row r="4720">
      <c r="A4720" s="2"/>
      <c r="B4720" s="10" t="s">
        <v>1054</v>
      </c>
      <c r="C4720" s="19"/>
      <c r="D4720" s="19"/>
      <c r="E4720" s="19"/>
      <c r="F4720" s="19"/>
    </row>
    <row r="4721">
      <c r="A4721" s="3"/>
      <c r="B4721" s="11" t="s">
        <v>37</v>
      </c>
      <c r="C4721" s="20"/>
      <c r="D4721" s="20"/>
      <c r="E4721" s="20"/>
      <c r="F4721" s="20"/>
    </row>
    <row r="4722">
      <c r="A4722" s="5" t="s">
        <v>1055</v>
      </c>
      <c r="B4722" s="14" t="s">
        <v>39</v>
      </c>
      <c r="C4722" s="22"/>
      <c r="D4722" s="22" t="s">
        <v>10</v>
      </c>
      <c r="E4722" s="22"/>
      <c r="F4722" s="22">
        <f>C4722*E4722</f>
      </c>
    </row>
    <row r="4723">
      <c r="A4723" s="5" t="s">
        <v>1056</v>
      </c>
      <c r="B4723" s="14" t="s">
        <v>41</v>
      </c>
      <c r="C4723" s="22"/>
      <c r="D4723" s="22" t="s">
        <v>10</v>
      </c>
      <c r="E4723" s="22"/>
      <c r="F4723" s="22">
        <f>C4723*E4723</f>
      </c>
    </row>
    <row r="4724">
      <c r="A4724" s="3"/>
      <c r="B4724" s="11" t="s">
        <v>523</v>
      </c>
      <c r="C4724" s="20"/>
      <c r="D4724" s="20"/>
      <c r="E4724" s="20"/>
      <c r="F4724" s="20"/>
    </row>
    <row r="4725">
      <c r="A4725" s="5"/>
      <c r="B4725" s="14" t="s">
        <v>1057</v>
      </c>
      <c r="C4725" s="22"/>
      <c r="D4725" s="22" t="s">
        <v>10</v>
      </c>
      <c r="E4725" s="22"/>
      <c r="F4725" s="22">
        <f>C4725*E4725</f>
      </c>
    </row>
    <row r="4726">
      <c r="A4726" s="5"/>
      <c r="B4726" s="14" t="s">
        <v>1058</v>
      </c>
      <c r="C4726" s="22"/>
      <c r="D4726" s="22" t="s">
        <v>10</v>
      </c>
      <c r="E4726" s="22"/>
      <c r="F4726" s="22">
        <f>C4726*E4726</f>
      </c>
    </row>
    <row r="4727">
      <c r="A4727" s="5"/>
      <c r="B4727" s="14" t="s">
        <v>635</v>
      </c>
      <c r="C4727" s="22"/>
      <c r="D4727" s="22" t="s">
        <v>10</v>
      </c>
      <c r="E4727" s="22"/>
      <c r="F4727" s="22">
        <f>C4727*E4727</f>
      </c>
    </row>
    <row r="4728">
      <c r="A4728" s="3"/>
      <c r="B4728" s="11" t="s">
        <v>44</v>
      </c>
      <c r="C4728" s="20"/>
      <c r="D4728" s="20"/>
      <c r="E4728" s="20"/>
      <c r="F4728" s="20"/>
    </row>
    <row r="4729">
      <c r="A4729" s="4"/>
      <c r="B4729" s="12" t="s">
        <v>45</v>
      </c>
      <c r="C4729" s="21"/>
      <c r="D4729" s="21"/>
      <c r="E4729" s="21"/>
      <c r="F4729" s="21"/>
    </row>
    <row r="4730">
      <c r="A4730" s="5" t="s">
        <v>1059</v>
      </c>
      <c r="B4730" s="13" t="s">
        <v>1060</v>
      </c>
      <c r="C4730" s="22"/>
      <c r="D4730" s="22" t="s">
        <v>10</v>
      </c>
      <c r="E4730" s="22"/>
      <c r="F4730" s="22">
        <f>C4730*E4730</f>
      </c>
    </row>
    <row r="4731">
      <c r="A4731" s="5" t="s">
        <v>1061</v>
      </c>
      <c r="B4731" s="13" t="s">
        <v>1062</v>
      </c>
      <c r="C4731" s="22"/>
      <c r="D4731" s="22" t="s">
        <v>10</v>
      </c>
      <c r="E4731" s="22"/>
      <c r="F4731" s="22">
        <f>C4731*E4731</f>
      </c>
    </row>
    <row r="4732">
      <c r="A4732" s="5" t="s">
        <v>1063</v>
      </c>
      <c r="B4732" s="13" t="s">
        <v>1064</v>
      </c>
      <c r="C4732" s="22"/>
      <c r="D4732" s="22" t="s">
        <v>10</v>
      </c>
      <c r="E4732" s="22"/>
      <c r="F4732" s="22">
        <f>C4732*E4732</f>
      </c>
    </row>
    <row r="4733">
      <c r="A4733" s="5" t="s">
        <v>1065</v>
      </c>
      <c r="B4733" s="13" t="s">
        <v>1066</v>
      </c>
      <c r="C4733" s="22"/>
      <c r="D4733" s="22" t="s">
        <v>10</v>
      </c>
      <c r="E4733" s="22"/>
      <c r="F4733" s="22">
        <f>C4733*E4733</f>
      </c>
    </row>
    <row r="4734">
      <c r="A4734" s="5" t="s">
        <v>1067</v>
      </c>
      <c r="B4734" s="13" t="s">
        <v>1068</v>
      </c>
      <c r="C4734" s="22"/>
      <c r="D4734" s="22" t="s">
        <v>10</v>
      </c>
      <c r="E4734" s="22"/>
      <c r="F4734" s="22">
        <f>C4734*E4734</f>
      </c>
    </row>
    <row r="4735">
      <c r="A4735" s="5" t="s">
        <v>1069</v>
      </c>
      <c r="B4735" s="13" t="s">
        <v>123</v>
      </c>
      <c r="C4735" s="22"/>
      <c r="D4735" s="22" t="s">
        <v>10</v>
      </c>
      <c r="E4735" s="22"/>
      <c r="F4735" s="22">
        <f>C4735*E4735</f>
      </c>
    </row>
    <row r="4736">
      <c r="A4736" s="3"/>
      <c r="B4736" s="11" t="s">
        <v>68</v>
      </c>
      <c r="C4736" s="20"/>
      <c r="D4736" s="20"/>
      <c r="E4736" s="20"/>
      <c r="F4736" s="20"/>
    </row>
    <row r="4737">
      <c r="A4737" s="5" t="s">
        <v>1070</v>
      </c>
      <c r="B4737" s="14" t="s">
        <v>1071</v>
      </c>
      <c r="C4737" s="22">
        <f>(1)*(1)*(1)*(1)*(1 + (0))</f>
      </c>
      <c r="D4737" s="22" t="s">
        <v>71</v>
      </c>
      <c r="E4737" s="22"/>
      <c r="F4737" s="22">
        <f>C4737*E4737</f>
      </c>
    </row>
    <row r="4738">
      <c r="A4738" s="5" t="s">
        <v>1072</v>
      </c>
      <c r="B4738" s="14" t="s">
        <v>798</v>
      </c>
      <c r="C4738" s="22">
        <f>(1)*(1)*(1)*(1)*(1 + (0))</f>
      </c>
      <c r="D4738" s="22" t="s">
        <v>71</v>
      </c>
      <c r="E4738" s="22"/>
      <c r="F4738" s="22">
        <f>C4738*E4738</f>
      </c>
    </row>
    <row r="4739">
      <c r="A4739" s="5" t="s">
        <v>1073</v>
      </c>
      <c r="B4739" s="14" t="s">
        <v>230</v>
      </c>
      <c r="C4739" s="22">
        <f>(1)*(1)*(1)*(1)*(1 + (0))</f>
      </c>
      <c r="D4739" s="22" t="s">
        <v>71</v>
      </c>
      <c r="E4739" s="22"/>
      <c r="F4739" s="22">
        <f>C4739*E4739</f>
      </c>
    </row>
    <row r="4740">
      <c r="A4740" s="5" t="s">
        <v>1074</v>
      </c>
      <c r="B4740" s="14" t="s">
        <v>1075</v>
      </c>
      <c r="C4740" s="22">
        <f>(1)*(1)*(1)*(1)*(1 + (0))</f>
      </c>
      <c r="D4740" s="22" t="s">
        <v>71</v>
      </c>
      <c r="E4740" s="22"/>
      <c r="F4740" s="22">
        <f>C4740*E4740</f>
      </c>
    </row>
    <row r="4741">
      <c r="A4741" s="5" t="s">
        <v>1076</v>
      </c>
      <c r="B4741" s="14" t="s">
        <v>904</v>
      </c>
      <c r="C4741" s="22">
        <f>(1)*(1)*(1)*(1)*(1 + (0))</f>
      </c>
      <c r="D4741" s="22" t="s">
        <v>71</v>
      </c>
      <c r="E4741" s="22"/>
      <c r="F4741" s="22">
        <f>C4741*E4741</f>
      </c>
    </row>
    <row r="4742">
      <c r="A4742" s="5" t="s">
        <v>1077</v>
      </c>
      <c r="B4742" s="14" t="s">
        <v>1078</v>
      </c>
      <c r="C4742" s="22">
        <f>(1)*(1)*(1)*(1)*(1 + (0))</f>
      </c>
      <c r="D4742" s="22" t="s">
        <v>71</v>
      </c>
      <c r="E4742" s="22"/>
      <c r="F4742" s="22">
        <f>C4742*E4742</f>
      </c>
    </row>
    <row r="4743">
      <c r="A4743" s="5" t="s">
        <v>1079</v>
      </c>
      <c r="B4743" s="14" t="s">
        <v>1080</v>
      </c>
      <c r="C4743" s="22">
        <f>(1)*(1)*(1)*(1)*(1 + (0))</f>
      </c>
      <c r="D4743" s="22" t="s">
        <v>71</v>
      </c>
      <c r="E4743" s="22"/>
      <c r="F4743" s="22">
        <f>C4743*E4743</f>
      </c>
    </row>
    <row r="4744">
      <c r="A4744" s="5" t="s">
        <v>1081</v>
      </c>
      <c r="B4744" s="14" t="s">
        <v>1082</v>
      </c>
      <c r="C4744" s="22">
        <f>(1)*(1)*(1)*(1)*(1 + (0))</f>
      </c>
      <c r="D4744" s="22" t="s">
        <v>71</v>
      </c>
      <c r="E4744" s="22"/>
      <c r="F4744" s="22">
        <f>C4744*E4744</f>
      </c>
    </row>
    <row r="4745">
      <c r="A4745" s="5" t="s">
        <v>1083</v>
      </c>
      <c r="B4745" s="14" t="s">
        <v>1084</v>
      </c>
      <c r="C4745" s="22">
        <f>(1)*(1)*(1)*(1)*(1 + (0))</f>
      </c>
      <c r="D4745" s="22" t="s">
        <v>71</v>
      </c>
      <c r="E4745" s="22"/>
      <c r="F4745" s="22">
        <f>C4745*E4745</f>
      </c>
    </row>
    <row r="4746">
      <c r="A4746" s="5" t="s">
        <v>1085</v>
      </c>
      <c r="B4746" s="14" t="s">
        <v>665</v>
      </c>
      <c r="C4746" s="22">
        <f>(1)*(1)*(1)*(1)*(1 + (0))</f>
      </c>
      <c r="D4746" s="22" t="s">
        <v>71</v>
      </c>
      <c r="E4746" s="22"/>
      <c r="F4746" s="22">
        <f>C4746*E4746</f>
      </c>
    </row>
    <row r="4747">
      <c r="A4747" s="3"/>
      <c r="B4747" s="11" t="s">
        <v>106</v>
      </c>
      <c r="C4747" s="20"/>
      <c r="D4747" s="20"/>
      <c r="E4747" s="20"/>
      <c r="F4747" s="20"/>
    </row>
    <row r="4748">
      <c r="A4748" s="5"/>
      <c r="B4748" s="14" t="s">
        <v>1086</v>
      </c>
      <c r="C4748" s="22"/>
      <c r="D4748" s="22" t="s">
        <v>10</v>
      </c>
      <c r="E4748" s="22"/>
      <c r="F4748" s="22">
        <f>C4748*E4748</f>
      </c>
    </row>
    <row r="4749">
      <c r="A4749" s="3"/>
      <c r="B4749" s="11" t="s">
        <v>1087</v>
      </c>
      <c r="C4749" s="20"/>
      <c r="D4749" s="20"/>
      <c r="E4749" s="20"/>
      <c r="F4749" s="20"/>
    </row>
    <row r="4750">
      <c r="A4750" s="4"/>
      <c r="B4750" s="12" t="s">
        <v>1088</v>
      </c>
      <c r="C4750" s="21"/>
      <c r="D4750" s="21"/>
      <c r="E4750" s="21"/>
      <c r="F4750" s="21"/>
    </row>
    <row r="4751">
      <c r="A4751" s="5"/>
      <c r="B4751" s="13" t="s">
        <v>1710</v>
      </c>
      <c r="C4751" s="22">
        <f>(46)*(1)*(1)*(1)*(1 + (0))</f>
      </c>
      <c r="D4751" s="22" t="s">
        <v>24</v>
      </c>
      <c r="E4751" s="22"/>
      <c r="F4751" s="22">
        <f>C4751*E4751</f>
      </c>
    </row>
    <row r="4752">
      <c r="A4752" s="3"/>
      <c r="B4752" s="11" t="s">
        <v>1089</v>
      </c>
      <c r="C4752" s="20"/>
      <c r="D4752" s="20"/>
      <c r="E4752" s="20"/>
      <c r="F4752" s="20"/>
    </row>
    <row r="4753">
      <c r="A4753" s="4"/>
      <c r="B4753" s="12" t="s">
        <v>1090</v>
      </c>
      <c r="C4753" s="21"/>
      <c r="D4753" s="21"/>
      <c r="E4753" s="21"/>
      <c r="F4753" s="21"/>
    </row>
    <row r="4754">
      <c r="A4754" s="5"/>
      <c r="B4754" s="13" t="s">
        <v>1710</v>
      </c>
      <c r="C4754" s="22">
        <f>(46)*(1)*(1)*(1)*(1 + (0))</f>
      </c>
      <c r="D4754" s="22" t="s">
        <v>24</v>
      </c>
      <c r="E4754" s="22"/>
      <c r="F4754" s="22">
        <f>C4754*E4754</f>
      </c>
    </row>
    <row r="4755">
      <c r="A4755" s="3"/>
      <c r="B4755" s="11" t="s">
        <v>1091</v>
      </c>
      <c r="C4755" s="20"/>
      <c r="D4755" s="20"/>
      <c r="E4755" s="20"/>
      <c r="F4755" s="20"/>
    </row>
    <row r="4756">
      <c r="A4756" s="4"/>
      <c r="B4756" s="12" t="s">
        <v>1092</v>
      </c>
      <c r="C4756" s="21"/>
      <c r="D4756" s="21"/>
      <c r="E4756" s="21"/>
      <c r="F4756" s="21"/>
    </row>
    <row r="4757">
      <c r="A4757" s="5"/>
      <c r="B4757" s="13" t="s">
        <v>1942</v>
      </c>
      <c r="C4757" s="22">
        <f>(175)*(1)*(1)*(1)*(1 + (0))</f>
      </c>
      <c r="D4757" s="22" t="s">
        <v>24</v>
      </c>
      <c r="E4757" s="22"/>
      <c r="F4757" s="22">
        <f>C4757*E4757</f>
      </c>
    </row>
    <row r="4758">
      <c r="A4758" s="3"/>
      <c r="B4758" s="11" t="s">
        <v>1093</v>
      </c>
      <c r="C4758" s="20"/>
      <c r="D4758" s="20"/>
      <c r="E4758" s="20"/>
      <c r="F4758" s="20"/>
    </row>
    <row r="4759">
      <c r="A4759" s="4"/>
      <c r="B4759" s="12" t="s">
        <v>1094</v>
      </c>
      <c r="C4759" s="21"/>
      <c r="D4759" s="21"/>
      <c r="E4759" s="21"/>
      <c r="F4759" s="21"/>
    </row>
    <row r="4760">
      <c r="A4760" s="5"/>
      <c r="B4760" s="13" t="s">
        <v>1942</v>
      </c>
      <c r="C4760" s="22">
        <f>(68)*(1)*(1)*(1)*(1 + (0))</f>
      </c>
      <c r="D4760" s="22" t="s">
        <v>153</v>
      </c>
      <c r="E4760" s="22"/>
      <c r="F4760" s="22">
        <f>C4760*E4760</f>
      </c>
    </row>
    <row r="4761">
      <c r="A4761" s="2"/>
      <c r="B4761" s="10" t="s">
        <v>1095</v>
      </c>
      <c r="C4761" s="19"/>
      <c r="D4761" s="19"/>
      <c r="E4761" s="19"/>
      <c r="F4761" s="19"/>
    </row>
    <row r="4762">
      <c r="A4762" s="3"/>
      <c r="B4762" s="11" t="s">
        <v>37</v>
      </c>
      <c r="C4762" s="20"/>
      <c r="D4762" s="20"/>
      <c r="E4762" s="20"/>
      <c r="F4762" s="20"/>
    </row>
    <row r="4763">
      <c r="A4763" s="5" t="s">
        <v>1055</v>
      </c>
      <c r="B4763" s="14" t="s">
        <v>39</v>
      </c>
      <c r="C4763" s="22"/>
      <c r="D4763" s="22" t="s">
        <v>10</v>
      </c>
      <c r="E4763" s="22"/>
      <c r="F4763" s="22">
        <f>C4763*E4763</f>
      </c>
    </row>
    <row r="4764">
      <c r="A4764" s="5" t="s">
        <v>1056</v>
      </c>
      <c r="B4764" s="14" t="s">
        <v>41</v>
      </c>
      <c r="C4764" s="22"/>
      <c r="D4764" s="22" t="s">
        <v>10</v>
      </c>
      <c r="E4764" s="22"/>
      <c r="F4764" s="22">
        <f>C4764*E4764</f>
      </c>
    </row>
    <row r="4765">
      <c r="A4765" s="3"/>
      <c r="B4765" s="11" t="s">
        <v>523</v>
      </c>
      <c r="C4765" s="20"/>
      <c r="D4765" s="20"/>
      <c r="E4765" s="20"/>
      <c r="F4765" s="20"/>
    </row>
    <row r="4766">
      <c r="A4766" s="5"/>
      <c r="B4766" s="14" t="s">
        <v>1096</v>
      </c>
      <c r="C4766" s="22"/>
      <c r="D4766" s="22" t="s">
        <v>10</v>
      </c>
      <c r="E4766" s="22"/>
      <c r="F4766" s="22">
        <f>C4766*E4766</f>
      </c>
    </row>
    <row r="4767">
      <c r="A4767" s="5"/>
      <c r="B4767" s="14" t="s">
        <v>1058</v>
      </c>
      <c r="C4767" s="22"/>
      <c r="D4767" s="22" t="s">
        <v>10</v>
      </c>
      <c r="E4767" s="22"/>
      <c r="F4767" s="22">
        <f>C4767*E4767</f>
      </c>
    </row>
    <row r="4768">
      <c r="A4768" s="5"/>
      <c r="B4768" s="14" t="s">
        <v>635</v>
      </c>
      <c r="C4768" s="22"/>
      <c r="D4768" s="22" t="s">
        <v>10</v>
      </c>
      <c r="E4768" s="22"/>
      <c r="F4768" s="22">
        <f>C4768*E4768</f>
      </c>
    </row>
    <row r="4769">
      <c r="A4769" s="3"/>
      <c r="B4769" s="11" t="s">
        <v>44</v>
      </c>
      <c r="C4769" s="20"/>
      <c r="D4769" s="20"/>
      <c r="E4769" s="20"/>
      <c r="F4769" s="20"/>
    </row>
    <row r="4770">
      <c r="A4770" s="4"/>
      <c r="B4770" s="12" t="s">
        <v>45</v>
      </c>
      <c r="C4770" s="21"/>
      <c r="D4770" s="21"/>
      <c r="E4770" s="21"/>
      <c r="F4770" s="21"/>
    </row>
    <row r="4771">
      <c r="A4771" s="5" t="s">
        <v>1097</v>
      </c>
      <c r="B4771" s="13" t="s">
        <v>1098</v>
      </c>
      <c r="C4771" s="22"/>
      <c r="D4771" s="22" t="s">
        <v>10</v>
      </c>
      <c r="E4771" s="22"/>
      <c r="F4771" s="22">
        <f>C4771*E4771</f>
      </c>
    </row>
    <row r="4772">
      <c r="A4772" s="5" t="s">
        <v>1099</v>
      </c>
      <c r="B4772" s="13" t="s">
        <v>1100</v>
      </c>
      <c r="C4772" s="22"/>
      <c r="D4772" s="22" t="s">
        <v>10</v>
      </c>
      <c r="E4772" s="22"/>
      <c r="F4772" s="22">
        <f>C4772*E4772</f>
      </c>
    </row>
    <row r="4773">
      <c r="A4773" s="5" t="s">
        <v>1101</v>
      </c>
      <c r="B4773" s="13" t="s">
        <v>123</v>
      </c>
      <c r="C4773" s="22"/>
      <c r="D4773" s="22" t="s">
        <v>10</v>
      </c>
      <c r="E4773" s="22"/>
      <c r="F4773" s="22">
        <f>C4773*E4773</f>
      </c>
    </row>
    <row r="4774">
      <c r="A4774" s="3"/>
      <c r="B4774" s="11" t="s">
        <v>68</v>
      </c>
      <c r="C4774" s="20"/>
      <c r="D4774" s="20"/>
      <c r="E4774" s="20"/>
      <c r="F4774" s="20"/>
    </row>
    <row r="4775">
      <c r="A4775" s="5" t="s">
        <v>1102</v>
      </c>
      <c r="B4775" s="14" t="s">
        <v>1103</v>
      </c>
      <c r="C4775" s="22">
        <f>(1)*(1)*(1)*(1)*(1 + (0))</f>
      </c>
      <c r="D4775" s="22" t="s">
        <v>71</v>
      </c>
      <c r="E4775" s="22"/>
      <c r="F4775" s="22">
        <f>C4775*E4775</f>
      </c>
    </row>
    <row r="4776">
      <c r="A4776" s="5" t="s">
        <v>1104</v>
      </c>
      <c r="B4776" s="14" t="s">
        <v>543</v>
      </c>
      <c r="C4776" s="22">
        <f>(1)*(1)*(1)*(1)*(1 + (0))</f>
      </c>
      <c r="D4776" s="22" t="s">
        <v>71</v>
      </c>
      <c r="E4776" s="22"/>
      <c r="F4776" s="22">
        <f>C4776*E4776</f>
      </c>
    </row>
    <row r="4777">
      <c r="A4777" s="5" t="s">
        <v>1105</v>
      </c>
      <c r="B4777" s="14" t="s">
        <v>810</v>
      </c>
      <c r="C4777" s="22">
        <f>(1)*(1)*(1)*(1)*(1 + (0))</f>
      </c>
      <c r="D4777" s="22" t="s">
        <v>71</v>
      </c>
      <c r="E4777" s="22"/>
      <c r="F4777" s="22">
        <f>C4777*E4777</f>
      </c>
    </row>
    <row r="4778">
      <c r="A4778" s="5" t="s">
        <v>1106</v>
      </c>
      <c r="B4778" s="14" t="s">
        <v>665</v>
      </c>
      <c r="C4778" s="22">
        <f>(1)*(1)*(1)*(1)*(1 + (0))</f>
      </c>
      <c r="D4778" s="22" t="s">
        <v>71</v>
      </c>
      <c r="E4778" s="22"/>
      <c r="F4778" s="22">
        <f>C4778*E4778</f>
      </c>
    </row>
    <row r="4779">
      <c r="A4779" s="3"/>
      <c r="B4779" s="11" t="s">
        <v>106</v>
      </c>
      <c r="C4779" s="20"/>
      <c r="D4779" s="20"/>
      <c r="E4779" s="20"/>
      <c r="F4779" s="20"/>
    </row>
    <row r="4780">
      <c r="A4780" s="5"/>
      <c r="B4780" s="14" t="s">
        <v>1107</v>
      </c>
      <c r="C4780" s="22"/>
      <c r="D4780" s="22" t="s">
        <v>10</v>
      </c>
      <c r="E4780" s="22"/>
      <c r="F4780" s="22">
        <f>C4780*E4780</f>
      </c>
    </row>
    <row r="4781">
      <c r="A4781" s="3"/>
      <c r="B4781" s="11" t="s">
        <v>1108</v>
      </c>
      <c r="C4781" s="20"/>
      <c r="D4781" s="20"/>
      <c r="E4781" s="20"/>
      <c r="F4781" s="20"/>
    </row>
    <row r="4782">
      <c r="A4782" s="4"/>
      <c r="B4782" s="12" t="s">
        <v>1109</v>
      </c>
      <c r="C4782" s="21"/>
      <c r="D4782" s="21"/>
      <c r="E4782" s="21"/>
      <c r="F4782" s="21"/>
    </row>
    <row r="4783">
      <c r="A4783" s="5"/>
      <c r="B4783" s="13" t="s">
        <v>1710</v>
      </c>
      <c r="C4783" s="22">
        <f>(13)*(1)*(1)*(1)*(1 + (0))</f>
      </c>
      <c r="D4783" s="22" t="s">
        <v>24</v>
      </c>
      <c r="E4783" s="22"/>
      <c r="F4783" s="22">
        <f>C4783*E4783</f>
      </c>
    </row>
    <row r="4784">
      <c r="A4784" s="3"/>
      <c r="B4784" s="11" t="s">
        <v>1116</v>
      </c>
      <c r="C4784" s="20"/>
      <c r="D4784" s="20"/>
      <c r="E4784" s="20"/>
      <c r="F4784" s="20"/>
    </row>
    <row r="4785">
      <c r="A4785" s="4"/>
      <c r="B4785" s="12" t="s">
        <v>1118</v>
      </c>
      <c r="C4785" s="21"/>
      <c r="D4785" s="21"/>
      <c r="E4785" s="21"/>
      <c r="F4785" s="21"/>
    </row>
    <row r="4786">
      <c r="A4786" s="5"/>
      <c r="B4786" s="13" t="s">
        <v>1710</v>
      </c>
      <c r="C4786" s="22">
        <f>(3)*(1)*(1)*(1)*(1 + (0))</f>
      </c>
      <c r="D4786" s="22" t="s">
        <v>153</v>
      </c>
      <c r="E4786" s="22"/>
      <c r="F4786" s="22">
        <f>C4786*E4786</f>
      </c>
    </row>
    <row r="4787">
      <c r="A4787" s="3"/>
      <c r="B4787" s="11" t="s">
        <v>1119</v>
      </c>
      <c r="C4787" s="20"/>
      <c r="D4787" s="20"/>
      <c r="E4787" s="20"/>
      <c r="F4787" s="20"/>
    </row>
    <row r="4788">
      <c r="A4788" s="5"/>
      <c r="B4788" s="14" t="s">
        <v>1122</v>
      </c>
      <c r="C4788" s="22">
        <f>(13)*(1)*(1)*(1)*(1 + (0))</f>
      </c>
      <c r="D4788" s="22" t="s">
        <v>24</v>
      </c>
      <c r="E4788" s="22"/>
      <c r="F4788" s="22">
        <f>C4788*E4788</f>
      </c>
    </row>
    <row r="4789">
      <c r="A4789" s="2"/>
      <c r="B4789" s="10" t="s">
        <v>1123</v>
      </c>
      <c r="C4789" s="19"/>
      <c r="D4789" s="19"/>
      <c r="E4789" s="19"/>
      <c r="F4789" s="19"/>
    </row>
    <row r="4790">
      <c r="A4790" s="3"/>
      <c r="B4790" s="11" t="s">
        <v>37</v>
      </c>
      <c r="C4790" s="20"/>
      <c r="D4790" s="20"/>
      <c r="E4790" s="20"/>
      <c r="F4790" s="20"/>
    </row>
    <row r="4791">
      <c r="A4791" s="5" t="s">
        <v>1124</v>
      </c>
      <c r="B4791" s="14" t="s">
        <v>39</v>
      </c>
      <c r="C4791" s="22"/>
      <c r="D4791" s="22" t="s">
        <v>10</v>
      </c>
      <c r="E4791" s="22"/>
      <c r="F4791" s="22">
        <f>C4791*E4791</f>
      </c>
    </row>
    <row r="4792">
      <c r="A4792" s="5" t="s">
        <v>1125</v>
      </c>
      <c r="B4792" s="14" t="s">
        <v>41</v>
      </c>
      <c r="C4792" s="22"/>
      <c r="D4792" s="22" t="s">
        <v>10</v>
      </c>
      <c r="E4792" s="22"/>
      <c r="F4792" s="22">
        <f>C4792*E4792</f>
      </c>
    </row>
    <row r="4793">
      <c r="A4793" s="3"/>
      <c r="B4793" s="11" t="s">
        <v>523</v>
      </c>
      <c r="C4793" s="20"/>
      <c r="D4793" s="20"/>
      <c r="E4793" s="20"/>
      <c r="F4793" s="20"/>
    </row>
    <row r="4794">
      <c r="A4794" s="5"/>
      <c r="B4794" s="14" t="s">
        <v>1126</v>
      </c>
      <c r="C4794" s="22"/>
      <c r="D4794" s="22" t="s">
        <v>10</v>
      </c>
      <c r="E4794" s="22"/>
      <c r="F4794" s="22">
        <f>C4794*E4794</f>
      </c>
    </row>
    <row r="4795">
      <c r="A4795" s="5"/>
      <c r="B4795" s="14" t="s">
        <v>1058</v>
      </c>
      <c r="C4795" s="22"/>
      <c r="D4795" s="22" t="s">
        <v>10</v>
      </c>
      <c r="E4795" s="22"/>
      <c r="F4795" s="22">
        <f>C4795*E4795</f>
      </c>
    </row>
    <row r="4796">
      <c r="A4796" s="5"/>
      <c r="B4796" s="14" t="s">
        <v>635</v>
      </c>
      <c r="C4796" s="22"/>
      <c r="D4796" s="22" t="s">
        <v>10</v>
      </c>
      <c r="E4796" s="22"/>
      <c r="F4796" s="22">
        <f>C4796*E4796</f>
      </c>
    </row>
    <row r="4797">
      <c r="A4797" s="3"/>
      <c r="B4797" s="11" t="s">
        <v>44</v>
      </c>
      <c r="C4797" s="20"/>
      <c r="D4797" s="20"/>
      <c r="E4797" s="20"/>
      <c r="F4797" s="20"/>
    </row>
    <row r="4798">
      <c r="A4798" s="4"/>
      <c r="B4798" s="12" t="s">
        <v>45</v>
      </c>
      <c r="C4798" s="21"/>
      <c r="D4798" s="21"/>
      <c r="E4798" s="21"/>
      <c r="F4798" s="21"/>
    </row>
    <row r="4799">
      <c r="A4799" s="5" t="s">
        <v>1097</v>
      </c>
      <c r="B4799" s="13" t="s">
        <v>1098</v>
      </c>
      <c r="C4799" s="22"/>
      <c r="D4799" s="22" t="s">
        <v>10</v>
      </c>
      <c r="E4799" s="22"/>
      <c r="F4799" s="22">
        <f>C4799*E4799</f>
      </c>
    </row>
    <row r="4800">
      <c r="A4800" s="5" t="s">
        <v>1099</v>
      </c>
      <c r="B4800" s="13" t="s">
        <v>1100</v>
      </c>
      <c r="C4800" s="22"/>
      <c r="D4800" s="22" t="s">
        <v>10</v>
      </c>
      <c r="E4800" s="22"/>
      <c r="F4800" s="22">
        <f>C4800*E4800</f>
      </c>
    </row>
    <row r="4801">
      <c r="A4801" s="5" t="s">
        <v>1101</v>
      </c>
      <c r="B4801" s="13" t="s">
        <v>123</v>
      </c>
      <c r="C4801" s="22"/>
      <c r="D4801" s="22" t="s">
        <v>10</v>
      </c>
      <c r="E4801" s="22"/>
      <c r="F4801" s="22">
        <f>C4801*E4801</f>
      </c>
    </row>
    <row r="4802">
      <c r="A4802" s="3"/>
      <c r="B4802" s="11" t="s">
        <v>68</v>
      </c>
      <c r="C4802" s="20"/>
      <c r="D4802" s="20"/>
      <c r="E4802" s="20"/>
      <c r="F4802" s="20"/>
    </row>
    <row r="4803">
      <c r="A4803" s="5" t="s">
        <v>1127</v>
      </c>
      <c r="B4803" s="14" t="s">
        <v>1071</v>
      </c>
      <c r="C4803" s="22">
        <f>(1)*(1)*(1)*(1)*(1 + (0))</f>
      </c>
      <c r="D4803" s="22" t="s">
        <v>71</v>
      </c>
      <c r="E4803" s="22"/>
      <c r="F4803" s="22">
        <f>C4803*E4803</f>
      </c>
    </row>
    <row r="4804">
      <c r="A4804" s="5" t="s">
        <v>1128</v>
      </c>
      <c r="B4804" s="14" t="s">
        <v>798</v>
      </c>
      <c r="C4804" s="22">
        <f>(1)*(1)*(1)*(1)*(1 + (0))</f>
      </c>
      <c r="D4804" s="22" t="s">
        <v>71</v>
      </c>
      <c r="E4804" s="22"/>
      <c r="F4804" s="22">
        <f>C4804*E4804</f>
      </c>
    </row>
    <row r="4805">
      <c r="A4805" s="5" t="s">
        <v>1129</v>
      </c>
      <c r="B4805" s="14" t="s">
        <v>812</v>
      </c>
      <c r="C4805" s="22">
        <f>(1)*(1)*(1)*(1)*(1 + (0))</f>
      </c>
      <c r="D4805" s="22" t="s">
        <v>71</v>
      </c>
      <c r="E4805" s="22"/>
      <c r="F4805" s="22">
        <f>C4805*E4805</f>
      </c>
    </row>
    <row r="4806">
      <c r="A4806" s="5" t="s">
        <v>1130</v>
      </c>
      <c r="B4806" s="14" t="s">
        <v>810</v>
      </c>
      <c r="C4806" s="22">
        <f>(1)*(1)*(1)*(1)*(1 + (0))</f>
      </c>
      <c r="D4806" s="22" t="s">
        <v>71</v>
      </c>
      <c r="E4806" s="22"/>
      <c r="F4806" s="22">
        <f>C4806*E4806</f>
      </c>
    </row>
    <row r="4807">
      <c r="A4807" s="5" t="s">
        <v>1131</v>
      </c>
      <c r="B4807" s="14" t="s">
        <v>230</v>
      </c>
      <c r="C4807" s="22">
        <f>(1)*(1)*(1)*(1)*(1 + (0))</f>
      </c>
      <c r="D4807" s="22" t="s">
        <v>71</v>
      </c>
      <c r="E4807" s="22"/>
      <c r="F4807" s="22">
        <f>C4807*E4807</f>
      </c>
    </row>
    <row r="4808">
      <c r="A4808" s="5" t="s">
        <v>1132</v>
      </c>
      <c r="B4808" s="14" t="s">
        <v>800</v>
      </c>
      <c r="C4808" s="22">
        <f>(1)*(1)*(1)*(1)*(1 + (0))</f>
      </c>
      <c r="D4808" s="22" t="s">
        <v>71</v>
      </c>
      <c r="E4808" s="22"/>
      <c r="F4808" s="22">
        <f>C4808*E4808</f>
      </c>
    </row>
    <row r="4809">
      <c r="A4809" s="5" t="s">
        <v>1133</v>
      </c>
      <c r="B4809" s="14" t="s">
        <v>70</v>
      </c>
      <c r="C4809" s="22">
        <f>(1)*(1)*(1)*(1)*(1 + (0))</f>
      </c>
      <c r="D4809" s="22" t="s">
        <v>71</v>
      </c>
      <c r="E4809" s="22"/>
      <c r="F4809" s="22">
        <f>C4809*E4809</f>
      </c>
    </row>
    <row r="4810">
      <c r="A4810" s="5" t="s">
        <v>1134</v>
      </c>
      <c r="B4810" s="14" t="s">
        <v>1135</v>
      </c>
      <c r="C4810" s="22">
        <f>(1)*(1)*(1)*(1)*(1 + (0))</f>
      </c>
      <c r="D4810" s="22" t="s">
        <v>71</v>
      </c>
      <c r="E4810" s="22"/>
      <c r="F4810" s="22">
        <f>C4810*E4810</f>
      </c>
    </row>
    <row r="4811">
      <c r="A4811" s="5" t="s">
        <v>1136</v>
      </c>
      <c r="B4811" s="14" t="s">
        <v>667</v>
      </c>
      <c r="C4811" s="22">
        <f>(1)*(1)*(1)*(1)*(1 + (0))</f>
      </c>
      <c r="D4811" s="22" t="s">
        <v>71</v>
      </c>
      <c r="E4811" s="22"/>
      <c r="F4811" s="22">
        <f>C4811*E4811</f>
      </c>
    </row>
    <row r="4812">
      <c r="A4812" s="5" t="s">
        <v>1137</v>
      </c>
      <c r="B4812" s="14" t="s">
        <v>665</v>
      </c>
      <c r="C4812" s="22">
        <f>(1)*(1)*(1)*(1)*(1 + (0))</f>
      </c>
      <c r="D4812" s="22" t="s">
        <v>71</v>
      </c>
      <c r="E4812" s="22"/>
      <c r="F4812" s="22">
        <f>C4812*E4812</f>
      </c>
    </row>
    <row r="4813">
      <c r="A4813" s="3"/>
      <c r="B4813" s="11" t="s">
        <v>106</v>
      </c>
      <c r="C4813" s="20"/>
      <c r="D4813" s="20"/>
      <c r="E4813" s="20"/>
      <c r="F4813" s="20"/>
    </row>
    <row r="4814">
      <c r="A4814" s="5"/>
      <c r="B4814" s="14" t="s">
        <v>1107</v>
      </c>
      <c r="C4814" s="22"/>
      <c r="D4814" s="22" t="s">
        <v>10</v>
      </c>
      <c r="E4814" s="22"/>
      <c r="F4814" s="22">
        <f>C4814*E4814</f>
      </c>
    </row>
    <row r="4815">
      <c r="A4815" s="3"/>
      <c r="B4815" s="11" t="s">
        <v>1139</v>
      </c>
      <c r="C4815" s="20"/>
      <c r="D4815" s="20"/>
      <c r="E4815" s="20"/>
      <c r="F4815" s="20"/>
    </row>
    <row r="4816">
      <c r="A4816" s="4"/>
      <c r="B4816" s="12" t="s">
        <v>1140</v>
      </c>
      <c r="C4816" s="21"/>
      <c r="D4816" s="21"/>
      <c r="E4816" s="21"/>
      <c r="F4816" s="21"/>
    </row>
    <row r="4817">
      <c r="A4817" s="5"/>
      <c r="B4817" s="13" t="s">
        <v>1710</v>
      </c>
      <c r="C4817" s="22">
        <f>(127)*(1)*(1)*(1)*(1 + (0))</f>
      </c>
      <c r="D4817" s="22" t="s">
        <v>24</v>
      </c>
      <c r="E4817" s="22"/>
      <c r="F4817" s="22">
        <f>C4817*E4817</f>
      </c>
    </row>
    <row r="4818">
      <c r="A4818" s="4"/>
      <c r="B4818" s="12" t="s">
        <v>1142</v>
      </c>
      <c r="C4818" s="21"/>
      <c r="D4818" s="21"/>
      <c r="E4818" s="21"/>
      <c r="F4818" s="21"/>
    </row>
    <row r="4819">
      <c r="A4819" s="5"/>
      <c r="B4819" s="13" t="s">
        <v>1710</v>
      </c>
      <c r="C4819" s="22">
        <f>(31)*(1)*(1)*(1)*(1 + (0))</f>
      </c>
      <c r="D4819" s="22" t="s">
        <v>24</v>
      </c>
      <c r="E4819" s="22"/>
      <c r="F4819" s="22">
        <f>C4819*E4819</f>
      </c>
    </row>
    <row r="4820">
      <c r="A4820" s="4"/>
      <c r="B4820" s="12" t="s">
        <v>1143</v>
      </c>
      <c r="C4820" s="21"/>
      <c r="D4820" s="21"/>
      <c r="E4820" s="21"/>
      <c r="F4820" s="21"/>
    </row>
    <row r="4821">
      <c r="A4821" s="5"/>
      <c r="B4821" s="13" t="s">
        <v>1710</v>
      </c>
      <c r="C4821" s="22">
        <f>(14)*(1)*(1)*(1)*(1 + (0))</f>
      </c>
      <c r="D4821" s="22" t="s">
        <v>24</v>
      </c>
      <c r="E4821" s="22"/>
      <c r="F4821" s="22">
        <f>C4821*E4821</f>
      </c>
    </row>
    <row r="4822">
      <c r="A4822" s="4"/>
      <c r="B4822" s="12" t="s">
        <v>2036</v>
      </c>
      <c r="C4822" s="21"/>
      <c r="D4822" s="21"/>
      <c r="E4822" s="21"/>
      <c r="F4822" s="21"/>
    </row>
    <row r="4823">
      <c r="A4823" s="5"/>
      <c r="B4823" s="13" t="s">
        <v>1710</v>
      </c>
      <c r="C4823" s="22">
        <f>(64)*(1)*(1)*(1)*(1 + (0))</f>
      </c>
      <c r="D4823" s="22" t="s">
        <v>24</v>
      </c>
      <c r="E4823" s="22"/>
      <c r="F4823" s="22">
        <f>C4823*E4823</f>
      </c>
    </row>
    <row r="4824">
      <c r="A4824" s="3"/>
      <c r="B4824" s="11" t="s">
        <v>1116</v>
      </c>
      <c r="C4824" s="20"/>
      <c r="D4824" s="20"/>
      <c r="E4824" s="20"/>
      <c r="F4824" s="20"/>
    </row>
    <row r="4825">
      <c r="A4825" s="4"/>
      <c r="B4825" s="12" t="s">
        <v>1146</v>
      </c>
      <c r="C4825" s="21"/>
      <c r="D4825" s="21"/>
      <c r="E4825" s="21"/>
      <c r="F4825" s="21"/>
    </row>
    <row r="4826">
      <c r="A4826" s="5"/>
      <c r="B4826" s="13" t="s">
        <v>1710</v>
      </c>
      <c r="C4826" s="22">
        <f>(5)*(1)*(1)*(1)*(1 + (0))</f>
      </c>
      <c r="D4826" s="22" t="s">
        <v>153</v>
      </c>
      <c r="E4826" s="22"/>
      <c r="F4826" s="22">
        <f>C4826*E4826</f>
      </c>
    </row>
    <row r="4827">
      <c r="A4827" s="3"/>
      <c r="B4827" s="11" t="s">
        <v>1119</v>
      </c>
      <c r="C4827" s="20"/>
      <c r="D4827" s="20"/>
      <c r="E4827" s="20"/>
      <c r="F4827" s="20"/>
    </row>
    <row r="4828">
      <c r="A4828" s="5"/>
      <c r="B4828" s="14" t="s">
        <v>1148</v>
      </c>
      <c r="C4828" s="22">
        <f>(235)*(1)*(1)*(1)*(1 + (0))</f>
      </c>
      <c r="D4828" s="22" t="s">
        <v>24</v>
      </c>
      <c r="E4828" s="22"/>
      <c r="F4828" s="22">
        <f>C4828*E4828</f>
      </c>
    </row>
    <row r="4829">
      <c r="A4829" s="5"/>
      <c r="B4829" s="14" t="s">
        <v>1149</v>
      </c>
      <c r="C4829" s="22">
        <f>(235)*(1)*(1)*(1)*(1 + (0))</f>
      </c>
      <c r="D4829" s="22" t="s">
        <v>24</v>
      </c>
      <c r="E4829" s="22"/>
      <c r="F4829" s="22">
        <f>C4829*E4829</f>
      </c>
    </row>
    <row r="4830">
      <c r="A4830" s="2"/>
      <c r="B4830" s="10" t="s">
        <v>1150</v>
      </c>
      <c r="C4830" s="19"/>
      <c r="D4830" s="19"/>
      <c r="E4830" s="19"/>
      <c r="F4830" s="19"/>
    </row>
    <row r="4831">
      <c r="A4831" s="3"/>
      <c r="B4831" s="11" t="s">
        <v>37</v>
      </c>
      <c r="C4831" s="20"/>
      <c r="D4831" s="20"/>
      <c r="E4831" s="20"/>
      <c r="F4831" s="20"/>
    </row>
    <row r="4832">
      <c r="A4832" s="5" t="s">
        <v>1153</v>
      </c>
      <c r="B4832" s="14" t="s">
        <v>39</v>
      </c>
      <c r="C4832" s="22"/>
      <c r="D4832" s="22" t="s">
        <v>10</v>
      </c>
      <c r="E4832" s="22"/>
      <c r="F4832" s="22">
        <f>C4832*E4832</f>
      </c>
    </row>
    <row r="4833">
      <c r="A4833" s="5" t="s">
        <v>1154</v>
      </c>
      <c r="B4833" s="14" t="s">
        <v>41</v>
      </c>
      <c r="C4833" s="22"/>
      <c r="D4833" s="22" t="s">
        <v>10</v>
      </c>
      <c r="E4833" s="22"/>
      <c r="F4833" s="22">
        <f>C4833*E4833</f>
      </c>
    </row>
    <row r="4834">
      <c r="A4834" s="3"/>
      <c r="B4834" s="11" t="s">
        <v>523</v>
      </c>
      <c r="C4834" s="20"/>
      <c r="D4834" s="20"/>
      <c r="E4834" s="20"/>
      <c r="F4834" s="20"/>
    </row>
    <row r="4835">
      <c r="A4835" s="5"/>
      <c r="B4835" s="14" t="s">
        <v>2037</v>
      </c>
      <c r="C4835" s="22"/>
      <c r="D4835" s="22" t="s">
        <v>10</v>
      </c>
      <c r="E4835" s="22"/>
      <c r="F4835" s="22">
        <f>C4835*E4835</f>
      </c>
    </row>
    <row r="4836">
      <c r="A4836" s="5"/>
      <c r="B4836" s="14" t="s">
        <v>1058</v>
      </c>
      <c r="C4836" s="22"/>
      <c r="D4836" s="22" t="s">
        <v>10</v>
      </c>
      <c r="E4836" s="22"/>
      <c r="F4836" s="22">
        <f>C4836*E4836</f>
      </c>
    </row>
    <row r="4837">
      <c r="A4837" s="5"/>
      <c r="B4837" s="14" t="s">
        <v>635</v>
      </c>
      <c r="C4837" s="22"/>
      <c r="D4837" s="22" t="s">
        <v>10</v>
      </c>
      <c r="E4837" s="22"/>
      <c r="F4837" s="22">
        <f>C4837*E4837</f>
      </c>
    </row>
    <row r="4838">
      <c r="A4838" s="3"/>
      <c r="B4838" s="11" t="s">
        <v>44</v>
      </c>
      <c r="C4838" s="20"/>
      <c r="D4838" s="20"/>
      <c r="E4838" s="20"/>
      <c r="F4838" s="20"/>
    </row>
    <row r="4839">
      <c r="A4839" s="4"/>
      <c r="B4839" s="12" t="s">
        <v>45</v>
      </c>
      <c r="C4839" s="21"/>
      <c r="D4839" s="21"/>
      <c r="E4839" s="21"/>
      <c r="F4839" s="21"/>
    </row>
    <row r="4840">
      <c r="A4840" s="5" t="s">
        <v>1158</v>
      </c>
      <c r="B4840" s="13" t="s">
        <v>898</v>
      </c>
      <c r="C4840" s="22"/>
      <c r="D4840" s="22" t="s">
        <v>10</v>
      </c>
      <c r="E4840" s="22"/>
      <c r="F4840" s="22">
        <f>C4840*E4840</f>
      </c>
    </row>
    <row r="4841">
      <c r="A4841" s="5" t="s">
        <v>1159</v>
      </c>
      <c r="B4841" s="13" t="s">
        <v>899</v>
      </c>
      <c r="C4841" s="22"/>
      <c r="D4841" s="22" t="s">
        <v>10</v>
      </c>
      <c r="E4841" s="22"/>
      <c r="F4841" s="22">
        <f>C4841*E4841</f>
      </c>
    </row>
    <row r="4842">
      <c r="A4842" s="5" t="s">
        <v>1160</v>
      </c>
      <c r="B4842" s="13" t="s">
        <v>767</v>
      </c>
      <c r="C4842" s="22"/>
      <c r="D4842" s="22" t="s">
        <v>10</v>
      </c>
      <c r="E4842" s="22"/>
      <c r="F4842" s="22">
        <f>C4842*E4842</f>
      </c>
    </row>
    <row r="4843">
      <c r="A4843" s="5" t="s">
        <v>1161</v>
      </c>
      <c r="B4843" s="13" t="s">
        <v>1162</v>
      </c>
      <c r="C4843" s="22"/>
      <c r="D4843" s="22" t="s">
        <v>10</v>
      </c>
      <c r="E4843" s="22"/>
      <c r="F4843" s="22">
        <f>C4843*E4843</f>
      </c>
    </row>
    <row r="4844">
      <c r="A4844" s="5" t="s">
        <v>1163</v>
      </c>
      <c r="B4844" s="13" t="s">
        <v>1164</v>
      </c>
      <c r="C4844" s="22"/>
      <c r="D4844" s="22" t="s">
        <v>10</v>
      </c>
      <c r="E4844" s="22"/>
      <c r="F4844" s="22">
        <f>C4844*E4844</f>
      </c>
    </row>
    <row r="4845">
      <c r="A4845" s="5" t="s">
        <v>1165</v>
      </c>
      <c r="B4845" s="13" t="s">
        <v>123</v>
      </c>
      <c r="C4845" s="22"/>
      <c r="D4845" s="22" t="s">
        <v>10</v>
      </c>
      <c r="E4845" s="22"/>
      <c r="F4845" s="22">
        <f>C4845*E4845</f>
      </c>
    </row>
    <row r="4846">
      <c r="A4846" s="3"/>
      <c r="B4846" s="11" t="s">
        <v>68</v>
      </c>
      <c r="C4846" s="20"/>
      <c r="D4846" s="20"/>
      <c r="E4846" s="20"/>
      <c r="F4846" s="20"/>
    </row>
    <row r="4847">
      <c r="A4847" s="5" t="s">
        <v>1166</v>
      </c>
      <c r="B4847" s="14" t="s">
        <v>70</v>
      </c>
      <c r="C4847" s="22">
        <f>(1)*(1)*(1)*(1)*(1 + (0))</f>
      </c>
      <c r="D4847" s="22" t="s">
        <v>71</v>
      </c>
      <c r="E4847" s="22"/>
      <c r="F4847" s="22">
        <f>C4847*E4847</f>
      </c>
    </row>
    <row r="4848">
      <c r="A4848" s="5" t="s">
        <v>1167</v>
      </c>
      <c r="B4848" s="14" t="s">
        <v>1022</v>
      </c>
      <c r="C4848" s="22">
        <f>(1)*(1)*(1)*(1)*(1 + (0))</f>
      </c>
      <c r="D4848" s="22" t="s">
        <v>71</v>
      </c>
      <c r="E4848" s="22"/>
      <c r="F4848" s="22">
        <f>C4848*E4848</f>
      </c>
    </row>
    <row r="4849">
      <c r="A4849" s="5" t="s">
        <v>1168</v>
      </c>
      <c r="B4849" s="14" t="s">
        <v>1169</v>
      </c>
      <c r="C4849" s="22">
        <f>(1)*(1)*(1)*(1)*(1 + (0))</f>
      </c>
      <c r="D4849" s="22" t="s">
        <v>71</v>
      </c>
      <c r="E4849" s="22"/>
      <c r="F4849" s="22">
        <f>C4849*E4849</f>
      </c>
    </row>
    <row r="4850">
      <c r="A4850" s="5" t="s">
        <v>1170</v>
      </c>
      <c r="B4850" s="14" t="s">
        <v>1071</v>
      </c>
      <c r="C4850" s="22">
        <f>(1)*(1)*(1)*(1)*(1 + (0))</f>
      </c>
      <c r="D4850" s="22" t="s">
        <v>71</v>
      </c>
      <c r="E4850" s="22"/>
      <c r="F4850" s="22">
        <f>C4850*E4850</f>
      </c>
    </row>
    <row r="4851">
      <c r="A4851" s="5" t="s">
        <v>1171</v>
      </c>
      <c r="B4851" s="14" t="s">
        <v>798</v>
      </c>
      <c r="C4851" s="22">
        <f>(1)*(1)*(1)*(1)*(1 + (0))</f>
      </c>
      <c r="D4851" s="22" t="s">
        <v>71</v>
      </c>
      <c r="E4851" s="22"/>
      <c r="F4851" s="22">
        <f>C4851*E4851</f>
      </c>
    </row>
    <row r="4852">
      <c r="A4852" s="5" t="s">
        <v>1172</v>
      </c>
      <c r="B4852" s="14" t="s">
        <v>665</v>
      </c>
      <c r="C4852" s="22">
        <f>(1)*(1)*(1)*(1)*(1 + (0))</f>
      </c>
      <c r="D4852" s="22" t="s">
        <v>71</v>
      </c>
      <c r="E4852" s="22"/>
      <c r="F4852" s="22">
        <f>C4852*E4852</f>
      </c>
    </row>
    <row r="4853">
      <c r="A4853" s="3"/>
      <c r="B4853" s="11" t="s">
        <v>106</v>
      </c>
      <c r="C4853" s="20"/>
      <c r="D4853" s="20"/>
      <c r="E4853" s="20"/>
      <c r="F4853" s="20"/>
    </row>
    <row r="4854">
      <c r="A4854" s="5"/>
      <c r="B4854" s="14" t="s">
        <v>2038</v>
      </c>
      <c r="C4854" s="22"/>
      <c r="D4854" s="22" t="s">
        <v>10</v>
      </c>
      <c r="E4854" s="22"/>
      <c r="F4854" s="22">
        <f>C4854*E4854</f>
      </c>
    </row>
    <row r="4855">
      <c r="A4855" s="3"/>
      <c r="B4855" s="11" t="s">
        <v>2039</v>
      </c>
      <c r="C4855" s="20"/>
      <c r="D4855" s="20"/>
      <c r="E4855" s="20"/>
      <c r="F4855" s="20"/>
    </row>
    <row r="4856">
      <c r="A4856" s="4"/>
      <c r="B4856" s="12" t="s">
        <v>2040</v>
      </c>
      <c r="C4856" s="21"/>
      <c r="D4856" s="21"/>
      <c r="E4856" s="21"/>
      <c r="F4856" s="21"/>
    </row>
    <row r="4857">
      <c r="A4857" s="5"/>
      <c r="B4857" s="13" t="s">
        <v>1710</v>
      </c>
      <c r="C4857" s="22">
        <f>(10)*(1)*(1)*(1)*(1 + (0))</f>
      </c>
      <c r="D4857" s="22" t="s">
        <v>24</v>
      </c>
      <c r="E4857" s="22"/>
      <c r="F4857" s="22">
        <f>C4857*E4857</f>
      </c>
    </row>
    <row r="4858">
      <c r="A4858" s="4"/>
      <c r="B4858" s="12" t="s">
        <v>2041</v>
      </c>
      <c r="C4858" s="21"/>
      <c r="D4858" s="21"/>
      <c r="E4858" s="21"/>
      <c r="F4858" s="21"/>
    </row>
    <row r="4859">
      <c r="A4859" s="5"/>
      <c r="B4859" s="13" t="s">
        <v>1710</v>
      </c>
      <c r="C4859" s="22">
        <f>(52)*(1)*(1)*(1)*(1 + (0))</f>
      </c>
      <c r="D4859" s="22" t="s">
        <v>24</v>
      </c>
      <c r="E4859" s="22"/>
      <c r="F4859" s="22">
        <f>C4859*E4859</f>
      </c>
    </row>
    <row r="4860">
      <c r="A4860" s="4"/>
      <c r="B4860" s="12" t="s">
        <v>2042</v>
      </c>
      <c r="C4860" s="21"/>
      <c r="D4860" s="21"/>
      <c r="E4860" s="21"/>
      <c r="F4860" s="21"/>
    </row>
    <row r="4861">
      <c r="A4861" s="5"/>
      <c r="B4861" s="13" t="s">
        <v>1710</v>
      </c>
      <c r="C4861" s="22">
        <f>(308)*(1)*(1)*(1)*(1 + (0))</f>
      </c>
      <c r="D4861" s="22" t="s">
        <v>24</v>
      </c>
      <c r="E4861" s="22"/>
      <c r="F4861" s="22">
        <f>C4861*E4861</f>
      </c>
    </row>
    <row r="4862">
      <c r="A4862" s="3"/>
      <c r="B4862" s="11" t="s">
        <v>1116</v>
      </c>
      <c r="C4862" s="20"/>
      <c r="D4862" s="20"/>
      <c r="E4862" s="20"/>
      <c r="F4862" s="20"/>
    </row>
    <row r="4863">
      <c r="A4863" s="4"/>
      <c r="B4863" s="12" t="s">
        <v>2043</v>
      </c>
      <c r="C4863" s="21"/>
      <c r="D4863" s="21"/>
      <c r="E4863" s="21"/>
      <c r="F4863" s="21"/>
    </row>
    <row r="4864">
      <c r="A4864" s="5"/>
      <c r="B4864" s="13" t="s">
        <v>1710</v>
      </c>
      <c r="C4864" s="22">
        <f>(7)*(1)*(1)*(1)*(1 + (0))</f>
      </c>
      <c r="D4864" s="22" t="s">
        <v>153</v>
      </c>
      <c r="E4864" s="22"/>
      <c r="F4864" s="22">
        <f>C4864*E4864</f>
      </c>
    </row>
    <row r="4865">
      <c r="A4865" s="2"/>
      <c r="B4865" s="10" t="s">
        <v>1151</v>
      </c>
      <c r="C4865" s="19"/>
      <c r="D4865" s="19"/>
      <c r="E4865" s="19"/>
      <c r="F4865" s="19"/>
    </row>
    <row r="4866">
      <c r="A4866" s="3"/>
      <c r="B4866" s="11" t="s">
        <v>37</v>
      </c>
      <c r="C4866" s="20"/>
      <c r="D4866" s="20"/>
      <c r="E4866" s="20"/>
      <c r="F4866" s="20"/>
    </row>
    <row r="4867">
      <c r="A4867" s="5" t="s">
        <v>1753</v>
      </c>
      <c r="B4867" s="14" t="s">
        <v>39</v>
      </c>
      <c r="C4867" s="22"/>
      <c r="D4867" s="22" t="s">
        <v>10</v>
      </c>
      <c r="E4867" s="22"/>
      <c r="F4867" s="22">
        <f>C4867*E4867</f>
      </c>
    </row>
    <row r="4868">
      <c r="A4868" s="5" t="s">
        <v>1754</v>
      </c>
      <c r="B4868" s="14" t="s">
        <v>41</v>
      </c>
      <c r="C4868" s="22"/>
      <c r="D4868" s="22" t="s">
        <v>10</v>
      </c>
      <c r="E4868" s="22"/>
      <c r="F4868" s="22">
        <f>C4868*E4868</f>
      </c>
    </row>
    <row r="4869">
      <c r="A4869" s="3"/>
      <c r="B4869" s="11" t="s">
        <v>44</v>
      </c>
      <c r="C4869" s="20"/>
      <c r="D4869" s="20"/>
      <c r="E4869" s="20"/>
      <c r="F4869" s="20"/>
    </row>
    <row r="4870">
      <c r="A4870" s="4"/>
      <c r="B4870" s="12" t="s">
        <v>45</v>
      </c>
      <c r="C4870" s="21"/>
      <c r="D4870" s="21"/>
      <c r="E4870" s="21"/>
      <c r="F4870" s="21"/>
    </row>
    <row r="4871">
      <c r="A4871" s="5" t="s">
        <v>1755</v>
      </c>
      <c r="B4871" s="13" t="s">
        <v>898</v>
      </c>
      <c r="C4871" s="22"/>
      <c r="D4871" s="22" t="s">
        <v>10</v>
      </c>
      <c r="E4871" s="22"/>
      <c r="F4871" s="22">
        <f>C4871*E4871</f>
      </c>
    </row>
    <row r="4872">
      <c r="A4872" s="5" t="s">
        <v>1756</v>
      </c>
      <c r="B4872" s="13" t="s">
        <v>899</v>
      </c>
      <c r="C4872" s="22"/>
      <c r="D4872" s="22" t="s">
        <v>10</v>
      </c>
      <c r="E4872" s="22"/>
      <c r="F4872" s="22">
        <f>C4872*E4872</f>
      </c>
    </row>
    <row r="4873">
      <c r="A4873" s="5" t="s">
        <v>1757</v>
      </c>
      <c r="B4873" s="13" t="s">
        <v>767</v>
      </c>
      <c r="C4873" s="22"/>
      <c r="D4873" s="22" t="s">
        <v>10</v>
      </c>
      <c r="E4873" s="22"/>
      <c r="F4873" s="22">
        <f>C4873*E4873</f>
      </c>
    </row>
    <row r="4874">
      <c r="A4874" s="5" t="s">
        <v>1758</v>
      </c>
      <c r="B4874" s="13" t="s">
        <v>1162</v>
      </c>
      <c r="C4874" s="22"/>
      <c r="D4874" s="22" t="s">
        <v>10</v>
      </c>
      <c r="E4874" s="22"/>
      <c r="F4874" s="22">
        <f>C4874*E4874</f>
      </c>
    </row>
    <row r="4875">
      <c r="A4875" s="5" t="s">
        <v>1759</v>
      </c>
      <c r="B4875" s="13" t="s">
        <v>1164</v>
      </c>
      <c r="C4875" s="22"/>
      <c r="D4875" s="22" t="s">
        <v>10</v>
      </c>
      <c r="E4875" s="22"/>
      <c r="F4875" s="22">
        <f>C4875*E4875</f>
      </c>
    </row>
    <row r="4876">
      <c r="A4876" s="5" t="s">
        <v>1760</v>
      </c>
      <c r="B4876" s="13" t="s">
        <v>123</v>
      </c>
      <c r="C4876" s="22"/>
      <c r="D4876" s="22" t="s">
        <v>10</v>
      </c>
      <c r="E4876" s="22"/>
      <c r="F4876" s="22">
        <f>C4876*E4876</f>
      </c>
    </row>
    <row r="4877">
      <c r="A4877" s="3"/>
      <c r="B4877" s="11" t="s">
        <v>68</v>
      </c>
      <c r="C4877" s="20"/>
      <c r="D4877" s="20"/>
      <c r="E4877" s="20"/>
      <c r="F4877" s="20"/>
    </row>
    <row r="4878">
      <c r="A4878" s="5" t="s">
        <v>1761</v>
      </c>
      <c r="B4878" s="14" t="s">
        <v>70</v>
      </c>
      <c r="C4878" s="22">
        <f>(1)*(1)*(1)*(1)*(1 + (0))</f>
      </c>
      <c r="D4878" s="22" t="s">
        <v>71</v>
      </c>
      <c r="E4878" s="22"/>
      <c r="F4878" s="22">
        <f>C4878*E4878</f>
      </c>
    </row>
    <row r="4879">
      <c r="A4879" s="5" t="s">
        <v>1762</v>
      </c>
      <c r="B4879" s="14" t="s">
        <v>1022</v>
      </c>
      <c r="C4879" s="22">
        <f>(1)*(1)*(1)*(1)*(1 + (0))</f>
      </c>
      <c r="D4879" s="22" t="s">
        <v>71</v>
      </c>
      <c r="E4879" s="22"/>
      <c r="F4879" s="22">
        <f>C4879*E4879</f>
      </c>
    </row>
    <row r="4880">
      <c r="A4880" s="5" t="s">
        <v>1763</v>
      </c>
      <c r="B4880" s="14" t="s">
        <v>1169</v>
      </c>
      <c r="C4880" s="22">
        <f>(1)*(1)*(1)*(1)*(1 + (0))</f>
      </c>
      <c r="D4880" s="22" t="s">
        <v>71</v>
      </c>
      <c r="E4880" s="22"/>
      <c r="F4880" s="22">
        <f>C4880*E4880</f>
      </c>
    </row>
    <row r="4881">
      <c r="A4881" s="5" t="s">
        <v>1764</v>
      </c>
      <c r="B4881" s="14" t="s">
        <v>1071</v>
      </c>
      <c r="C4881" s="22">
        <f>(1)*(1)*(1)*(1)*(1 + (0))</f>
      </c>
      <c r="D4881" s="22" t="s">
        <v>71</v>
      </c>
      <c r="E4881" s="22"/>
      <c r="F4881" s="22">
        <f>C4881*E4881</f>
      </c>
    </row>
    <row r="4882">
      <c r="A4882" s="5" t="s">
        <v>1765</v>
      </c>
      <c r="B4882" s="14" t="s">
        <v>798</v>
      </c>
      <c r="C4882" s="22">
        <f>(1)*(1)*(1)*(1)*(1 + (0))</f>
      </c>
      <c r="D4882" s="22" t="s">
        <v>71</v>
      </c>
      <c r="E4882" s="22"/>
      <c r="F4882" s="22">
        <f>C4882*E4882</f>
      </c>
    </row>
    <row r="4883">
      <c r="A4883" s="5" t="s">
        <v>1766</v>
      </c>
      <c r="B4883" s="14" t="s">
        <v>665</v>
      </c>
      <c r="C4883" s="22">
        <f>(1)*(1)*(1)*(1)*(1 + (0))</f>
      </c>
      <c r="D4883" s="22" t="s">
        <v>71</v>
      </c>
      <c r="E4883" s="22"/>
      <c r="F4883" s="22">
        <f>C4883*E4883</f>
      </c>
    </row>
    <row r="4884">
      <c r="A4884" s="3"/>
      <c r="B4884" s="11" t="s">
        <v>1767</v>
      </c>
      <c r="C4884" s="20"/>
      <c r="D4884" s="20"/>
      <c r="E4884" s="20"/>
      <c r="F4884" s="20"/>
    </row>
    <row r="4885">
      <c r="A4885" s="4"/>
      <c r="B4885" s="12" t="s">
        <v>1768</v>
      </c>
      <c r="C4885" s="21"/>
      <c r="D4885" s="21"/>
      <c r="E4885" s="21"/>
      <c r="F4885" s="21"/>
    </row>
    <row r="4886">
      <c r="A4886" s="5"/>
      <c r="B4886" s="13" t="s">
        <v>1942</v>
      </c>
      <c r="C4886" s="22">
        <f>(47)*(1)*(1)*(1)*(1 + (0))</f>
      </c>
      <c r="D4886" s="22" t="s">
        <v>153</v>
      </c>
      <c r="E4886" s="22"/>
      <c r="F4886" s="22">
        <f>C4886*E4886</f>
      </c>
    </row>
    <row r="4887">
      <c r="A4887" s="2"/>
      <c r="B4887" s="10" t="s">
        <v>1152</v>
      </c>
      <c r="C4887" s="19"/>
      <c r="D4887" s="19"/>
      <c r="E4887" s="19"/>
      <c r="F4887" s="19"/>
    </row>
    <row r="4888">
      <c r="A4888" s="3"/>
      <c r="B4888" s="11" t="s">
        <v>37</v>
      </c>
      <c r="C4888" s="20"/>
      <c r="D4888" s="20"/>
      <c r="E4888" s="20"/>
      <c r="F4888" s="20"/>
    </row>
    <row r="4889">
      <c r="A4889" s="5" t="s">
        <v>1153</v>
      </c>
      <c r="B4889" s="14" t="s">
        <v>39</v>
      </c>
      <c r="C4889" s="22"/>
      <c r="D4889" s="22" t="s">
        <v>10</v>
      </c>
      <c r="E4889" s="22"/>
      <c r="F4889" s="22">
        <f>C4889*E4889</f>
      </c>
    </row>
    <row r="4890">
      <c r="A4890" s="5" t="s">
        <v>1154</v>
      </c>
      <c r="B4890" s="14" t="s">
        <v>41</v>
      </c>
      <c r="C4890" s="22"/>
      <c r="D4890" s="22" t="s">
        <v>10</v>
      </c>
      <c r="E4890" s="22"/>
      <c r="F4890" s="22">
        <f>C4890*E4890</f>
      </c>
    </row>
    <row r="4891">
      <c r="A4891" s="3"/>
      <c r="B4891" s="11" t="s">
        <v>44</v>
      </c>
      <c r="C4891" s="20"/>
      <c r="D4891" s="20"/>
      <c r="E4891" s="20"/>
      <c r="F4891" s="20"/>
    </row>
    <row r="4892">
      <c r="A4892" s="4"/>
      <c r="B4892" s="12" t="s">
        <v>45</v>
      </c>
      <c r="C4892" s="21"/>
      <c r="D4892" s="21"/>
      <c r="E4892" s="21"/>
      <c r="F4892" s="21"/>
    </row>
    <row r="4893">
      <c r="A4893" s="5" t="s">
        <v>1158</v>
      </c>
      <c r="B4893" s="13" t="s">
        <v>898</v>
      </c>
      <c r="C4893" s="22"/>
      <c r="D4893" s="22" t="s">
        <v>10</v>
      </c>
      <c r="E4893" s="22"/>
      <c r="F4893" s="22">
        <f>C4893*E4893</f>
      </c>
    </row>
    <row r="4894">
      <c r="A4894" s="5" t="s">
        <v>1159</v>
      </c>
      <c r="B4894" s="13" t="s">
        <v>899</v>
      </c>
      <c r="C4894" s="22"/>
      <c r="D4894" s="22" t="s">
        <v>10</v>
      </c>
      <c r="E4894" s="22"/>
      <c r="F4894" s="22">
        <f>C4894*E4894</f>
      </c>
    </row>
    <row r="4895">
      <c r="A4895" s="5" t="s">
        <v>1160</v>
      </c>
      <c r="B4895" s="13" t="s">
        <v>767</v>
      </c>
      <c r="C4895" s="22"/>
      <c r="D4895" s="22" t="s">
        <v>10</v>
      </c>
      <c r="E4895" s="22"/>
      <c r="F4895" s="22">
        <f>C4895*E4895</f>
      </c>
    </row>
    <row r="4896">
      <c r="A4896" s="5" t="s">
        <v>1161</v>
      </c>
      <c r="B4896" s="13" t="s">
        <v>1162</v>
      </c>
      <c r="C4896" s="22"/>
      <c r="D4896" s="22" t="s">
        <v>10</v>
      </c>
      <c r="E4896" s="22"/>
      <c r="F4896" s="22">
        <f>C4896*E4896</f>
      </c>
    </row>
    <row r="4897">
      <c r="A4897" s="5" t="s">
        <v>1163</v>
      </c>
      <c r="B4897" s="13" t="s">
        <v>1164</v>
      </c>
      <c r="C4897" s="22"/>
      <c r="D4897" s="22" t="s">
        <v>10</v>
      </c>
      <c r="E4897" s="22"/>
      <c r="F4897" s="22">
        <f>C4897*E4897</f>
      </c>
    </row>
    <row r="4898">
      <c r="A4898" s="5" t="s">
        <v>1165</v>
      </c>
      <c r="B4898" s="13" t="s">
        <v>123</v>
      </c>
      <c r="C4898" s="22"/>
      <c r="D4898" s="22" t="s">
        <v>10</v>
      </c>
      <c r="E4898" s="22"/>
      <c r="F4898" s="22">
        <f>C4898*E4898</f>
      </c>
    </row>
    <row r="4899">
      <c r="A4899" s="3"/>
      <c r="B4899" s="11" t="s">
        <v>42</v>
      </c>
      <c r="C4899" s="20"/>
      <c r="D4899" s="20"/>
      <c r="E4899" s="20"/>
      <c r="F4899" s="20"/>
    </row>
    <row r="4900">
      <c r="A4900" s="5"/>
      <c r="B4900" s="14" t="s">
        <v>1155</v>
      </c>
      <c r="C4900" s="22"/>
      <c r="D4900" s="22" t="s">
        <v>10</v>
      </c>
      <c r="E4900" s="22"/>
      <c r="F4900" s="22">
        <f>C4900*E4900</f>
      </c>
    </row>
    <row r="4901">
      <c r="A4901" s="5"/>
      <c r="B4901" s="14" t="s">
        <v>1156</v>
      </c>
      <c r="C4901" s="22"/>
      <c r="D4901" s="22" t="s">
        <v>10</v>
      </c>
      <c r="E4901" s="22"/>
      <c r="F4901" s="22">
        <f>C4901*E4901</f>
      </c>
    </row>
    <row r="4902">
      <c r="A4902" s="5"/>
      <c r="B4902" s="14" t="s">
        <v>1157</v>
      </c>
      <c r="C4902" s="22"/>
      <c r="D4902" s="22" t="s">
        <v>10</v>
      </c>
      <c r="E4902" s="22"/>
      <c r="F4902" s="22">
        <f>C4902*E4902</f>
      </c>
    </row>
    <row r="4903">
      <c r="A4903" s="3"/>
      <c r="B4903" s="11" t="s">
        <v>68</v>
      </c>
      <c r="C4903" s="20"/>
      <c r="D4903" s="20"/>
      <c r="E4903" s="20"/>
      <c r="F4903" s="20"/>
    </row>
    <row r="4904">
      <c r="A4904" s="5" t="s">
        <v>1166</v>
      </c>
      <c r="B4904" s="14" t="s">
        <v>70</v>
      </c>
      <c r="C4904" s="22">
        <f>(1)*(1)*(1)*(1)*(1 + (0))</f>
      </c>
      <c r="D4904" s="22" t="s">
        <v>71</v>
      </c>
      <c r="E4904" s="22"/>
      <c r="F4904" s="22">
        <f>C4904*E4904</f>
      </c>
    </row>
    <row r="4905">
      <c r="A4905" s="5" t="s">
        <v>1167</v>
      </c>
      <c r="B4905" s="14" t="s">
        <v>1022</v>
      </c>
      <c r="C4905" s="22">
        <f>(1)*(1)*(1)*(1)*(1 + (0))</f>
      </c>
      <c r="D4905" s="22" t="s">
        <v>71</v>
      </c>
      <c r="E4905" s="22"/>
      <c r="F4905" s="22">
        <f>C4905*E4905</f>
      </c>
    </row>
    <row r="4906">
      <c r="A4906" s="5" t="s">
        <v>1168</v>
      </c>
      <c r="B4906" s="14" t="s">
        <v>1169</v>
      </c>
      <c r="C4906" s="22">
        <f>(1)*(1)*(1)*(1)*(1 + (0))</f>
      </c>
      <c r="D4906" s="22" t="s">
        <v>71</v>
      </c>
      <c r="E4906" s="22"/>
      <c r="F4906" s="22">
        <f>C4906*E4906</f>
      </c>
    </row>
    <row r="4907">
      <c r="A4907" s="5" t="s">
        <v>1170</v>
      </c>
      <c r="B4907" s="14" t="s">
        <v>1071</v>
      </c>
      <c r="C4907" s="22">
        <f>(1)*(1)*(1)*(1)*(1 + (0))</f>
      </c>
      <c r="D4907" s="22" t="s">
        <v>71</v>
      </c>
      <c r="E4907" s="22"/>
      <c r="F4907" s="22">
        <f>C4907*E4907</f>
      </c>
    </row>
    <row r="4908">
      <c r="A4908" s="5" t="s">
        <v>1171</v>
      </c>
      <c r="B4908" s="14" t="s">
        <v>798</v>
      </c>
      <c r="C4908" s="22">
        <f>(1)*(1)*(1)*(1)*(1 + (0))</f>
      </c>
      <c r="D4908" s="22" t="s">
        <v>71</v>
      </c>
      <c r="E4908" s="22"/>
      <c r="F4908" s="22">
        <f>C4908*E4908</f>
      </c>
    </row>
    <row r="4909">
      <c r="A4909" s="5" t="s">
        <v>1172</v>
      </c>
      <c r="B4909" s="14" t="s">
        <v>665</v>
      </c>
      <c r="C4909" s="22">
        <f>(1)*(1)*(1)*(1)*(1 + (0))</f>
      </c>
      <c r="D4909" s="22" t="s">
        <v>71</v>
      </c>
      <c r="E4909" s="22"/>
      <c r="F4909" s="22">
        <f>C4909*E4909</f>
      </c>
    </row>
    <row r="4910">
      <c r="A4910" s="3"/>
      <c r="B4910" s="11" t="s">
        <v>106</v>
      </c>
      <c r="C4910" s="20"/>
      <c r="D4910" s="20"/>
      <c r="E4910" s="20"/>
      <c r="F4910" s="20"/>
    </row>
    <row r="4911">
      <c r="A4911" s="5"/>
      <c r="B4911" s="14" t="s">
        <v>1173</v>
      </c>
      <c r="C4911" s="22"/>
      <c r="D4911" s="22" t="s">
        <v>10</v>
      </c>
      <c r="E4911" s="22"/>
      <c r="F4911" s="22">
        <f>C4911*E4911</f>
      </c>
    </row>
    <row r="4912">
      <c r="A4912" s="5"/>
      <c r="B4912" s="14" t="s">
        <v>1174</v>
      </c>
      <c r="C4912" s="22"/>
      <c r="D4912" s="22" t="s">
        <v>10</v>
      </c>
      <c r="E4912" s="22"/>
      <c r="F4912" s="22">
        <f>C4912*E4912</f>
      </c>
    </row>
    <row r="4913">
      <c r="A4913" s="5"/>
      <c r="B4913" s="14" t="s">
        <v>1175</v>
      </c>
      <c r="C4913" s="22"/>
      <c r="D4913" s="22" t="s">
        <v>10</v>
      </c>
      <c r="E4913" s="22"/>
      <c r="F4913" s="22">
        <f>C4913*E4913</f>
      </c>
    </row>
    <row r="4914">
      <c r="A4914" s="5"/>
      <c r="B4914" s="14" t="s">
        <v>1176</v>
      </c>
      <c r="C4914" s="22"/>
      <c r="D4914" s="22" t="s">
        <v>10</v>
      </c>
      <c r="E4914" s="22"/>
      <c r="F4914" s="22">
        <f>C4914*E4914</f>
      </c>
    </row>
    <row r="4915">
      <c r="A4915" s="5"/>
      <c r="B4915" s="14" t="s">
        <v>1177</v>
      </c>
      <c r="C4915" s="22"/>
      <c r="D4915" s="22" t="s">
        <v>10</v>
      </c>
      <c r="E4915" s="22"/>
      <c r="F4915" s="22">
        <f>C4915*E4915</f>
      </c>
    </row>
    <row r="4916">
      <c r="A4916" s="5"/>
      <c r="B4916" s="14" t="s">
        <v>1178</v>
      </c>
      <c r="C4916" s="22"/>
      <c r="D4916" s="22" t="s">
        <v>10</v>
      </c>
      <c r="E4916" s="22"/>
      <c r="F4916" s="22">
        <f>C4916*E4916</f>
      </c>
    </row>
    <row r="4917">
      <c r="A4917" s="5"/>
      <c r="B4917" s="14" t="s">
        <v>1179</v>
      </c>
      <c r="C4917" s="22"/>
      <c r="D4917" s="22" t="s">
        <v>10</v>
      </c>
      <c r="E4917" s="22"/>
      <c r="F4917" s="22">
        <f>C4917*E4917</f>
      </c>
    </row>
    <row r="4918">
      <c r="A4918" s="5"/>
      <c r="B4918" s="14" t="s">
        <v>1180</v>
      </c>
      <c r="C4918" s="22"/>
      <c r="D4918" s="22" t="s">
        <v>10</v>
      </c>
      <c r="E4918" s="22"/>
      <c r="F4918" s="22">
        <f>C4918*E4918</f>
      </c>
    </row>
    <row r="4919">
      <c r="A4919" s="5"/>
      <c r="B4919" s="14" t="s">
        <v>1181</v>
      </c>
      <c r="C4919" s="22"/>
      <c r="D4919" s="22" t="s">
        <v>10</v>
      </c>
      <c r="E4919" s="22"/>
      <c r="F4919" s="22">
        <f>C4919*E4919</f>
      </c>
    </row>
    <row r="4920">
      <c r="A4920" s="5"/>
      <c r="B4920" s="14" t="s">
        <v>1182</v>
      </c>
      <c r="C4920" s="22"/>
      <c r="D4920" s="22" t="s">
        <v>10</v>
      </c>
      <c r="E4920" s="22"/>
      <c r="F4920" s="22">
        <f>C4920*E4920</f>
      </c>
    </row>
    <row r="4921">
      <c r="A4921" s="5"/>
      <c r="B4921" s="14" t="s">
        <v>1183</v>
      </c>
      <c r="C4921" s="22"/>
      <c r="D4921" s="22" t="s">
        <v>10</v>
      </c>
      <c r="E4921" s="22"/>
      <c r="F4921" s="22">
        <f>C4921*E4921</f>
      </c>
    </row>
    <row r="4922">
      <c r="A4922" s="5"/>
      <c r="B4922" s="14" t="s">
        <v>1184</v>
      </c>
      <c r="C4922" s="22"/>
      <c r="D4922" s="22" t="s">
        <v>10</v>
      </c>
      <c r="E4922" s="22"/>
      <c r="F4922" s="22">
        <f>C4922*E4922</f>
      </c>
    </row>
    <row r="4923">
      <c r="A4923" s="5"/>
      <c r="B4923" s="14" t="s">
        <v>1185</v>
      </c>
      <c r="C4923" s="22"/>
      <c r="D4923" s="22" t="s">
        <v>10</v>
      </c>
      <c r="E4923" s="22"/>
      <c r="F4923" s="22">
        <f>C4923*E4923</f>
      </c>
    </row>
    <row r="4924">
      <c r="A4924" s="5"/>
      <c r="B4924" s="14" t="s">
        <v>1186</v>
      </c>
      <c r="C4924" s="22"/>
      <c r="D4924" s="22" t="s">
        <v>10</v>
      </c>
      <c r="E4924" s="22"/>
      <c r="F4924" s="22">
        <f>C4924*E4924</f>
      </c>
    </row>
    <row r="4925">
      <c r="A4925" s="5"/>
      <c r="B4925" s="14" t="s">
        <v>1187</v>
      </c>
      <c r="C4925" s="22"/>
      <c r="D4925" s="22" t="s">
        <v>10</v>
      </c>
      <c r="E4925" s="22"/>
      <c r="F4925" s="22">
        <f>C4925*E4925</f>
      </c>
    </row>
    <row r="4926">
      <c r="A4926" s="5"/>
      <c r="B4926" s="14" t="s">
        <v>1188</v>
      </c>
      <c r="C4926" s="22"/>
      <c r="D4926" s="22" t="s">
        <v>10</v>
      </c>
      <c r="E4926" s="22"/>
      <c r="F4926" s="22">
        <f>C4926*E4926</f>
      </c>
    </row>
    <row r="4927">
      <c r="A4927" s="5"/>
      <c r="B4927" s="14" t="s">
        <v>1189</v>
      </c>
      <c r="C4927" s="22"/>
      <c r="D4927" s="22" t="s">
        <v>10</v>
      </c>
      <c r="E4927" s="22"/>
      <c r="F4927" s="22">
        <f>C4927*E4927</f>
      </c>
    </row>
    <row r="4928">
      <c r="A4928" s="5"/>
      <c r="B4928" s="14" t="s">
        <v>1190</v>
      </c>
      <c r="C4928" s="22"/>
      <c r="D4928" s="22" t="s">
        <v>10</v>
      </c>
      <c r="E4928" s="22"/>
      <c r="F4928" s="22">
        <f>C4928*E4928</f>
      </c>
    </row>
    <row r="4929">
      <c r="A4929" s="5"/>
      <c r="B4929" s="14" t="s">
        <v>1191</v>
      </c>
      <c r="C4929" s="22"/>
      <c r="D4929" s="22" t="s">
        <v>10</v>
      </c>
      <c r="E4929" s="22"/>
      <c r="F4929" s="22">
        <f>C4929*E4929</f>
      </c>
    </row>
    <row r="4930">
      <c r="A4930" s="5"/>
      <c r="B4930" s="14" t="s">
        <v>1192</v>
      </c>
      <c r="C4930" s="22"/>
      <c r="D4930" s="22" t="s">
        <v>10</v>
      </c>
      <c r="E4930" s="22"/>
      <c r="F4930" s="22">
        <f>C4930*E4930</f>
      </c>
    </row>
    <row r="4931">
      <c r="A4931" s="5"/>
      <c r="B4931" s="14" t="s">
        <v>1193</v>
      </c>
      <c r="C4931" s="22"/>
      <c r="D4931" s="22" t="s">
        <v>10</v>
      </c>
      <c r="E4931" s="22"/>
      <c r="F4931" s="22">
        <f>C4931*E4931</f>
      </c>
    </row>
    <row r="4932">
      <c r="A4932" s="5"/>
      <c r="B4932" s="14" t="s">
        <v>1194</v>
      </c>
      <c r="C4932" s="22"/>
      <c r="D4932" s="22" t="s">
        <v>10</v>
      </c>
      <c r="E4932" s="22"/>
      <c r="F4932" s="22">
        <f>C4932*E4932</f>
      </c>
    </row>
    <row r="4933">
      <c r="A4933" s="5"/>
      <c r="B4933" s="14" t="s">
        <v>1195</v>
      </c>
      <c r="C4933" s="22"/>
      <c r="D4933" s="22" t="s">
        <v>10</v>
      </c>
      <c r="E4933" s="22"/>
      <c r="F4933" s="22">
        <f>C4933*E4933</f>
      </c>
    </row>
    <row r="4934">
      <c r="A4934" s="5"/>
      <c r="B4934" s="14" t="s">
        <v>1196</v>
      </c>
      <c r="C4934" s="22"/>
      <c r="D4934" s="22" t="s">
        <v>10</v>
      </c>
      <c r="E4934" s="22"/>
      <c r="F4934" s="22">
        <f>C4934*E4934</f>
      </c>
    </row>
    <row r="4935">
      <c r="A4935" s="5"/>
      <c r="B4935" s="14" t="s">
        <v>1197</v>
      </c>
      <c r="C4935" s="22"/>
      <c r="D4935" s="22" t="s">
        <v>10</v>
      </c>
      <c r="E4935" s="22"/>
      <c r="F4935" s="22">
        <f>C4935*E4935</f>
      </c>
    </row>
    <row r="4936">
      <c r="A4936" s="5"/>
      <c r="B4936" s="14" t="s">
        <v>1198</v>
      </c>
      <c r="C4936" s="22"/>
      <c r="D4936" s="22" t="s">
        <v>10</v>
      </c>
      <c r="E4936" s="22"/>
      <c r="F4936" s="22">
        <f>C4936*E4936</f>
      </c>
    </row>
    <row r="4937">
      <c r="A4937" s="3"/>
      <c r="B4937" s="11" t="s">
        <v>1769</v>
      </c>
      <c r="C4937" s="20"/>
      <c r="D4937" s="20"/>
      <c r="E4937" s="20"/>
      <c r="F4937" s="20"/>
    </row>
    <row r="4938">
      <c r="A4938" s="5"/>
      <c r="B4938" s="14" t="s">
        <v>2044</v>
      </c>
      <c r="C4938" s="22">
        <f>(1)*(1)*(1)*(1)*(1 + (0))</f>
      </c>
      <c r="D4938" s="22" t="s">
        <v>1217</v>
      </c>
      <c r="E4938" s="22"/>
      <c r="F4938" s="22">
        <f>C4938*E4938</f>
      </c>
    </row>
    <row r="4939">
      <c r="A4939" s="5"/>
      <c r="B4939" s="14" t="s">
        <v>2045</v>
      </c>
      <c r="C4939" s="22">
        <f>(1)*(1)*(1)*(1)*(1 + (0))</f>
      </c>
      <c r="D4939" s="22" t="s">
        <v>1217</v>
      </c>
      <c r="E4939" s="22"/>
      <c r="F4939" s="22">
        <f>C4939*E4939</f>
      </c>
    </row>
    <row r="4940">
      <c r="A4940" s="5"/>
      <c r="B4940" s="14" t="s">
        <v>2046</v>
      </c>
      <c r="C4940" s="22">
        <f>(1)*(1)*(1)*(1)*(1 + (0))</f>
      </c>
      <c r="D4940" s="22" t="s">
        <v>162</v>
      </c>
      <c r="E4940" s="22"/>
      <c r="F4940" s="22">
        <f>C4940*E4940</f>
      </c>
    </row>
    <row r="4941">
      <c r="A4941" s="5"/>
      <c r="B4941" s="14" t="s">
        <v>2047</v>
      </c>
      <c r="C4941" s="22">
        <f>(1)*(1)*(1)*(1)*(1 + (0))</f>
      </c>
      <c r="D4941" s="22" t="s">
        <v>162</v>
      </c>
      <c r="E4941" s="22"/>
      <c r="F4941" s="22">
        <f>C4941*E4941</f>
      </c>
    </row>
    <row r="4942">
      <c r="A4942" s="5"/>
      <c r="B4942" s="14" t="s">
        <v>2048</v>
      </c>
      <c r="C4942" s="22">
        <f>(1)*(1)*(1)*(1)*(1 + (0))</f>
      </c>
      <c r="D4942" s="22" t="s">
        <v>162</v>
      </c>
      <c r="E4942" s="22"/>
      <c r="F4942" s="22">
        <f>C4942*E4942</f>
      </c>
    </row>
    <row r="4943">
      <c r="A4943" s="2"/>
      <c r="B4943" s="10" t="s">
        <v>1224</v>
      </c>
      <c r="C4943" s="19"/>
      <c r="D4943" s="19"/>
      <c r="E4943" s="19"/>
      <c r="F4943" s="19"/>
    </row>
    <row r="4944">
      <c r="A4944" s="3"/>
      <c r="B4944" s="11" t="s">
        <v>37</v>
      </c>
      <c r="C4944" s="20"/>
      <c r="D4944" s="20"/>
      <c r="E4944" s="20"/>
      <c r="F4944" s="20"/>
    </row>
    <row r="4945">
      <c r="A4945" s="5" t="s">
        <v>1225</v>
      </c>
      <c r="B4945" s="14" t="s">
        <v>39</v>
      </c>
      <c r="C4945" s="22"/>
      <c r="D4945" s="22" t="s">
        <v>10</v>
      </c>
      <c r="E4945" s="22"/>
      <c r="F4945" s="22">
        <f>C4945*E4945</f>
      </c>
    </row>
    <row r="4946">
      <c r="A4946" s="5" t="s">
        <v>1226</v>
      </c>
      <c r="B4946" s="14" t="s">
        <v>41</v>
      </c>
      <c r="C4946" s="22"/>
      <c r="D4946" s="22" t="s">
        <v>10</v>
      </c>
      <c r="E4946" s="22"/>
      <c r="F4946" s="22">
        <f>C4946*E4946</f>
      </c>
    </row>
    <row r="4947">
      <c r="A4947" s="3"/>
      <c r="B4947" s="11" t="s">
        <v>42</v>
      </c>
      <c r="C4947" s="20"/>
      <c r="D4947" s="20"/>
      <c r="E4947" s="20"/>
      <c r="F4947" s="20"/>
    </row>
    <row r="4948">
      <c r="A4948" s="5"/>
      <c r="B4948" s="14" t="s">
        <v>1280</v>
      </c>
      <c r="C4948" s="22"/>
      <c r="D4948" s="22" t="s">
        <v>10</v>
      </c>
      <c r="E4948" s="22"/>
      <c r="F4948" s="22">
        <f>C4948*E4948</f>
      </c>
    </row>
    <row r="4949">
      <c r="A4949" s="5"/>
      <c r="B4949" s="14" t="s">
        <v>1228</v>
      </c>
      <c r="C4949" s="22"/>
      <c r="D4949" s="22" t="s">
        <v>10</v>
      </c>
      <c r="E4949" s="22"/>
      <c r="F4949" s="22">
        <f>C4949*E4949</f>
      </c>
    </row>
    <row r="4950">
      <c r="A4950" s="5"/>
      <c r="B4950" s="14" t="s">
        <v>694</v>
      </c>
      <c r="C4950" s="22"/>
      <c r="D4950" s="22" t="s">
        <v>10</v>
      </c>
      <c r="E4950" s="22"/>
      <c r="F4950" s="22">
        <f>C4950*E4950</f>
      </c>
    </row>
    <row r="4951">
      <c r="A4951" s="3"/>
      <c r="B4951" s="11" t="s">
        <v>44</v>
      </c>
      <c r="C4951" s="20"/>
      <c r="D4951" s="20"/>
      <c r="E4951" s="20"/>
      <c r="F4951" s="20"/>
    </row>
    <row r="4952">
      <c r="A4952" s="4"/>
      <c r="B4952" s="12" t="s">
        <v>45</v>
      </c>
      <c r="C4952" s="21"/>
      <c r="D4952" s="21"/>
      <c r="E4952" s="21"/>
      <c r="F4952" s="21"/>
    </row>
    <row r="4953">
      <c r="A4953" s="5" t="s">
        <v>1229</v>
      </c>
      <c r="B4953" s="13" t="s">
        <v>528</v>
      </c>
      <c r="C4953" s="22"/>
      <c r="D4953" s="22" t="s">
        <v>10</v>
      </c>
      <c r="E4953" s="22"/>
      <c r="F4953" s="22">
        <f>C4953*E4953</f>
      </c>
    </row>
    <row r="4954">
      <c r="A4954" s="5" t="s">
        <v>1230</v>
      </c>
      <c r="B4954" s="13" t="s">
        <v>530</v>
      </c>
      <c r="C4954" s="22"/>
      <c r="D4954" s="22" t="s">
        <v>10</v>
      </c>
      <c r="E4954" s="22"/>
      <c r="F4954" s="22">
        <f>C4954*E4954</f>
      </c>
    </row>
    <row r="4955">
      <c r="A4955" s="5" t="s">
        <v>1231</v>
      </c>
      <c r="B4955" s="13" t="s">
        <v>1232</v>
      </c>
      <c r="C4955" s="22"/>
      <c r="D4955" s="22" t="s">
        <v>10</v>
      </c>
      <c r="E4955" s="22"/>
      <c r="F4955" s="22">
        <f>C4955*E4955</f>
      </c>
    </row>
    <row r="4956">
      <c r="A4956" s="5" t="s">
        <v>1233</v>
      </c>
      <c r="B4956" s="13" t="s">
        <v>853</v>
      </c>
      <c r="C4956" s="22"/>
      <c r="D4956" s="22" t="s">
        <v>10</v>
      </c>
      <c r="E4956" s="22"/>
      <c r="F4956" s="22">
        <f>C4956*E4956</f>
      </c>
    </row>
    <row r="4957">
      <c r="A4957" s="5" t="s">
        <v>1234</v>
      </c>
      <c r="B4957" s="13" t="s">
        <v>538</v>
      </c>
      <c r="C4957" s="22"/>
      <c r="D4957" s="22" t="s">
        <v>10</v>
      </c>
      <c r="E4957" s="22"/>
      <c r="F4957" s="22">
        <f>C4957*E4957</f>
      </c>
    </row>
    <row r="4958">
      <c r="A4958" s="5" t="s">
        <v>1235</v>
      </c>
      <c r="B4958" s="13" t="s">
        <v>123</v>
      </c>
      <c r="C4958" s="22"/>
      <c r="D4958" s="22" t="s">
        <v>10</v>
      </c>
      <c r="E4958" s="22"/>
      <c r="F4958" s="22">
        <f>C4958*E4958</f>
      </c>
    </row>
    <row r="4959">
      <c r="A4959" s="3"/>
      <c r="B4959" s="11" t="s">
        <v>68</v>
      </c>
      <c r="C4959" s="20"/>
      <c r="D4959" s="20"/>
      <c r="E4959" s="20"/>
      <c r="F4959" s="20"/>
    </row>
    <row r="4960">
      <c r="A4960" s="5" t="s">
        <v>1236</v>
      </c>
      <c r="B4960" s="14" t="s">
        <v>543</v>
      </c>
      <c r="C4960" s="22">
        <f>(1)*(1)*(1)*(1)*(1 + (0))</f>
      </c>
      <c r="D4960" s="22" t="s">
        <v>71</v>
      </c>
      <c r="E4960" s="22"/>
      <c r="F4960" s="22">
        <f>C4960*E4960</f>
      </c>
    </row>
    <row r="4961">
      <c r="A4961" s="5" t="s">
        <v>1237</v>
      </c>
      <c r="B4961" s="14" t="s">
        <v>136</v>
      </c>
      <c r="C4961" s="22">
        <f>(1)*(1)*(1)*(1)*(1 + (0))</f>
      </c>
      <c r="D4961" s="22" t="s">
        <v>71</v>
      </c>
      <c r="E4961" s="22"/>
      <c r="F4961" s="22">
        <f>C4961*E4961</f>
      </c>
    </row>
    <row r="4962">
      <c r="A4962" s="5" t="s">
        <v>1238</v>
      </c>
      <c r="B4962" s="14" t="s">
        <v>1239</v>
      </c>
      <c r="C4962" s="22">
        <f>(1)*(1)*(1)*(1)*(1 + (0))</f>
      </c>
      <c r="D4962" s="22" t="s">
        <v>71</v>
      </c>
      <c r="E4962" s="22"/>
      <c r="F4962" s="22">
        <f>C4962*E4962</f>
      </c>
    </row>
    <row r="4963">
      <c r="A4963" s="5" t="s">
        <v>1240</v>
      </c>
      <c r="B4963" s="14" t="s">
        <v>798</v>
      </c>
      <c r="C4963" s="22">
        <f>(1)*(1)*(1)*(1)*(1 + (0))</f>
      </c>
      <c r="D4963" s="22" t="s">
        <v>71</v>
      </c>
      <c r="E4963" s="22"/>
      <c r="F4963" s="22">
        <f>C4963*E4963</f>
      </c>
    </row>
    <row r="4964">
      <c r="A4964" s="5" t="s">
        <v>1241</v>
      </c>
      <c r="B4964" s="14" t="s">
        <v>70</v>
      </c>
      <c r="C4964" s="22">
        <f>(1)*(1)*(1)*(1)*(1 + (0))</f>
      </c>
      <c r="D4964" s="22" t="s">
        <v>71</v>
      </c>
      <c r="E4964" s="22"/>
      <c r="F4964" s="22">
        <f>C4964*E4964</f>
      </c>
    </row>
    <row r="4965">
      <c r="A4965" s="5" t="s">
        <v>1242</v>
      </c>
      <c r="B4965" s="14" t="s">
        <v>665</v>
      </c>
      <c r="C4965" s="22">
        <f>(1)*(1)*(1)*(1)*(1 + (0))</f>
      </c>
      <c r="D4965" s="22" t="s">
        <v>71</v>
      </c>
      <c r="E4965" s="22"/>
      <c r="F4965" s="22">
        <f>C4965*E4965</f>
      </c>
    </row>
    <row r="4966">
      <c r="A4966" s="3"/>
      <c r="B4966" s="11" t="s">
        <v>1243</v>
      </c>
      <c r="C4966" s="20"/>
      <c r="D4966" s="20"/>
      <c r="E4966" s="20"/>
      <c r="F4966" s="20"/>
    </row>
    <row r="4967">
      <c r="A4967" s="4"/>
      <c r="B4967" s="12" t="s">
        <v>2049</v>
      </c>
      <c r="C4967" s="21"/>
      <c r="D4967" s="21"/>
      <c r="E4967" s="21"/>
      <c r="F4967" s="21"/>
    </row>
    <row r="4968">
      <c r="A4968" s="5"/>
      <c r="B4968" s="13" t="s">
        <v>1246</v>
      </c>
      <c r="C4968" s="22">
        <f>(18)*(1)*(1)*(1)*(1 + (0))</f>
      </c>
      <c r="D4968" s="22" t="s">
        <v>153</v>
      </c>
      <c r="E4968" s="22"/>
      <c r="F4968" s="22">
        <f>C4968*E4968</f>
      </c>
    </row>
    <row r="4969">
      <c r="A4969" s="3"/>
      <c r="B4969" s="11" t="s">
        <v>1249</v>
      </c>
      <c r="C4969" s="20"/>
      <c r="D4969" s="20"/>
      <c r="E4969" s="20"/>
      <c r="F4969" s="20"/>
    </row>
    <row r="4970">
      <c r="A4970" s="4"/>
      <c r="B4970" s="12" t="s">
        <v>2049</v>
      </c>
      <c r="C4970" s="21"/>
      <c r="D4970" s="21"/>
      <c r="E4970" s="21"/>
      <c r="F4970" s="21"/>
    </row>
    <row r="4971">
      <c r="A4971" s="5"/>
      <c r="B4971" s="13" t="s">
        <v>2050</v>
      </c>
      <c r="C4971" s="22">
        <f>(13)*(1)*(1)*(1)*(1 + (0))</f>
      </c>
      <c r="D4971" s="22" t="s">
        <v>24</v>
      </c>
      <c r="E4971" s="22"/>
      <c r="F4971" s="22">
        <f>C4971*E4971</f>
      </c>
    </row>
    <row r="4972">
      <c r="A4972" s="3"/>
      <c r="B4972" s="11" t="s">
        <v>1251</v>
      </c>
      <c r="C4972" s="20"/>
      <c r="D4972" s="20"/>
      <c r="E4972" s="20"/>
      <c r="F4972" s="20"/>
    </row>
    <row r="4973">
      <c r="A4973" s="4"/>
      <c r="B4973" s="12" t="s">
        <v>2049</v>
      </c>
      <c r="C4973" s="21"/>
      <c r="D4973" s="21"/>
      <c r="E4973" s="21"/>
      <c r="F4973" s="21"/>
    </row>
    <row r="4974">
      <c r="A4974" s="5"/>
      <c r="B4974" s="13" t="s">
        <v>1252</v>
      </c>
      <c r="C4974" s="22">
        <f>(22)*(1)*(1)*(1)*(1 + (0))</f>
      </c>
      <c r="D4974" s="22" t="s">
        <v>153</v>
      </c>
      <c r="E4974" s="22"/>
      <c r="F4974" s="22">
        <f>C4974*E4974</f>
      </c>
    </row>
    <row r="4975">
      <c r="A4975" s="3"/>
      <c r="B4975" s="11" t="s">
        <v>1269</v>
      </c>
      <c r="C4975" s="20"/>
      <c r="D4975" s="20"/>
      <c r="E4975" s="20"/>
      <c r="F4975" s="20"/>
    </row>
    <row r="4976">
      <c r="A4976" s="4"/>
      <c r="B4976" s="12" t="s">
        <v>1270</v>
      </c>
      <c r="C4976" s="21"/>
      <c r="D4976" s="21"/>
      <c r="E4976" s="21"/>
      <c r="F4976" s="21"/>
    </row>
    <row r="4977">
      <c r="A4977" s="5"/>
      <c r="B4977" s="13" t="s">
        <v>1942</v>
      </c>
      <c r="C4977" s="22">
        <f>(147)*(1)*(1)*(1)*(1 + (0))</f>
      </c>
      <c r="D4977" s="22" t="s">
        <v>153</v>
      </c>
      <c r="E4977" s="22"/>
      <c r="F4977" s="22">
        <f>C4977*E4977</f>
      </c>
    </row>
    <row r="4978">
      <c r="A4978" s="3"/>
      <c r="B4978" s="11" t="s">
        <v>1255</v>
      </c>
      <c r="C4978" s="20"/>
      <c r="D4978" s="20"/>
      <c r="E4978" s="20"/>
      <c r="F4978" s="20"/>
    </row>
    <row r="4979">
      <c r="A4979" s="4"/>
      <c r="B4979" s="12" t="s">
        <v>2051</v>
      </c>
      <c r="C4979" s="21"/>
      <c r="D4979" s="21"/>
      <c r="E4979" s="21"/>
      <c r="F4979" s="21"/>
    </row>
    <row r="4980">
      <c r="A4980" s="6"/>
      <c r="B4980" s="15" t="s">
        <v>1260</v>
      </c>
      <c r="C4980" s="23"/>
      <c r="D4980" s="23"/>
      <c r="E4980" s="23"/>
      <c r="F4980" s="23"/>
    </row>
    <row r="4981">
      <c r="A4981" s="5"/>
      <c r="B4981" s="16" t="s">
        <v>2052</v>
      </c>
      <c r="C4981" s="22">
        <f>(1)*(1)*(1)*(1)*(1 + (0))</f>
      </c>
      <c r="D4981" s="22" t="s">
        <v>162</v>
      </c>
      <c r="E4981" s="22"/>
      <c r="F4981" s="22">
        <f>C4981*E4981</f>
      </c>
    </row>
    <row r="4982">
      <c r="A4982" s="5"/>
      <c r="B4982" s="16" t="s">
        <v>2053</v>
      </c>
      <c r="C4982" s="22">
        <f>(1)*(1)*(1)*(1)*(1 + (0))</f>
      </c>
      <c r="D4982" s="22" t="s">
        <v>162</v>
      </c>
      <c r="E4982" s="22"/>
      <c r="F4982" s="22">
        <f>C4982*E4982</f>
      </c>
    </row>
    <row r="4983">
      <c r="A4983" s="5"/>
      <c r="B4983" s="7" t="s">
        <v>1784</v>
      </c>
      <c r="C4983" s="22"/>
      <c r="D4983" s="22"/>
      <c r="E4983" s="22"/>
      <c r="F4983" s="22">
        <f>C4983*E4983</f>
      </c>
    </row>
    <row r="4984">
      <c r="A4984" s="2"/>
      <c r="B4984" s="10" t="s">
        <v>1284</v>
      </c>
      <c r="C4984" s="19"/>
      <c r="D4984" s="19"/>
      <c r="E4984" s="19"/>
      <c r="F4984" s="19"/>
    </row>
    <row r="4985">
      <c r="A4985" s="3"/>
      <c r="B4985" s="11" t="s">
        <v>37</v>
      </c>
      <c r="C4985" s="20"/>
      <c r="D4985" s="20"/>
      <c r="E4985" s="20"/>
      <c r="F4985" s="20"/>
    </row>
    <row r="4986">
      <c r="A4986" s="5" t="s">
        <v>1285</v>
      </c>
      <c r="B4986" s="14" t="s">
        <v>39</v>
      </c>
      <c r="C4986" s="22"/>
      <c r="D4986" s="22" t="s">
        <v>10</v>
      </c>
      <c r="E4986" s="22"/>
      <c r="F4986" s="22">
        <f>C4986*E4986</f>
      </c>
    </row>
    <row r="4987">
      <c r="A4987" s="5" t="s">
        <v>1286</v>
      </c>
      <c r="B4987" s="14" t="s">
        <v>41</v>
      </c>
      <c r="C4987" s="22"/>
      <c r="D4987" s="22" t="s">
        <v>10</v>
      </c>
      <c r="E4987" s="22"/>
      <c r="F4987" s="22">
        <f>C4987*E4987</f>
      </c>
    </row>
    <row r="4988">
      <c r="A4988" s="3"/>
      <c r="B4988" s="11" t="s">
        <v>42</v>
      </c>
      <c r="C4988" s="20"/>
      <c r="D4988" s="20"/>
      <c r="E4988" s="20"/>
      <c r="F4988" s="20"/>
    </row>
    <row r="4989">
      <c r="A4989" s="5"/>
      <c r="B4989" s="14" t="s">
        <v>1287</v>
      </c>
      <c r="C4989" s="22"/>
      <c r="D4989" s="22" t="s">
        <v>10</v>
      </c>
      <c r="E4989" s="22"/>
      <c r="F4989" s="22">
        <f>C4989*E4989</f>
      </c>
    </row>
    <row r="4990">
      <c r="A4990" s="5"/>
      <c r="B4990" s="14" t="s">
        <v>1288</v>
      </c>
      <c r="C4990" s="22"/>
      <c r="D4990" s="22" t="s">
        <v>10</v>
      </c>
      <c r="E4990" s="22"/>
      <c r="F4990" s="22">
        <f>C4990*E4990</f>
      </c>
    </row>
    <row r="4991">
      <c r="A4991" s="5"/>
      <c r="B4991" s="14" t="s">
        <v>1289</v>
      </c>
      <c r="C4991" s="22"/>
      <c r="D4991" s="22" t="s">
        <v>10</v>
      </c>
      <c r="E4991" s="22"/>
      <c r="F4991" s="22">
        <f>C4991*E4991</f>
      </c>
    </row>
    <row r="4992">
      <c r="A4992" s="5"/>
      <c r="B4992" s="14" t="s">
        <v>1290</v>
      </c>
      <c r="C4992" s="22"/>
      <c r="D4992" s="22" t="s">
        <v>10</v>
      </c>
      <c r="E4992" s="22"/>
      <c r="F4992" s="22">
        <f>C4992*E4992</f>
      </c>
    </row>
    <row r="4993">
      <c r="A4993" s="3"/>
      <c r="B4993" s="11" t="s">
        <v>44</v>
      </c>
      <c r="C4993" s="20"/>
      <c r="D4993" s="20"/>
      <c r="E4993" s="20"/>
      <c r="F4993" s="20"/>
    </row>
    <row r="4994">
      <c r="A4994" s="4"/>
      <c r="B4994" s="12" t="s">
        <v>45</v>
      </c>
      <c r="C4994" s="21"/>
      <c r="D4994" s="21"/>
      <c r="E4994" s="21"/>
      <c r="F4994" s="21"/>
    </row>
    <row r="4995">
      <c r="A4995" s="5" t="s">
        <v>1291</v>
      </c>
      <c r="B4995" s="13" t="s">
        <v>767</v>
      </c>
      <c r="C4995" s="22"/>
      <c r="D4995" s="22" t="s">
        <v>10</v>
      </c>
      <c r="E4995" s="22"/>
      <c r="F4995" s="22">
        <f>C4995*E4995</f>
      </c>
    </row>
    <row r="4996">
      <c r="A4996" s="5" t="s">
        <v>1292</v>
      </c>
      <c r="B4996" s="13" t="s">
        <v>123</v>
      </c>
      <c r="C4996" s="22"/>
      <c r="D4996" s="22" t="s">
        <v>10</v>
      </c>
      <c r="E4996" s="22"/>
      <c r="F4996" s="22">
        <f>C4996*E4996</f>
      </c>
    </row>
    <row r="4997">
      <c r="A4997" s="3"/>
      <c r="B4997" s="11" t="s">
        <v>68</v>
      </c>
      <c r="C4997" s="20"/>
      <c r="D4997" s="20"/>
      <c r="E4997" s="20"/>
      <c r="F4997" s="20"/>
    </row>
    <row r="4998">
      <c r="A4998" s="5" t="s">
        <v>1293</v>
      </c>
      <c r="B4998" s="14" t="s">
        <v>230</v>
      </c>
      <c r="C4998" s="22">
        <f>(1)*(1)*(1)*(1)*(1 + (0))</f>
      </c>
      <c r="D4998" s="22" t="s">
        <v>71</v>
      </c>
      <c r="E4998" s="22"/>
      <c r="F4998" s="22">
        <f>C4998*E4998</f>
      </c>
    </row>
    <row r="4999">
      <c r="A4999" s="5" t="s">
        <v>1294</v>
      </c>
      <c r="B4999" s="14" t="s">
        <v>70</v>
      </c>
      <c r="C4999" s="22">
        <f>(1)*(1)*(1)*(1)*(1 + (0))</f>
      </c>
      <c r="D4999" s="22" t="s">
        <v>71</v>
      </c>
      <c r="E4999" s="22"/>
      <c r="F4999" s="22">
        <f>C4999*E4999</f>
      </c>
    </row>
    <row r="5000">
      <c r="A5000" s="5" t="s">
        <v>1295</v>
      </c>
      <c r="B5000" s="14" t="s">
        <v>906</v>
      </c>
      <c r="C5000" s="22">
        <f>(1)*(1)*(1)*(1)*(1 + (0))</f>
      </c>
      <c r="D5000" s="22" t="s">
        <v>71</v>
      </c>
      <c r="E5000" s="22"/>
      <c r="F5000" s="22">
        <f>C5000*E5000</f>
      </c>
    </row>
    <row r="5001">
      <c r="A5001" s="5" t="s">
        <v>1296</v>
      </c>
      <c r="B5001" s="14" t="s">
        <v>665</v>
      </c>
      <c r="C5001" s="22">
        <f>(1)*(1)*(1)*(1)*(1 + (0))</f>
      </c>
      <c r="D5001" s="22" t="s">
        <v>71</v>
      </c>
      <c r="E5001" s="22"/>
      <c r="F5001" s="22">
        <f>C5001*E5001</f>
      </c>
    </row>
    <row r="5002">
      <c r="A5002" s="3"/>
      <c r="B5002" s="11" t="s">
        <v>1297</v>
      </c>
      <c r="C5002" s="20"/>
      <c r="D5002" s="20"/>
      <c r="E5002" s="20"/>
      <c r="F5002" s="20"/>
    </row>
    <row r="5003">
      <c r="A5003" s="4"/>
      <c r="B5003" s="12" t="s">
        <v>1298</v>
      </c>
      <c r="C5003" s="21"/>
      <c r="D5003" s="21"/>
      <c r="E5003" s="21"/>
      <c r="F5003" s="21"/>
    </row>
    <row r="5004">
      <c r="A5004" s="5"/>
      <c r="B5004" s="13" t="s">
        <v>1300</v>
      </c>
      <c r="C5004" s="22">
        <f>(21)*(1)*(1)*(1)*(1 + (0))</f>
      </c>
      <c r="D5004" s="22" t="s">
        <v>153</v>
      </c>
      <c r="E5004" s="22"/>
      <c r="F5004" s="22">
        <f>C5004*E5004</f>
      </c>
    </row>
    <row r="5005">
      <c r="A5005" s="2"/>
      <c r="B5005" s="10" t="s">
        <v>1301</v>
      </c>
      <c r="C5005" s="19"/>
      <c r="D5005" s="19"/>
      <c r="E5005" s="19"/>
      <c r="F5005" s="19"/>
    </row>
    <row r="5006">
      <c r="A5006" s="3"/>
      <c r="B5006" s="11" t="s">
        <v>37</v>
      </c>
      <c r="C5006" s="20"/>
      <c r="D5006" s="20"/>
      <c r="E5006" s="20"/>
      <c r="F5006" s="20"/>
    </row>
    <row r="5007">
      <c r="A5007" s="5" t="s">
        <v>1302</v>
      </c>
      <c r="B5007" s="14" t="s">
        <v>39</v>
      </c>
      <c r="C5007" s="22"/>
      <c r="D5007" s="22" t="s">
        <v>10</v>
      </c>
      <c r="E5007" s="22"/>
      <c r="F5007" s="22">
        <f>C5007*E5007</f>
      </c>
    </row>
    <row r="5008">
      <c r="A5008" s="5" t="s">
        <v>1303</v>
      </c>
      <c r="B5008" s="14" t="s">
        <v>41</v>
      </c>
      <c r="C5008" s="22"/>
      <c r="D5008" s="22" t="s">
        <v>10</v>
      </c>
      <c r="E5008" s="22"/>
      <c r="F5008" s="22">
        <f>C5008*E5008</f>
      </c>
    </row>
    <row r="5009">
      <c r="A5009" s="3"/>
      <c r="B5009" s="11" t="s">
        <v>42</v>
      </c>
      <c r="C5009" s="20"/>
      <c r="D5009" s="20"/>
      <c r="E5009" s="20"/>
      <c r="F5009" s="20"/>
    </row>
    <row r="5010">
      <c r="A5010" s="5"/>
      <c r="B5010" s="14" t="s">
        <v>1009</v>
      </c>
      <c r="C5010" s="22"/>
      <c r="D5010" s="22" t="s">
        <v>10</v>
      </c>
      <c r="E5010" s="22"/>
      <c r="F5010" s="22">
        <f>C5010*E5010</f>
      </c>
    </row>
    <row r="5011">
      <c r="A5011" s="5"/>
      <c r="B5011" s="14" t="s">
        <v>1010</v>
      </c>
      <c r="C5011" s="22"/>
      <c r="D5011" s="22" t="s">
        <v>10</v>
      </c>
      <c r="E5011" s="22"/>
      <c r="F5011" s="22">
        <f>C5011*E5011</f>
      </c>
    </row>
    <row r="5012">
      <c r="A5012" s="5"/>
      <c r="B5012" s="14" t="s">
        <v>1011</v>
      </c>
      <c r="C5012" s="22"/>
      <c r="D5012" s="22" t="s">
        <v>10</v>
      </c>
      <c r="E5012" s="22"/>
      <c r="F5012" s="22">
        <f>C5012*E5012</f>
      </c>
    </row>
    <row r="5013">
      <c r="A5013" s="3"/>
      <c r="B5013" s="11" t="s">
        <v>44</v>
      </c>
      <c r="C5013" s="20"/>
      <c r="D5013" s="20"/>
      <c r="E5013" s="20"/>
      <c r="F5013" s="20"/>
    </row>
    <row r="5014">
      <c r="A5014" s="4"/>
      <c r="B5014" s="12" t="s">
        <v>45</v>
      </c>
      <c r="C5014" s="21"/>
      <c r="D5014" s="21"/>
      <c r="E5014" s="21"/>
      <c r="F5014" s="21"/>
    </row>
    <row r="5015">
      <c r="A5015" s="5" t="s">
        <v>1305</v>
      </c>
      <c r="B5015" s="13" t="s">
        <v>1306</v>
      </c>
      <c r="C5015" s="22"/>
      <c r="D5015" s="22" t="s">
        <v>10</v>
      </c>
      <c r="E5015" s="22"/>
      <c r="F5015" s="22">
        <f>C5015*E5015</f>
      </c>
    </row>
    <row r="5016">
      <c r="A5016" s="5" t="s">
        <v>1307</v>
      </c>
      <c r="B5016" s="13" t="s">
        <v>1308</v>
      </c>
      <c r="C5016" s="22"/>
      <c r="D5016" s="22" t="s">
        <v>10</v>
      </c>
      <c r="E5016" s="22"/>
      <c r="F5016" s="22">
        <f>C5016*E5016</f>
      </c>
    </row>
    <row r="5017">
      <c r="A5017" s="5" t="s">
        <v>1309</v>
      </c>
      <c r="B5017" s="13" t="s">
        <v>1310</v>
      </c>
      <c r="C5017" s="22"/>
      <c r="D5017" s="22" t="s">
        <v>10</v>
      </c>
      <c r="E5017" s="22"/>
      <c r="F5017" s="22">
        <f>C5017*E5017</f>
      </c>
    </row>
    <row r="5018">
      <c r="A5018" s="5" t="s">
        <v>1311</v>
      </c>
      <c r="B5018" s="13" t="s">
        <v>1312</v>
      </c>
      <c r="C5018" s="22"/>
      <c r="D5018" s="22" t="s">
        <v>10</v>
      </c>
      <c r="E5018" s="22"/>
      <c r="F5018" s="22">
        <f>C5018*E5018</f>
      </c>
    </row>
    <row r="5019">
      <c r="A5019" s="5" t="s">
        <v>1313</v>
      </c>
      <c r="B5019" s="13" t="s">
        <v>1314</v>
      </c>
      <c r="C5019" s="22"/>
      <c r="D5019" s="22" t="s">
        <v>10</v>
      </c>
      <c r="E5019" s="22"/>
      <c r="F5019" s="22">
        <f>C5019*E5019</f>
      </c>
    </row>
    <row r="5020">
      <c r="A5020" s="5" t="s">
        <v>1315</v>
      </c>
      <c r="B5020" s="13" t="s">
        <v>1316</v>
      </c>
      <c r="C5020" s="22"/>
      <c r="D5020" s="22" t="s">
        <v>10</v>
      </c>
      <c r="E5020" s="22"/>
      <c r="F5020" s="22">
        <f>C5020*E5020</f>
      </c>
    </row>
    <row r="5021">
      <c r="A5021" s="5" t="s">
        <v>1317</v>
      </c>
      <c r="B5021" s="13" t="s">
        <v>1318</v>
      </c>
      <c r="C5021" s="22"/>
      <c r="D5021" s="22" t="s">
        <v>10</v>
      </c>
      <c r="E5021" s="22"/>
      <c r="F5021" s="22">
        <f>C5021*E5021</f>
      </c>
    </row>
    <row r="5022">
      <c r="A5022" s="5" t="s">
        <v>1319</v>
      </c>
      <c r="B5022" s="13" t="s">
        <v>123</v>
      </c>
      <c r="C5022" s="22"/>
      <c r="D5022" s="22" t="s">
        <v>10</v>
      </c>
      <c r="E5022" s="22"/>
      <c r="F5022" s="22">
        <f>C5022*E5022</f>
      </c>
    </row>
    <row r="5023">
      <c r="A5023" s="3"/>
      <c r="B5023" s="11" t="s">
        <v>68</v>
      </c>
      <c r="C5023" s="20"/>
      <c r="D5023" s="20"/>
      <c r="E5023" s="20"/>
      <c r="F5023" s="20"/>
    </row>
    <row r="5024">
      <c r="A5024" s="5" t="s">
        <v>1320</v>
      </c>
      <c r="B5024" s="14" t="s">
        <v>75</v>
      </c>
      <c r="C5024" s="22">
        <f>(1)*(1)*(1)*(1)*(1 + (0))</f>
      </c>
      <c r="D5024" s="22" t="s">
        <v>71</v>
      </c>
      <c r="E5024" s="22"/>
      <c r="F5024" s="22">
        <f>C5024*E5024</f>
      </c>
    </row>
    <row r="5025">
      <c r="A5025" s="5" t="s">
        <v>1321</v>
      </c>
      <c r="B5025" s="14" t="s">
        <v>1322</v>
      </c>
      <c r="C5025" s="22">
        <f>(1)*(1)*(1)*(1)*(1 + (0))</f>
      </c>
      <c r="D5025" s="22" t="s">
        <v>71</v>
      </c>
      <c r="E5025" s="22"/>
      <c r="F5025" s="22">
        <f>C5025*E5025</f>
      </c>
    </row>
    <row r="5026">
      <c r="A5026" s="5" t="s">
        <v>1323</v>
      </c>
      <c r="B5026" s="14" t="s">
        <v>1324</v>
      </c>
      <c r="C5026" s="22">
        <f>(1)*(1)*(1)*(1)*(1 + (0))</f>
      </c>
      <c r="D5026" s="22" t="s">
        <v>71</v>
      </c>
      <c r="E5026" s="22"/>
      <c r="F5026" s="22">
        <f>C5026*E5026</f>
      </c>
    </row>
    <row r="5027">
      <c r="A5027" s="5" t="s">
        <v>1325</v>
      </c>
      <c r="B5027" s="14" t="s">
        <v>230</v>
      </c>
      <c r="C5027" s="22">
        <f>(1)*(1)*(1)*(1)*(1 + (0))</f>
      </c>
      <c r="D5027" s="22" t="s">
        <v>71</v>
      </c>
      <c r="E5027" s="22"/>
      <c r="F5027" s="22">
        <f>C5027*E5027</f>
      </c>
    </row>
    <row r="5028">
      <c r="A5028" s="5" t="s">
        <v>1326</v>
      </c>
      <c r="B5028" s="14" t="s">
        <v>800</v>
      </c>
      <c r="C5028" s="22">
        <f>(1)*(1)*(1)*(1)*(1 + (0))</f>
      </c>
      <c r="D5028" s="22" t="s">
        <v>71</v>
      </c>
      <c r="E5028" s="22"/>
      <c r="F5028" s="22">
        <f>C5028*E5028</f>
      </c>
    </row>
    <row r="5029">
      <c r="A5029" s="5" t="s">
        <v>1327</v>
      </c>
      <c r="B5029" s="14" t="s">
        <v>73</v>
      </c>
      <c r="C5029" s="22">
        <f>(1)*(1)*(1)*(1)*(1 + (0))</f>
      </c>
      <c r="D5029" s="22" t="s">
        <v>71</v>
      </c>
      <c r="E5029" s="22"/>
      <c r="F5029" s="22">
        <f>C5029*E5029</f>
      </c>
    </row>
    <row r="5030">
      <c r="A5030" s="5" t="s">
        <v>1328</v>
      </c>
      <c r="B5030" s="14" t="s">
        <v>70</v>
      </c>
      <c r="C5030" s="22">
        <f>(1)*(1)*(1)*(1)*(1 + (0))</f>
      </c>
      <c r="D5030" s="22" t="s">
        <v>71</v>
      </c>
      <c r="E5030" s="22"/>
      <c r="F5030" s="22">
        <f>C5030*E5030</f>
      </c>
    </row>
    <row r="5031">
      <c r="A5031" s="5" t="s">
        <v>1329</v>
      </c>
      <c r="B5031" s="14" t="s">
        <v>1330</v>
      </c>
      <c r="C5031" s="22">
        <f>(1)*(1)*(1)*(1)*(1 + (0))</f>
      </c>
      <c r="D5031" s="22" t="s">
        <v>71</v>
      </c>
      <c r="E5031" s="22"/>
      <c r="F5031" s="22">
        <f>C5031*E5031</f>
      </c>
    </row>
    <row r="5032">
      <c r="A5032" s="5" t="s">
        <v>1331</v>
      </c>
      <c r="B5032" s="14" t="s">
        <v>665</v>
      </c>
      <c r="C5032" s="22">
        <f>(1)*(1)*(1)*(1)*(1 + (0))</f>
      </c>
      <c r="D5032" s="22" t="s">
        <v>71</v>
      </c>
      <c r="E5032" s="22"/>
      <c r="F5032" s="22">
        <f>C5032*E5032</f>
      </c>
    </row>
    <row r="5033">
      <c r="A5033" s="3"/>
      <c r="B5033" s="11" t="s">
        <v>106</v>
      </c>
      <c r="C5033" s="20"/>
      <c r="D5033" s="20"/>
      <c r="E5033" s="20"/>
      <c r="F5033" s="20"/>
    </row>
    <row r="5034">
      <c r="A5034" s="5"/>
      <c r="B5034" s="14" t="s">
        <v>1751</v>
      </c>
      <c r="C5034" s="22"/>
      <c r="D5034" s="22" t="s">
        <v>1333</v>
      </c>
      <c r="E5034" s="22"/>
      <c r="F5034" s="22">
        <f>C5034*E5034</f>
      </c>
    </row>
    <row r="5035">
      <c r="A5035" s="5"/>
      <c r="B5035" s="14" t="s">
        <v>1334</v>
      </c>
      <c r="C5035" s="22"/>
      <c r="D5035" s="22" t="s">
        <v>1335</v>
      </c>
      <c r="E5035" s="22"/>
      <c r="F5035" s="22">
        <f>C5035*E5035</f>
      </c>
    </row>
    <row r="5036">
      <c r="A5036" s="3"/>
      <c r="B5036" s="11" t="s">
        <v>1336</v>
      </c>
      <c r="C5036" s="20"/>
      <c r="D5036" s="20"/>
      <c r="E5036" s="20"/>
      <c r="F5036" s="20"/>
    </row>
    <row r="5037">
      <c r="A5037" s="4"/>
      <c r="B5037" s="12" t="s">
        <v>1337</v>
      </c>
      <c r="C5037" s="21"/>
      <c r="D5037" s="21"/>
      <c r="E5037" s="21"/>
      <c r="F5037" s="21"/>
    </row>
    <row r="5038">
      <c r="A5038" s="6"/>
      <c r="B5038" s="15" t="s">
        <v>1338</v>
      </c>
      <c r="C5038" s="23"/>
      <c r="D5038" s="23"/>
      <c r="E5038" s="23"/>
      <c r="F5038" s="23"/>
    </row>
    <row r="5039">
      <c r="A5039" s="5"/>
      <c r="B5039" s="16" t="s">
        <v>1339</v>
      </c>
      <c r="C5039" s="22"/>
      <c r="D5039" s="22"/>
      <c r="E5039" s="22"/>
      <c r="F5039" s="22"/>
    </row>
    <row r="5040">
      <c r="A5040" s="5"/>
      <c r="B5040" s="17" t="s">
        <v>30</v>
      </c>
      <c r="C5040" s="22">
        <f>(87)*(1)*(1)*(1)*(1 + (0))</f>
      </c>
      <c r="D5040" s="22" t="s">
        <v>24</v>
      </c>
      <c r="E5040" s="22"/>
      <c r="F5040" s="22">
        <f>C5040*E5040</f>
      </c>
    </row>
    <row r="5041">
      <c r="A5041" s="5"/>
      <c r="B5041" s="16" t="s">
        <v>2054</v>
      </c>
      <c r="C5041" s="22"/>
      <c r="D5041" s="22"/>
      <c r="E5041" s="22"/>
      <c r="F5041" s="22"/>
    </row>
    <row r="5042">
      <c r="A5042" s="5"/>
      <c r="B5042" s="17" t="s">
        <v>30</v>
      </c>
      <c r="C5042" s="22">
        <f>(62)*(1)*(1)*(1)*(1 + (0))</f>
      </c>
      <c r="D5042" s="22" t="s">
        <v>24</v>
      </c>
      <c r="E5042" s="22"/>
      <c r="F5042" s="22">
        <f>C5042*E5042</f>
      </c>
    </row>
    <row r="5043">
      <c r="A5043" s="5"/>
      <c r="B5043" s="16" t="s">
        <v>1340</v>
      </c>
      <c r="C5043" s="22"/>
      <c r="D5043" s="22"/>
      <c r="E5043" s="22"/>
      <c r="F5043" s="22"/>
    </row>
    <row r="5044">
      <c r="A5044" s="5"/>
      <c r="B5044" s="17" t="s">
        <v>30</v>
      </c>
      <c r="C5044" s="22">
        <f>(9)*(1)*(1)*(1)*(1 + (0))</f>
      </c>
      <c r="D5044" s="22" t="s">
        <v>24</v>
      </c>
      <c r="E5044" s="22"/>
      <c r="F5044" s="22">
        <f>C5044*E5044</f>
      </c>
    </row>
    <row r="5045">
      <c r="A5045" s="5"/>
      <c r="B5045" s="16" t="s">
        <v>1341</v>
      </c>
      <c r="C5045" s="22"/>
      <c r="D5045" s="22"/>
      <c r="E5045" s="22"/>
      <c r="F5045" s="22"/>
    </row>
    <row r="5046">
      <c r="A5046" s="5"/>
      <c r="B5046" s="17" t="s">
        <v>30</v>
      </c>
      <c r="C5046" s="22">
        <f>(81)*(1)*(1)*(1)*(1 + (0))</f>
      </c>
      <c r="D5046" s="22" t="s">
        <v>24</v>
      </c>
      <c r="E5046" s="22"/>
      <c r="F5046" s="22">
        <f>C5046*E5046</f>
      </c>
    </row>
    <row r="5047">
      <c r="A5047" s="5"/>
      <c r="B5047" s="16" t="s">
        <v>1343</v>
      </c>
      <c r="C5047" s="22"/>
      <c r="D5047" s="22"/>
      <c r="E5047" s="22"/>
      <c r="F5047" s="22"/>
    </row>
    <row r="5048">
      <c r="A5048" s="5"/>
      <c r="B5048" s="17" t="s">
        <v>30</v>
      </c>
      <c r="C5048" s="22">
        <f>(53)*(1)*(1)*(1)*(1 + (0))</f>
      </c>
      <c r="D5048" s="22" t="s">
        <v>24</v>
      </c>
      <c r="E5048" s="22"/>
      <c r="F5048" s="22">
        <f>C5048*E5048</f>
      </c>
    </row>
    <row r="5049">
      <c r="A5049" s="6"/>
      <c r="B5049" s="15" t="s">
        <v>2055</v>
      </c>
      <c r="C5049" s="23"/>
      <c r="D5049" s="23"/>
      <c r="E5049" s="23"/>
      <c r="F5049" s="23"/>
    </row>
    <row r="5050">
      <c r="A5050" s="5"/>
      <c r="B5050" s="16" t="s">
        <v>1339</v>
      </c>
      <c r="C5050" s="22"/>
      <c r="D5050" s="22"/>
      <c r="E5050" s="22"/>
      <c r="F5050" s="22"/>
    </row>
    <row r="5051">
      <c r="A5051" s="5"/>
      <c r="B5051" s="17" t="s">
        <v>30</v>
      </c>
      <c r="C5051" s="22">
        <f>(61)*(1)*(1)*(1)*(1 + (0))</f>
      </c>
      <c r="D5051" s="22" t="s">
        <v>24</v>
      </c>
      <c r="E5051" s="22"/>
      <c r="F5051" s="22">
        <f>C5051*E5051</f>
      </c>
    </row>
    <row r="5052">
      <c r="A5052" s="5"/>
      <c r="B5052" s="16" t="s">
        <v>2056</v>
      </c>
      <c r="C5052" s="22"/>
      <c r="D5052" s="22"/>
      <c r="E5052" s="22"/>
      <c r="F5052" s="22"/>
    </row>
    <row r="5053">
      <c r="A5053" s="5"/>
      <c r="B5053" s="17" t="s">
        <v>30</v>
      </c>
      <c r="C5053" s="22">
        <f>(159)*(1)*(1)*(1)*(1 + (0))</f>
      </c>
      <c r="D5053" s="22" t="s">
        <v>24</v>
      </c>
      <c r="E5053" s="22"/>
      <c r="F5053" s="22">
        <f>C5053*E5053</f>
      </c>
    </row>
    <row r="5054">
      <c r="A5054" s="5"/>
      <c r="B5054" s="16" t="s">
        <v>1343</v>
      </c>
      <c r="C5054" s="22"/>
      <c r="D5054" s="22"/>
      <c r="E5054" s="22"/>
      <c r="F5054" s="22"/>
    </row>
    <row r="5055">
      <c r="A5055" s="5"/>
      <c r="B5055" s="17" t="s">
        <v>30</v>
      </c>
      <c r="C5055" s="22">
        <f>(150)*(1)*(1)*(1)*(1 + (0))</f>
      </c>
      <c r="D5055" s="22" t="s">
        <v>24</v>
      </c>
      <c r="E5055" s="22"/>
      <c r="F5055" s="22">
        <f>C5055*E5055</f>
      </c>
    </row>
    <row r="5056">
      <c r="A5056" s="4"/>
      <c r="B5056" s="12" t="s">
        <v>1348</v>
      </c>
      <c r="C5056" s="21"/>
      <c r="D5056" s="21"/>
      <c r="E5056" s="21"/>
      <c r="F5056" s="21"/>
    </row>
    <row r="5057">
      <c r="A5057" s="6"/>
      <c r="B5057" s="15" t="s">
        <v>1349</v>
      </c>
      <c r="C5057" s="23"/>
      <c r="D5057" s="23"/>
      <c r="E5057" s="23"/>
      <c r="F5057" s="23"/>
    </row>
    <row r="5058">
      <c r="A5058" s="5"/>
      <c r="B5058" s="16" t="s">
        <v>30</v>
      </c>
      <c r="C5058" s="22">
        <f>(16)*(1)*(1)*(1)*(1 + (0))</f>
      </c>
      <c r="D5058" s="22" t="s">
        <v>153</v>
      </c>
      <c r="E5058" s="22"/>
      <c r="F5058" s="22">
        <f>C5058*E5058</f>
      </c>
    </row>
    <row r="5059">
      <c r="A5059" s="3"/>
      <c r="B5059" s="11" t="s">
        <v>1350</v>
      </c>
      <c r="C5059" s="20"/>
      <c r="D5059" s="20"/>
      <c r="E5059" s="20"/>
      <c r="F5059" s="20"/>
    </row>
    <row r="5060">
      <c r="A5060" s="4"/>
      <c r="B5060" s="12" t="s">
        <v>1351</v>
      </c>
      <c r="C5060" s="21"/>
      <c r="D5060" s="21"/>
      <c r="E5060" s="21"/>
      <c r="F5060" s="21"/>
    </row>
    <row r="5061">
      <c r="A5061" s="5"/>
      <c r="B5061" s="13" t="s">
        <v>1746</v>
      </c>
      <c r="C5061" s="22">
        <f>(632)*(1)*(1)*(1)*(1 + (0))</f>
      </c>
      <c r="D5061" s="22" t="s">
        <v>24</v>
      </c>
      <c r="E5061" s="22"/>
      <c r="F5061" s="22">
        <f>C5061*E5061</f>
      </c>
    </row>
    <row r="5062">
      <c r="A5062" s="3"/>
      <c r="B5062" s="11" t="s">
        <v>1355</v>
      </c>
      <c r="C5062" s="20"/>
      <c r="D5062" s="20"/>
      <c r="E5062" s="20"/>
      <c r="F5062" s="20"/>
    </row>
    <row r="5063">
      <c r="A5063" s="4"/>
      <c r="B5063" s="12" t="s">
        <v>1710</v>
      </c>
      <c r="C5063" s="21"/>
      <c r="D5063" s="21"/>
      <c r="E5063" s="21"/>
      <c r="F5063" s="21"/>
    </row>
    <row r="5064">
      <c r="A5064" s="6"/>
      <c r="B5064" s="15" t="s">
        <v>1356</v>
      </c>
      <c r="C5064" s="23"/>
      <c r="D5064" s="23"/>
      <c r="E5064" s="23"/>
      <c r="F5064" s="23"/>
    </row>
    <row r="5065">
      <c r="A5065" s="5"/>
      <c r="B5065" s="16" t="s">
        <v>1358</v>
      </c>
      <c r="C5065" s="22">
        <f>(3)*(1)*(1)*(1)*(1 + (0))</f>
      </c>
      <c r="D5065" s="22" t="s">
        <v>162</v>
      </c>
      <c r="E5065" s="22"/>
      <c r="F5065" s="22">
        <f>C5065*E5065</f>
      </c>
    </row>
    <row r="5066">
      <c r="A5066" s="3"/>
      <c r="B5066" s="11" t="s">
        <v>1359</v>
      </c>
      <c r="C5066" s="20"/>
      <c r="D5066" s="20"/>
      <c r="E5066" s="20"/>
      <c r="F5066" s="20"/>
    </row>
    <row r="5067">
      <c r="A5067" s="4"/>
      <c r="B5067" s="12" t="s">
        <v>1710</v>
      </c>
      <c r="C5067" s="21"/>
      <c r="D5067" s="21"/>
      <c r="E5067" s="21"/>
      <c r="F5067" s="21"/>
    </row>
    <row r="5068">
      <c r="A5068" s="6"/>
      <c r="B5068" s="15" t="s">
        <v>1360</v>
      </c>
      <c r="C5068" s="23"/>
      <c r="D5068" s="23"/>
      <c r="E5068" s="23"/>
      <c r="F5068" s="23"/>
    </row>
    <row r="5069">
      <c r="A5069" s="5"/>
      <c r="B5069" s="16" t="s">
        <v>1357</v>
      </c>
      <c r="C5069" s="22">
        <f>(5)*(1)*(1)*(1)*(1 + (0))</f>
      </c>
      <c r="D5069" s="22" t="s">
        <v>162</v>
      </c>
      <c r="E5069" s="22"/>
      <c r="F5069" s="22">
        <f>C5069*E5069</f>
      </c>
    </row>
    <row r="5070">
      <c r="A5070" s="5"/>
      <c r="B5070" s="16" t="s">
        <v>1358</v>
      </c>
      <c r="C5070" s="22">
        <f>(16)*(1)*(1)*(1)*(1 + (0))</f>
      </c>
      <c r="D5070" s="22" t="s">
        <v>162</v>
      </c>
      <c r="E5070" s="22"/>
      <c r="F5070" s="22">
        <f>C5070*E5070</f>
      </c>
    </row>
    <row r="5071">
      <c r="A5071" s="3"/>
      <c r="B5071" s="11" t="s">
        <v>2057</v>
      </c>
      <c r="C5071" s="20"/>
      <c r="D5071" s="20"/>
      <c r="E5071" s="20"/>
      <c r="F5071" s="20"/>
    </row>
    <row r="5072">
      <c r="A5072" s="5"/>
      <c r="B5072" s="14" t="s">
        <v>2058</v>
      </c>
      <c r="C5072" s="22">
        <f>(22)*(1)*(1)*(1)*(1 + (0))</f>
      </c>
      <c r="D5072" s="22" t="s">
        <v>24</v>
      </c>
      <c r="E5072" s="22"/>
      <c r="F5072" s="22">
        <f>C5072*E5072</f>
      </c>
    </row>
    <row r="5073">
      <c r="A5073" s="2"/>
      <c r="B5073" s="10" t="s">
        <v>1361</v>
      </c>
      <c r="C5073" s="19"/>
      <c r="D5073" s="19"/>
      <c r="E5073" s="19"/>
      <c r="F5073" s="19"/>
    </row>
    <row r="5074">
      <c r="A5074" s="3"/>
      <c r="B5074" s="11" t="s">
        <v>37</v>
      </c>
      <c r="C5074" s="20"/>
      <c r="D5074" s="20"/>
      <c r="E5074" s="20"/>
      <c r="F5074" s="20"/>
    </row>
    <row r="5075">
      <c r="A5075" s="5" t="s">
        <v>1285</v>
      </c>
      <c r="B5075" s="14" t="s">
        <v>39</v>
      </c>
      <c r="C5075" s="22"/>
      <c r="D5075" s="22" t="s">
        <v>10</v>
      </c>
      <c r="E5075" s="22"/>
      <c r="F5075" s="22">
        <f>C5075*E5075</f>
      </c>
    </row>
    <row r="5076">
      <c r="A5076" s="5" t="s">
        <v>1286</v>
      </c>
      <c r="B5076" s="14" t="s">
        <v>41</v>
      </c>
      <c r="C5076" s="22"/>
      <c r="D5076" s="22" t="s">
        <v>10</v>
      </c>
      <c r="E5076" s="22"/>
      <c r="F5076" s="22">
        <f>C5076*E5076</f>
      </c>
    </row>
    <row r="5077">
      <c r="A5077" s="3"/>
      <c r="B5077" s="11" t="s">
        <v>42</v>
      </c>
      <c r="C5077" s="20"/>
      <c r="D5077" s="20"/>
      <c r="E5077" s="20"/>
      <c r="F5077" s="20"/>
    </row>
    <row r="5078">
      <c r="A5078" s="5"/>
      <c r="B5078" s="14" t="s">
        <v>1287</v>
      </c>
      <c r="C5078" s="22"/>
      <c r="D5078" s="22" t="s">
        <v>10</v>
      </c>
      <c r="E5078" s="22"/>
      <c r="F5078" s="22">
        <f>C5078*E5078</f>
      </c>
    </row>
    <row r="5079">
      <c r="A5079" s="5"/>
      <c r="B5079" s="14" t="s">
        <v>1288</v>
      </c>
      <c r="C5079" s="22"/>
      <c r="D5079" s="22" t="s">
        <v>10</v>
      </c>
      <c r="E5079" s="22"/>
      <c r="F5079" s="22">
        <f>C5079*E5079</f>
      </c>
    </row>
    <row r="5080">
      <c r="A5080" s="5"/>
      <c r="B5080" s="14" t="s">
        <v>1289</v>
      </c>
      <c r="C5080" s="22"/>
      <c r="D5080" s="22" t="s">
        <v>10</v>
      </c>
      <c r="E5080" s="22"/>
      <c r="F5080" s="22">
        <f>C5080*E5080</f>
      </c>
    </row>
    <row r="5081">
      <c r="A5081" s="5"/>
      <c r="B5081" s="14" t="s">
        <v>1290</v>
      </c>
      <c r="C5081" s="22"/>
      <c r="D5081" s="22" t="s">
        <v>10</v>
      </c>
      <c r="E5081" s="22"/>
      <c r="F5081" s="22">
        <f>C5081*E5081</f>
      </c>
    </row>
    <row r="5082">
      <c r="A5082" s="3"/>
      <c r="B5082" s="11" t="s">
        <v>44</v>
      </c>
      <c r="C5082" s="20"/>
      <c r="D5082" s="20"/>
      <c r="E5082" s="20"/>
      <c r="F5082" s="20"/>
    </row>
    <row r="5083">
      <c r="A5083" s="4"/>
      <c r="B5083" s="12" t="s">
        <v>45</v>
      </c>
      <c r="C5083" s="21"/>
      <c r="D5083" s="21"/>
      <c r="E5083" s="21"/>
      <c r="F5083" s="21"/>
    </row>
    <row r="5084">
      <c r="A5084" s="5" t="s">
        <v>1291</v>
      </c>
      <c r="B5084" s="13" t="s">
        <v>767</v>
      </c>
      <c r="C5084" s="22"/>
      <c r="D5084" s="22" t="s">
        <v>10</v>
      </c>
      <c r="E5084" s="22"/>
      <c r="F5084" s="22">
        <f>C5084*E5084</f>
      </c>
    </row>
    <row r="5085">
      <c r="A5085" s="5" t="s">
        <v>1292</v>
      </c>
      <c r="B5085" s="13" t="s">
        <v>123</v>
      </c>
      <c r="C5085" s="22"/>
      <c r="D5085" s="22" t="s">
        <v>10</v>
      </c>
      <c r="E5085" s="22"/>
      <c r="F5085" s="22">
        <f>C5085*E5085</f>
      </c>
    </row>
    <row r="5086">
      <c r="A5086" s="3"/>
      <c r="B5086" s="11" t="s">
        <v>68</v>
      </c>
      <c r="C5086" s="20"/>
      <c r="D5086" s="20"/>
      <c r="E5086" s="20"/>
      <c r="F5086" s="20"/>
    </row>
    <row r="5087">
      <c r="A5087" s="5" t="s">
        <v>1293</v>
      </c>
      <c r="B5087" s="14" t="s">
        <v>230</v>
      </c>
      <c r="C5087" s="22">
        <f>(1)*(1)*(1)*(1)*(1 + (0))</f>
      </c>
      <c r="D5087" s="22" t="s">
        <v>71</v>
      </c>
      <c r="E5087" s="22"/>
      <c r="F5087" s="22">
        <f>C5087*E5087</f>
      </c>
    </row>
    <row r="5088">
      <c r="A5088" s="5" t="s">
        <v>1294</v>
      </c>
      <c r="B5088" s="14" t="s">
        <v>70</v>
      </c>
      <c r="C5088" s="22">
        <f>(1)*(1)*(1)*(1)*(1 + (0))</f>
      </c>
      <c r="D5088" s="22" t="s">
        <v>71</v>
      </c>
      <c r="E5088" s="22"/>
      <c r="F5088" s="22">
        <f>C5088*E5088</f>
      </c>
    </row>
    <row r="5089">
      <c r="A5089" s="5" t="s">
        <v>1295</v>
      </c>
      <c r="B5089" s="14" t="s">
        <v>906</v>
      </c>
      <c r="C5089" s="22">
        <f>(1)*(1)*(1)*(1)*(1 + (0))</f>
      </c>
      <c r="D5089" s="22" t="s">
        <v>71</v>
      </c>
      <c r="E5089" s="22"/>
      <c r="F5089" s="22">
        <f>C5089*E5089</f>
      </c>
    </row>
    <row r="5090">
      <c r="A5090" s="5" t="s">
        <v>1296</v>
      </c>
      <c r="B5090" s="14" t="s">
        <v>665</v>
      </c>
      <c r="C5090" s="22">
        <f>(1)*(1)*(1)*(1)*(1 + (0))</f>
      </c>
      <c r="D5090" s="22" t="s">
        <v>71</v>
      </c>
      <c r="E5090" s="22"/>
      <c r="F5090" s="22">
        <f>C5090*E5090</f>
      </c>
    </row>
    <row r="5091">
      <c r="A5091" s="3"/>
      <c r="B5091" s="11" t="s">
        <v>1362</v>
      </c>
      <c r="C5091" s="20"/>
      <c r="D5091" s="20"/>
      <c r="E5091" s="20"/>
      <c r="F5091" s="20"/>
    </row>
    <row r="5092">
      <c r="A5092" s="4"/>
      <c r="B5092" s="12" t="s">
        <v>1361</v>
      </c>
      <c r="C5092" s="21"/>
      <c r="D5092" s="21"/>
      <c r="E5092" s="21"/>
      <c r="F5092" s="21"/>
    </row>
    <row r="5093">
      <c r="A5093" s="5"/>
      <c r="B5093" s="13" t="s">
        <v>1363</v>
      </c>
      <c r="C5093" s="22">
        <f>(19)*(1)*(1)*(1)*(1 + (0))</f>
      </c>
      <c r="D5093" s="22" t="s">
        <v>153</v>
      </c>
      <c r="E5093" s="22"/>
      <c r="F5093" s="22">
        <f>C5093*E5093</f>
      </c>
    </row>
    <row r="5094">
      <c r="A5094" s="4"/>
      <c r="B5094" s="12" t="s">
        <v>1364</v>
      </c>
      <c r="C5094" s="21"/>
      <c r="D5094" s="21"/>
      <c r="E5094" s="21"/>
      <c r="F5094" s="21"/>
    </row>
    <row r="5095">
      <c r="A5095" s="5"/>
      <c r="B5095" s="13" t="s">
        <v>1788</v>
      </c>
      <c r="C5095" s="22">
        <f>(5)*(1)*(1)*(1)*(1 + (0))</f>
      </c>
      <c r="D5095" s="22" t="s">
        <v>153</v>
      </c>
      <c r="E5095" s="22"/>
      <c r="F5095" s="22">
        <f>C5095*E5095</f>
      </c>
    </row>
    <row r="5096">
      <c r="A5096" s="2"/>
      <c r="B5096" s="10" t="s">
        <v>1366</v>
      </c>
      <c r="C5096" s="19"/>
      <c r="D5096" s="19"/>
      <c r="E5096" s="19"/>
      <c r="F5096" s="19"/>
    </row>
    <row r="5097">
      <c r="A5097" s="3"/>
      <c r="B5097" s="11" t="s">
        <v>37</v>
      </c>
      <c r="C5097" s="20"/>
      <c r="D5097" s="20"/>
      <c r="E5097" s="20"/>
      <c r="F5097" s="20"/>
    </row>
    <row r="5098">
      <c r="A5098" s="5" t="s">
        <v>1367</v>
      </c>
      <c r="B5098" s="14" t="s">
        <v>39</v>
      </c>
      <c r="C5098" s="22"/>
      <c r="D5098" s="22" t="s">
        <v>10</v>
      </c>
      <c r="E5098" s="22"/>
      <c r="F5098" s="22">
        <f>C5098*E5098</f>
      </c>
    </row>
    <row r="5099">
      <c r="A5099" s="5" t="s">
        <v>1368</v>
      </c>
      <c r="B5099" s="14" t="s">
        <v>41</v>
      </c>
      <c r="C5099" s="22"/>
      <c r="D5099" s="22" t="s">
        <v>10</v>
      </c>
      <c r="E5099" s="22"/>
      <c r="F5099" s="22">
        <f>C5099*E5099</f>
      </c>
    </row>
    <row r="5100">
      <c r="A5100" s="3"/>
      <c r="B5100" s="11" t="s">
        <v>42</v>
      </c>
      <c r="C5100" s="20"/>
      <c r="D5100" s="20"/>
      <c r="E5100" s="20"/>
      <c r="F5100" s="20"/>
    </row>
    <row r="5101">
      <c r="A5101" s="5"/>
      <c r="B5101" s="14" t="s">
        <v>1369</v>
      </c>
      <c r="C5101" s="22"/>
      <c r="D5101" s="22" t="s">
        <v>10</v>
      </c>
      <c r="E5101" s="22"/>
      <c r="F5101" s="22">
        <f>C5101*E5101</f>
      </c>
    </row>
    <row r="5102">
      <c r="A5102" s="5"/>
      <c r="B5102" s="14" t="s">
        <v>1370</v>
      </c>
      <c r="C5102" s="22"/>
      <c r="D5102" s="22" t="s">
        <v>10</v>
      </c>
      <c r="E5102" s="22"/>
      <c r="F5102" s="22">
        <f>C5102*E5102</f>
      </c>
    </row>
    <row r="5103">
      <c r="A5103" s="5"/>
      <c r="B5103" s="14" t="s">
        <v>1371</v>
      </c>
      <c r="C5103" s="22"/>
      <c r="D5103" s="22" t="s">
        <v>10</v>
      </c>
      <c r="E5103" s="22"/>
      <c r="F5103" s="22">
        <f>C5103*E5103</f>
      </c>
    </row>
    <row r="5104">
      <c r="A5104" s="5"/>
      <c r="B5104" s="14" t="s">
        <v>1372</v>
      </c>
      <c r="C5104" s="22"/>
      <c r="D5104" s="22" t="s">
        <v>10</v>
      </c>
      <c r="E5104" s="22"/>
      <c r="F5104" s="22">
        <f>C5104*E5104</f>
      </c>
    </row>
    <row r="5105">
      <c r="A5105" s="3"/>
      <c r="B5105" s="11" t="s">
        <v>44</v>
      </c>
      <c r="C5105" s="20"/>
      <c r="D5105" s="20"/>
      <c r="E5105" s="20"/>
      <c r="F5105" s="20"/>
    </row>
    <row r="5106">
      <c r="A5106" s="4"/>
      <c r="B5106" s="12" t="s">
        <v>45</v>
      </c>
      <c r="C5106" s="21"/>
      <c r="D5106" s="21"/>
      <c r="E5106" s="21"/>
      <c r="F5106" s="21"/>
    </row>
    <row r="5107">
      <c r="A5107" s="5" t="s">
        <v>1373</v>
      </c>
      <c r="B5107" s="13" t="s">
        <v>1374</v>
      </c>
      <c r="C5107" s="22"/>
      <c r="D5107" s="22" t="s">
        <v>10</v>
      </c>
      <c r="E5107" s="22"/>
      <c r="F5107" s="22">
        <f>C5107*E5107</f>
      </c>
    </row>
    <row r="5108">
      <c r="A5108" s="5" t="s">
        <v>1375</v>
      </c>
      <c r="B5108" s="13" t="s">
        <v>1376</v>
      </c>
      <c r="C5108" s="22"/>
      <c r="D5108" s="22" t="s">
        <v>10</v>
      </c>
      <c r="E5108" s="22"/>
      <c r="F5108" s="22">
        <f>C5108*E5108</f>
      </c>
    </row>
    <row r="5109">
      <c r="A5109" s="5" t="s">
        <v>1377</v>
      </c>
      <c r="B5109" s="13" t="s">
        <v>853</v>
      </c>
      <c r="C5109" s="22"/>
      <c r="D5109" s="22" t="s">
        <v>10</v>
      </c>
      <c r="E5109" s="22"/>
      <c r="F5109" s="22">
        <f>C5109*E5109</f>
      </c>
    </row>
    <row r="5110">
      <c r="A5110" s="5" t="s">
        <v>1378</v>
      </c>
      <c r="B5110" s="13" t="s">
        <v>123</v>
      </c>
      <c r="C5110" s="22"/>
      <c r="D5110" s="22" t="s">
        <v>10</v>
      </c>
      <c r="E5110" s="22"/>
      <c r="F5110" s="22">
        <f>C5110*E5110</f>
      </c>
    </row>
    <row r="5111">
      <c r="A5111" s="3"/>
      <c r="B5111" s="11" t="s">
        <v>68</v>
      </c>
      <c r="C5111" s="20"/>
      <c r="D5111" s="20"/>
      <c r="E5111" s="20"/>
      <c r="F5111" s="20"/>
    </row>
    <row r="5112">
      <c r="A5112" s="5" t="s">
        <v>1379</v>
      </c>
      <c r="B5112" s="14" t="s">
        <v>70</v>
      </c>
      <c r="C5112" s="22">
        <f>(1)*(1)*(1)*(1)*(1 + (0))</f>
      </c>
      <c r="D5112" s="22" t="s">
        <v>71</v>
      </c>
      <c r="E5112" s="22"/>
      <c r="F5112" s="22">
        <f>C5112*E5112</f>
      </c>
    </row>
    <row r="5113">
      <c r="A5113" s="5" t="s">
        <v>1380</v>
      </c>
      <c r="B5113" s="14" t="s">
        <v>230</v>
      </c>
      <c r="C5113" s="22">
        <f>(1)*(1)*(1)*(1)*(1 + (0))</f>
      </c>
      <c r="D5113" s="22" t="s">
        <v>71</v>
      </c>
      <c r="E5113" s="22"/>
      <c r="F5113" s="22">
        <f>C5113*E5113</f>
      </c>
    </row>
    <row r="5114">
      <c r="A5114" s="5" t="s">
        <v>1381</v>
      </c>
      <c r="B5114" s="14" t="s">
        <v>136</v>
      </c>
      <c r="C5114" s="22">
        <f>(1)*(1)*(1)*(1)*(1 + (0))</f>
      </c>
      <c r="D5114" s="22" t="s">
        <v>71</v>
      </c>
      <c r="E5114" s="22"/>
      <c r="F5114" s="22">
        <f>C5114*E5114</f>
      </c>
    </row>
    <row r="5115">
      <c r="A5115" s="5" t="s">
        <v>1382</v>
      </c>
      <c r="B5115" s="14" t="s">
        <v>816</v>
      </c>
      <c r="C5115" s="22">
        <f>(1)*(1)*(1)*(1)*(1 + (0))</f>
      </c>
      <c r="D5115" s="22" t="s">
        <v>71</v>
      </c>
      <c r="E5115" s="22"/>
      <c r="F5115" s="22">
        <f>C5115*E5115</f>
      </c>
    </row>
    <row r="5116">
      <c r="A5116" s="5" t="s">
        <v>1383</v>
      </c>
      <c r="B5116" s="14" t="s">
        <v>665</v>
      </c>
      <c r="C5116" s="22">
        <f>(1)*(1)*(1)*(1)*(1 + (0))</f>
      </c>
      <c r="D5116" s="22" t="s">
        <v>71</v>
      </c>
      <c r="E5116" s="22"/>
      <c r="F5116" s="22">
        <f>C5116*E5116</f>
      </c>
    </row>
    <row r="5117">
      <c r="A5117" s="5" t="s">
        <v>1384</v>
      </c>
      <c r="B5117" s="14" t="s">
        <v>1385</v>
      </c>
      <c r="C5117" s="22">
        <f>(1)*(1)*(1)*(1)*(1 + (0))</f>
      </c>
      <c r="D5117" s="22" t="s">
        <v>71</v>
      </c>
      <c r="E5117" s="22"/>
      <c r="F5117" s="22">
        <f>C5117*E5117</f>
      </c>
    </row>
    <row r="5118">
      <c r="A5118" s="3"/>
      <c r="B5118" s="11" t="s">
        <v>106</v>
      </c>
      <c r="C5118" s="20"/>
      <c r="D5118" s="20"/>
      <c r="E5118" s="20"/>
      <c r="F5118" s="20"/>
    </row>
    <row r="5119">
      <c r="A5119" s="5"/>
      <c r="B5119" s="14" t="s">
        <v>1386</v>
      </c>
      <c r="C5119" s="22"/>
      <c r="D5119" s="22" t="s">
        <v>10</v>
      </c>
      <c r="E5119" s="22"/>
      <c r="F5119" s="22">
        <f>C5119*E5119</f>
      </c>
    </row>
    <row r="5120">
      <c r="A5120" s="5"/>
      <c r="B5120" s="14" t="s">
        <v>1387</v>
      </c>
      <c r="C5120" s="22"/>
      <c r="D5120" s="22" t="s">
        <v>10</v>
      </c>
      <c r="E5120" s="22"/>
      <c r="F5120" s="22">
        <f>C5120*E5120</f>
      </c>
    </row>
    <row r="5121">
      <c r="A5121" s="3"/>
      <c r="B5121" s="11" t="s">
        <v>1388</v>
      </c>
      <c r="C5121" s="20"/>
      <c r="D5121" s="20"/>
      <c r="E5121" s="20"/>
      <c r="F5121" s="20"/>
    </row>
    <row r="5122">
      <c r="A5122" s="5"/>
      <c r="B5122" s="14" t="s">
        <v>1389</v>
      </c>
      <c r="C5122" s="22">
        <f>(1)*(1)*(1)*(1)*(1 + (0))</f>
      </c>
      <c r="D5122" s="22" t="s">
        <v>162</v>
      </c>
      <c r="E5122" s="22"/>
      <c r="F5122" s="22">
        <f>C5122*E5122</f>
      </c>
    </row>
    <row r="5123">
      <c r="A5123" s="5"/>
      <c r="B5123" s="14" t="s">
        <v>1390</v>
      </c>
      <c r="C5123" s="22">
        <f>(2)*(1)*(1)*(1)*(1 + (0))</f>
      </c>
      <c r="D5123" s="22" t="s">
        <v>162</v>
      </c>
      <c r="E5123" s="22"/>
      <c r="F5123" s="22">
        <f>C5123*E5123</f>
      </c>
    </row>
    <row r="5124">
      <c r="A5124" s="3"/>
      <c r="B5124" s="11" t="s">
        <v>1392</v>
      </c>
      <c r="C5124" s="20"/>
      <c r="D5124" s="20"/>
      <c r="E5124" s="20"/>
      <c r="F5124" s="20"/>
    </row>
    <row r="5125">
      <c r="A5125" s="5"/>
      <c r="B5125" s="14" t="s">
        <v>1393</v>
      </c>
      <c r="C5125" s="22">
        <f>(1)*(1)*(1)*(1)*(1 + (0))</f>
      </c>
      <c r="D5125" s="22" t="s">
        <v>162</v>
      </c>
      <c r="E5125" s="22"/>
      <c r="F5125" s="22">
        <f>C5125*E5125</f>
      </c>
    </row>
    <row r="5126">
      <c r="A5126" s="3"/>
      <c r="B5126" s="11" t="s">
        <v>2059</v>
      </c>
      <c r="C5126" s="20"/>
      <c r="D5126" s="20"/>
      <c r="E5126" s="20"/>
      <c r="F5126" s="20"/>
    </row>
    <row r="5127">
      <c r="A5127" s="5"/>
      <c r="B5127" s="14" t="s">
        <v>2060</v>
      </c>
      <c r="C5127" s="22">
        <f>(1)*(1)*(1)*(1)*(1 + (0))</f>
      </c>
      <c r="D5127" s="22" t="s">
        <v>162</v>
      </c>
      <c r="E5127" s="22"/>
      <c r="F5127" s="22">
        <f>C5127*E5127</f>
      </c>
    </row>
    <row r="5128">
      <c r="A5128" s="3"/>
      <c r="B5128" s="11" t="s">
        <v>1397</v>
      </c>
      <c r="C5128" s="20"/>
      <c r="D5128" s="20"/>
      <c r="E5128" s="20"/>
      <c r="F5128" s="20"/>
    </row>
    <row r="5129">
      <c r="A5129" s="4"/>
      <c r="B5129" s="12" t="s">
        <v>2061</v>
      </c>
      <c r="C5129" s="21"/>
      <c r="D5129" s="21"/>
      <c r="E5129" s="21"/>
      <c r="F5129" s="21"/>
    </row>
    <row r="5130">
      <c r="A5130" s="6"/>
      <c r="B5130" s="15" t="s">
        <v>1793</v>
      </c>
      <c r="C5130" s="23"/>
      <c r="D5130" s="23"/>
      <c r="E5130" s="23"/>
      <c r="F5130" s="23"/>
    </row>
    <row r="5131">
      <c r="A5131" s="5"/>
      <c r="B5131" s="16" t="s">
        <v>2062</v>
      </c>
      <c r="C5131" s="22">
        <f>(1)*(1)*(1)*(1)*(1 + (0))</f>
      </c>
      <c r="D5131" s="22" t="s">
        <v>162</v>
      </c>
      <c r="E5131" s="22"/>
      <c r="F5131" s="22">
        <f>C5131*E5131</f>
      </c>
    </row>
    <row r="5132">
      <c r="A5132" s="5"/>
      <c r="B5132" s="16" t="s">
        <v>1421</v>
      </c>
      <c r="C5132" s="22">
        <f>(1)*(1)*(1)*(1)*(1 + (0))</f>
      </c>
      <c r="D5132" s="22" t="s">
        <v>162</v>
      </c>
      <c r="E5132" s="22"/>
      <c r="F5132" s="22">
        <f>C5132*E5132</f>
      </c>
    </row>
    <row r="5133">
      <c r="A5133" s="6"/>
      <c r="B5133" s="15" t="s">
        <v>1422</v>
      </c>
      <c r="C5133" s="23"/>
      <c r="D5133" s="23"/>
      <c r="E5133" s="23"/>
      <c r="F5133" s="23"/>
    </row>
    <row r="5134">
      <c r="A5134" s="5"/>
      <c r="B5134" s="16" t="s">
        <v>1423</v>
      </c>
      <c r="C5134" s="22">
        <f>(1)*(1)*(1)*(1)*(1 + (0))</f>
      </c>
      <c r="D5134" s="22" t="s">
        <v>162</v>
      </c>
      <c r="E5134" s="22"/>
      <c r="F5134" s="22">
        <f>C5134*E5134</f>
      </c>
    </row>
    <row r="5135">
      <c r="A5135" s="5"/>
      <c r="B5135" s="16" t="s">
        <v>1424</v>
      </c>
      <c r="C5135" s="22">
        <f>(1)*(1)*(1)*(1)*(1 + (0))</f>
      </c>
      <c r="D5135" s="22" t="s">
        <v>162</v>
      </c>
      <c r="E5135" s="22"/>
      <c r="F5135" s="22">
        <f>C5135*E5135</f>
      </c>
    </row>
    <row r="5136">
      <c r="A5136" s="5"/>
      <c r="B5136" s="14" t="s">
        <v>1436</v>
      </c>
      <c r="C5136" s="22">
        <f>(1)*(1)*(1)*(1)*(1 + (0))</f>
      </c>
      <c r="D5136" s="22" t="s">
        <v>606</v>
      </c>
      <c r="E5136" s="22"/>
      <c r="F5136" s="22">
        <f>C5136*E5136</f>
      </c>
    </row>
    <row r="5137">
      <c r="A5137" s="5"/>
      <c r="B5137" s="7" t="s">
        <v>1437</v>
      </c>
      <c r="C5137" s="22"/>
      <c r="D5137" s="22"/>
      <c r="E5137" s="22"/>
      <c r="F5137" s="22">
        <f>C5137*E5137</f>
      </c>
    </row>
    <row r="5138">
      <c r="A5138" s="5"/>
      <c r="B5138" s="7" t="s">
        <v>1438</v>
      </c>
      <c r="C5138" s="22"/>
      <c r="D5138" s="22"/>
      <c r="E5138" s="22"/>
      <c r="F5138" s="22">
        <f>C5138*E5138</f>
      </c>
    </row>
    <row r="5139">
      <c r="A5139" s="5"/>
      <c r="B5139" s="7" t="s">
        <v>1439</v>
      </c>
      <c r="C5139" s="22"/>
      <c r="D5139" s="22"/>
      <c r="E5139" s="22"/>
      <c r="F5139" s="22">
        <f>C5139*E5139</f>
      </c>
    </row>
    <row r="5140">
      <c r="A5140" s="5"/>
      <c r="B5140" s="7" t="s">
        <v>1440</v>
      </c>
      <c r="C5140" s="22"/>
      <c r="D5140" s="22"/>
      <c r="E5140" s="22"/>
      <c r="F5140" s="22">
        <f>C5140*E5140</f>
      </c>
    </row>
    <row r="5141">
      <c r="A5141" s="5"/>
      <c r="B5141" s="7" t="s">
        <v>2063</v>
      </c>
      <c r="C5141" s="22"/>
      <c r="D5141" s="22"/>
      <c r="E5141" s="22"/>
      <c r="F5141" s="22">
        <f>C5141*E5141</f>
      </c>
    </row>
    <row r="5142">
      <c r="A5142" s="2"/>
      <c r="B5142" s="10" t="s">
        <v>1454</v>
      </c>
      <c r="C5142" s="19"/>
      <c r="D5142" s="19"/>
      <c r="E5142" s="19"/>
      <c r="F5142" s="19"/>
    </row>
    <row r="5143">
      <c r="A5143" s="3"/>
      <c r="B5143" s="11" t="s">
        <v>37</v>
      </c>
      <c r="C5143" s="20"/>
      <c r="D5143" s="20"/>
      <c r="E5143" s="20"/>
      <c r="F5143" s="20"/>
    </row>
    <row r="5144">
      <c r="A5144" s="5" t="s">
        <v>1285</v>
      </c>
      <c r="B5144" s="14" t="s">
        <v>39</v>
      </c>
      <c r="C5144" s="22"/>
      <c r="D5144" s="22" t="s">
        <v>10</v>
      </c>
      <c r="E5144" s="22"/>
      <c r="F5144" s="22">
        <f>C5144*E5144</f>
      </c>
    </row>
    <row r="5145">
      <c r="A5145" s="5" t="s">
        <v>1286</v>
      </c>
      <c r="B5145" s="14" t="s">
        <v>41</v>
      </c>
      <c r="C5145" s="22"/>
      <c r="D5145" s="22" t="s">
        <v>10</v>
      </c>
      <c r="E5145" s="22"/>
      <c r="F5145" s="22">
        <f>C5145*E5145</f>
      </c>
    </row>
    <row r="5146">
      <c r="A5146" s="3"/>
      <c r="B5146" s="11" t="s">
        <v>42</v>
      </c>
      <c r="C5146" s="20"/>
      <c r="D5146" s="20"/>
      <c r="E5146" s="20"/>
      <c r="F5146" s="20"/>
    </row>
    <row r="5147">
      <c r="A5147" s="5"/>
      <c r="B5147" s="14" t="s">
        <v>1287</v>
      </c>
      <c r="C5147" s="22"/>
      <c r="D5147" s="22" t="s">
        <v>10</v>
      </c>
      <c r="E5147" s="22"/>
      <c r="F5147" s="22">
        <f>C5147*E5147</f>
      </c>
    </row>
    <row r="5148">
      <c r="A5148" s="5"/>
      <c r="B5148" s="14" t="s">
        <v>1288</v>
      </c>
      <c r="C5148" s="22"/>
      <c r="D5148" s="22" t="s">
        <v>10</v>
      </c>
      <c r="E5148" s="22"/>
      <c r="F5148" s="22">
        <f>C5148*E5148</f>
      </c>
    </row>
    <row r="5149">
      <c r="A5149" s="5"/>
      <c r="B5149" s="14" t="s">
        <v>1289</v>
      </c>
      <c r="C5149" s="22"/>
      <c r="D5149" s="22" t="s">
        <v>10</v>
      </c>
      <c r="E5149" s="22"/>
      <c r="F5149" s="22">
        <f>C5149*E5149</f>
      </c>
    </row>
    <row r="5150">
      <c r="A5150" s="5"/>
      <c r="B5150" s="14" t="s">
        <v>1290</v>
      </c>
      <c r="C5150" s="22"/>
      <c r="D5150" s="22" t="s">
        <v>10</v>
      </c>
      <c r="E5150" s="22"/>
      <c r="F5150" s="22">
        <f>C5150*E5150</f>
      </c>
    </row>
    <row r="5151">
      <c r="A5151" s="3"/>
      <c r="B5151" s="11" t="s">
        <v>44</v>
      </c>
      <c r="C5151" s="20"/>
      <c r="D5151" s="20"/>
      <c r="E5151" s="20"/>
      <c r="F5151" s="20"/>
    </row>
    <row r="5152">
      <c r="A5152" s="4"/>
      <c r="B5152" s="12" t="s">
        <v>45</v>
      </c>
      <c r="C5152" s="21"/>
      <c r="D5152" s="21"/>
      <c r="E5152" s="21"/>
      <c r="F5152" s="21"/>
    </row>
    <row r="5153">
      <c r="A5153" s="5" t="s">
        <v>1291</v>
      </c>
      <c r="B5153" s="13" t="s">
        <v>767</v>
      </c>
      <c r="C5153" s="22"/>
      <c r="D5153" s="22" t="s">
        <v>10</v>
      </c>
      <c r="E5153" s="22"/>
      <c r="F5153" s="22">
        <f>C5153*E5153</f>
      </c>
    </row>
    <row r="5154">
      <c r="A5154" s="5" t="s">
        <v>1292</v>
      </c>
      <c r="B5154" s="13" t="s">
        <v>123</v>
      </c>
      <c r="C5154" s="22"/>
      <c r="D5154" s="22" t="s">
        <v>10</v>
      </c>
      <c r="E5154" s="22"/>
      <c r="F5154" s="22">
        <f>C5154*E5154</f>
      </c>
    </row>
    <row r="5155">
      <c r="A5155" s="3"/>
      <c r="B5155" s="11" t="s">
        <v>68</v>
      </c>
      <c r="C5155" s="20"/>
      <c r="D5155" s="20"/>
      <c r="E5155" s="20"/>
      <c r="F5155" s="20"/>
    </row>
    <row r="5156">
      <c r="A5156" s="5" t="s">
        <v>1293</v>
      </c>
      <c r="B5156" s="14" t="s">
        <v>230</v>
      </c>
      <c r="C5156" s="22">
        <f>(1)*(1)*(1)*(1)*(1 + (0))</f>
      </c>
      <c r="D5156" s="22" t="s">
        <v>71</v>
      </c>
      <c r="E5156" s="22"/>
      <c r="F5156" s="22">
        <f>C5156*E5156</f>
      </c>
    </row>
    <row r="5157">
      <c r="A5157" s="5" t="s">
        <v>1294</v>
      </c>
      <c r="B5157" s="14" t="s">
        <v>70</v>
      </c>
      <c r="C5157" s="22">
        <f>(1)*(1)*(1)*(1)*(1 + (0))</f>
      </c>
      <c r="D5157" s="22" t="s">
        <v>71</v>
      </c>
      <c r="E5157" s="22"/>
      <c r="F5157" s="22">
        <f>C5157*E5157</f>
      </c>
    </row>
    <row r="5158">
      <c r="A5158" s="5" t="s">
        <v>1295</v>
      </c>
      <c r="B5158" s="14" t="s">
        <v>906</v>
      </c>
      <c r="C5158" s="22">
        <f>(1)*(1)*(1)*(1)*(1 + (0))</f>
      </c>
      <c r="D5158" s="22" t="s">
        <v>71</v>
      </c>
      <c r="E5158" s="22"/>
      <c r="F5158" s="22">
        <f>C5158*E5158</f>
      </c>
    </row>
    <row r="5159">
      <c r="A5159" s="5" t="s">
        <v>1296</v>
      </c>
      <c r="B5159" s="14" t="s">
        <v>665</v>
      </c>
      <c r="C5159" s="22">
        <f>(1)*(1)*(1)*(1)*(1 + (0))</f>
      </c>
      <c r="D5159" s="22" t="s">
        <v>71</v>
      </c>
      <c r="E5159" s="22"/>
      <c r="F5159" s="22">
        <f>C5159*E5159</f>
      </c>
    </row>
    <row r="5160">
      <c r="A5160" s="3"/>
      <c r="B5160" s="11" t="s">
        <v>106</v>
      </c>
      <c r="C5160" s="20"/>
      <c r="D5160" s="20"/>
      <c r="E5160" s="20"/>
      <c r="F5160" s="20"/>
    </row>
    <row r="5161">
      <c r="A5161" s="5"/>
      <c r="B5161" s="14" t="s">
        <v>1456</v>
      </c>
      <c r="C5161" s="22"/>
      <c r="D5161" s="22" t="s">
        <v>1335</v>
      </c>
      <c r="E5161" s="22"/>
      <c r="F5161" s="22">
        <f>C5161*E5161</f>
      </c>
    </row>
    <row r="5162">
      <c r="A5162" s="5"/>
      <c r="B5162" s="14" t="s">
        <v>1457</v>
      </c>
      <c r="C5162" s="22"/>
      <c r="D5162" s="22" t="s">
        <v>1335</v>
      </c>
      <c r="E5162" s="22"/>
      <c r="F5162" s="22">
        <f>C5162*E5162</f>
      </c>
    </row>
    <row r="5163">
      <c r="A5163" s="5"/>
      <c r="B5163" s="14" t="s">
        <v>1458</v>
      </c>
      <c r="C5163" s="22"/>
      <c r="D5163" s="22" t="s">
        <v>1335</v>
      </c>
      <c r="E5163" s="22"/>
      <c r="F5163" s="22">
        <f>C5163*E5163</f>
      </c>
    </row>
    <row r="5164">
      <c r="A5164" s="5"/>
      <c r="B5164" s="14" t="s">
        <v>1459</v>
      </c>
      <c r="C5164" s="22"/>
      <c r="D5164" s="22" t="s">
        <v>1335</v>
      </c>
      <c r="E5164" s="22"/>
      <c r="F5164" s="22">
        <f>C5164*E5164</f>
      </c>
    </row>
    <row r="5165">
      <c r="A5165" s="3"/>
      <c r="B5165" s="11" t="s">
        <v>1460</v>
      </c>
      <c r="C5165" s="20"/>
      <c r="D5165" s="20"/>
      <c r="E5165" s="20"/>
      <c r="F5165" s="20"/>
    </row>
    <row r="5166">
      <c r="A5166" s="4"/>
      <c r="B5166" s="12" t="s">
        <v>1461</v>
      </c>
      <c r="C5166" s="21"/>
      <c r="D5166" s="21"/>
      <c r="E5166" s="21"/>
      <c r="F5166" s="21"/>
    </row>
    <row r="5167">
      <c r="A5167" s="6"/>
      <c r="B5167" s="15" t="s">
        <v>1553</v>
      </c>
      <c r="C5167" s="23"/>
      <c r="D5167" s="23"/>
      <c r="E5167" s="23"/>
      <c r="F5167" s="23"/>
    </row>
    <row r="5168">
      <c r="A5168" s="5"/>
      <c r="B5168" s="16" t="s">
        <v>2064</v>
      </c>
      <c r="C5168" s="22">
        <f>(1)*(1)*(1)*(1)*(1 + (0))</f>
      </c>
      <c r="D5168" s="22" t="s">
        <v>162</v>
      </c>
      <c r="E5168" s="22"/>
      <c r="F5168" s="22">
        <f>C5168*E5168</f>
      </c>
    </row>
    <row r="5169">
      <c r="A5169" s="6"/>
      <c r="B5169" s="15" t="s">
        <v>1462</v>
      </c>
      <c r="C5169" s="23"/>
      <c r="D5169" s="23"/>
      <c r="E5169" s="23"/>
      <c r="F5169" s="23"/>
    </row>
    <row r="5170">
      <c r="A5170" s="5"/>
      <c r="B5170" s="16" t="s">
        <v>2065</v>
      </c>
      <c r="C5170" s="22">
        <f>(1)*(1)*(1)*(1)*(1 + (0))</f>
      </c>
      <c r="D5170" s="22" t="s">
        <v>162</v>
      </c>
      <c r="E5170" s="22"/>
      <c r="F5170" s="22">
        <f>C5170*E5170</f>
      </c>
    </row>
    <row r="5171">
      <c r="A5171" s="5"/>
      <c r="B5171" s="16" t="s">
        <v>2066</v>
      </c>
      <c r="C5171" s="22">
        <f>(3)*(1)*(1)*(1)*(1 + (0))</f>
      </c>
      <c r="D5171" s="22" t="s">
        <v>162</v>
      </c>
      <c r="E5171" s="22"/>
      <c r="F5171" s="22">
        <f>C5171*E5171</f>
      </c>
    </row>
    <row r="5172">
      <c r="A5172" s="5"/>
      <c r="B5172" s="16" t="s">
        <v>2067</v>
      </c>
      <c r="C5172" s="22">
        <f>(4)*(1)*(1)*(1)*(1 + (0))</f>
      </c>
      <c r="D5172" s="22" t="s">
        <v>162</v>
      </c>
      <c r="E5172" s="22"/>
      <c r="F5172" s="22">
        <f>C5172*E5172</f>
      </c>
    </row>
    <row r="5173">
      <c r="A5173" s="5"/>
      <c r="B5173" s="16" t="s">
        <v>2068</v>
      </c>
      <c r="C5173" s="22">
        <f>(8)*(1)*(1)*(1)*(1 + (0))</f>
      </c>
      <c r="D5173" s="22" t="s">
        <v>162</v>
      </c>
      <c r="E5173" s="22"/>
      <c r="F5173" s="22">
        <f>C5173*E5173</f>
      </c>
    </row>
    <row r="5174">
      <c r="A5174" s="5"/>
      <c r="B5174" s="16" t="s">
        <v>2069</v>
      </c>
      <c r="C5174" s="22">
        <f>(16)*(1)*(1)*(1)*(1 + (0))</f>
      </c>
      <c r="D5174" s="22" t="s">
        <v>162</v>
      </c>
      <c r="E5174" s="22"/>
      <c r="F5174" s="22">
        <f>C5174*E5174</f>
      </c>
    </row>
    <row r="5175">
      <c r="A5175" s="5"/>
      <c r="B5175" s="16" t="s">
        <v>2070</v>
      </c>
      <c r="C5175" s="22">
        <f>(10)*(1)*(1)*(1)*(1 + (0))</f>
      </c>
      <c r="D5175" s="22" t="s">
        <v>162</v>
      </c>
      <c r="E5175" s="22"/>
      <c r="F5175" s="22">
        <f>C5175*E5175</f>
      </c>
    </row>
    <row r="5176">
      <c r="A5176" s="4"/>
      <c r="B5176" s="12" t="s">
        <v>1467</v>
      </c>
      <c r="C5176" s="21"/>
      <c r="D5176" s="21"/>
      <c r="E5176" s="21"/>
      <c r="F5176" s="21"/>
    </row>
    <row r="5177">
      <c r="A5177" s="6"/>
      <c r="B5177" s="15" t="s">
        <v>1468</v>
      </c>
      <c r="C5177" s="23"/>
      <c r="D5177" s="23"/>
      <c r="E5177" s="23"/>
      <c r="F5177" s="23"/>
    </row>
    <row r="5178">
      <c r="A5178" s="5"/>
      <c r="B5178" s="16" t="s">
        <v>1469</v>
      </c>
      <c r="C5178" s="22">
        <f>(2)*(1)*(1)*(1)*(1 + (0))</f>
      </c>
      <c r="D5178" s="22" t="s">
        <v>162</v>
      </c>
      <c r="E5178" s="22"/>
      <c r="F5178" s="22">
        <f>C5178*E5178</f>
      </c>
    </row>
    <row r="5179">
      <c r="A5179" s="5"/>
      <c r="B5179" s="16" t="s">
        <v>2071</v>
      </c>
      <c r="C5179" s="22">
        <f>(1)*(1)*(1)*(1)*(1 + (0))</f>
      </c>
      <c r="D5179" s="22" t="s">
        <v>162</v>
      </c>
      <c r="E5179" s="22"/>
      <c r="F5179" s="22">
        <f>C5179*E5179</f>
      </c>
    </row>
    <row r="5180">
      <c r="A5180" s="5"/>
      <c r="B5180" s="16" t="s">
        <v>2072</v>
      </c>
      <c r="C5180" s="22">
        <f>(1)*(1)*(1)*(1)*(1 + (0))</f>
      </c>
      <c r="D5180" s="22" t="s">
        <v>162</v>
      </c>
      <c r="E5180" s="22"/>
      <c r="F5180" s="22">
        <f>C5180*E5180</f>
      </c>
    </row>
    <row r="5181">
      <c r="A5181" s="5"/>
      <c r="B5181" s="16" t="s">
        <v>2073</v>
      </c>
      <c r="C5181" s="22">
        <f>(1)*(1)*(1)*(1)*(1 + (0))</f>
      </c>
      <c r="D5181" s="22" t="s">
        <v>162</v>
      </c>
      <c r="E5181" s="22"/>
      <c r="F5181" s="22">
        <f>C5181*E5181</f>
      </c>
    </row>
    <row r="5182">
      <c r="A5182" s="5"/>
      <c r="B5182" s="16" t="s">
        <v>2074</v>
      </c>
      <c r="C5182" s="22">
        <f>(2)*(1)*(1)*(1)*(1 + (0))</f>
      </c>
      <c r="D5182" s="22" t="s">
        <v>162</v>
      </c>
      <c r="E5182" s="22"/>
      <c r="F5182" s="22">
        <f>C5182*E5182</f>
      </c>
    </row>
    <row r="5183">
      <c r="A5183" s="5"/>
      <c r="B5183" s="16" t="s">
        <v>2075</v>
      </c>
      <c r="C5183" s="22">
        <f>(2)*(1)*(1)*(1)*(1 + (0))</f>
      </c>
      <c r="D5183" s="22" t="s">
        <v>162</v>
      </c>
      <c r="E5183" s="22"/>
      <c r="F5183" s="22">
        <f>C5183*E5183</f>
      </c>
    </row>
    <row r="5184">
      <c r="A5184" s="5"/>
      <c r="B5184" s="16" t="s">
        <v>1801</v>
      </c>
      <c r="C5184" s="22">
        <f>(1)*(1)*(1)*(1)*(1 + (0))</f>
      </c>
      <c r="D5184" s="22" t="s">
        <v>162</v>
      </c>
      <c r="E5184" s="22"/>
      <c r="F5184" s="22">
        <f>C5184*E5184</f>
      </c>
    </row>
    <row r="5185">
      <c r="A5185" s="5"/>
      <c r="B5185" s="16" t="s">
        <v>2076</v>
      </c>
      <c r="C5185" s="22">
        <f>(2)*(1)*(1)*(1)*(1 + (0))</f>
      </c>
      <c r="D5185" s="22" t="s">
        <v>162</v>
      </c>
      <c r="E5185" s="22"/>
      <c r="F5185" s="22">
        <f>C5185*E5185</f>
      </c>
    </row>
    <row r="5186">
      <c r="A5186" s="6"/>
      <c r="B5186" s="15" t="s">
        <v>1479</v>
      </c>
      <c r="C5186" s="23"/>
      <c r="D5186" s="23"/>
      <c r="E5186" s="23"/>
      <c r="F5186" s="23"/>
    </row>
    <row r="5187">
      <c r="A5187" s="5"/>
      <c r="B5187" s="16" t="s">
        <v>1481</v>
      </c>
      <c r="C5187" s="22">
        <f>(6)*(1)*(1)*(1)*(1 + (0))</f>
      </c>
      <c r="D5187" s="22" t="s">
        <v>162</v>
      </c>
      <c r="E5187" s="22"/>
      <c r="F5187" s="22">
        <f>C5187*E5187</f>
      </c>
    </row>
    <row r="5188">
      <c r="A5188" s="5"/>
      <c r="B5188" s="16" t="s">
        <v>2077</v>
      </c>
      <c r="C5188" s="22">
        <f>(4)*(1)*(1)*(1)*(1 + (0))</f>
      </c>
      <c r="D5188" s="22" t="s">
        <v>162</v>
      </c>
      <c r="E5188" s="22"/>
      <c r="F5188" s="22">
        <f>C5188*E5188</f>
      </c>
    </row>
    <row r="5189">
      <c r="A5189" s="5"/>
      <c r="B5189" s="16" t="s">
        <v>2078</v>
      </c>
      <c r="C5189" s="22">
        <f>(1)*(1)*(1)*(1)*(1 + (0))</f>
      </c>
      <c r="D5189" s="22" t="s">
        <v>162</v>
      </c>
      <c r="E5189" s="22"/>
      <c r="F5189" s="22">
        <f>C5189*E5189</f>
      </c>
    </row>
    <row r="5190">
      <c r="A5190" s="5"/>
      <c r="B5190" s="16" t="s">
        <v>2079</v>
      </c>
      <c r="C5190" s="22">
        <f>(1)*(1)*(1)*(1)*(1 + (0))</f>
      </c>
      <c r="D5190" s="22" t="s">
        <v>162</v>
      </c>
      <c r="E5190" s="22"/>
      <c r="F5190" s="22">
        <f>C5190*E5190</f>
      </c>
    </row>
    <row r="5191">
      <c r="A5191" s="5"/>
      <c r="B5191" s="16" t="s">
        <v>2080</v>
      </c>
      <c r="C5191" s="22">
        <f>(1)*(1)*(1)*(1)*(1 + (0))</f>
      </c>
      <c r="D5191" s="22" t="s">
        <v>162</v>
      </c>
      <c r="E5191" s="22"/>
      <c r="F5191" s="22">
        <f>C5191*E5191</f>
      </c>
    </row>
    <row r="5192">
      <c r="A5192" s="6"/>
      <c r="B5192" s="15" t="s">
        <v>1489</v>
      </c>
      <c r="C5192" s="23"/>
      <c r="D5192" s="23"/>
      <c r="E5192" s="23"/>
      <c r="F5192" s="23"/>
    </row>
    <row r="5193">
      <c r="A5193" s="5"/>
      <c r="B5193" s="16" t="s">
        <v>1810</v>
      </c>
      <c r="C5193" s="22">
        <f>(6)*(1)*(1)*(1)*(1 + (0))</f>
      </c>
      <c r="D5193" s="22" t="s">
        <v>162</v>
      </c>
      <c r="E5193" s="22"/>
      <c r="F5193" s="22">
        <f>C5193*E5193</f>
      </c>
    </row>
    <row r="5194">
      <c r="A5194" s="5"/>
      <c r="B5194" s="16" t="s">
        <v>1491</v>
      </c>
      <c r="C5194" s="22">
        <f>(2)*(1)*(1)*(1)*(1 + (0))</f>
      </c>
      <c r="D5194" s="22" t="s">
        <v>162</v>
      </c>
      <c r="E5194" s="22"/>
      <c r="F5194" s="22">
        <f>C5194*E5194</f>
      </c>
    </row>
    <row r="5195">
      <c r="A5195" s="5"/>
      <c r="B5195" s="16" t="s">
        <v>2081</v>
      </c>
      <c r="C5195" s="22">
        <f>(2)*(1)*(1)*(1)*(1 + (0))</f>
      </c>
      <c r="D5195" s="22" t="s">
        <v>162</v>
      </c>
      <c r="E5195" s="22"/>
      <c r="F5195" s="22">
        <f>C5195*E5195</f>
      </c>
    </row>
    <row r="5196">
      <c r="A5196" s="6"/>
      <c r="B5196" s="15" t="s">
        <v>1493</v>
      </c>
      <c r="C5196" s="23"/>
      <c r="D5196" s="23"/>
      <c r="E5196" s="23"/>
      <c r="F5196" s="23"/>
    </row>
    <row r="5197">
      <c r="A5197" s="5"/>
      <c r="B5197" s="16" t="s">
        <v>2082</v>
      </c>
      <c r="C5197" s="22">
        <f>(1)*(1)*(1)*(1)*(1 + (0))</f>
      </c>
      <c r="D5197" s="22" t="s">
        <v>162</v>
      </c>
      <c r="E5197" s="22"/>
      <c r="F5197" s="22">
        <f>C5197*E5197</f>
      </c>
    </row>
    <row r="5198">
      <c r="A5198" s="5"/>
      <c r="B5198" s="16" t="s">
        <v>1495</v>
      </c>
      <c r="C5198" s="22">
        <f>(1)*(1)*(1)*(1)*(1 + (0))</f>
      </c>
      <c r="D5198" s="22" t="s">
        <v>162</v>
      </c>
      <c r="E5198" s="22"/>
      <c r="F5198" s="22">
        <f>C5198*E5198</f>
      </c>
    </row>
    <row r="5199">
      <c r="A5199" s="6"/>
      <c r="B5199" s="15" t="s">
        <v>2083</v>
      </c>
      <c r="C5199" s="23"/>
      <c r="D5199" s="23"/>
      <c r="E5199" s="23"/>
      <c r="F5199" s="23"/>
    </row>
    <row r="5200">
      <c r="A5200" s="5"/>
      <c r="B5200" s="16" t="s">
        <v>1497</v>
      </c>
      <c r="C5200" s="22">
        <f>(17)*(1)*(1)*(1)*(1 + (0))</f>
      </c>
      <c r="D5200" s="22" t="s">
        <v>162</v>
      </c>
      <c r="E5200" s="22"/>
      <c r="F5200" s="22">
        <f>C5200*E5200</f>
      </c>
    </row>
    <row r="5201">
      <c r="A5201" s="4"/>
      <c r="B5201" s="12" t="s">
        <v>1499</v>
      </c>
      <c r="C5201" s="21"/>
      <c r="D5201" s="21"/>
      <c r="E5201" s="21"/>
      <c r="F5201" s="21"/>
    </row>
    <row r="5202">
      <c r="A5202" s="6"/>
      <c r="B5202" s="15" t="s">
        <v>1500</v>
      </c>
      <c r="C5202" s="23"/>
      <c r="D5202" s="23"/>
      <c r="E5202" s="23"/>
      <c r="F5202" s="23"/>
    </row>
    <row r="5203">
      <c r="A5203" s="5"/>
      <c r="B5203" s="16" t="s">
        <v>1814</v>
      </c>
      <c r="C5203" s="22">
        <f>(8)*(1)*(1)*(1)*(1 + (0))</f>
      </c>
      <c r="D5203" s="22" t="s">
        <v>162</v>
      </c>
      <c r="E5203" s="22"/>
      <c r="F5203" s="22">
        <f>C5203*E5203</f>
      </c>
    </row>
    <row r="5204">
      <c r="A5204" s="5"/>
      <c r="B5204" s="16" t="s">
        <v>1815</v>
      </c>
      <c r="C5204" s="22">
        <f>(2)*(1)*(1)*(1)*(1 + (0))</f>
      </c>
      <c r="D5204" s="22" t="s">
        <v>162</v>
      </c>
      <c r="E5204" s="22"/>
      <c r="F5204" s="22">
        <f>C5204*E5204</f>
      </c>
    </row>
    <row r="5205">
      <c r="A5205" s="5"/>
      <c r="B5205" s="16" t="s">
        <v>1503</v>
      </c>
      <c r="C5205" s="22">
        <f>(8)*(1)*(1)*(1)*(1 + (0))</f>
      </c>
      <c r="D5205" s="22" t="s">
        <v>162</v>
      </c>
      <c r="E5205" s="22"/>
      <c r="F5205" s="22">
        <f>C5205*E5205</f>
      </c>
    </row>
    <row r="5206">
      <c r="A5206" s="5"/>
      <c r="B5206" s="16" t="s">
        <v>1817</v>
      </c>
      <c r="C5206" s="22">
        <f>(9)*(1)*(1)*(1)*(1 + (0))</f>
      </c>
      <c r="D5206" s="22" t="s">
        <v>162</v>
      </c>
      <c r="E5206" s="22"/>
      <c r="F5206" s="22">
        <f>C5206*E5206</f>
      </c>
    </row>
    <row r="5207">
      <c r="A5207" s="5"/>
      <c r="B5207" s="16" t="s">
        <v>2084</v>
      </c>
      <c r="C5207" s="22">
        <f>(2)*(1)*(1)*(1)*(1 + (0))</f>
      </c>
      <c r="D5207" s="22" t="s">
        <v>162</v>
      </c>
      <c r="E5207" s="22"/>
      <c r="F5207" s="22">
        <f>C5207*E5207</f>
      </c>
    </row>
    <row r="5208">
      <c r="A5208" s="6"/>
      <c r="B5208" s="15" t="s">
        <v>1507</v>
      </c>
      <c r="C5208" s="23"/>
      <c r="D5208" s="23"/>
      <c r="E5208" s="23"/>
      <c r="F5208" s="23"/>
    </row>
    <row r="5209">
      <c r="A5209" s="5"/>
      <c r="B5209" s="16" t="s">
        <v>1818</v>
      </c>
      <c r="C5209" s="22">
        <f>(1)*(1)*(1)*(1)*(1 + (0))</f>
      </c>
      <c r="D5209" s="22" t="s">
        <v>162</v>
      </c>
      <c r="E5209" s="22"/>
      <c r="F5209" s="22">
        <f>C5209*E5209</f>
      </c>
    </row>
    <row r="5210">
      <c r="A5210" s="5"/>
      <c r="B5210" s="16" t="s">
        <v>1819</v>
      </c>
      <c r="C5210" s="22">
        <f>(1)*(1)*(1)*(1)*(1 + (0))</f>
      </c>
      <c r="D5210" s="22" t="s">
        <v>162</v>
      </c>
      <c r="E5210" s="22"/>
      <c r="F5210" s="22">
        <f>C5210*E5210</f>
      </c>
    </row>
    <row r="5211">
      <c r="A5211" s="5"/>
      <c r="B5211" s="16" t="s">
        <v>2085</v>
      </c>
      <c r="C5211" s="22">
        <f>(2)*(1)*(1)*(1)*(1 + (0))</f>
      </c>
      <c r="D5211" s="22" t="s">
        <v>162</v>
      </c>
      <c r="E5211" s="22"/>
      <c r="F5211" s="22">
        <f>C5211*E5211</f>
      </c>
    </row>
    <row r="5212">
      <c r="A5212" s="6"/>
      <c r="B5212" s="15" t="s">
        <v>1511</v>
      </c>
      <c r="C5212" s="23"/>
      <c r="D5212" s="23"/>
      <c r="E5212" s="23"/>
      <c r="F5212" s="23"/>
    </row>
    <row r="5213">
      <c r="A5213" s="5"/>
      <c r="B5213" s="16" t="s">
        <v>1512</v>
      </c>
      <c r="C5213" s="22">
        <f>(1)*(1)*(1)*(1)*(1 + (0))</f>
      </c>
      <c r="D5213" s="22" t="s">
        <v>162</v>
      </c>
      <c r="E5213" s="22"/>
      <c r="F5213" s="22">
        <f>C5213*E5213</f>
      </c>
    </row>
    <row r="5214">
      <c r="A5214" s="5"/>
      <c r="B5214" s="16" t="s">
        <v>2086</v>
      </c>
      <c r="C5214" s="22">
        <f>(2)*(1)*(1)*(1)*(1 + (0))</f>
      </c>
      <c r="D5214" s="22" t="s">
        <v>162</v>
      </c>
      <c r="E5214" s="22"/>
      <c r="F5214" s="22">
        <f>C5214*E5214</f>
      </c>
    </row>
    <row r="5215">
      <c r="A5215" s="5"/>
      <c r="B5215" s="16" t="s">
        <v>1820</v>
      </c>
      <c r="C5215" s="22">
        <f>(1)*(1)*(1)*(1)*(1 + (0))</f>
      </c>
      <c r="D5215" s="22" t="s">
        <v>162</v>
      </c>
      <c r="E5215" s="22"/>
      <c r="F5215" s="22">
        <f>C5215*E5215</f>
      </c>
    </row>
    <row r="5216">
      <c r="A5216" s="5"/>
      <c r="B5216" s="16" t="s">
        <v>2087</v>
      </c>
      <c r="C5216" s="22">
        <f>(3)*(1)*(1)*(1)*(1 + (0))</f>
      </c>
      <c r="D5216" s="22" t="s">
        <v>162</v>
      </c>
      <c r="E5216" s="22"/>
      <c r="F5216" s="22">
        <f>C5216*E5216</f>
      </c>
    </row>
    <row r="5217">
      <c r="A5217" s="6"/>
      <c r="B5217" s="15" t="s">
        <v>1516</v>
      </c>
      <c r="C5217" s="23"/>
      <c r="D5217" s="23"/>
      <c r="E5217" s="23"/>
      <c r="F5217" s="23"/>
    </row>
    <row r="5218">
      <c r="A5218" s="5"/>
      <c r="B5218" s="16" t="s">
        <v>1518</v>
      </c>
      <c r="C5218" s="22">
        <f>(10)*(1)*(1)*(1)*(1 + (0))</f>
      </c>
      <c r="D5218" s="22" t="s">
        <v>162</v>
      </c>
      <c r="E5218" s="22"/>
      <c r="F5218" s="22">
        <f>C5218*E5218</f>
      </c>
    </row>
    <row r="5219">
      <c r="A5219" s="5"/>
      <c r="B5219" s="16" t="s">
        <v>2088</v>
      </c>
      <c r="C5219" s="22">
        <f>(4)*(1)*(1)*(1)*(1 + (0))</f>
      </c>
      <c r="D5219" s="22" t="s">
        <v>162</v>
      </c>
      <c r="E5219" s="22"/>
      <c r="F5219" s="22">
        <f>C5219*E5219</f>
      </c>
    </row>
    <row r="5220">
      <c r="A5220" s="6"/>
      <c r="B5220" s="15" t="s">
        <v>1520</v>
      </c>
      <c r="C5220" s="23"/>
      <c r="D5220" s="23"/>
      <c r="E5220" s="23"/>
      <c r="F5220" s="23"/>
    </row>
    <row r="5221">
      <c r="A5221" s="5"/>
      <c r="B5221" s="16" t="s">
        <v>1521</v>
      </c>
      <c r="C5221" s="22">
        <f>(2)*(1)*(1)*(1)*(1 + (0))</f>
      </c>
      <c r="D5221" s="22" t="s">
        <v>162</v>
      </c>
      <c r="E5221" s="22"/>
      <c r="F5221" s="22">
        <f>C5221*E5221</f>
      </c>
    </row>
    <row r="5222">
      <c r="A5222" s="6"/>
      <c r="B5222" s="15" t="s">
        <v>1523</v>
      </c>
      <c r="C5222" s="23"/>
      <c r="D5222" s="23"/>
      <c r="E5222" s="23"/>
      <c r="F5222" s="23"/>
    </row>
    <row r="5223">
      <c r="A5223" s="5"/>
      <c r="B5223" s="16" t="s">
        <v>2089</v>
      </c>
      <c r="C5223" s="22">
        <f>(2)*(1)*(1)*(1)*(1 + (0))</f>
      </c>
      <c r="D5223" s="22" t="s">
        <v>162</v>
      </c>
      <c r="E5223" s="22"/>
      <c r="F5223" s="22">
        <f>C5223*E5223</f>
      </c>
    </row>
    <row r="5224">
      <c r="A5224" s="5"/>
      <c r="B5224" s="16" t="s">
        <v>2090</v>
      </c>
      <c r="C5224" s="22">
        <f>(2)*(1)*(1)*(1)*(1 + (0))</f>
      </c>
      <c r="D5224" s="22" t="s">
        <v>162</v>
      </c>
      <c r="E5224" s="22"/>
      <c r="F5224" s="22">
        <f>C5224*E5224</f>
      </c>
    </row>
    <row r="5225">
      <c r="A5225" s="4"/>
      <c r="B5225" s="12" t="s">
        <v>1527</v>
      </c>
      <c r="C5225" s="21"/>
      <c r="D5225" s="21"/>
      <c r="E5225" s="21"/>
      <c r="F5225" s="21"/>
    </row>
    <row r="5226">
      <c r="A5226" s="5"/>
      <c r="B5226" s="13" t="s">
        <v>1528</v>
      </c>
      <c r="C5226" s="22">
        <f>(2)*(1)*(1)*(1)*(1 + (0))</f>
      </c>
      <c r="D5226" s="22" t="s">
        <v>162</v>
      </c>
      <c r="E5226" s="22"/>
      <c r="F5226" s="22">
        <f>C5226*E5226</f>
      </c>
    </row>
    <row r="5227">
      <c r="A5227" s="6"/>
      <c r="B5227" s="15" t="s">
        <v>2091</v>
      </c>
      <c r="C5227" s="23"/>
      <c r="D5227" s="23"/>
      <c r="E5227" s="23"/>
      <c r="F5227" s="23"/>
    </row>
    <row r="5228">
      <c r="A5228" s="5"/>
      <c r="B5228" s="16" t="s">
        <v>2092</v>
      </c>
      <c r="C5228" s="22">
        <f>(1)*(1)*(1)*(1)*(1 + (0))</f>
      </c>
      <c r="D5228" s="22" t="s">
        <v>162</v>
      </c>
      <c r="E5228" s="22"/>
      <c r="F5228" s="22">
        <f>C5228*E5228</f>
      </c>
    </row>
    <row r="5229">
      <c r="A5229" s="5"/>
      <c r="B5229" s="16" t="s">
        <v>2093</v>
      </c>
      <c r="C5229" s="22">
        <f>(1)*(1)*(1)*(1)*(1 + (0))</f>
      </c>
      <c r="D5229" s="22" t="s">
        <v>162</v>
      </c>
      <c r="E5229" s="22"/>
      <c r="F5229" s="22">
        <f>C5229*E5229</f>
      </c>
    </row>
    <row r="5230">
      <c r="A5230" s="5"/>
      <c r="B5230" s="16" t="s">
        <v>2094</v>
      </c>
      <c r="C5230" s="22">
        <f>(1)*(1)*(1)*(1)*(1 + (0))</f>
      </c>
      <c r="D5230" s="22" t="s">
        <v>162</v>
      </c>
      <c r="E5230" s="22"/>
      <c r="F5230" s="22">
        <f>C5230*E5230</f>
      </c>
    </row>
    <row r="5231">
      <c r="A5231" s="5"/>
      <c r="B5231" s="16" t="s">
        <v>2095</v>
      </c>
      <c r="C5231" s="22">
        <f>(1)*(1)*(1)*(1)*(1 + (0))</f>
      </c>
      <c r="D5231" s="22" t="s">
        <v>162</v>
      </c>
      <c r="E5231" s="22"/>
      <c r="F5231" s="22">
        <f>C5231*E5231</f>
      </c>
    </row>
    <row r="5232">
      <c r="A5232" s="5"/>
      <c r="B5232" s="16" t="s">
        <v>2096</v>
      </c>
      <c r="C5232" s="22">
        <f>(1)*(1)*(1)*(1)*(1 + (0))</f>
      </c>
      <c r="D5232" s="22" t="s">
        <v>162</v>
      </c>
      <c r="E5232" s="22"/>
      <c r="F5232" s="22">
        <f>C5232*E5232</f>
      </c>
    </row>
    <row r="5233">
      <c r="A5233" s="5"/>
      <c r="B5233" s="16" t="s">
        <v>2097</v>
      </c>
      <c r="C5233" s="22">
        <f>(1)*(1)*(1)*(1)*(1 + (0))</f>
      </c>
      <c r="D5233" s="22" t="s">
        <v>162</v>
      </c>
      <c r="E5233" s="22"/>
      <c r="F5233" s="22">
        <f>C5233*E5233</f>
      </c>
    </row>
    <row r="5234">
      <c r="A5234" s="5"/>
      <c r="B5234" s="16" t="s">
        <v>2098</v>
      </c>
      <c r="C5234" s="22">
        <f>(1)*(1)*(1)*(1)*(1 + (0))</f>
      </c>
      <c r="D5234" s="22" t="s">
        <v>162</v>
      </c>
      <c r="E5234" s="22"/>
      <c r="F5234" s="22">
        <f>C5234*E5234</f>
      </c>
    </row>
    <row r="5235">
      <c r="A5235" s="4"/>
      <c r="B5235" s="12" t="s">
        <v>1582</v>
      </c>
      <c r="C5235" s="21"/>
      <c r="D5235" s="21"/>
      <c r="E5235" s="21"/>
      <c r="F5235" s="21"/>
    </row>
    <row r="5236">
      <c r="A5236" s="6"/>
      <c r="B5236" s="15" t="s">
        <v>2099</v>
      </c>
      <c r="C5236" s="23"/>
      <c r="D5236" s="23"/>
      <c r="E5236" s="23"/>
      <c r="F5236" s="23"/>
    </row>
    <row r="5237">
      <c r="A5237" s="5"/>
      <c r="B5237" s="16" t="s">
        <v>2100</v>
      </c>
      <c r="C5237" s="22">
        <f>(1)*(1)*(1)*(1)*(1 + (0))</f>
      </c>
      <c r="D5237" s="22" t="s">
        <v>162</v>
      </c>
      <c r="E5237" s="22"/>
      <c r="F5237" s="22">
        <f>C5237*E5237</f>
      </c>
    </row>
    <row r="5238">
      <c r="A5238" s="6"/>
      <c r="B5238" s="15" t="s">
        <v>2101</v>
      </c>
      <c r="C5238" s="23"/>
      <c r="D5238" s="23"/>
      <c r="E5238" s="23"/>
      <c r="F5238" s="23"/>
    </row>
    <row r="5239">
      <c r="A5239" s="5"/>
      <c r="B5239" s="16" t="s">
        <v>2102</v>
      </c>
      <c r="C5239" s="22">
        <f>(6)*(1)*(1)*(1)*(1 + (0))</f>
      </c>
      <c r="D5239" s="22" t="s">
        <v>162</v>
      </c>
      <c r="E5239" s="22"/>
      <c r="F5239" s="22">
        <f>C5239*E5239</f>
      </c>
    </row>
    <row r="5240">
      <c r="A5240" s="6"/>
      <c r="B5240" s="15" t="s">
        <v>2103</v>
      </c>
      <c r="C5240" s="23"/>
      <c r="D5240" s="23"/>
      <c r="E5240" s="23"/>
      <c r="F5240" s="23"/>
    </row>
    <row r="5241">
      <c r="A5241" s="5"/>
      <c r="B5241" s="16" t="s">
        <v>2104</v>
      </c>
      <c r="C5241" s="22">
        <f>(1)*(1)*(1)*(1)*(1 + (0))</f>
      </c>
      <c r="D5241" s="22" t="s">
        <v>162</v>
      </c>
      <c r="E5241" s="22"/>
      <c r="F5241" s="22">
        <f>C5241*E5241</f>
      </c>
    </row>
    <row r="5242">
      <c r="A5242" s="6"/>
      <c r="B5242" s="15" t="s">
        <v>2105</v>
      </c>
      <c r="C5242" s="23"/>
      <c r="D5242" s="23"/>
      <c r="E5242" s="23"/>
      <c r="F5242" s="23"/>
    </row>
    <row r="5243">
      <c r="A5243" s="5"/>
      <c r="B5243" s="16" t="s">
        <v>2106</v>
      </c>
      <c r="C5243" s="22">
        <f>(1)*(1)*(1)*(1)*(1 + (0))</f>
      </c>
      <c r="D5243" s="22" t="s">
        <v>162</v>
      </c>
      <c r="E5243" s="22"/>
      <c r="F5243" s="22">
        <f>C5243*E5243</f>
      </c>
    </row>
    <row r="5244">
      <c r="A5244" s="2"/>
      <c r="B5244" s="10" t="s">
        <v>1533</v>
      </c>
      <c r="C5244" s="19"/>
      <c r="D5244" s="19"/>
      <c r="E5244" s="19"/>
      <c r="F5244" s="19"/>
    </row>
    <row r="5245">
      <c r="A5245" s="3"/>
      <c r="B5245" s="11" t="s">
        <v>37</v>
      </c>
      <c r="C5245" s="20"/>
      <c r="D5245" s="20"/>
      <c r="E5245" s="20"/>
      <c r="F5245" s="20"/>
    </row>
    <row r="5246">
      <c r="A5246" s="5" t="s">
        <v>1285</v>
      </c>
      <c r="B5246" s="14" t="s">
        <v>39</v>
      </c>
      <c r="C5246" s="22"/>
      <c r="D5246" s="22" t="s">
        <v>10</v>
      </c>
      <c r="E5246" s="22"/>
      <c r="F5246" s="22">
        <f>C5246*E5246</f>
      </c>
    </row>
    <row r="5247">
      <c r="A5247" s="5" t="s">
        <v>1286</v>
      </c>
      <c r="B5247" s="14" t="s">
        <v>41</v>
      </c>
      <c r="C5247" s="22"/>
      <c r="D5247" s="22" t="s">
        <v>10</v>
      </c>
      <c r="E5247" s="22"/>
      <c r="F5247" s="22">
        <f>C5247*E5247</f>
      </c>
    </row>
    <row r="5248">
      <c r="A5248" s="3"/>
      <c r="B5248" s="11" t="s">
        <v>42</v>
      </c>
      <c r="C5248" s="20"/>
      <c r="D5248" s="20"/>
      <c r="E5248" s="20"/>
      <c r="F5248" s="20"/>
    </row>
    <row r="5249">
      <c r="A5249" s="5"/>
      <c r="B5249" s="14" t="s">
        <v>1287</v>
      </c>
      <c r="C5249" s="22"/>
      <c r="D5249" s="22" t="s">
        <v>10</v>
      </c>
      <c r="E5249" s="22"/>
      <c r="F5249" s="22">
        <f>C5249*E5249</f>
      </c>
    </row>
    <row r="5250">
      <c r="A5250" s="5"/>
      <c r="B5250" s="14" t="s">
        <v>1288</v>
      </c>
      <c r="C5250" s="22"/>
      <c r="D5250" s="22" t="s">
        <v>10</v>
      </c>
      <c r="E5250" s="22"/>
      <c r="F5250" s="22">
        <f>C5250*E5250</f>
      </c>
    </row>
    <row r="5251">
      <c r="A5251" s="5"/>
      <c r="B5251" s="14" t="s">
        <v>1289</v>
      </c>
      <c r="C5251" s="22"/>
      <c r="D5251" s="22" t="s">
        <v>10</v>
      </c>
      <c r="E5251" s="22"/>
      <c r="F5251" s="22">
        <f>C5251*E5251</f>
      </c>
    </row>
    <row r="5252">
      <c r="A5252" s="5"/>
      <c r="B5252" s="14" t="s">
        <v>1290</v>
      </c>
      <c r="C5252" s="22"/>
      <c r="D5252" s="22" t="s">
        <v>10</v>
      </c>
      <c r="E5252" s="22"/>
      <c r="F5252" s="22">
        <f>C5252*E5252</f>
      </c>
    </row>
    <row r="5253">
      <c r="A5253" s="3"/>
      <c r="B5253" s="11" t="s">
        <v>44</v>
      </c>
      <c r="C5253" s="20"/>
      <c r="D5253" s="20"/>
      <c r="E5253" s="20"/>
      <c r="F5253" s="20"/>
    </row>
    <row r="5254">
      <c r="A5254" s="4"/>
      <c r="B5254" s="12" t="s">
        <v>45</v>
      </c>
      <c r="C5254" s="21"/>
      <c r="D5254" s="21"/>
      <c r="E5254" s="21"/>
      <c r="F5254" s="21"/>
    </row>
    <row r="5255">
      <c r="A5255" s="5" t="s">
        <v>1291</v>
      </c>
      <c r="B5255" s="13" t="s">
        <v>767</v>
      </c>
      <c r="C5255" s="22"/>
      <c r="D5255" s="22" t="s">
        <v>10</v>
      </c>
      <c r="E5255" s="22"/>
      <c r="F5255" s="22">
        <f>C5255*E5255</f>
      </c>
    </row>
    <row r="5256">
      <c r="A5256" s="5" t="s">
        <v>1292</v>
      </c>
      <c r="B5256" s="13" t="s">
        <v>123</v>
      </c>
      <c r="C5256" s="22"/>
      <c r="D5256" s="22" t="s">
        <v>10</v>
      </c>
      <c r="E5256" s="22"/>
      <c r="F5256" s="22">
        <f>C5256*E5256</f>
      </c>
    </row>
    <row r="5257">
      <c r="A5257" s="3"/>
      <c r="B5257" s="11" t="s">
        <v>68</v>
      </c>
      <c r="C5257" s="20"/>
      <c r="D5257" s="20"/>
      <c r="E5257" s="20"/>
      <c r="F5257" s="20"/>
    </row>
    <row r="5258">
      <c r="A5258" s="5" t="s">
        <v>1293</v>
      </c>
      <c r="B5258" s="14" t="s">
        <v>230</v>
      </c>
      <c r="C5258" s="22">
        <f>(1)*(1)*(1)*(1)*(1 + (0))</f>
      </c>
      <c r="D5258" s="22" t="s">
        <v>71</v>
      </c>
      <c r="E5258" s="22"/>
      <c r="F5258" s="22">
        <f>C5258*E5258</f>
      </c>
    </row>
    <row r="5259">
      <c r="A5259" s="5" t="s">
        <v>1294</v>
      </c>
      <c r="B5259" s="14" t="s">
        <v>70</v>
      </c>
      <c r="C5259" s="22">
        <f>(1)*(1)*(1)*(1)*(1 + (0))</f>
      </c>
      <c r="D5259" s="22" t="s">
        <v>71</v>
      </c>
      <c r="E5259" s="22"/>
      <c r="F5259" s="22">
        <f>C5259*E5259</f>
      </c>
    </row>
    <row r="5260">
      <c r="A5260" s="5" t="s">
        <v>1295</v>
      </c>
      <c r="B5260" s="14" t="s">
        <v>906</v>
      </c>
      <c r="C5260" s="22">
        <f>(1)*(1)*(1)*(1)*(1 + (0))</f>
      </c>
      <c r="D5260" s="22" t="s">
        <v>71</v>
      </c>
      <c r="E5260" s="22"/>
      <c r="F5260" s="22">
        <f>C5260*E5260</f>
      </c>
    </row>
    <row r="5261">
      <c r="A5261" s="5" t="s">
        <v>1296</v>
      </c>
      <c r="B5261" s="14" t="s">
        <v>665</v>
      </c>
      <c r="C5261" s="22">
        <f>(1)*(1)*(1)*(1)*(1 + (0))</f>
      </c>
      <c r="D5261" s="22" t="s">
        <v>71</v>
      </c>
      <c r="E5261" s="22"/>
      <c r="F5261" s="22">
        <f>C5261*E5261</f>
      </c>
    </row>
    <row r="5262">
      <c r="A5262" s="3"/>
      <c r="B5262" s="11" t="s">
        <v>106</v>
      </c>
      <c r="C5262" s="20"/>
      <c r="D5262" s="20"/>
      <c r="E5262" s="20"/>
      <c r="F5262" s="20"/>
    </row>
    <row r="5263">
      <c r="A5263" s="5"/>
      <c r="B5263" s="14" t="s">
        <v>1455</v>
      </c>
      <c r="C5263" s="22"/>
      <c r="D5263" s="22" t="s">
        <v>1335</v>
      </c>
      <c r="E5263" s="22"/>
      <c r="F5263" s="22">
        <f>C5263*E5263</f>
      </c>
    </row>
    <row r="5264">
      <c r="A5264" s="3"/>
      <c r="B5264" s="11" t="s">
        <v>1534</v>
      </c>
      <c r="C5264" s="20"/>
      <c r="D5264" s="20"/>
      <c r="E5264" s="20"/>
      <c r="F5264" s="20"/>
    </row>
    <row r="5265">
      <c r="A5265" s="4"/>
      <c r="B5265" s="12" t="s">
        <v>1461</v>
      </c>
      <c r="C5265" s="21"/>
      <c r="D5265" s="21"/>
      <c r="E5265" s="21"/>
      <c r="F5265" s="21"/>
    </row>
    <row r="5266">
      <c r="A5266" s="6"/>
      <c r="B5266" s="15" t="s">
        <v>1535</v>
      </c>
      <c r="C5266" s="23"/>
      <c r="D5266" s="23"/>
      <c r="E5266" s="23"/>
      <c r="F5266" s="23"/>
    </row>
    <row r="5267">
      <c r="A5267" s="5"/>
      <c r="B5267" s="16" t="s">
        <v>1541</v>
      </c>
      <c r="C5267" s="22">
        <f>(2)*(1)*(1)*(1)*(1 + (0))</f>
      </c>
      <c r="D5267" s="22" t="s">
        <v>162</v>
      </c>
      <c r="E5267" s="22"/>
      <c r="F5267" s="22">
        <f>C5267*E5267</f>
      </c>
    </row>
    <row r="5268">
      <c r="A5268" s="5"/>
      <c r="B5268" s="16" t="s">
        <v>2107</v>
      </c>
      <c r="C5268" s="22">
        <f>(120)*(1)*(1)*(1)*(1 + (0))</f>
      </c>
      <c r="D5268" s="22" t="s">
        <v>162</v>
      </c>
      <c r="E5268" s="22"/>
      <c r="F5268" s="22">
        <f>C5268*E5268</f>
      </c>
    </row>
    <row r="5269">
      <c r="A5269" s="5"/>
      <c r="B5269" s="16" t="s">
        <v>2108</v>
      </c>
      <c r="C5269" s="22">
        <f>(60)*(1)*(1)*(1)*(1 + (0))</f>
      </c>
      <c r="D5269" s="22" t="s">
        <v>162</v>
      </c>
      <c r="E5269" s="22"/>
      <c r="F5269" s="22">
        <f>C5269*E5269</f>
      </c>
    </row>
    <row r="5270">
      <c r="A5270" s="6"/>
      <c r="B5270" s="15" t="s">
        <v>1553</v>
      </c>
      <c r="C5270" s="23"/>
      <c r="D5270" s="23"/>
      <c r="E5270" s="23"/>
      <c r="F5270" s="23"/>
    </row>
    <row r="5271">
      <c r="A5271" s="5"/>
      <c r="B5271" s="16" t="s">
        <v>2109</v>
      </c>
      <c r="C5271" s="22">
        <f>(2)*(1)*(1)*(1)*(1 + (0))</f>
      </c>
      <c r="D5271" s="22" t="s">
        <v>162</v>
      </c>
      <c r="E5271" s="22"/>
      <c r="F5271" s="22">
        <f>C5271*E5271</f>
      </c>
    </row>
    <row r="5272">
      <c r="A5272" s="5"/>
      <c r="B5272" s="16" t="s">
        <v>1559</v>
      </c>
      <c r="C5272" s="22">
        <f>(1)*(1)*(1)*(1)*(1 + (0))</f>
      </c>
      <c r="D5272" s="22" t="s">
        <v>162</v>
      </c>
      <c r="E5272" s="22"/>
      <c r="F5272" s="22">
        <f>C5272*E5272</f>
      </c>
    </row>
    <row r="5273">
      <c r="A5273" s="6"/>
      <c r="B5273" s="15" t="s">
        <v>1462</v>
      </c>
      <c r="C5273" s="23"/>
      <c r="D5273" s="23"/>
      <c r="E5273" s="23"/>
      <c r="F5273" s="23"/>
    </row>
    <row r="5274">
      <c r="A5274" s="5"/>
      <c r="B5274" s="16" t="s">
        <v>2110</v>
      </c>
      <c r="C5274" s="22">
        <f>(2)*(1)*(1)*(1)*(1 + (0))</f>
      </c>
      <c r="D5274" s="22" t="s">
        <v>162</v>
      </c>
      <c r="E5274" s="22"/>
      <c r="F5274" s="22">
        <f>C5274*E5274</f>
      </c>
    </row>
    <row r="5275">
      <c r="A5275" s="5"/>
      <c r="B5275" s="16" t="s">
        <v>2111</v>
      </c>
      <c r="C5275" s="22">
        <f>(2)*(1)*(1)*(1)*(1 + (0))</f>
      </c>
      <c r="D5275" s="22" t="s">
        <v>162</v>
      </c>
      <c r="E5275" s="22"/>
      <c r="F5275" s="22">
        <f>C5275*E5275</f>
      </c>
    </row>
    <row r="5276">
      <c r="A5276" s="4"/>
      <c r="B5276" s="12" t="s">
        <v>1527</v>
      </c>
      <c r="C5276" s="21"/>
      <c r="D5276" s="21"/>
      <c r="E5276" s="21"/>
      <c r="F5276" s="21"/>
    </row>
    <row r="5277">
      <c r="A5277" s="6"/>
      <c r="B5277" s="15" t="s">
        <v>2091</v>
      </c>
      <c r="C5277" s="23"/>
      <c r="D5277" s="23"/>
      <c r="E5277" s="23"/>
      <c r="F5277" s="23"/>
    </row>
    <row r="5278">
      <c r="A5278" s="5"/>
      <c r="B5278" s="16" t="s">
        <v>2112</v>
      </c>
      <c r="C5278" s="22">
        <f>(2)*(1)*(1)*(1)*(1 + (0))</f>
      </c>
      <c r="D5278" s="22" t="s">
        <v>162</v>
      </c>
      <c r="E5278" s="22"/>
      <c r="F5278" s="22">
        <f>C5278*E5278</f>
      </c>
    </row>
    <row r="5279">
      <c r="A5279" s="5"/>
      <c r="B5279" s="16" t="s">
        <v>2113</v>
      </c>
      <c r="C5279" s="22">
        <f>(1)*(1)*(1)*(1)*(1 + (0))</f>
      </c>
      <c r="D5279" s="22" t="s">
        <v>162</v>
      </c>
      <c r="E5279" s="22"/>
      <c r="F5279" s="22">
        <f>C5279*E5279</f>
      </c>
    </row>
    <row r="5280">
      <c r="A5280" s="5"/>
      <c r="B5280" s="16" t="s">
        <v>2114</v>
      </c>
      <c r="C5280" s="22">
        <f>(1)*(1)*(1)*(1)*(1 + (0))</f>
      </c>
      <c r="D5280" s="22" t="s">
        <v>162</v>
      </c>
      <c r="E5280" s="22"/>
      <c r="F5280" s="22">
        <f>C5280*E5280</f>
      </c>
    </row>
    <row r="5281">
      <c r="A5281" s="5"/>
      <c r="B5281" s="16" t="s">
        <v>2115</v>
      </c>
      <c r="C5281" s="22">
        <f>(3)*(1)*(1)*(1)*(1 + (0))</f>
      </c>
      <c r="D5281" s="22" t="s">
        <v>162</v>
      </c>
      <c r="E5281" s="22"/>
      <c r="F5281" s="22">
        <f>C5281*E5281</f>
      </c>
    </row>
    <row r="5282">
      <c r="A5282" s="5"/>
      <c r="B5282" s="16" t="s">
        <v>2116</v>
      </c>
      <c r="C5282" s="22">
        <f>(1)*(1)*(1)*(1)*(1 + (0))</f>
      </c>
      <c r="D5282" s="22" t="s">
        <v>162</v>
      </c>
      <c r="E5282" s="22"/>
      <c r="F5282" s="22">
        <f>C5282*E5282</f>
      </c>
    </row>
    <row r="5283">
      <c r="A5283" s="5"/>
      <c r="B5283" s="16" t="s">
        <v>2117</v>
      </c>
      <c r="C5283" s="22">
        <f>(3)*(1)*(1)*(1)*(1 + (0))</f>
      </c>
      <c r="D5283" s="22" t="s">
        <v>162</v>
      </c>
      <c r="E5283" s="22"/>
      <c r="F5283" s="22">
        <f>C5283*E5283</f>
      </c>
    </row>
    <row r="5284">
      <c r="A5284" s="4"/>
      <c r="B5284" s="12" t="s">
        <v>1582</v>
      </c>
      <c r="C5284" s="21"/>
      <c r="D5284" s="21"/>
      <c r="E5284" s="21"/>
      <c r="F5284" s="21"/>
    </row>
    <row r="5285">
      <c r="A5285" s="6"/>
      <c r="B5285" s="15" t="s">
        <v>2118</v>
      </c>
      <c r="C5285" s="23"/>
      <c r="D5285" s="23"/>
      <c r="E5285" s="23"/>
      <c r="F5285" s="23"/>
    </row>
    <row r="5286">
      <c r="A5286" s="5"/>
      <c r="B5286" s="16" t="s">
        <v>2119</v>
      </c>
      <c r="C5286" s="22">
        <f>(3)*(1)*(1)*(1)*(1 + (0))</f>
      </c>
      <c r="D5286" s="22" t="s">
        <v>162</v>
      </c>
      <c r="E5286" s="22"/>
      <c r="F5286" s="22">
        <f>C5286*E5286</f>
      </c>
    </row>
    <row r="5287">
      <c r="A5287" s="5"/>
      <c r="B5287" s="16" t="s">
        <v>2120</v>
      </c>
      <c r="C5287" s="22">
        <f>(1)*(1)*(1)*(1)*(1 + (0))</f>
      </c>
      <c r="D5287" s="22" t="s">
        <v>162</v>
      </c>
      <c r="E5287" s="22"/>
      <c r="F5287" s="22">
        <f>C5287*E5287</f>
      </c>
    </row>
    <row r="5288">
      <c r="A5288" s="5"/>
      <c r="B5288" s="16" t="s">
        <v>2121</v>
      </c>
      <c r="C5288" s="22">
        <f>(1)*(1)*(1)*(1)*(1 + (0))</f>
      </c>
      <c r="D5288" s="22" t="s">
        <v>162</v>
      </c>
      <c r="E5288" s="22"/>
      <c r="F5288" s="22">
        <f>C5288*E5288</f>
      </c>
    </row>
    <row r="5289">
      <c r="A5289" s="5"/>
      <c r="B5289" s="7" t="s">
        <v>1452</v>
      </c>
      <c r="C5289" s="22"/>
      <c r="D5289" s="22"/>
      <c r="E5289" s="22"/>
      <c r="F5289" s="22">
        <f>C5289*E5289</f>
      </c>
    </row>
    <row r="5290">
      <c r="A5290" s="5"/>
      <c r="B5290" s="7" t="s">
        <v>1453</v>
      </c>
      <c r="C5290" s="22"/>
      <c r="D5290" s="22"/>
      <c r="E5290" s="22"/>
      <c r="F5290" s="22">
        <f>C5290*E5290</f>
      </c>
    </row>
    <row r="5291">
      <c r="A5291" s="2"/>
      <c r="B5291" s="10" t="s">
        <v>1841</v>
      </c>
      <c r="C5291" s="19"/>
      <c r="D5291" s="19"/>
      <c r="E5291" s="19"/>
      <c r="F5291" s="19"/>
    </row>
    <row r="5292">
      <c r="A5292" s="3"/>
      <c r="B5292" s="11" t="s">
        <v>37</v>
      </c>
      <c r="C5292" s="20"/>
      <c r="D5292" s="20"/>
      <c r="E5292" s="20"/>
      <c r="F5292" s="20"/>
    </row>
    <row r="5293">
      <c r="A5293" s="5" t="s">
        <v>1285</v>
      </c>
      <c r="B5293" s="14" t="s">
        <v>39</v>
      </c>
      <c r="C5293" s="22"/>
      <c r="D5293" s="22" t="s">
        <v>10</v>
      </c>
      <c r="E5293" s="22"/>
      <c r="F5293" s="22">
        <f>C5293*E5293</f>
      </c>
    </row>
    <row r="5294">
      <c r="A5294" s="5" t="s">
        <v>1286</v>
      </c>
      <c r="B5294" s="14" t="s">
        <v>41</v>
      </c>
      <c r="C5294" s="22"/>
      <c r="D5294" s="22" t="s">
        <v>10</v>
      </c>
      <c r="E5294" s="22"/>
      <c r="F5294" s="22">
        <f>C5294*E5294</f>
      </c>
    </row>
    <row r="5295">
      <c r="A5295" s="3"/>
      <c r="B5295" s="11" t="s">
        <v>42</v>
      </c>
      <c r="C5295" s="20"/>
      <c r="D5295" s="20"/>
      <c r="E5295" s="20"/>
      <c r="F5295" s="20"/>
    </row>
    <row r="5296">
      <c r="A5296" s="5"/>
      <c r="B5296" s="14" t="s">
        <v>1287</v>
      </c>
      <c r="C5296" s="22"/>
      <c r="D5296" s="22" t="s">
        <v>10</v>
      </c>
      <c r="E5296" s="22"/>
      <c r="F5296" s="22">
        <f>C5296*E5296</f>
      </c>
    </row>
    <row r="5297">
      <c r="A5297" s="5"/>
      <c r="B5297" s="14" t="s">
        <v>1288</v>
      </c>
      <c r="C5297" s="22"/>
      <c r="D5297" s="22" t="s">
        <v>10</v>
      </c>
      <c r="E5297" s="22"/>
      <c r="F5297" s="22">
        <f>C5297*E5297</f>
      </c>
    </row>
    <row r="5298">
      <c r="A5298" s="5"/>
      <c r="B5298" s="14" t="s">
        <v>1289</v>
      </c>
      <c r="C5298" s="22"/>
      <c r="D5298" s="22" t="s">
        <v>10</v>
      </c>
      <c r="E5298" s="22"/>
      <c r="F5298" s="22">
        <f>C5298*E5298</f>
      </c>
    </row>
    <row r="5299">
      <c r="A5299" s="5"/>
      <c r="B5299" s="14" t="s">
        <v>1290</v>
      </c>
      <c r="C5299" s="22"/>
      <c r="D5299" s="22" t="s">
        <v>10</v>
      </c>
      <c r="E5299" s="22"/>
      <c r="F5299" s="22">
        <f>C5299*E5299</f>
      </c>
    </row>
    <row r="5300">
      <c r="A5300" s="3"/>
      <c r="B5300" s="11" t="s">
        <v>44</v>
      </c>
      <c r="C5300" s="20"/>
      <c r="D5300" s="20"/>
      <c r="E5300" s="20"/>
      <c r="F5300" s="20"/>
    </row>
    <row r="5301">
      <c r="A5301" s="4"/>
      <c r="B5301" s="12" t="s">
        <v>45</v>
      </c>
      <c r="C5301" s="21"/>
      <c r="D5301" s="21"/>
      <c r="E5301" s="21"/>
      <c r="F5301" s="21"/>
    </row>
    <row r="5302">
      <c r="A5302" s="5" t="s">
        <v>1291</v>
      </c>
      <c r="B5302" s="13" t="s">
        <v>767</v>
      </c>
      <c r="C5302" s="22"/>
      <c r="D5302" s="22" t="s">
        <v>10</v>
      </c>
      <c r="E5302" s="22"/>
      <c r="F5302" s="22">
        <f>C5302*E5302</f>
      </c>
    </row>
    <row r="5303">
      <c r="A5303" s="5" t="s">
        <v>1292</v>
      </c>
      <c r="B5303" s="13" t="s">
        <v>123</v>
      </c>
      <c r="C5303" s="22"/>
      <c r="D5303" s="22" t="s">
        <v>10</v>
      </c>
      <c r="E5303" s="22"/>
      <c r="F5303" s="22">
        <f>C5303*E5303</f>
      </c>
    </row>
    <row r="5304">
      <c r="A5304" s="3"/>
      <c r="B5304" s="11" t="s">
        <v>68</v>
      </c>
      <c r="C5304" s="20"/>
      <c r="D5304" s="20"/>
      <c r="E5304" s="20"/>
      <c r="F5304" s="20"/>
    </row>
    <row r="5305">
      <c r="A5305" s="5" t="s">
        <v>1293</v>
      </c>
      <c r="B5305" s="14" t="s">
        <v>230</v>
      </c>
      <c r="C5305" s="22">
        <f>(1)*(1)*(1)*(1)*(1 + (0))</f>
      </c>
      <c r="D5305" s="22" t="s">
        <v>71</v>
      </c>
      <c r="E5305" s="22"/>
      <c r="F5305" s="22">
        <f>C5305*E5305</f>
      </c>
    </row>
    <row r="5306">
      <c r="A5306" s="5" t="s">
        <v>1294</v>
      </c>
      <c r="B5306" s="14" t="s">
        <v>70</v>
      </c>
      <c r="C5306" s="22">
        <f>(1)*(1)*(1)*(1)*(1 + (0))</f>
      </c>
      <c r="D5306" s="22" t="s">
        <v>71</v>
      </c>
      <c r="E5306" s="22"/>
      <c r="F5306" s="22">
        <f>C5306*E5306</f>
      </c>
    </row>
    <row r="5307">
      <c r="A5307" s="5" t="s">
        <v>1295</v>
      </c>
      <c r="B5307" s="14" t="s">
        <v>906</v>
      </c>
      <c r="C5307" s="22">
        <f>(1)*(1)*(1)*(1)*(1 + (0))</f>
      </c>
      <c r="D5307" s="22" t="s">
        <v>71</v>
      </c>
      <c r="E5307" s="22"/>
      <c r="F5307" s="22">
        <f>C5307*E5307</f>
      </c>
    </row>
    <row r="5308">
      <c r="A5308" s="5" t="s">
        <v>1296</v>
      </c>
      <c r="B5308" s="14" t="s">
        <v>665</v>
      </c>
      <c r="C5308" s="22">
        <f>(1)*(1)*(1)*(1)*(1 + (0))</f>
      </c>
      <c r="D5308" s="22" t="s">
        <v>71</v>
      </c>
      <c r="E5308" s="22"/>
      <c r="F5308" s="22">
        <f>C5308*E5308</f>
      </c>
    </row>
    <row r="5309">
      <c r="A5309" s="3"/>
      <c r="B5309" s="11" t="s">
        <v>1587</v>
      </c>
      <c r="C5309" s="20"/>
      <c r="D5309" s="20"/>
      <c r="E5309" s="20"/>
      <c r="F5309" s="20"/>
    </row>
    <row r="5310">
      <c r="A5310" s="4"/>
      <c r="B5310" s="12" t="s">
        <v>1461</v>
      </c>
      <c r="C5310" s="21"/>
      <c r="D5310" s="21"/>
      <c r="E5310" s="21"/>
      <c r="F5310" s="21"/>
    </row>
    <row r="5311">
      <c r="A5311" s="6"/>
      <c r="B5311" s="15" t="s">
        <v>1462</v>
      </c>
      <c r="C5311" s="23"/>
      <c r="D5311" s="23"/>
      <c r="E5311" s="23"/>
      <c r="F5311" s="23"/>
    </row>
    <row r="5312">
      <c r="A5312" s="5"/>
      <c r="B5312" s="16" t="s">
        <v>2122</v>
      </c>
      <c r="C5312" s="22">
        <f>(1)*(1)*(1)*(1)*(1 + (0))</f>
      </c>
      <c r="D5312" s="22" t="s">
        <v>162</v>
      </c>
      <c r="E5312" s="22"/>
      <c r="F5312" s="22">
        <f>C5312*E5312</f>
      </c>
    </row>
    <row r="5313">
      <c r="A5313" s="5"/>
      <c r="B5313" s="16" t="s">
        <v>2123</v>
      </c>
      <c r="C5313" s="22">
        <f>(1)*(1)*(1)*(1)*(1 + (0))</f>
      </c>
      <c r="D5313" s="22" t="s">
        <v>162</v>
      </c>
      <c r="E5313" s="22"/>
      <c r="F5313" s="22">
        <f>C5313*E5313</f>
      </c>
    </row>
    <row r="5314">
      <c r="A5314" s="4"/>
      <c r="B5314" s="12" t="s">
        <v>1582</v>
      </c>
      <c r="C5314" s="21"/>
      <c r="D5314" s="21"/>
      <c r="E5314" s="21"/>
      <c r="F5314" s="21"/>
    </row>
    <row r="5315">
      <c r="A5315" s="5"/>
      <c r="B5315" s="13" t="s">
        <v>2124</v>
      </c>
      <c r="C5315" s="22">
        <f>(1)*(1)*(1)*(1)*(1 + (0))</f>
      </c>
      <c r="D5315" s="22" t="s">
        <v>162</v>
      </c>
      <c r="E5315" s="22"/>
      <c r="F5315" s="22">
        <f>C5315*E5315</f>
      </c>
    </row>
    <row r="5316">
      <c r="A5316" s="5"/>
      <c r="B5316" s="7"/>
      <c r="C5316" s="22"/>
      <c r="D5316" s="22"/>
      <c r="E5316" s="22"/>
      <c r="F5316" s="22">
        <f>C5316*E5316</f>
      </c>
    </row>
    <row r="5317">
      <c r="A5317" s="5"/>
      <c r="B5317" s="7"/>
      <c r="C5317" s="22"/>
      <c r="D5317" s="22"/>
      <c r="E5317" s="22"/>
      <c r="F5317" s="22">
        <f>C5317*E5317</f>
      </c>
    </row>
    <row r="5318">
      <c r="A5318" s="5"/>
      <c r="B5318" s="7" t="s">
        <v>31</v>
      </c>
      <c r="C5318" s="22"/>
      <c r="D5318" s="22"/>
      <c r="E5318" s="22"/>
      <c r="F5318" s="22">
        <f>C5318*E5318</f>
      </c>
    </row>
    <row r="5319">
      <c r="A5319" s="2"/>
      <c r="B5319" s="10" t="s">
        <v>36</v>
      </c>
      <c r="C5319" s="19"/>
      <c r="D5319" s="19"/>
      <c r="E5319" s="19"/>
      <c r="F5319" s="19"/>
    </row>
    <row r="5320">
      <c r="A5320" s="3"/>
      <c r="B5320" s="11" t="s">
        <v>37</v>
      </c>
      <c r="C5320" s="20"/>
      <c r="D5320" s="20"/>
      <c r="E5320" s="20"/>
      <c r="F5320" s="20"/>
    </row>
    <row r="5321">
      <c r="A5321" s="5" t="s">
        <v>38</v>
      </c>
      <c r="B5321" s="14" t="s">
        <v>39</v>
      </c>
      <c r="C5321" s="22"/>
      <c r="D5321" s="22" t="s">
        <v>10</v>
      </c>
      <c r="E5321" s="22"/>
      <c r="F5321" s="22">
        <f>C5321*E5321</f>
      </c>
    </row>
    <row r="5322">
      <c r="A5322" s="5" t="s">
        <v>40</v>
      </c>
      <c r="B5322" s="14" t="s">
        <v>41</v>
      </c>
      <c r="C5322" s="22"/>
      <c r="D5322" s="22" t="s">
        <v>10</v>
      </c>
      <c r="E5322" s="22"/>
      <c r="F5322" s="22">
        <f>C5322*E5322</f>
      </c>
    </row>
    <row r="5323">
      <c r="A5323" s="3"/>
      <c r="B5323" s="11" t="s">
        <v>42</v>
      </c>
      <c r="C5323" s="20"/>
      <c r="D5323" s="20"/>
      <c r="E5323" s="20"/>
      <c r="F5323" s="20"/>
    </row>
    <row r="5324">
      <c r="A5324" s="5"/>
      <c r="B5324" s="14" t="s">
        <v>636</v>
      </c>
      <c r="C5324" s="22"/>
      <c r="D5324" s="22" t="s">
        <v>10</v>
      </c>
      <c r="E5324" s="22"/>
      <c r="F5324" s="22">
        <f>C5324*E5324</f>
      </c>
    </row>
    <row r="5325">
      <c r="A5325" s="3"/>
      <c r="B5325" s="11" t="s">
        <v>44</v>
      </c>
      <c r="C5325" s="20"/>
      <c r="D5325" s="20"/>
      <c r="E5325" s="20"/>
      <c r="F5325" s="20"/>
    </row>
    <row r="5326">
      <c r="A5326" s="4"/>
      <c r="B5326" s="12" t="s">
        <v>45</v>
      </c>
      <c r="C5326" s="21"/>
      <c r="D5326" s="21"/>
      <c r="E5326" s="21"/>
      <c r="F5326" s="21"/>
    </row>
    <row r="5327">
      <c r="A5327" s="5" t="s">
        <v>46</v>
      </c>
      <c r="B5327" s="13" t="s">
        <v>47</v>
      </c>
      <c r="C5327" s="22"/>
      <c r="D5327" s="22" t="s">
        <v>10</v>
      </c>
      <c r="E5327" s="22"/>
      <c r="F5327" s="22">
        <f>C5327*E5327</f>
      </c>
    </row>
    <row r="5328">
      <c r="A5328" s="5" t="s">
        <v>48</v>
      </c>
      <c r="B5328" s="13" t="s">
        <v>49</v>
      </c>
      <c r="C5328" s="22"/>
      <c r="D5328" s="22" t="s">
        <v>10</v>
      </c>
      <c r="E5328" s="22"/>
      <c r="F5328" s="22">
        <f>C5328*E5328</f>
      </c>
    </row>
    <row r="5329">
      <c r="A5329" s="5" t="s">
        <v>50</v>
      </c>
      <c r="B5329" s="13" t="s">
        <v>51</v>
      </c>
      <c r="C5329" s="22"/>
      <c r="D5329" s="22" t="s">
        <v>10</v>
      </c>
      <c r="E5329" s="22"/>
      <c r="F5329" s="22">
        <f>C5329*E5329</f>
      </c>
    </row>
    <row r="5330">
      <c r="A5330" s="5" t="s">
        <v>52</v>
      </c>
      <c r="B5330" s="13" t="s">
        <v>53</v>
      </c>
      <c r="C5330" s="22"/>
      <c r="D5330" s="22" t="s">
        <v>10</v>
      </c>
      <c r="E5330" s="22"/>
      <c r="F5330" s="22">
        <f>C5330*E5330</f>
      </c>
    </row>
    <row r="5331">
      <c r="A5331" s="5" t="s">
        <v>54</v>
      </c>
      <c r="B5331" s="13" t="s">
        <v>55</v>
      </c>
      <c r="C5331" s="22"/>
      <c r="D5331" s="22" t="s">
        <v>10</v>
      </c>
      <c r="E5331" s="22"/>
      <c r="F5331" s="22">
        <f>C5331*E5331</f>
      </c>
    </row>
    <row r="5332">
      <c r="A5332" s="5" t="s">
        <v>56</v>
      </c>
      <c r="B5332" s="13" t="s">
        <v>57</v>
      </c>
      <c r="C5332" s="22"/>
      <c r="D5332" s="22" t="s">
        <v>10</v>
      </c>
      <c r="E5332" s="22"/>
      <c r="F5332" s="22">
        <f>C5332*E5332</f>
      </c>
    </row>
    <row r="5333">
      <c r="A5333" s="5" t="s">
        <v>58</v>
      </c>
      <c r="B5333" s="13" t="s">
        <v>59</v>
      </c>
      <c r="C5333" s="22"/>
      <c r="D5333" s="22" t="s">
        <v>10</v>
      </c>
      <c r="E5333" s="22"/>
      <c r="F5333" s="22">
        <f>C5333*E5333</f>
      </c>
    </row>
    <row r="5334">
      <c r="A5334" s="5" t="s">
        <v>60</v>
      </c>
      <c r="B5334" s="13" t="s">
        <v>61</v>
      </c>
      <c r="C5334" s="22"/>
      <c r="D5334" s="22" t="s">
        <v>10</v>
      </c>
      <c r="E5334" s="22"/>
      <c r="F5334" s="22">
        <f>C5334*E5334</f>
      </c>
    </row>
    <row r="5335">
      <c r="A5335" s="5" t="s">
        <v>62</v>
      </c>
      <c r="B5335" s="13" t="s">
        <v>63</v>
      </c>
      <c r="C5335" s="22"/>
      <c r="D5335" s="22" t="s">
        <v>10</v>
      </c>
      <c r="E5335" s="22"/>
      <c r="F5335" s="22">
        <f>C5335*E5335</f>
      </c>
    </row>
    <row r="5336">
      <c r="A5336" s="5" t="s">
        <v>64</v>
      </c>
      <c r="B5336" s="13" t="s">
        <v>65</v>
      </c>
      <c r="C5336" s="22"/>
      <c r="D5336" s="22" t="s">
        <v>10</v>
      </c>
      <c r="E5336" s="22"/>
      <c r="F5336" s="22">
        <f>C5336*E5336</f>
      </c>
    </row>
    <row r="5337">
      <c r="A5337" s="5" t="s">
        <v>66</v>
      </c>
      <c r="B5337" s="13" t="s">
        <v>67</v>
      </c>
      <c r="C5337" s="22"/>
      <c r="D5337" s="22" t="s">
        <v>10</v>
      </c>
      <c r="E5337" s="22"/>
      <c r="F5337" s="22">
        <f>C5337*E5337</f>
      </c>
    </row>
    <row r="5338">
      <c r="A5338" s="3"/>
      <c r="B5338" s="11" t="s">
        <v>68</v>
      </c>
      <c r="C5338" s="20"/>
      <c r="D5338" s="20"/>
      <c r="E5338" s="20"/>
      <c r="F5338" s="20"/>
    </row>
    <row r="5339">
      <c r="A5339" s="5" t="s">
        <v>69</v>
      </c>
      <c r="B5339" s="14" t="s">
        <v>70</v>
      </c>
      <c r="C5339" s="22">
        <f>(1)*(1)*(1)*(1)*(1 + (0))</f>
      </c>
      <c r="D5339" s="22" t="s">
        <v>71</v>
      </c>
      <c r="E5339" s="22"/>
      <c r="F5339" s="22">
        <f>C5339*E5339</f>
      </c>
    </row>
    <row r="5340">
      <c r="A5340" s="5" t="s">
        <v>72</v>
      </c>
      <c r="B5340" s="14" t="s">
        <v>73</v>
      </c>
      <c r="C5340" s="22">
        <f>(1)*(1)*(1)*(1)*(1 + (0))</f>
      </c>
      <c r="D5340" s="22" t="s">
        <v>71</v>
      </c>
      <c r="E5340" s="22"/>
      <c r="F5340" s="22">
        <f>C5340*E5340</f>
      </c>
    </row>
    <row r="5341">
      <c r="A5341" s="5" t="s">
        <v>74</v>
      </c>
      <c r="B5341" s="14" t="s">
        <v>75</v>
      </c>
      <c r="C5341" s="22">
        <f>(1)*(1)*(1)*(1)*(1 + (0))</f>
      </c>
      <c r="D5341" s="22" t="s">
        <v>71</v>
      </c>
      <c r="E5341" s="22"/>
      <c r="F5341" s="22">
        <f>C5341*E5341</f>
      </c>
    </row>
    <row r="5342">
      <c r="A5342" s="5" t="s">
        <v>76</v>
      </c>
      <c r="B5342" s="14" t="s">
        <v>77</v>
      </c>
      <c r="C5342" s="22">
        <f>(1)*(1)*(1)*(1)*(1 + (0))</f>
      </c>
      <c r="D5342" s="22" t="s">
        <v>71</v>
      </c>
      <c r="E5342" s="22"/>
      <c r="F5342" s="22">
        <f>C5342*E5342</f>
      </c>
    </row>
    <row r="5343">
      <c r="A5343" s="5" t="s">
        <v>78</v>
      </c>
      <c r="B5343" s="14" t="s">
        <v>79</v>
      </c>
      <c r="C5343" s="22">
        <f>(1)*(1)*(1)*(1)*(1 + (0))</f>
      </c>
      <c r="D5343" s="22" t="s">
        <v>71</v>
      </c>
      <c r="E5343" s="22"/>
      <c r="F5343" s="22">
        <f>C5343*E5343</f>
      </c>
    </row>
    <row r="5344">
      <c r="A5344" s="5" t="s">
        <v>80</v>
      </c>
      <c r="B5344" s="14" t="s">
        <v>81</v>
      </c>
      <c r="C5344" s="22">
        <f>(1)*(1)*(1)*(1)*(1 + (0))</f>
      </c>
      <c r="D5344" s="22" t="s">
        <v>71</v>
      </c>
      <c r="E5344" s="22"/>
      <c r="F5344" s="22">
        <f>C5344*E5344</f>
      </c>
    </row>
    <row r="5345">
      <c r="A5345" s="5" t="s">
        <v>82</v>
      </c>
      <c r="B5345" s="14" t="s">
        <v>83</v>
      </c>
      <c r="C5345" s="22">
        <f>(1)*(1)*(1)*(1)*(1 + (0))</f>
      </c>
      <c r="D5345" s="22" t="s">
        <v>71</v>
      </c>
      <c r="E5345" s="22"/>
      <c r="F5345" s="22">
        <f>C5345*E5345</f>
      </c>
    </row>
    <row r="5346">
      <c r="A5346" s="5" t="s">
        <v>84</v>
      </c>
      <c r="B5346" s="14" t="s">
        <v>85</v>
      </c>
      <c r="C5346" s="22">
        <f>(1)*(1)*(1)*(1)*(1 + (0))</f>
      </c>
      <c r="D5346" s="22" t="s">
        <v>71</v>
      </c>
      <c r="E5346" s="22"/>
      <c r="F5346" s="22">
        <f>C5346*E5346</f>
      </c>
    </row>
    <row r="5347">
      <c r="A5347" s="5" t="s">
        <v>86</v>
      </c>
      <c r="B5347" s="14" t="s">
        <v>87</v>
      </c>
      <c r="C5347" s="22">
        <f>(1)*(1)*(1)*(1)*(1 + (0))</f>
      </c>
      <c r="D5347" s="22" t="s">
        <v>71</v>
      </c>
      <c r="E5347" s="22"/>
      <c r="F5347" s="22">
        <f>C5347*E5347</f>
      </c>
    </row>
    <row r="5348">
      <c r="A5348" s="5" t="s">
        <v>88</v>
      </c>
      <c r="B5348" s="14" t="s">
        <v>89</v>
      </c>
      <c r="C5348" s="22">
        <f>(1)*(1)*(1)*(1)*(1 + (0))</f>
      </c>
      <c r="D5348" s="22" t="s">
        <v>71</v>
      </c>
      <c r="E5348" s="22"/>
      <c r="F5348" s="22">
        <f>C5348*E5348</f>
      </c>
    </row>
    <row r="5349">
      <c r="A5349" s="5" t="s">
        <v>90</v>
      </c>
      <c r="B5349" s="14" t="s">
        <v>91</v>
      </c>
      <c r="C5349" s="22">
        <f>(1)*(1)*(1)*(1)*(1 + (0))</f>
      </c>
      <c r="D5349" s="22" t="s">
        <v>71</v>
      </c>
      <c r="E5349" s="22"/>
      <c r="F5349" s="22">
        <f>C5349*E5349</f>
      </c>
    </row>
    <row r="5350">
      <c r="A5350" s="5" t="s">
        <v>92</v>
      </c>
      <c r="B5350" s="14" t="s">
        <v>93</v>
      </c>
      <c r="C5350" s="22">
        <f>(1)*(1)*(1)*(1)*(1 + (0))</f>
      </c>
      <c r="D5350" s="22" t="s">
        <v>71</v>
      </c>
      <c r="E5350" s="22"/>
      <c r="F5350" s="22">
        <f>C5350*E5350</f>
      </c>
    </row>
    <row r="5351">
      <c r="A5351" s="5" t="s">
        <v>94</v>
      </c>
      <c r="B5351" s="14" t="s">
        <v>95</v>
      </c>
      <c r="C5351" s="22">
        <f>(1)*(1)*(1)*(1)*(1 + (0))</f>
      </c>
      <c r="D5351" s="22" t="s">
        <v>71</v>
      </c>
      <c r="E5351" s="22"/>
      <c r="F5351" s="22">
        <f>C5351*E5351</f>
      </c>
    </row>
    <row r="5352">
      <c r="A5352" s="5" t="s">
        <v>96</v>
      </c>
      <c r="B5352" s="14" t="s">
        <v>97</v>
      </c>
      <c r="C5352" s="22">
        <f>(1)*(1)*(1)*(1)*(1 + (0))</f>
      </c>
      <c r="D5352" s="22" t="s">
        <v>71</v>
      </c>
      <c r="E5352" s="22"/>
      <c r="F5352" s="22">
        <f>C5352*E5352</f>
      </c>
    </row>
    <row r="5353">
      <c r="A5353" s="5" t="s">
        <v>98</v>
      </c>
      <c r="B5353" s="14" t="s">
        <v>99</v>
      </c>
      <c r="C5353" s="22">
        <f>(1)*(1)*(1)*(1)*(1 + (0))</f>
      </c>
      <c r="D5353" s="22" t="s">
        <v>71</v>
      </c>
      <c r="E5353" s="22"/>
      <c r="F5353" s="22">
        <f>C5353*E5353</f>
      </c>
    </row>
    <row r="5354">
      <c r="A5354" s="5" t="s">
        <v>100</v>
      </c>
      <c r="B5354" s="14" t="s">
        <v>101</v>
      </c>
      <c r="C5354" s="22">
        <f>(1)*(1)*(1)*(1)*(1 + (0))</f>
      </c>
      <c r="D5354" s="22" t="s">
        <v>71</v>
      </c>
      <c r="E5354" s="22"/>
      <c r="F5354" s="22">
        <f>C5354*E5354</f>
      </c>
    </row>
    <row r="5355">
      <c r="A5355" s="5" t="s">
        <v>102</v>
      </c>
      <c r="B5355" s="14" t="s">
        <v>103</v>
      </c>
      <c r="C5355" s="22">
        <f>(1)*(1)*(1)*(1)*(1 + (0))</f>
      </c>
      <c r="D5355" s="22" t="s">
        <v>71</v>
      </c>
      <c r="E5355" s="22"/>
      <c r="F5355" s="22">
        <f>C5355*E5355</f>
      </c>
    </row>
    <row r="5356">
      <c r="A5356" s="5" t="s">
        <v>104</v>
      </c>
      <c r="B5356" s="14" t="s">
        <v>105</v>
      </c>
      <c r="C5356" s="22">
        <f>(1)*(1)*(1)*(1)*(1 + (0))</f>
      </c>
      <c r="D5356" s="22" t="s">
        <v>71</v>
      </c>
      <c r="E5356" s="22"/>
      <c r="F5356" s="22">
        <f>C5356*E5356</f>
      </c>
    </row>
    <row r="5357">
      <c r="A5357" s="3"/>
      <c r="B5357" s="11" t="s">
        <v>106</v>
      </c>
      <c r="C5357" s="20"/>
      <c r="D5357" s="20"/>
      <c r="E5357" s="20"/>
      <c r="F5357" s="20"/>
    </row>
    <row r="5358">
      <c r="A5358" s="5"/>
      <c r="B5358" s="14" t="s">
        <v>107</v>
      </c>
      <c r="C5358" s="22"/>
      <c r="D5358" s="22" t="s">
        <v>10</v>
      </c>
      <c r="E5358" s="22"/>
      <c r="F5358" s="22">
        <f>C5358*E5358</f>
      </c>
    </row>
    <row r="5359">
      <c r="A5359" s="3"/>
      <c r="B5359" s="11" t="s">
        <v>108</v>
      </c>
      <c r="C5359" s="20"/>
      <c r="D5359" s="20"/>
      <c r="E5359" s="20"/>
      <c r="F5359" s="20"/>
    </row>
    <row r="5360">
      <c r="A5360" s="4"/>
      <c r="B5360" s="12" t="s">
        <v>109</v>
      </c>
      <c r="C5360" s="21"/>
      <c r="D5360" s="21"/>
      <c r="E5360" s="21"/>
      <c r="F5360" s="21"/>
    </row>
    <row r="5361">
      <c r="A5361" s="5"/>
      <c r="B5361" s="13" t="s">
        <v>114</v>
      </c>
      <c r="C5361" s="22">
        <f>(49)*(1)*(1)*(1)*(1 + (0))</f>
      </c>
      <c r="D5361" s="22" t="s">
        <v>111</v>
      </c>
      <c r="E5361" s="22"/>
      <c r="F5361" s="22">
        <f>C5361*E5361</f>
      </c>
    </row>
    <row r="5362">
      <c r="A5362" s="2"/>
      <c r="B5362" s="10" t="s">
        <v>207</v>
      </c>
      <c r="C5362" s="19"/>
      <c r="D5362" s="19"/>
      <c r="E5362" s="19"/>
      <c r="F5362" s="19"/>
    </row>
    <row r="5363">
      <c r="A5363" s="3"/>
      <c r="B5363" s="11" t="s">
        <v>37</v>
      </c>
      <c r="C5363" s="20"/>
      <c r="D5363" s="20"/>
      <c r="E5363" s="20"/>
      <c r="F5363" s="20"/>
    </row>
    <row r="5364">
      <c r="A5364" s="5" t="s">
        <v>208</v>
      </c>
      <c r="B5364" s="14" t="s">
        <v>39</v>
      </c>
      <c r="C5364" s="22"/>
      <c r="D5364" s="22" t="s">
        <v>10</v>
      </c>
      <c r="E5364" s="22"/>
      <c r="F5364" s="22">
        <f>C5364*E5364</f>
      </c>
    </row>
    <row r="5365">
      <c r="A5365" s="5" t="s">
        <v>209</v>
      </c>
      <c r="B5365" s="14" t="s">
        <v>41</v>
      </c>
      <c r="C5365" s="22"/>
      <c r="D5365" s="22" t="s">
        <v>10</v>
      </c>
      <c r="E5365" s="22"/>
      <c r="F5365" s="22">
        <f>C5365*E5365</f>
      </c>
    </row>
    <row r="5366">
      <c r="A5366" s="3"/>
      <c r="B5366" s="11" t="s">
        <v>42</v>
      </c>
      <c r="C5366" s="20"/>
      <c r="D5366" s="20"/>
      <c r="E5366" s="20"/>
      <c r="F5366" s="20"/>
    </row>
    <row r="5367">
      <c r="A5367" s="5"/>
      <c r="B5367" s="14" t="s">
        <v>118</v>
      </c>
      <c r="C5367" s="22"/>
      <c r="D5367" s="22" t="s">
        <v>10</v>
      </c>
      <c r="E5367" s="22"/>
      <c r="F5367" s="22">
        <f>C5367*E5367</f>
      </c>
    </row>
    <row r="5368">
      <c r="A5368" s="5"/>
      <c r="B5368" s="14" t="s">
        <v>636</v>
      </c>
      <c r="C5368" s="22"/>
      <c r="D5368" s="22" t="s">
        <v>10</v>
      </c>
      <c r="E5368" s="22"/>
      <c r="F5368" s="22">
        <f>C5368*E5368</f>
      </c>
    </row>
    <row r="5369">
      <c r="A5369" s="5"/>
      <c r="B5369" s="14" t="s">
        <v>210</v>
      </c>
      <c r="C5369" s="22"/>
      <c r="D5369" s="22" t="s">
        <v>10</v>
      </c>
      <c r="E5369" s="22"/>
      <c r="F5369" s="22">
        <f>C5369*E5369</f>
      </c>
    </row>
    <row r="5370">
      <c r="A5370" s="3"/>
      <c r="B5370" s="11" t="s">
        <v>44</v>
      </c>
      <c r="C5370" s="20"/>
      <c r="D5370" s="20"/>
      <c r="E5370" s="20"/>
      <c r="F5370" s="20"/>
    </row>
    <row r="5371">
      <c r="A5371" s="4"/>
      <c r="B5371" s="12" t="s">
        <v>45</v>
      </c>
      <c r="C5371" s="21"/>
      <c r="D5371" s="21"/>
      <c r="E5371" s="21"/>
      <c r="F5371" s="21"/>
    </row>
    <row r="5372">
      <c r="A5372" s="5" t="s">
        <v>211</v>
      </c>
      <c r="B5372" s="13" t="s">
        <v>212</v>
      </c>
      <c r="C5372" s="22"/>
      <c r="D5372" s="22" t="s">
        <v>10</v>
      </c>
      <c r="E5372" s="22"/>
      <c r="F5372" s="22">
        <f>C5372*E5372</f>
      </c>
    </row>
    <row r="5373">
      <c r="A5373" s="5" t="s">
        <v>213</v>
      </c>
      <c r="B5373" s="13" t="s">
        <v>214</v>
      </c>
      <c r="C5373" s="22"/>
      <c r="D5373" s="22" t="s">
        <v>10</v>
      </c>
      <c r="E5373" s="22"/>
      <c r="F5373" s="22">
        <f>C5373*E5373</f>
      </c>
    </row>
    <row r="5374">
      <c r="A5374" s="5" t="s">
        <v>215</v>
      </c>
      <c r="B5374" s="13" t="s">
        <v>216</v>
      </c>
      <c r="C5374" s="22"/>
      <c r="D5374" s="22" t="s">
        <v>10</v>
      </c>
      <c r="E5374" s="22"/>
      <c r="F5374" s="22">
        <f>C5374*E5374</f>
      </c>
    </row>
    <row r="5375">
      <c r="A5375" s="5" t="s">
        <v>217</v>
      </c>
      <c r="B5375" s="13" t="s">
        <v>218</v>
      </c>
      <c r="C5375" s="22"/>
      <c r="D5375" s="22" t="s">
        <v>10</v>
      </c>
      <c r="E5375" s="22"/>
      <c r="F5375" s="22">
        <f>C5375*E5375</f>
      </c>
    </row>
    <row r="5376">
      <c r="A5376" s="5" t="s">
        <v>219</v>
      </c>
      <c r="B5376" s="13" t="s">
        <v>220</v>
      </c>
      <c r="C5376" s="22"/>
      <c r="D5376" s="22" t="s">
        <v>10</v>
      </c>
      <c r="E5376" s="22"/>
      <c r="F5376" s="22">
        <f>C5376*E5376</f>
      </c>
    </row>
    <row r="5377">
      <c r="A5377" s="5" t="s">
        <v>221</v>
      </c>
      <c r="B5377" s="13" t="s">
        <v>123</v>
      </c>
      <c r="C5377" s="22"/>
      <c r="D5377" s="22" t="s">
        <v>10</v>
      </c>
      <c r="E5377" s="22"/>
      <c r="F5377" s="22">
        <f>C5377*E5377</f>
      </c>
    </row>
    <row r="5378">
      <c r="A5378" s="3"/>
      <c r="B5378" s="11" t="s">
        <v>68</v>
      </c>
      <c r="C5378" s="20"/>
      <c r="D5378" s="20"/>
      <c r="E5378" s="20"/>
      <c r="F5378" s="20"/>
    </row>
    <row r="5379">
      <c r="A5379" s="5" t="s">
        <v>222</v>
      </c>
      <c r="B5379" s="14" t="s">
        <v>223</v>
      </c>
      <c r="C5379" s="22">
        <f>(1)*(1)*(1)*(1)*(1 + (0))</f>
      </c>
      <c r="D5379" s="22" t="s">
        <v>71</v>
      </c>
      <c r="E5379" s="22"/>
      <c r="F5379" s="22">
        <f>C5379*E5379</f>
      </c>
    </row>
    <row r="5380">
      <c r="A5380" s="5" t="s">
        <v>224</v>
      </c>
      <c r="B5380" s="14" t="s">
        <v>70</v>
      </c>
      <c r="C5380" s="22">
        <f>(1)*(1)*(1)*(1)*(1 + (0))</f>
      </c>
      <c r="D5380" s="22" t="s">
        <v>71</v>
      </c>
      <c r="E5380" s="22"/>
      <c r="F5380" s="22">
        <f>C5380*E5380</f>
      </c>
    </row>
    <row r="5381">
      <c r="A5381" s="5" t="s">
        <v>225</v>
      </c>
      <c r="B5381" s="14" t="s">
        <v>73</v>
      </c>
      <c r="C5381" s="22">
        <f>(1)*(1)*(1)*(1)*(1 + (0))</f>
      </c>
      <c r="D5381" s="22" t="s">
        <v>71</v>
      </c>
      <c r="E5381" s="22"/>
      <c r="F5381" s="22">
        <f>C5381*E5381</f>
      </c>
    </row>
    <row r="5382">
      <c r="A5382" s="5" t="s">
        <v>226</v>
      </c>
      <c r="B5382" s="14" t="s">
        <v>134</v>
      </c>
      <c r="C5382" s="22">
        <f>(1)*(1)*(1)*(1)*(1 + (0))</f>
      </c>
      <c r="D5382" s="22" t="s">
        <v>71</v>
      </c>
      <c r="E5382" s="22"/>
      <c r="F5382" s="22">
        <f>C5382*E5382</f>
      </c>
    </row>
    <row r="5383">
      <c r="A5383" s="5" t="s">
        <v>227</v>
      </c>
      <c r="B5383" s="14" t="s">
        <v>228</v>
      </c>
      <c r="C5383" s="22">
        <f>(1)*(1)*(1)*(1)*(1 + (0))</f>
      </c>
      <c r="D5383" s="22" t="s">
        <v>71</v>
      </c>
      <c r="E5383" s="22"/>
      <c r="F5383" s="22">
        <f>C5383*E5383</f>
      </c>
    </row>
    <row r="5384">
      <c r="A5384" s="5" t="s">
        <v>229</v>
      </c>
      <c r="B5384" s="14" t="s">
        <v>230</v>
      </c>
      <c r="C5384" s="22">
        <f>(1)*(1)*(1)*(1)*(1 + (0))</f>
      </c>
      <c r="D5384" s="22" t="s">
        <v>71</v>
      </c>
      <c r="E5384" s="22"/>
      <c r="F5384" s="22">
        <f>C5384*E5384</f>
      </c>
    </row>
    <row r="5385">
      <c r="A5385" s="5" t="s">
        <v>231</v>
      </c>
      <c r="B5385" s="14" t="s">
        <v>232</v>
      </c>
      <c r="C5385" s="22">
        <f>(1)*(1)*(1)*(1)*(1 + (0))</f>
      </c>
      <c r="D5385" s="22" t="s">
        <v>71</v>
      </c>
      <c r="E5385" s="22"/>
      <c r="F5385" s="22">
        <f>C5385*E5385</f>
      </c>
    </row>
    <row r="5386">
      <c r="A5386" s="5" t="s">
        <v>233</v>
      </c>
      <c r="B5386" s="14" t="s">
        <v>234</v>
      </c>
      <c r="C5386" s="22">
        <f>(1)*(1)*(1)*(1)*(1 + (0))</f>
      </c>
      <c r="D5386" s="22" t="s">
        <v>71</v>
      </c>
      <c r="E5386" s="22"/>
      <c r="F5386" s="22">
        <f>C5386*E5386</f>
      </c>
    </row>
    <row r="5387">
      <c r="A5387" s="5" t="s">
        <v>235</v>
      </c>
      <c r="B5387" s="14" t="s">
        <v>236</v>
      </c>
      <c r="C5387" s="22">
        <f>(1)*(1)*(1)*(1)*(1 + (0))</f>
      </c>
      <c r="D5387" s="22" t="s">
        <v>71</v>
      </c>
      <c r="E5387" s="22"/>
      <c r="F5387" s="22">
        <f>C5387*E5387</f>
      </c>
    </row>
    <row r="5388">
      <c r="A5388" s="5" t="s">
        <v>237</v>
      </c>
      <c r="B5388" s="14" t="s">
        <v>238</v>
      </c>
      <c r="C5388" s="22">
        <f>(1)*(1)*(1)*(1)*(1 + (0))</f>
      </c>
      <c r="D5388" s="22" t="s">
        <v>71</v>
      </c>
      <c r="E5388" s="22"/>
      <c r="F5388" s="22">
        <f>C5388*E5388</f>
      </c>
    </row>
    <row r="5389">
      <c r="A5389" s="5" t="s">
        <v>239</v>
      </c>
      <c r="B5389" s="14" t="s">
        <v>240</v>
      </c>
      <c r="C5389" s="22">
        <f>(1)*(1)*(1)*(1)*(1 + (0))</f>
      </c>
      <c r="D5389" s="22" t="s">
        <v>71</v>
      </c>
      <c r="E5389" s="22"/>
      <c r="F5389" s="22">
        <f>C5389*E5389</f>
      </c>
    </row>
    <row r="5390">
      <c r="A5390" s="3"/>
      <c r="B5390" s="11" t="s">
        <v>106</v>
      </c>
      <c r="C5390" s="20"/>
      <c r="D5390" s="20"/>
      <c r="E5390" s="20"/>
      <c r="F5390" s="20"/>
    </row>
    <row r="5391">
      <c r="A5391" s="5"/>
      <c r="B5391" s="14" t="s">
        <v>241</v>
      </c>
      <c r="C5391" s="22"/>
      <c r="D5391" s="22" t="s">
        <v>10</v>
      </c>
      <c r="E5391" s="22"/>
      <c r="F5391" s="22">
        <f>C5391*E5391</f>
      </c>
    </row>
    <row r="5392">
      <c r="A5392" s="3"/>
      <c r="B5392" s="11" t="s">
        <v>242</v>
      </c>
      <c r="C5392" s="20"/>
      <c r="D5392" s="20"/>
      <c r="E5392" s="20"/>
      <c r="F5392" s="20"/>
    </row>
    <row r="5393">
      <c r="A5393" s="5"/>
      <c r="B5393" s="14" t="s">
        <v>2125</v>
      </c>
      <c r="C5393" s="22">
        <f>(154)*(1)*(1)*(1)*(1 + (0))</f>
      </c>
      <c r="D5393" s="22" t="s">
        <v>111</v>
      </c>
      <c r="E5393" s="22"/>
      <c r="F5393" s="22">
        <f>C5393*E5393</f>
      </c>
    </row>
    <row r="5394">
      <c r="A5394" s="3"/>
      <c r="B5394" s="11" t="s">
        <v>245</v>
      </c>
      <c r="C5394" s="20"/>
      <c r="D5394" s="20"/>
      <c r="E5394" s="20"/>
      <c r="F5394" s="20"/>
    </row>
    <row r="5395">
      <c r="A5395" s="4"/>
      <c r="B5395" s="12" t="s">
        <v>2126</v>
      </c>
      <c r="C5395" s="21"/>
      <c r="D5395" s="21"/>
      <c r="E5395" s="21"/>
      <c r="F5395" s="21"/>
    </row>
    <row r="5396">
      <c r="A5396" s="6"/>
      <c r="B5396" s="15" t="s">
        <v>252</v>
      </c>
      <c r="C5396" s="23"/>
      <c r="D5396" s="23"/>
      <c r="E5396" s="23"/>
      <c r="F5396" s="23"/>
    </row>
    <row r="5397">
      <c r="A5397" s="5"/>
      <c r="B5397" s="16" t="s">
        <v>2127</v>
      </c>
      <c r="C5397" s="22">
        <f>(40)*(1)*(1)*(1)*(1 + (0))</f>
      </c>
      <c r="D5397" s="22" t="s">
        <v>111</v>
      </c>
      <c r="E5397" s="22"/>
      <c r="F5397" s="22">
        <f>C5397*E5397</f>
      </c>
    </row>
    <row r="5398">
      <c r="A5398" s="5"/>
      <c r="B5398" s="16" t="s">
        <v>2128</v>
      </c>
      <c r="C5398" s="22">
        <f>(5)*(1)*(1)*(1)*(1 + (0))</f>
      </c>
      <c r="D5398" s="22" t="s">
        <v>111</v>
      </c>
      <c r="E5398" s="22"/>
      <c r="F5398" s="22">
        <f>C5398*E5398</f>
      </c>
    </row>
    <row r="5399">
      <c r="A5399" s="5"/>
      <c r="B5399" s="16" t="s">
        <v>2129</v>
      </c>
      <c r="C5399" s="22">
        <f>(5)*(1)*(1)*(1)*(1 + (0))</f>
      </c>
      <c r="D5399" s="22" t="s">
        <v>111</v>
      </c>
      <c r="E5399" s="22"/>
      <c r="F5399" s="22">
        <f>C5399*E5399</f>
      </c>
    </row>
    <row r="5400">
      <c r="A5400" s="5"/>
      <c r="B5400" s="16" t="s">
        <v>2130</v>
      </c>
      <c r="C5400" s="22">
        <f>(37)*(1)*(1)*(1)*(1 + (0))</f>
      </c>
      <c r="D5400" s="22" t="s">
        <v>111</v>
      </c>
      <c r="E5400" s="22"/>
      <c r="F5400" s="22">
        <f>C5400*E5400</f>
      </c>
    </row>
    <row r="5401">
      <c r="A5401" s="4"/>
      <c r="B5401" s="12" t="s">
        <v>2131</v>
      </c>
      <c r="C5401" s="21"/>
      <c r="D5401" s="21"/>
      <c r="E5401" s="21"/>
      <c r="F5401" s="21"/>
    </row>
    <row r="5402">
      <c r="A5402" s="6"/>
      <c r="B5402" s="15" t="s">
        <v>252</v>
      </c>
      <c r="C5402" s="23"/>
      <c r="D5402" s="23"/>
      <c r="E5402" s="23"/>
      <c r="F5402" s="23"/>
    </row>
    <row r="5403">
      <c r="A5403" s="5"/>
      <c r="B5403" s="16" t="s">
        <v>2132</v>
      </c>
      <c r="C5403" s="22">
        <f>(49)*(1)*(1)*(1)*(1 + (0))</f>
      </c>
      <c r="D5403" s="22" t="s">
        <v>111</v>
      </c>
      <c r="E5403" s="22"/>
      <c r="F5403" s="22">
        <f>C5403*E5403</f>
      </c>
    </row>
    <row r="5404">
      <c r="A5404" s="5"/>
      <c r="B5404" s="16" t="s">
        <v>2133</v>
      </c>
      <c r="C5404" s="22">
        <f>(12)*(1)*(1)*(1)*(1 + (0))</f>
      </c>
      <c r="D5404" s="22" t="s">
        <v>111</v>
      </c>
      <c r="E5404" s="22"/>
      <c r="F5404" s="22">
        <f>C5404*E5404</f>
      </c>
    </row>
    <row r="5405">
      <c r="A5405" s="5"/>
      <c r="B5405" s="16" t="s">
        <v>2134</v>
      </c>
      <c r="C5405" s="22">
        <f>(2)*(1)*(1)*(1)*(1 + (0))</f>
      </c>
      <c r="D5405" s="22" t="s">
        <v>111</v>
      </c>
      <c r="E5405" s="22"/>
      <c r="F5405" s="22">
        <f>C5405*E5405</f>
      </c>
    </row>
    <row r="5406">
      <c r="A5406" s="5"/>
      <c r="B5406" s="16" t="s">
        <v>2135</v>
      </c>
      <c r="C5406" s="22">
        <f>(2)*(1)*(1)*(1)*(1 + (0))</f>
      </c>
      <c r="D5406" s="22" t="s">
        <v>111</v>
      </c>
      <c r="E5406" s="22"/>
      <c r="F5406" s="22">
        <f>C5406*E5406</f>
      </c>
    </row>
    <row r="5407">
      <c r="A5407" s="5"/>
      <c r="B5407" s="16" t="s">
        <v>2136</v>
      </c>
      <c r="C5407" s="22">
        <f>(49)*(1)*(1)*(1)*(1 + (0))</f>
      </c>
      <c r="D5407" s="22" t="s">
        <v>24</v>
      </c>
      <c r="E5407" s="22"/>
      <c r="F5407" s="22">
        <f>C5407*E5407</f>
      </c>
    </row>
    <row r="5408">
      <c r="A5408" s="4"/>
      <c r="B5408" s="12" t="s">
        <v>2137</v>
      </c>
      <c r="C5408" s="21"/>
      <c r="D5408" s="21"/>
      <c r="E5408" s="21"/>
      <c r="F5408" s="21"/>
    </row>
    <row r="5409">
      <c r="A5409" s="6"/>
      <c r="B5409" s="15" t="s">
        <v>2138</v>
      </c>
      <c r="C5409" s="23"/>
      <c r="D5409" s="23"/>
      <c r="E5409" s="23"/>
      <c r="F5409" s="23"/>
    </row>
    <row r="5410">
      <c r="A5410" s="5"/>
      <c r="B5410" s="16" t="s">
        <v>2139</v>
      </c>
      <c r="C5410" s="22">
        <f>(2)*(1)*(1)*(1)*(1 + (0))</f>
      </c>
      <c r="D5410" s="22" t="s">
        <v>111</v>
      </c>
      <c r="E5410" s="22"/>
      <c r="F5410" s="22">
        <f>C5410*E5410</f>
      </c>
    </row>
    <row r="5411">
      <c r="A5411" s="3"/>
      <c r="B5411" s="11" t="s">
        <v>325</v>
      </c>
      <c r="C5411" s="20"/>
      <c r="D5411" s="20"/>
      <c r="E5411" s="20"/>
      <c r="F5411" s="20"/>
    </row>
    <row r="5412">
      <c r="A5412" s="4"/>
      <c r="B5412" s="12" t="s">
        <v>326</v>
      </c>
      <c r="C5412" s="21"/>
      <c r="D5412" s="21"/>
      <c r="E5412" s="21"/>
      <c r="F5412" s="21"/>
    </row>
    <row r="5413">
      <c r="A5413" s="5"/>
      <c r="B5413" s="13" t="s">
        <v>327</v>
      </c>
      <c r="C5413" s="22">
        <f>(675)*(1)*(1)*(1)*(1 + (0))</f>
      </c>
      <c r="D5413" s="22" t="s">
        <v>24</v>
      </c>
      <c r="E5413" s="22"/>
      <c r="F5413" s="22">
        <f>C5413*E5413</f>
      </c>
    </row>
    <row r="5414">
      <c r="A5414" s="4"/>
      <c r="B5414" s="12" t="s">
        <v>330</v>
      </c>
      <c r="C5414" s="21"/>
      <c r="D5414" s="21"/>
      <c r="E5414" s="21"/>
      <c r="F5414" s="21"/>
    </row>
    <row r="5415">
      <c r="A5415" s="5"/>
      <c r="B5415" s="13" t="s">
        <v>331</v>
      </c>
      <c r="C5415" s="22">
        <f>(576)*(1)*(1)*(1)*(1 + (0))</f>
      </c>
      <c r="D5415" s="22" t="s">
        <v>24</v>
      </c>
      <c r="E5415" s="22"/>
      <c r="F5415" s="22">
        <f>C5415*E5415</f>
      </c>
    </row>
    <row r="5416">
      <c r="A5416" s="5"/>
      <c r="B5416" s="13" t="s">
        <v>332</v>
      </c>
      <c r="C5416" s="22">
        <f>(100)*(1)*(1)*(1)*(1 + (0))</f>
      </c>
      <c r="D5416" s="22" t="s">
        <v>24</v>
      </c>
      <c r="E5416" s="22"/>
      <c r="F5416" s="22">
        <f>C5416*E5416</f>
      </c>
    </row>
    <row r="5417">
      <c r="A5417" s="3"/>
      <c r="B5417" s="11" t="s">
        <v>344</v>
      </c>
      <c r="C5417" s="20"/>
      <c r="D5417" s="20"/>
      <c r="E5417" s="20"/>
      <c r="F5417" s="20"/>
    </row>
    <row r="5418">
      <c r="A5418" s="5"/>
      <c r="B5418" s="14" t="s">
        <v>345</v>
      </c>
      <c r="C5418" s="22">
        <f>(12)*(1)*(1)*(1)*(1 + (0))</f>
      </c>
      <c r="D5418" s="22" t="s">
        <v>153</v>
      </c>
      <c r="E5418" s="22"/>
      <c r="F5418" s="22">
        <f>C5418*E5418</f>
      </c>
    </row>
    <row r="5419">
      <c r="A5419" s="5"/>
      <c r="B5419" s="14" t="s">
        <v>1663</v>
      </c>
      <c r="C5419" s="22">
        <f>(23)*(1)*(1)*(1)*(1 + (0))</f>
      </c>
      <c r="D5419" s="22" t="s">
        <v>153</v>
      </c>
      <c r="E5419" s="22"/>
      <c r="F5419" s="22">
        <f>C5419*E5419</f>
      </c>
    </row>
    <row r="5420">
      <c r="A5420" s="3"/>
      <c r="B5420" s="11" t="s">
        <v>347</v>
      </c>
      <c r="C5420" s="20"/>
      <c r="D5420" s="20"/>
      <c r="E5420" s="20"/>
      <c r="F5420" s="20"/>
    </row>
    <row r="5421">
      <c r="A5421" s="5"/>
      <c r="B5421" s="14" t="s">
        <v>1866</v>
      </c>
      <c r="C5421" s="22">
        <f>(675)*(1)*(1)*(1)*(1 + (0))</f>
      </c>
      <c r="D5421" s="22" t="s">
        <v>24</v>
      </c>
      <c r="E5421" s="22"/>
      <c r="F5421" s="22">
        <f>C5421*E5421</f>
      </c>
    </row>
    <row r="5422">
      <c r="A5422" s="5"/>
      <c r="B5422" s="14" t="s">
        <v>349</v>
      </c>
      <c r="C5422" s="22">
        <f>(906)*(1)*(1)*(1)*(1 + (0))</f>
      </c>
      <c r="D5422" s="22" t="s">
        <v>24</v>
      </c>
      <c r="E5422" s="22"/>
      <c r="F5422" s="22">
        <f>C5422*E5422</f>
      </c>
    </row>
    <row r="5423">
      <c r="A5423" s="2"/>
      <c r="B5423" s="10" t="s">
        <v>350</v>
      </c>
      <c r="C5423" s="19"/>
      <c r="D5423" s="19"/>
      <c r="E5423" s="19"/>
      <c r="F5423" s="19"/>
    </row>
    <row r="5424">
      <c r="A5424" s="3"/>
      <c r="B5424" s="11" t="s">
        <v>37</v>
      </c>
      <c r="C5424" s="20"/>
      <c r="D5424" s="20"/>
      <c r="E5424" s="20"/>
      <c r="F5424" s="20"/>
    </row>
    <row r="5425">
      <c r="A5425" s="5" t="s">
        <v>351</v>
      </c>
      <c r="B5425" s="14" t="s">
        <v>39</v>
      </c>
      <c r="C5425" s="22"/>
      <c r="D5425" s="22" t="s">
        <v>10</v>
      </c>
      <c r="E5425" s="22"/>
      <c r="F5425" s="22">
        <f>C5425*E5425</f>
      </c>
    </row>
    <row r="5426">
      <c r="A5426" s="5" t="s">
        <v>352</v>
      </c>
      <c r="B5426" s="14" t="s">
        <v>41</v>
      </c>
      <c r="C5426" s="22"/>
      <c r="D5426" s="22" t="s">
        <v>10</v>
      </c>
      <c r="E5426" s="22"/>
      <c r="F5426" s="22">
        <f>C5426*E5426</f>
      </c>
    </row>
    <row r="5427">
      <c r="A5427" s="3"/>
      <c r="B5427" s="11" t="s">
        <v>42</v>
      </c>
      <c r="C5427" s="20"/>
      <c r="D5427" s="20"/>
      <c r="E5427" s="20"/>
      <c r="F5427" s="20"/>
    </row>
    <row r="5428">
      <c r="A5428" s="5"/>
      <c r="B5428" s="14" t="s">
        <v>118</v>
      </c>
      <c r="C5428" s="22"/>
      <c r="D5428" s="22" t="s">
        <v>10</v>
      </c>
      <c r="E5428" s="22"/>
      <c r="F5428" s="22">
        <f>C5428*E5428</f>
      </c>
    </row>
    <row r="5429">
      <c r="A5429" s="5"/>
      <c r="B5429" s="14" t="s">
        <v>636</v>
      </c>
      <c r="C5429" s="22"/>
      <c r="D5429" s="22" t="s">
        <v>10</v>
      </c>
      <c r="E5429" s="22"/>
      <c r="F5429" s="22">
        <f>C5429*E5429</f>
      </c>
    </row>
    <row r="5430">
      <c r="A5430" s="5"/>
      <c r="B5430" s="14" t="s">
        <v>210</v>
      </c>
      <c r="C5430" s="22"/>
      <c r="D5430" s="22" t="s">
        <v>10</v>
      </c>
      <c r="E5430" s="22"/>
      <c r="F5430" s="22">
        <f>C5430*E5430</f>
      </c>
    </row>
    <row r="5431">
      <c r="A5431" s="3"/>
      <c r="B5431" s="11" t="s">
        <v>44</v>
      </c>
      <c r="C5431" s="20"/>
      <c r="D5431" s="20"/>
      <c r="E5431" s="20"/>
      <c r="F5431" s="20"/>
    </row>
    <row r="5432">
      <c r="A5432" s="4"/>
      <c r="B5432" s="12" t="s">
        <v>45</v>
      </c>
      <c r="C5432" s="21"/>
      <c r="D5432" s="21"/>
      <c r="E5432" s="21"/>
      <c r="F5432" s="21"/>
    </row>
    <row r="5433">
      <c r="A5433" s="5" t="s">
        <v>353</v>
      </c>
      <c r="B5433" s="13" t="s">
        <v>354</v>
      </c>
      <c r="C5433" s="22"/>
      <c r="D5433" s="22" t="s">
        <v>10</v>
      </c>
      <c r="E5433" s="22"/>
      <c r="F5433" s="22">
        <f>C5433*E5433</f>
      </c>
    </row>
    <row r="5434">
      <c r="A5434" s="5" t="s">
        <v>355</v>
      </c>
      <c r="B5434" s="13" t="s">
        <v>356</v>
      </c>
      <c r="C5434" s="22"/>
      <c r="D5434" s="22" t="s">
        <v>10</v>
      </c>
      <c r="E5434" s="22"/>
      <c r="F5434" s="22">
        <f>C5434*E5434</f>
      </c>
    </row>
    <row r="5435">
      <c r="A5435" s="5" t="s">
        <v>357</v>
      </c>
      <c r="B5435" s="13" t="s">
        <v>358</v>
      </c>
      <c r="C5435" s="22"/>
      <c r="D5435" s="22" t="s">
        <v>10</v>
      </c>
      <c r="E5435" s="22"/>
      <c r="F5435" s="22">
        <f>C5435*E5435</f>
      </c>
    </row>
    <row r="5436">
      <c r="A5436" s="5" t="s">
        <v>359</v>
      </c>
      <c r="B5436" s="13" t="s">
        <v>360</v>
      </c>
      <c r="C5436" s="22"/>
      <c r="D5436" s="22" t="s">
        <v>10</v>
      </c>
      <c r="E5436" s="22"/>
      <c r="F5436" s="22">
        <f>C5436*E5436</f>
      </c>
    </row>
    <row r="5437">
      <c r="A5437" s="5" t="s">
        <v>361</v>
      </c>
      <c r="B5437" s="13" t="s">
        <v>362</v>
      </c>
      <c r="C5437" s="22"/>
      <c r="D5437" s="22" t="s">
        <v>10</v>
      </c>
      <c r="E5437" s="22"/>
      <c r="F5437" s="22">
        <f>C5437*E5437</f>
      </c>
    </row>
    <row r="5438">
      <c r="A5438" s="5" t="s">
        <v>363</v>
      </c>
      <c r="B5438" s="13" t="s">
        <v>364</v>
      </c>
      <c r="C5438" s="22"/>
      <c r="D5438" s="22" t="s">
        <v>10</v>
      </c>
      <c r="E5438" s="22"/>
      <c r="F5438" s="22">
        <f>C5438*E5438</f>
      </c>
    </row>
    <row r="5439">
      <c r="A5439" s="5" t="s">
        <v>365</v>
      </c>
      <c r="B5439" s="13" t="s">
        <v>366</v>
      </c>
      <c r="C5439" s="22"/>
      <c r="D5439" s="22" t="s">
        <v>10</v>
      </c>
      <c r="E5439" s="22"/>
      <c r="F5439" s="22">
        <f>C5439*E5439</f>
      </c>
    </row>
    <row r="5440">
      <c r="A5440" s="5" t="s">
        <v>367</v>
      </c>
      <c r="B5440" s="13" t="s">
        <v>368</v>
      </c>
      <c r="C5440" s="22"/>
      <c r="D5440" s="22" t="s">
        <v>10</v>
      </c>
      <c r="E5440" s="22"/>
      <c r="F5440" s="22">
        <f>C5440*E5440</f>
      </c>
    </row>
    <row r="5441">
      <c r="A5441" s="5" t="s">
        <v>369</v>
      </c>
      <c r="B5441" s="13" t="s">
        <v>370</v>
      </c>
      <c r="C5441" s="22"/>
      <c r="D5441" s="22" t="s">
        <v>10</v>
      </c>
      <c r="E5441" s="22"/>
      <c r="F5441" s="22">
        <f>C5441*E5441</f>
      </c>
    </row>
    <row r="5442">
      <c r="A5442" s="5" t="s">
        <v>371</v>
      </c>
      <c r="B5442" s="13" t="s">
        <v>123</v>
      </c>
      <c r="C5442" s="22"/>
      <c r="D5442" s="22" t="s">
        <v>10</v>
      </c>
      <c r="E5442" s="22"/>
      <c r="F5442" s="22">
        <f>C5442*E5442</f>
      </c>
    </row>
    <row r="5443">
      <c r="A5443" s="3"/>
      <c r="B5443" s="11" t="s">
        <v>68</v>
      </c>
      <c r="C5443" s="20"/>
      <c r="D5443" s="20"/>
      <c r="E5443" s="20"/>
      <c r="F5443" s="20"/>
    </row>
    <row r="5444">
      <c r="A5444" s="5" t="s">
        <v>372</v>
      </c>
      <c r="B5444" s="14" t="s">
        <v>70</v>
      </c>
      <c r="C5444" s="22">
        <f>(1)*(1)*(1)*(1)*(1 + (0))</f>
      </c>
      <c r="D5444" s="22" t="s">
        <v>71</v>
      </c>
      <c r="E5444" s="22"/>
      <c r="F5444" s="22">
        <f>C5444*E5444</f>
      </c>
    </row>
    <row r="5445">
      <c r="A5445" s="5" t="s">
        <v>373</v>
      </c>
      <c r="B5445" s="14" t="s">
        <v>73</v>
      </c>
      <c r="C5445" s="22">
        <f>(1)*(1)*(1)*(1)*(1 + (0))</f>
      </c>
      <c r="D5445" s="22" t="s">
        <v>71</v>
      </c>
      <c r="E5445" s="22"/>
      <c r="F5445" s="22">
        <f>C5445*E5445</f>
      </c>
    </row>
    <row r="5446">
      <c r="A5446" s="5" t="s">
        <v>374</v>
      </c>
      <c r="B5446" s="14" t="s">
        <v>79</v>
      </c>
      <c r="C5446" s="22">
        <f>(1)*(1)*(1)*(1)*(1 + (0))</f>
      </c>
      <c r="D5446" s="22" t="s">
        <v>71</v>
      </c>
      <c r="E5446" s="22"/>
      <c r="F5446" s="22">
        <f>C5446*E5446</f>
      </c>
    </row>
    <row r="5447">
      <c r="A5447" s="5" t="s">
        <v>375</v>
      </c>
      <c r="B5447" s="14" t="s">
        <v>376</v>
      </c>
      <c r="C5447" s="22">
        <f>(1)*(1)*(1)*(1)*(1 + (0))</f>
      </c>
      <c r="D5447" s="22" t="s">
        <v>71</v>
      </c>
      <c r="E5447" s="22"/>
      <c r="F5447" s="22">
        <f>C5447*E5447</f>
      </c>
    </row>
    <row r="5448">
      <c r="A5448" s="5" t="s">
        <v>377</v>
      </c>
      <c r="B5448" s="14" t="s">
        <v>378</v>
      </c>
      <c r="C5448" s="22">
        <f>(1)*(1)*(1)*(1)*(1 + (0))</f>
      </c>
      <c r="D5448" s="22" t="s">
        <v>71</v>
      </c>
      <c r="E5448" s="22"/>
      <c r="F5448" s="22">
        <f>C5448*E5448</f>
      </c>
    </row>
    <row r="5449">
      <c r="A5449" s="3"/>
      <c r="B5449" s="11" t="s">
        <v>106</v>
      </c>
      <c r="C5449" s="20"/>
      <c r="D5449" s="20"/>
      <c r="E5449" s="20"/>
      <c r="F5449" s="20"/>
    </row>
    <row r="5450">
      <c r="A5450" s="5"/>
      <c r="B5450" s="14" t="s">
        <v>379</v>
      </c>
      <c r="C5450" s="22"/>
      <c r="D5450" s="22" t="s">
        <v>10</v>
      </c>
      <c r="E5450" s="22"/>
      <c r="F5450" s="22">
        <f>C5450*E5450</f>
      </c>
    </row>
    <row r="5451">
      <c r="A5451" s="5"/>
      <c r="B5451" s="14" t="s">
        <v>380</v>
      </c>
      <c r="C5451" s="22"/>
      <c r="D5451" s="22" t="s">
        <v>10</v>
      </c>
      <c r="E5451" s="22"/>
      <c r="F5451" s="22">
        <f>C5451*E5451</f>
      </c>
    </row>
    <row r="5452">
      <c r="A5452" s="3"/>
      <c r="B5452" s="11" t="s">
        <v>381</v>
      </c>
      <c r="C5452" s="20"/>
      <c r="D5452" s="20"/>
      <c r="E5452" s="20"/>
      <c r="F5452" s="20"/>
    </row>
    <row r="5453">
      <c r="A5453" s="4"/>
      <c r="B5453" s="12" t="s">
        <v>397</v>
      </c>
      <c r="C5453" s="21"/>
      <c r="D5453" s="21"/>
      <c r="E5453" s="21"/>
      <c r="F5453" s="21"/>
    </row>
    <row r="5454">
      <c r="A5454" s="6"/>
      <c r="B5454" s="15" t="s">
        <v>2138</v>
      </c>
      <c r="C5454" s="23"/>
      <c r="D5454" s="23"/>
      <c r="E5454" s="23"/>
      <c r="F5454" s="23"/>
    </row>
    <row r="5455">
      <c r="A5455" s="5"/>
      <c r="B5455" s="16" t="s">
        <v>398</v>
      </c>
      <c r="C5455" s="22">
        <f>(158)*(1)*(1)*(1)*(1 + (0))</f>
      </c>
      <c r="D5455" s="22" t="s">
        <v>153</v>
      </c>
      <c r="E5455" s="22"/>
      <c r="F5455" s="22">
        <f>C5455*E5455</f>
      </c>
    </row>
    <row r="5456">
      <c r="A5456" s="3"/>
      <c r="B5456" s="11" t="s">
        <v>399</v>
      </c>
      <c r="C5456" s="20"/>
      <c r="D5456" s="20"/>
      <c r="E5456" s="20"/>
      <c r="F5456" s="20"/>
    </row>
    <row r="5457">
      <c r="A5457" s="4"/>
      <c r="B5457" s="12" t="s">
        <v>408</v>
      </c>
      <c r="C5457" s="21"/>
      <c r="D5457" s="21"/>
      <c r="E5457" s="21"/>
      <c r="F5457" s="21"/>
    </row>
    <row r="5458">
      <c r="A5458" s="6"/>
      <c r="B5458" s="15" t="s">
        <v>252</v>
      </c>
      <c r="C5458" s="23"/>
      <c r="D5458" s="23"/>
      <c r="E5458" s="23"/>
      <c r="F5458" s="23"/>
    </row>
    <row r="5459">
      <c r="A5459" s="5"/>
      <c r="B5459" s="16" t="s">
        <v>1671</v>
      </c>
      <c r="C5459" s="22">
        <f>(225)*(1)*(1)*(1)*(1 + (0))</f>
      </c>
      <c r="D5459" s="22" t="s">
        <v>24</v>
      </c>
      <c r="E5459" s="22"/>
      <c r="F5459" s="22">
        <f>C5459*E5459</f>
      </c>
    </row>
    <row r="5460">
      <c r="A5460" s="4"/>
      <c r="B5460" s="12" t="s">
        <v>411</v>
      </c>
      <c r="C5460" s="21"/>
      <c r="D5460" s="21"/>
      <c r="E5460" s="21"/>
      <c r="F5460" s="21"/>
    </row>
    <row r="5461">
      <c r="A5461" s="6"/>
      <c r="B5461" s="15" t="s">
        <v>252</v>
      </c>
      <c r="C5461" s="23"/>
      <c r="D5461" s="23"/>
      <c r="E5461" s="23"/>
      <c r="F5461" s="23"/>
    </row>
    <row r="5462">
      <c r="A5462" s="5"/>
      <c r="B5462" s="16" t="s">
        <v>413</v>
      </c>
      <c r="C5462" s="22">
        <f>(179)*(1)*(1)*(1)*(1 + (0))</f>
      </c>
      <c r="D5462" s="22" t="s">
        <v>153</v>
      </c>
      <c r="E5462" s="22"/>
      <c r="F5462" s="22">
        <f>C5462*E5462</f>
      </c>
    </row>
    <row r="5463">
      <c r="A5463" s="5"/>
      <c r="B5463" s="16" t="s">
        <v>414</v>
      </c>
      <c r="C5463" s="22">
        <f>(68)*(1)*(1)*(1)*(1 + (0))</f>
      </c>
      <c r="D5463" s="22" t="s">
        <v>153</v>
      </c>
      <c r="E5463" s="22"/>
      <c r="F5463" s="22">
        <f>C5463*E5463</f>
      </c>
    </row>
    <row r="5464">
      <c r="A5464" s="5"/>
      <c r="B5464" s="16" t="s">
        <v>2140</v>
      </c>
      <c r="C5464" s="22">
        <f>(526)*(1)*(1)*(1)*(1 + (0))</f>
      </c>
      <c r="D5464" s="22" t="s">
        <v>24</v>
      </c>
      <c r="E5464" s="22"/>
      <c r="F5464" s="22">
        <f>C5464*E5464</f>
      </c>
    </row>
    <row r="5465">
      <c r="A5465" s="5"/>
      <c r="B5465" s="16" t="s">
        <v>2141</v>
      </c>
      <c r="C5465" s="22">
        <f>(102)*(1)*(1)*(1)*(1 + (0))</f>
      </c>
      <c r="D5465" s="22" t="s">
        <v>24</v>
      </c>
      <c r="E5465" s="22"/>
      <c r="F5465" s="22">
        <f>C5465*E5465</f>
      </c>
    </row>
    <row r="5466">
      <c r="A5466" s="2"/>
      <c r="B5466" s="10" t="s">
        <v>178</v>
      </c>
      <c r="C5466" s="19"/>
      <c r="D5466" s="19"/>
      <c r="E5466" s="19"/>
      <c r="F5466" s="19"/>
    </row>
    <row r="5467">
      <c r="A5467" s="3"/>
      <c r="B5467" s="11" t="s">
        <v>37</v>
      </c>
      <c r="C5467" s="20"/>
      <c r="D5467" s="20"/>
      <c r="E5467" s="20"/>
      <c r="F5467" s="20"/>
    </row>
    <row r="5468">
      <c r="A5468" s="5" t="s">
        <v>431</v>
      </c>
      <c r="B5468" s="14" t="s">
        <v>39</v>
      </c>
      <c r="C5468" s="22"/>
      <c r="D5468" s="22" t="s">
        <v>10</v>
      </c>
      <c r="E5468" s="22"/>
      <c r="F5468" s="22">
        <f>C5468*E5468</f>
      </c>
    </row>
    <row r="5469">
      <c r="A5469" s="5" t="s">
        <v>432</v>
      </c>
      <c r="B5469" s="14" t="s">
        <v>41</v>
      </c>
      <c r="C5469" s="22"/>
      <c r="D5469" s="22" t="s">
        <v>10</v>
      </c>
      <c r="E5469" s="22"/>
      <c r="F5469" s="22">
        <f>C5469*E5469</f>
      </c>
    </row>
    <row r="5470">
      <c r="A5470" s="3"/>
      <c r="B5470" s="11" t="s">
        <v>42</v>
      </c>
      <c r="C5470" s="20"/>
      <c r="D5470" s="20"/>
      <c r="E5470" s="20"/>
      <c r="F5470" s="20"/>
    </row>
    <row r="5471">
      <c r="A5471" s="5"/>
      <c r="B5471" s="14" t="s">
        <v>118</v>
      </c>
      <c r="C5471" s="22"/>
      <c r="D5471" s="22" t="s">
        <v>10</v>
      </c>
      <c r="E5471" s="22"/>
      <c r="F5471" s="22">
        <f>C5471*E5471</f>
      </c>
    </row>
    <row r="5472">
      <c r="A5472" s="5"/>
      <c r="B5472" s="14" t="s">
        <v>636</v>
      </c>
      <c r="C5472" s="22"/>
      <c r="D5472" s="22" t="s">
        <v>10</v>
      </c>
      <c r="E5472" s="22"/>
      <c r="F5472" s="22">
        <f>C5472*E5472</f>
      </c>
    </row>
    <row r="5473">
      <c r="A5473" s="5"/>
      <c r="B5473" s="14" t="s">
        <v>210</v>
      </c>
      <c r="C5473" s="22"/>
      <c r="D5473" s="22" t="s">
        <v>10</v>
      </c>
      <c r="E5473" s="22"/>
      <c r="F5473" s="22">
        <f>C5473*E5473</f>
      </c>
    </row>
    <row r="5474">
      <c r="A5474" s="3"/>
      <c r="B5474" s="11" t="s">
        <v>44</v>
      </c>
      <c r="C5474" s="20"/>
      <c r="D5474" s="20"/>
      <c r="E5474" s="20"/>
      <c r="F5474" s="20"/>
    </row>
    <row r="5475">
      <c r="A5475" s="4"/>
      <c r="B5475" s="12" t="s">
        <v>45</v>
      </c>
      <c r="C5475" s="21"/>
      <c r="D5475" s="21"/>
      <c r="E5475" s="21"/>
      <c r="F5475" s="21"/>
    </row>
    <row r="5476">
      <c r="A5476" s="5" t="s">
        <v>433</v>
      </c>
      <c r="B5476" s="13" t="s">
        <v>434</v>
      </c>
      <c r="C5476" s="22"/>
      <c r="D5476" s="22" t="s">
        <v>10</v>
      </c>
      <c r="E5476" s="22"/>
      <c r="F5476" s="22">
        <f>C5476*E5476</f>
      </c>
    </row>
    <row r="5477">
      <c r="A5477" s="5" t="s">
        <v>435</v>
      </c>
      <c r="B5477" s="13" t="s">
        <v>436</v>
      </c>
      <c r="C5477" s="22"/>
      <c r="D5477" s="22" t="s">
        <v>10</v>
      </c>
      <c r="E5477" s="22"/>
      <c r="F5477" s="22">
        <f>C5477*E5477</f>
      </c>
    </row>
    <row r="5478">
      <c r="A5478" s="5" t="s">
        <v>437</v>
      </c>
      <c r="B5478" s="13" t="s">
        <v>438</v>
      </c>
      <c r="C5478" s="22"/>
      <c r="D5478" s="22" t="s">
        <v>10</v>
      </c>
      <c r="E5478" s="22"/>
      <c r="F5478" s="22">
        <f>C5478*E5478</f>
      </c>
    </row>
    <row r="5479">
      <c r="A5479" s="5" t="s">
        <v>439</v>
      </c>
      <c r="B5479" s="13" t="s">
        <v>440</v>
      </c>
      <c r="C5479" s="22"/>
      <c r="D5479" s="22" t="s">
        <v>10</v>
      </c>
      <c r="E5479" s="22"/>
      <c r="F5479" s="22">
        <f>C5479*E5479</f>
      </c>
    </row>
    <row r="5480">
      <c r="A5480" s="5" t="s">
        <v>441</v>
      </c>
      <c r="B5480" s="13" t="s">
        <v>123</v>
      </c>
      <c r="C5480" s="22"/>
      <c r="D5480" s="22" t="s">
        <v>10</v>
      </c>
      <c r="E5480" s="22"/>
      <c r="F5480" s="22">
        <f>C5480*E5480</f>
      </c>
    </row>
    <row r="5481">
      <c r="A5481" s="3"/>
      <c r="B5481" s="11" t="s">
        <v>68</v>
      </c>
      <c r="C5481" s="20"/>
      <c r="D5481" s="20"/>
      <c r="E5481" s="20"/>
      <c r="F5481" s="20"/>
    </row>
    <row r="5482">
      <c r="A5482" s="5" t="s">
        <v>442</v>
      </c>
      <c r="B5482" s="14" t="s">
        <v>70</v>
      </c>
      <c r="C5482" s="22">
        <f>(1)*(1)*(1)*(1)*(1 + (0))</f>
      </c>
      <c r="D5482" s="22" t="s">
        <v>71</v>
      </c>
      <c r="E5482" s="22"/>
      <c r="F5482" s="22">
        <f>C5482*E5482</f>
      </c>
    </row>
    <row r="5483">
      <c r="A5483" s="5" t="s">
        <v>443</v>
      </c>
      <c r="B5483" s="14" t="s">
        <v>73</v>
      </c>
      <c r="C5483" s="22">
        <f>(1)*(1)*(1)*(1)*(1 + (0))</f>
      </c>
      <c r="D5483" s="22" t="s">
        <v>71</v>
      </c>
      <c r="E5483" s="22"/>
      <c r="F5483" s="22">
        <f>C5483*E5483</f>
      </c>
    </row>
    <row r="5484">
      <c r="A5484" s="5" t="s">
        <v>444</v>
      </c>
      <c r="B5484" s="14" t="s">
        <v>445</v>
      </c>
      <c r="C5484" s="22">
        <f>(1)*(1)*(1)*(1)*(1 + (0))</f>
      </c>
      <c r="D5484" s="22" t="s">
        <v>71</v>
      </c>
      <c r="E5484" s="22"/>
      <c r="F5484" s="22">
        <f>C5484*E5484</f>
      </c>
    </row>
    <row r="5485">
      <c r="A5485" s="5" t="s">
        <v>446</v>
      </c>
      <c r="B5485" s="14" t="s">
        <v>447</v>
      </c>
      <c r="C5485" s="22">
        <f>(1)*(1)*(1)*(1)*(1 + (0))</f>
      </c>
      <c r="D5485" s="22" t="s">
        <v>71</v>
      </c>
      <c r="E5485" s="22"/>
      <c r="F5485" s="22">
        <f>C5485*E5485</f>
      </c>
    </row>
    <row r="5486">
      <c r="A5486" s="5" t="s">
        <v>448</v>
      </c>
      <c r="B5486" s="14" t="s">
        <v>449</v>
      </c>
      <c r="C5486" s="22">
        <f>(1)*(1)*(1)*(1)*(1 + (0))</f>
      </c>
      <c r="D5486" s="22" t="s">
        <v>71</v>
      </c>
      <c r="E5486" s="22"/>
      <c r="F5486" s="22">
        <f>C5486*E5486</f>
      </c>
    </row>
    <row r="5487">
      <c r="A5487" s="5" t="s">
        <v>450</v>
      </c>
      <c r="B5487" s="14" t="s">
        <v>451</v>
      </c>
      <c r="C5487" s="22">
        <f>(1)*(1)*(1)*(1)*(1 + (0))</f>
      </c>
      <c r="D5487" s="22" t="s">
        <v>71</v>
      </c>
      <c r="E5487" s="22"/>
      <c r="F5487" s="22">
        <f>C5487*E5487</f>
      </c>
    </row>
    <row r="5488">
      <c r="A5488" s="3"/>
      <c r="B5488" s="11" t="s">
        <v>106</v>
      </c>
      <c r="C5488" s="20"/>
      <c r="D5488" s="20"/>
      <c r="E5488" s="20"/>
      <c r="F5488" s="20"/>
    </row>
    <row r="5489">
      <c r="A5489" s="5"/>
      <c r="B5489" s="14" t="s">
        <v>452</v>
      </c>
      <c r="C5489" s="22"/>
      <c r="D5489" s="22" t="s">
        <v>10</v>
      </c>
      <c r="E5489" s="22"/>
      <c r="F5489" s="22">
        <f>C5489*E5489</f>
      </c>
    </row>
    <row r="5490">
      <c r="A5490" s="3"/>
      <c r="B5490" s="11" t="s">
        <v>453</v>
      </c>
      <c r="C5490" s="20"/>
      <c r="D5490" s="20"/>
      <c r="E5490" s="20"/>
      <c r="F5490" s="20"/>
    </row>
    <row r="5491">
      <c r="A5491" s="5"/>
      <c r="B5491" s="14" t="s">
        <v>454</v>
      </c>
      <c r="C5491" s="22">
        <f>(3.22)*(1)*(1)*(1)*(1 + (0))</f>
      </c>
      <c r="D5491" s="22" t="s">
        <v>182</v>
      </c>
      <c r="E5491" s="22"/>
      <c r="F5491" s="22">
        <f>C5491*E5491</f>
      </c>
    </row>
    <row r="5492">
      <c r="A5492" s="5"/>
      <c r="B5492" s="14" t="s">
        <v>455</v>
      </c>
      <c r="C5492" s="22">
        <f>(11.18)*(1)*(1)*(1)*(1 + (0))</f>
      </c>
      <c r="D5492" s="22" t="s">
        <v>182</v>
      </c>
      <c r="E5492" s="22"/>
      <c r="F5492" s="22">
        <f>C5492*E5492</f>
      </c>
    </row>
    <row r="5493">
      <c r="A5493" s="5"/>
      <c r="B5493" s="14" t="s">
        <v>1875</v>
      </c>
      <c r="C5493" s="22">
        <f>(675)*(1)*(1)*(1)*(1 + (0))</f>
      </c>
      <c r="D5493" s="22" t="s">
        <v>24</v>
      </c>
      <c r="E5493" s="22"/>
      <c r="F5493" s="22">
        <f>C5493*E5493</f>
      </c>
    </row>
    <row r="5494">
      <c r="A5494" s="3"/>
      <c r="B5494" s="11" t="s">
        <v>457</v>
      </c>
      <c r="C5494" s="20"/>
      <c r="D5494" s="20"/>
      <c r="E5494" s="20"/>
      <c r="F5494" s="20"/>
    </row>
    <row r="5495">
      <c r="A5495" s="4"/>
      <c r="B5495" s="12" t="s">
        <v>408</v>
      </c>
      <c r="C5495" s="21"/>
      <c r="D5495" s="21"/>
      <c r="E5495" s="21"/>
      <c r="F5495" s="21"/>
    </row>
    <row r="5496">
      <c r="A5496" s="6"/>
      <c r="B5496" s="15" t="s">
        <v>252</v>
      </c>
      <c r="C5496" s="23"/>
      <c r="D5496" s="23"/>
      <c r="E5496" s="23"/>
      <c r="F5496" s="23"/>
    </row>
    <row r="5497">
      <c r="A5497" s="5"/>
      <c r="B5497" s="16" t="s">
        <v>2142</v>
      </c>
      <c r="C5497" s="22">
        <f>(2.38645728)*(1)*(1)*(1)*(1 + (0))</f>
      </c>
      <c r="D5497" s="22" t="s">
        <v>182</v>
      </c>
      <c r="E5497" s="22"/>
      <c r="F5497" s="22">
        <f>C5497*E5497</f>
      </c>
    </row>
    <row r="5498">
      <c r="A5498" s="5"/>
      <c r="B5498" s="16" t="s">
        <v>2143</v>
      </c>
      <c r="C5498" s="22">
        <f>(0.423514)*(1)*(1)*(1)*(1 + (0))</f>
      </c>
      <c r="D5498" s="22" t="s">
        <v>182</v>
      </c>
      <c r="E5498" s="22"/>
      <c r="F5498" s="22">
        <f>C5498*E5498</f>
      </c>
    </row>
    <row r="5499">
      <c r="A5499" s="4"/>
      <c r="B5499" s="12" t="s">
        <v>397</v>
      </c>
      <c r="C5499" s="21"/>
      <c r="D5499" s="21"/>
      <c r="E5499" s="21"/>
      <c r="F5499" s="21"/>
    </row>
    <row r="5500">
      <c r="A5500" s="6"/>
      <c r="B5500" s="15" t="s">
        <v>2138</v>
      </c>
      <c r="C5500" s="23"/>
      <c r="D5500" s="23"/>
      <c r="E5500" s="23"/>
      <c r="F5500" s="23"/>
    </row>
    <row r="5501">
      <c r="A5501" s="5"/>
      <c r="B5501" s="16" t="s">
        <v>458</v>
      </c>
      <c r="C5501" s="22">
        <f>(0.41263932)*(1)*(1)*(1)*(1 + (0))</f>
      </c>
      <c r="D5501" s="22" t="s">
        <v>182</v>
      </c>
      <c r="E5501" s="22"/>
      <c r="F5501" s="22">
        <f>C5501*E5501</f>
      </c>
    </row>
    <row r="5502">
      <c r="A5502" s="3"/>
      <c r="B5502" s="11" t="s">
        <v>459</v>
      </c>
      <c r="C5502" s="20"/>
      <c r="D5502" s="20"/>
      <c r="E5502" s="20"/>
      <c r="F5502" s="20"/>
    </row>
    <row r="5503">
      <c r="A5503" s="4"/>
      <c r="B5503" s="12" t="s">
        <v>408</v>
      </c>
      <c r="C5503" s="21"/>
      <c r="D5503" s="21"/>
      <c r="E5503" s="21"/>
      <c r="F5503" s="21"/>
    </row>
    <row r="5504">
      <c r="A5504" s="6"/>
      <c r="B5504" s="15" t="s">
        <v>252</v>
      </c>
      <c r="C5504" s="23"/>
      <c r="D5504" s="23"/>
      <c r="E5504" s="23"/>
      <c r="F5504" s="23"/>
    </row>
    <row r="5505">
      <c r="A5505" s="5"/>
      <c r="B5505" s="16" t="s">
        <v>463</v>
      </c>
      <c r="C5505" s="22">
        <f>(11.183527285529)*(1)*(1)*(1)*(1 + (0))</f>
      </c>
      <c r="D5505" s="22" t="s">
        <v>182</v>
      </c>
      <c r="E5505" s="22"/>
      <c r="F5505" s="22">
        <f>C5505*E5505</f>
      </c>
    </row>
    <row r="5506">
      <c r="A5506" s="3"/>
      <c r="B5506" s="11" t="s">
        <v>482</v>
      </c>
      <c r="C5506" s="20"/>
      <c r="D5506" s="20"/>
      <c r="E5506" s="20"/>
      <c r="F5506" s="20"/>
    </row>
    <row r="5507">
      <c r="A5507" s="4"/>
      <c r="B5507" s="12" t="s">
        <v>411</v>
      </c>
      <c r="C5507" s="21"/>
      <c r="D5507" s="21"/>
      <c r="E5507" s="21"/>
      <c r="F5507" s="21"/>
    </row>
    <row r="5508">
      <c r="A5508" s="6"/>
      <c r="B5508" s="15" t="s">
        <v>252</v>
      </c>
      <c r="C5508" s="23"/>
      <c r="D5508" s="23"/>
      <c r="E5508" s="23"/>
      <c r="F5508" s="23"/>
    </row>
    <row r="5509">
      <c r="A5509" s="5"/>
      <c r="B5509" s="16" t="s">
        <v>2144</v>
      </c>
      <c r="C5509" s="22">
        <f>(675)*(1)*(1)*(1)*(1 + (0))</f>
      </c>
      <c r="D5509" s="22" t="s">
        <v>24</v>
      </c>
      <c r="E5509" s="22"/>
      <c r="F5509" s="22">
        <f>C5509*E5509</f>
      </c>
    </row>
    <row r="5510">
      <c r="A5510" s="5"/>
      <c r="B5510" s="7" t="s">
        <v>2145</v>
      </c>
      <c r="C5510" s="22"/>
      <c r="D5510" s="22"/>
      <c r="E5510" s="22"/>
      <c r="F5510" s="22">
        <f>C5510*E5510</f>
      </c>
    </row>
    <row r="5511">
      <c r="A5511" s="5"/>
      <c r="B5511" s="7" t="s">
        <v>519</v>
      </c>
      <c r="C5511" s="22"/>
      <c r="D5511" s="22"/>
      <c r="E5511" s="22"/>
      <c r="F5511" s="22">
        <f>C5511*E5511</f>
      </c>
    </row>
    <row r="5512">
      <c r="A5512" s="2"/>
      <c r="B5512" s="10" t="s">
        <v>520</v>
      </c>
      <c r="C5512" s="19"/>
      <c r="D5512" s="19"/>
      <c r="E5512" s="19"/>
      <c r="F5512" s="19"/>
    </row>
    <row r="5513">
      <c r="A5513" s="3"/>
      <c r="B5513" s="11" t="s">
        <v>37</v>
      </c>
      <c r="C5513" s="20"/>
      <c r="D5513" s="20"/>
      <c r="E5513" s="20"/>
      <c r="F5513" s="20"/>
    </row>
    <row r="5514">
      <c r="A5514" s="5" t="s">
        <v>521</v>
      </c>
      <c r="B5514" s="14" t="s">
        <v>39</v>
      </c>
      <c r="C5514" s="22"/>
      <c r="D5514" s="22" t="s">
        <v>10</v>
      </c>
      <c r="E5514" s="22"/>
      <c r="F5514" s="22">
        <f>C5514*E5514</f>
      </c>
    </row>
    <row r="5515">
      <c r="A5515" s="5" t="s">
        <v>522</v>
      </c>
      <c r="B5515" s="14" t="s">
        <v>41</v>
      </c>
      <c r="C5515" s="22"/>
      <c r="D5515" s="22" t="s">
        <v>10</v>
      </c>
      <c r="E5515" s="22"/>
      <c r="F5515" s="22">
        <f>C5515*E5515</f>
      </c>
    </row>
    <row r="5516">
      <c r="A5516" s="3"/>
      <c r="B5516" s="11" t="s">
        <v>523</v>
      </c>
      <c r="C5516" s="20"/>
      <c r="D5516" s="20"/>
      <c r="E5516" s="20"/>
      <c r="F5516" s="20"/>
    </row>
    <row r="5517">
      <c r="A5517" s="5"/>
      <c r="B5517" s="14" t="s">
        <v>524</v>
      </c>
      <c r="C5517" s="22"/>
      <c r="D5517" s="22" t="s">
        <v>10</v>
      </c>
      <c r="E5517" s="22"/>
      <c r="F5517" s="22">
        <f>C5517*E5517</f>
      </c>
    </row>
    <row r="5518">
      <c r="A5518" s="5"/>
      <c r="B5518" s="14" t="s">
        <v>1943</v>
      </c>
      <c r="C5518" s="22"/>
      <c r="D5518" s="22" t="s">
        <v>10</v>
      </c>
      <c r="E5518" s="22"/>
      <c r="F5518" s="22">
        <f>C5518*E5518</f>
      </c>
    </row>
    <row r="5519">
      <c r="A5519" s="3"/>
      <c r="B5519" s="11" t="s">
        <v>44</v>
      </c>
      <c r="C5519" s="20"/>
      <c r="D5519" s="20"/>
      <c r="E5519" s="20"/>
      <c r="F5519" s="20"/>
    </row>
    <row r="5520">
      <c r="A5520" s="4"/>
      <c r="B5520" s="12" t="s">
        <v>45</v>
      </c>
      <c r="C5520" s="21"/>
      <c r="D5520" s="21"/>
      <c r="E5520" s="21"/>
      <c r="F5520" s="21"/>
    </row>
    <row r="5521">
      <c r="A5521" s="5" t="s">
        <v>527</v>
      </c>
      <c r="B5521" s="13" t="s">
        <v>528</v>
      </c>
      <c r="C5521" s="22"/>
      <c r="D5521" s="22" t="s">
        <v>10</v>
      </c>
      <c r="E5521" s="22"/>
      <c r="F5521" s="22">
        <f>C5521*E5521</f>
      </c>
    </row>
    <row r="5522">
      <c r="A5522" s="5" t="s">
        <v>529</v>
      </c>
      <c r="B5522" s="13" t="s">
        <v>530</v>
      </c>
      <c r="C5522" s="22"/>
      <c r="D5522" s="22" t="s">
        <v>10</v>
      </c>
      <c r="E5522" s="22"/>
      <c r="F5522" s="22">
        <f>C5522*E5522</f>
      </c>
    </row>
    <row r="5523">
      <c r="A5523" s="5" t="s">
        <v>531</v>
      </c>
      <c r="B5523" s="13" t="s">
        <v>532</v>
      </c>
      <c r="C5523" s="22"/>
      <c r="D5523" s="22" t="s">
        <v>10</v>
      </c>
      <c r="E5523" s="22"/>
      <c r="F5523" s="22">
        <f>C5523*E5523</f>
      </c>
    </row>
    <row r="5524">
      <c r="A5524" s="5" t="s">
        <v>533</v>
      </c>
      <c r="B5524" s="13" t="s">
        <v>534</v>
      </c>
      <c r="C5524" s="22"/>
      <c r="D5524" s="22" t="s">
        <v>10</v>
      </c>
      <c r="E5524" s="22"/>
      <c r="F5524" s="22">
        <f>C5524*E5524</f>
      </c>
    </row>
    <row r="5525">
      <c r="A5525" s="5" t="s">
        <v>535</v>
      </c>
      <c r="B5525" s="13" t="s">
        <v>536</v>
      </c>
      <c r="C5525" s="22"/>
      <c r="D5525" s="22" t="s">
        <v>10</v>
      </c>
      <c r="E5525" s="22"/>
      <c r="F5525" s="22">
        <f>C5525*E5525</f>
      </c>
    </row>
    <row r="5526">
      <c r="A5526" s="5" t="s">
        <v>537</v>
      </c>
      <c r="B5526" s="13" t="s">
        <v>538</v>
      </c>
      <c r="C5526" s="22"/>
      <c r="D5526" s="22" t="s">
        <v>10</v>
      </c>
      <c r="E5526" s="22"/>
      <c r="F5526" s="22">
        <f>C5526*E5526</f>
      </c>
    </row>
    <row r="5527">
      <c r="A5527" s="5" t="s">
        <v>539</v>
      </c>
      <c r="B5527" s="13" t="s">
        <v>123</v>
      </c>
      <c r="C5527" s="22"/>
      <c r="D5527" s="22" t="s">
        <v>10</v>
      </c>
      <c r="E5527" s="22"/>
      <c r="F5527" s="22">
        <f>C5527*E5527</f>
      </c>
    </row>
    <row r="5528">
      <c r="A5528" s="3"/>
      <c r="B5528" s="11" t="s">
        <v>68</v>
      </c>
      <c r="C5528" s="20"/>
      <c r="D5528" s="20"/>
      <c r="E5528" s="20"/>
      <c r="F5528" s="20"/>
    </row>
    <row r="5529">
      <c r="A5529" s="5" t="s">
        <v>540</v>
      </c>
      <c r="B5529" s="14" t="s">
        <v>70</v>
      </c>
      <c r="C5529" s="22">
        <f>(1)*(1)*(1)*(1)*(1 + (0))</f>
      </c>
      <c r="D5529" s="22" t="s">
        <v>71</v>
      </c>
      <c r="E5529" s="22"/>
      <c r="F5529" s="22">
        <f>C5529*E5529</f>
      </c>
    </row>
    <row r="5530">
      <c r="A5530" s="5" t="s">
        <v>541</v>
      </c>
      <c r="B5530" s="14" t="s">
        <v>73</v>
      </c>
      <c r="C5530" s="22">
        <f>(1)*(1)*(1)*(1)*(1 + (0))</f>
      </c>
      <c r="D5530" s="22" t="s">
        <v>71</v>
      </c>
      <c r="E5530" s="22"/>
      <c r="F5530" s="22">
        <f>C5530*E5530</f>
      </c>
    </row>
    <row r="5531">
      <c r="A5531" s="5" t="s">
        <v>542</v>
      </c>
      <c r="B5531" s="14" t="s">
        <v>543</v>
      </c>
      <c r="C5531" s="22">
        <f>(1)*(1)*(1)*(1)*(1 + (0))</f>
      </c>
      <c r="D5531" s="22" t="s">
        <v>71</v>
      </c>
      <c r="E5531" s="22"/>
      <c r="F5531" s="22">
        <f>C5531*E5531</f>
      </c>
    </row>
    <row r="5532">
      <c r="A5532" s="5" t="s">
        <v>544</v>
      </c>
      <c r="B5532" s="14" t="s">
        <v>545</v>
      </c>
      <c r="C5532" s="22">
        <f>(1)*(1)*(1)*(1)*(1 + (0))</f>
      </c>
      <c r="D5532" s="22" t="s">
        <v>71</v>
      </c>
      <c r="E5532" s="22"/>
      <c r="F5532" s="22">
        <f>C5532*E5532</f>
      </c>
    </row>
    <row r="5533">
      <c r="A5533" s="5" t="s">
        <v>546</v>
      </c>
      <c r="B5533" s="14" t="s">
        <v>547</v>
      </c>
      <c r="C5533" s="22">
        <f>(1)*(1)*(1)*(1)*(1 + (0))</f>
      </c>
      <c r="D5533" s="22" t="s">
        <v>71</v>
      </c>
      <c r="E5533" s="22"/>
      <c r="F5533" s="22">
        <f>C5533*E5533</f>
      </c>
    </row>
    <row r="5534">
      <c r="A5534" s="5" t="s">
        <v>548</v>
      </c>
      <c r="B5534" s="14" t="s">
        <v>549</v>
      </c>
      <c r="C5534" s="22">
        <f>(1)*(1)*(1)*(1)*(1 + (0))</f>
      </c>
      <c r="D5534" s="22" t="s">
        <v>71</v>
      </c>
      <c r="E5534" s="22"/>
      <c r="F5534" s="22">
        <f>C5534*E5534</f>
      </c>
    </row>
    <row r="5535">
      <c r="A5535" s="5" t="s">
        <v>550</v>
      </c>
      <c r="B5535" s="14" t="s">
        <v>551</v>
      </c>
      <c r="C5535" s="22">
        <f>(1)*(1)*(1)*(1)*(1 + (0))</f>
      </c>
      <c r="D5535" s="22" t="s">
        <v>71</v>
      </c>
      <c r="E5535" s="22"/>
      <c r="F5535" s="22">
        <f>C5535*E5535</f>
      </c>
    </row>
    <row r="5536">
      <c r="A5536" s="5" t="s">
        <v>552</v>
      </c>
      <c r="B5536" s="14" t="s">
        <v>553</v>
      </c>
      <c r="C5536" s="22">
        <f>(1)*(1)*(1)*(1)*(1 + (0))</f>
      </c>
      <c r="D5536" s="22" t="s">
        <v>71</v>
      </c>
      <c r="E5536" s="22"/>
      <c r="F5536" s="22">
        <f>C5536*E5536</f>
      </c>
    </row>
    <row r="5537">
      <c r="A5537" s="5" t="s">
        <v>554</v>
      </c>
      <c r="B5537" s="14" t="s">
        <v>555</v>
      </c>
      <c r="C5537" s="22">
        <f>(1)*(1)*(1)*(1)*(1 + (0))</f>
      </c>
      <c r="D5537" s="22" t="s">
        <v>71</v>
      </c>
      <c r="E5537" s="22"/>
      <c r="F5537" s="22">
        <f>C5537*E5537</f>
      </c>
    </row>
    <row r="5538">
      <c r="A5538" s="5" t="s">
        <v>556</v>
      </c>
      <c r="B5538" s="14" t="s">
        <v>447</v>
      </c>
      <c r="C5538" s="22">
        <f>(1)*(1)*(1)*(1)*(1 + (0))</f>
      </c>
      <c r="D5538" s="22" t="s">
        <v>71</v>
      </c>
      <c r="E5538" s="22"/>
      <c r="F5538" s="22">
        <f>C5538*E5538</f>
      </c>
    </row>
    <row r="5539">
      <c r="A5539" s="5" t="s">
        <v>557</v>
      </c>
      <c r="B5539" s="14" t="s">
        <v>558</v>
      </c>
      <c r="C5539" s="22">
        <f>(1)*(1)*(1)*(1)*(1 + (0))</f>
      </c>
      <c r="D5539" s="22" t="s">
        <v>71</v>
      </c>
      <c r="E5539" s="22"/>
      <c r="F5539" s="22">
        <f>C5539*E5539</f>
      </c>
    </row>
    <row r="5540">
      <c r="A5540" s="3"/>
      <c r="B5540" s="11" t="s">
        <v>560</v>
      </c>
      <c r="C5540" s="20"/>
      <c r="D5540" s="20"/>
      <c r="E5540" s="20"/>
      <c r="F5540" s="20"/>
    </row>
    <row r="5541">
      <c r="A5541" s="4"/>
      <c r="B5541" s="12" t="s">
        <v>565</v>
      </c>
      <c r="C5541" s="21"/>
      <c r="D5541" s="21"/>
      <c r="E5541" s="21"/>
      <c r="F5541" s="21"/>
    </row>
    <row r="5542">
      <c r="A5542" s="5"/>
      <c r="B5542" s="13" t="s">
        <v>2146</v>
      </c>
      <c r="C5542" s="22">
        <f>(582)*(1)*(1)*(1)*(1 + (0))</f>
      </c>
      <c r="D5542" s="22" t="s">
        <v>24</v>
      </c>
      <c r="E5542" s="22"/>
      <c r="F5542" s="22">
        <f>C5542*E5542</f>
      </c>
    </row>
    <row r="5543">
      <c r="A5543" s="3"/>
      <c r="B5543" s="11" t="s">
        <v>619</v>
      </c>
      <c r="C5543" s="20"/>
      <c r="D5543" s="20"/>
      <c r="E5543" s="20"/>
      <c r="F5543" s="20"/>
    </row>
    <row r="5544">
      <c r="A5544" s="4"/>
      <c r="B5544" s="12" t="s">
        <v>620</v>
      </c>
      <c r="C5544" s="21"/>
      <c r="D5544" s="21"/>
      <c r="E5544" s="21"/>
      <c r="F5544" s="21"/>
    </row>
    <row r="5545">
      <c r="A5545" s="5"/>
      <c r="B5545" s="13" t="s">
        <v>623</v>
      </c>
      <c r="C5545" s="22">
        <f>(582)*(1)*(1)*(1)*(1 + (0))</f>
      </c>
      <c r="D5545" s="22" t="s">
        <v>24</v>
      </c>
      <c r="E5545" s="22"/>
      <c r="F5545" s="22">
        <f>C5545*E5545</f>
      </c>
    </row>
    <row r="5546">
      <c r="A5546" s="4"/>
      <c r="B5546" s="12" t="s">
        <v>625</v>
      </c>
      <c r="C5546" s="21"/>
      <c r="D5546" s="21"/>
      <c r="E5546" s="21"/>
      <c r="F5546" s="21"/>
    </row>
    <row r="5547">
      <c r="A5547" s="5"/>
      <c r="B5547" s="13" t="s">
        <v>628</v>
      </c>
      <c r="C5547" s="22">
        <f>(582)*(1)*(1)*(1)*(1 + (0))</f>
      </c>
      <c r="D5547" s="22" t="s">
        <v>24</v>
      </c>
      <c r="E5547" s="22"/>
      <c r="F5547" s="22">
        <f>C5547*E5547</f>
      </c>
    </row>
    <row r="5548">
      <c r="A5548" s="4"/>
      <c r="B5548" s="12" t="s">
        <v>629</v>
      </c>
      <c r="C5548" s="21"/>
      <c r="D5548" s="21"/>
      <c r="E5548" s="21"/>
      <c r="F5548" s="21"/>
    </row>
    <row r="5549">
      <c r="A5549" s="5"/>
      <c r="B5549" s="13" t="s">
        <v>1707</v>
      </c>
      <c r="C5549" s="22">
        <f>(582)*(1)*(1)*(1)*(1 + (0))</f>
      </c>
      <c r="D5549" s="22" t="s">
        <v>24</v>
      </c>
      <c r="E5549" s="22"/>
      <c r="F5549" s="22">
        <f>C5549*E5549</f>
      </c>
    </row>
    <row r="5550">
      <c r="A5550" s="2"/>
      <c r="B5550" s="10" t="s">
        <v>631</v>
      </c>
      <c r="C5550" s="19"/>
      <c r="D5550" s="19"/>
      <c r="E5550" s="19"/>
      <c r="F5550" s="19"/>
    </row>
    <row r="5551">
      <c r="A5551" s="3"/>
      <c r="B5551" s="11" t="s">
        <v>37</v>
      </c>
      <c r="C5551" s="20"/>
      <c r="D5551" s="20"/>
      <c r="E5551" s="20"/>
      <c r="F5551" s="20"/>
    </row>
    <row r="5552">
      <c r="A5552" s="5" t="s">
        <v>632</v>
      </c>
      <c r="B5552" s="14" t="s">
        <v>39</v>
      </c>
      <c r="C5552" s="22"/>
      <c r="D5552" s="22" t="s">
        <v>10</v>
      </c>
      <c r="E5552" s="22"/>
      <c r="F5552" s="22">
        <f>C5552*E5552</f>
      </c>
    </row>
    <row r="5553">
      <c r="A5553" s="5" t="s">
        <v>633</v>
      </c>
      <c r="B5553" s="14" t="s">
        <v>41</v>
      </c>
      <c r="C5553" s="22"/>
      <c r="D5553" s="22" t="s">
        <v>10</v>
      </c>
      <c r="E5553" s="22"/>
      <c r="F5553" s="22">
        <f>C5553*E5553</f>
      </c>
    </row>
    <row r="5554">
      <c r="A5554" s="3"/>
      <c r="B5554" s="11" t="s">
        <v>523</v>
      </c>
      <c r="C5554" s="20"/>
      <c r="D5554" s="20"/>
      <c r="E5554" s="20"/>
      <c r="F5554" s="20"/>
    </row>
    <row r="5555">
      <c r="A5555" s="5"/>
      <c r="B5555" s="14" t="s">
        <v>1709</v>
      </c>
      <c r="C5555" s="22"/>
      <c r="D5555" s="22" t="s">
        <v>10</v>
      </c>
      <c r="E5555" s="22"/>
      <c r="F5555" s="22">
        <f>C5555*E5555</f>
      </c>
    </row>
    <row r="5556">
      <c r="A5556" s="5"/>
      <c r="B5556" s="14" t="s">
        <v>635</v>
      </c>
      <c r="C5556" s="22"/>
      <c r="D5556" s="22" t="s">
        <v>10</v>
      </c>
      <c r="E5556" s="22"/>
      <c r="F5556" s="22">
        <f>C5556*E5556</f>
      </c>
    </row>
    <row r="5557">
      <c r="A5557" s="3"/>
      <c r="B5557" s="11" t="s">
        <v>44</v>
      </c>
      <c r="C5557" s="20"/>
      <c r="D5557" s="20"/>
      <c r="E5557" s="20"/>
      <c r="F5557" s="20"/>
    </row>
    <row r="5558">
      <c r="A5558" s="4"/>
      <c r="B5558" s="12" t="s">
        <v>45</v>
      </c>
      <c r="C5558" s="21"/>
      <c r="D5558" s="21"/>
      <c r="E5558" s="21"/>
      <c r="F5558" s="21"/>
    </row>
    <row r="5559">
      <c r="A5559" s="5" t="s">
        <v>637</v>
      </c>
      <c r="B5559" s="13" t="s">
        <v>638</v>
      </c>
      <c r="C5559" s="22"/>
      <c r="D5559" s="22" t="s">
        <v>10</v>
      </c>
      <c r="E5559" s="22"/>
      <c r="F5559" s="22">
        <f>C5559*E5559</f>
      </c>
    </row>
    <row r="5560">
      <c r="A5560" s="5" t="s">
        <v>639</v>
      </c>
      <c r="B5560" s="13" t="s">
        <v>640</v>
      </c>
      <c r="C5560" s="22"/>
      <c r="D5560" s="22" t="s">
        <v>10</v>
      </c>
      <c r="E5560" s="22"/>
      <c r="F5560" s="22">
        <f>C5560*E5560</f>
      </c>
    </row>
    <row r="5561">
      <c r="A5561" s="5" t="s">
        <v>641</v>
      </c>
      <c r="B5561" s="13" t="s">
        <v>642</v>
      </c>
      <c r="C5561" s="22"/>
      <c r="D5561" s="22" t="s">
        <v>10</v>
      </c>
      <c r="E5561" s="22"/>
      <c r="F5561" s="22">
        <f>C5561*E5561</f>
      </c>
    </row>
    <row r="5562">
      <c r="A5562" s="5" t="s">
        <v>643</v>
      </c>
      <c r="B5562" s="13" t="s">
        <v>644</v>
      </c>
      <c r="C5562" s="22"/>
      <c r="D5562" s="22" t="s">
        <v>10</v>
      </c>
      <c r="E5562" s="22"/>
      <c r="F5562" s="22">
        <f>C5562*E5562</f>
      </c>
    </row>
    <row r="5563">
      <c r="A5563" s="5" t="s">
        <v>645</v>
      </c>
      <c r="B5563" s="13" t="s">
        <v>646</v>
      </c>
      <c r="C5563" s="22"/>
      <c r="D5563" s="22" t="s">
        <v>10</v>
      </c>
      <c r="E5563" s="22"/>
      <c r="F5563" s="22">
        <f>C5563*E5563</f>
      </c>
    </row>
    <row r="5564">
      <c r="A5564" s="5" t="s">
        <v>647</v>
      </c>
      <c r="B5564" s="13" t="s">
        <v>648</v>
      </c>
      <c r="C5564" s="22"/>
      <c r="D5564" s="22" t="s">
        <v>10</v>
      </c>
      <c r="E5564" s="22"/>
      <c r="F5564" s="22">
        <f>C5564*E5564</f>
      </c>
    </row>
    <row r="5565">
      <c r="A5565" s="5" t="s">
        <v>649</v>
      </c>
      <c r="B5565" s="13" t="s">
        <v>650</v>
      </c>
      <c r="C5565" s="22"/>
      <c r="D5565" s="22" t="s">
        <v>10</v>
      </c>
      <c r="E5565" s="22"/>
      <c r="F5565" s="22">
        <f>C5565*E5565</f>
      </c>
    </row>
    <row r="5566">
      <c r="A5566" s="5" t="s">
        <v>651</v>
      </c>
      <c r="B5566" s="13" t="s">
        <v>652</v>
      </c>
      <c r="C5566" s="22"/>
      <c r="D5566" s="22" t="s">
        <v>10</v>
      </c>
      <c r="E5566" s="22"/>
      <c r="F5566" s="22">
        <f>C5566*E5566</f>
      </c>
    </row>
    <row r="5567">
      <c r="A5567" s="5" t="s">
        <v>653</v>
      </c>
      <c r="B5567" s="13" t="s">
        <v>654</v>
      </c>
      <c r="C5567" s="22"/>
      <c r="D5567" s="22" t="s">
        <v>10</v>
      </c>
      <c r="E5567" s="22"/>
      <c r="F5567" s="22">
        <f>C5567*E5567</f>
      </c>
    </row>
    <row r="5568">
      <c r="A5568" s="3"/>
      <c r="B5568" s="11" t="s">
        <v>68</v>
      </c>
      <c r="C5568" s="20"/>
      <c r="D5568" s="20"/>
      <c r="E5568" s="20"/>
      <c r="F5568" s="20"/>
    </row>
    <row r="5569">
      <c r="A5569" s="5" t="s">
        <v>655</v>
      </c>
      <c r="B5569" s="14" t="s">
        <v>656</v>
      </c>
      <c r="C5569" s="22">
        <f>(1)*(1)*(1)*(1)*(1 + (0))</f>
      </c>
      <c r="D5569" s="22" t="s">
        <v>71</v>
      </c>
      <c r="E5569" s="22"/>
      <c r="F5569" s="22">
        <f>C5569*E5569</f>
      </c>
    </row>
    <row r="5570">
      <c r="A5570" s="5" t="s">
        <v>657</v>
      </c>
      <c r="B5570" s="14" t="s">
        <v>658</v>
      </c>
      <c r="C5570" s="22">
        <f>(1)*(1)*(1)*(1)*(1 + (0))</f>
      </c>
      <c r="D5570" s="22" t="s">
        <v>71</v>
      </c>
      <c r="E5570" s="22"/>
      <c r="F5570" s="22">
        <f>C5570*E5570</f>
      </c>
    </row>
    <row r="5571">
      <c r="A5571" s="5" t="s">
        <v>659</v>
      </c>
      <c r="B5571" s="14" t="s">
        <v>660</v>
      </c>
      <c r="C5571" s="22">
        <f>(1)*(1)*(1)*(1)*(1 + (0))</f>
      </c>
      <c r="D5571" s="22" t="s">
        <v>71</v>
      </c>
      <c r="E5571" s="22"/>
      <c r="F5571" s="22">
        <f>C5571*E5571</f>
      </c>
    </row>
    <row r="5572">
      <c r="A5572" s="5" t="s">
        <v>661</v>
      </c>
      <c r="B5572" s="14" t="s">
        <v>77</v>
      </c>
      <c r="C5572" s="22">
        <f>(1)*(1)*(1)*(1)*(1 + (0))</f>
      </c>
      <c r="D5572" s="22" t="s">
        <v>71</v>
      </c>
      <c r="E5572" s="22"/>
      <c r="F5572" s="22">
        <f>C5572*E5572</f>
      </c>
    </row>
    <row r="5573">
      <c r="A5573" s="5" t="s">
        <v>662</v>
      </c>
      <c r="B5573" s="14" t="s">
        <v>663</v>
      </c>
      <c r="C5573" s="22">
        <f>(1)*(1)*(1)*(1)*(1 + (0))</f>
      </c>
      <c r="D5573" s="22" t="s">
        <v>71</v>
      </c>
      <c r="E5573" s="22"/>
      <c r="F5573" s="22">
        <f>C5573*E5573</f>
      </c>
    </row>
    <row r="5574">
      <c r="A5574" s="5" t="s">
        <v>664</v>
      </c>
      <c r="B5574" s="14" t="s">
        <v>665</v>
      </c>
      <c r="C5574" s="22">
        <f>(1)*(1)*(1)*(1)*(1 + (0))</f>
      </c>
      <c r="D5574" s="22" t="s">
        <v>71</v>
      </c>
      <c r="E5574" s="22"/>
      <c r="F5574" s="22">
        <f>C5574*E5574</f>
      </c>
    </row>
    <row r="5575">
      <c r="A5575" s="5" t="s">
        <v>666</v>
      </c>
      <c r="B5575" s="14" t="s">
        <v>667</v>
      </c>
      <c r="C5575" s="22">
        <f>(1)*(1)*(1)*(1)*(1 + (0))</f>
      </c>
      <c r="D5575" s="22" t="s">
        <v>71</v>
      </c>
      <c r="E5575" s="22"/>
      <c r="F5575" s="22">
        <f>C5575*E5575</f>
      </c>
    </row>
    <row r="5576">
      <c r="A5576" s="5" t="s">
        <v>668</v>
      </c>
      <c r="B5576" s="14" t="s">
        <v>669</v>
      </c>
      <c r="C5576" s="22">
        <f>(1)*(1)*(1)*(1)*(1 + (0))</f>
      </c>
      <c r="D5576" s="22" t="s">
        <v>71</v>
      </c>
      <c r="E5576" s="22"/>
      <c r="F5576" s="22">
        <f>C5576*E5576</f>
      </c>
    </row>
    <row r="5577">
      <c r="A5577" s="3"/>
      <c r="B5577" s="11" t="s">
        <v>106</v>
      </c>
      <c r="C5577" s="20"/>
      <c r="D5577" s="20"/>
      <c r="E5577" s="20"/>
      <c r="F5577" s="20"/>
    </row>
    <row r="5578">
      <c r="A5578" s="5"/>
      <c r="B5578" s="14" t="s">
        <v>671</v>
      </c>
      <c r="C5578" s="22"/>
      <c r="D5578" s="22" t="s">
        <v>10</v>
      </c>
      <c r="E5578" s="22"/>
      <c r="F5578" s="22">
        <f>C5578*E5578</f>
      </c>
    </row>
    <row r="5579">
      <c r="A5579" s="3"/>
      <c r="B5579" s="11" t="s">
        <v>672</v>
      </c>
      <c r="C5579" s="20"/>
      <c r="D5579" s="20"/>
      <c r="E5579" s="20"/>
      <c r="F5579" s="20"/>
    </row>
    <row r="5580">
      <c r="A5580" s="4"/>
      <c r="B5580" s="12" t="s">
        <v>673</v>
      </c>
      <c r="C5580" s="21"/>
      <c r="D5580" s="21"/>
      <c r="E5580" s="21"/>
      <c r="F5580" s="21"/>
    </row>
    <row r="5581">
      <c r="A5581" s="6"/>
      <c r="B5581" s="15" t="s">
        <v>674</v>
      </c>
      <c r="C5581" s="23"/>
      <c r="D5581" s="23"/>
      <c r="E5581" s="23"/>
      <c r="F5581" s="23"/>
    </row>
    <row r="5582">
      <c r="A5582" s="5"/>
      <c r="B5582" s="16" t="s">
        <v>675</v>
      </c>
      <c r="C5582" s="22"/>
      <c r="D5582" s="22"/>
      <c r="E5582" s="22"/>
      <c r="F5582" s="22"/>
    </row>
    <row r="5583">
      <c r="A5583" s="5"/>
      <c r="B5583" s="17" t="s">
        <v>1711</v>
      </c>
      <c r="C5583" s="22">
        <f>(53)*(1)*(1)*(1)*(1 + (0))</f>
      </c>
      <c r="D5583" s="22" t="s">
        <v>24</v>
      </c>
      <c r="E5583" s="22"/>
      <c r="F5583" s="22">
        <f>C5583*E5583</f>
      </c>
    </row>
    <row r="5584">
      <c r="A5584" s="5"/>
      <c r="B5584" s="16" t="s">
        <v>677</v>
      </c>
      <c r="C5584" s="22"/>
      <c r="D5584" s="22"/>
      <c r="E5584" s="22"/>
      <c r="F5584" s="22"/>
    </row>
    <row r="5585">
      <c r="A5585" s="5"/>
      <c r="B5585" s="17" t="s">
        <v>1711</v>
      </c>
      <c r="C5585" s="22">
        <f>(19)*(1)*(1)*(1)*(1 + (0))</f>
      </c>
      <c r="D5585" s="22" t="s">
        <v>24</v>
      </c>
      <c r="E5585" s="22"/>
      <c r="F5585" s="22">
        <f>C5585*E5585</f>
      </c>
    </row>
    <row r="5586">
      <c r="A5586" s="5"/>
      <c r="B5586" s="16" t="s">
        <v>678</v>
      </c>
      <c r="C5586" s="22"/>
      <c r="D5586" s="22"/>
      <c r="E5586" s="22"/>
      <c r="F5586" s="22"/>
    </row>
    <row r="5587">
      <c r="A5587" s="5"/>
      <c r="B5587" s="17" t="s">
        <v>1711</v>
      </c>
      <c r="C5587" s="22">
        <f>(62)*(1)*(1)*(1)*(1 + (0))</f>
      </c>
      <c r="D5587" s="22" t="s">
        <v>153</v>
      </c>
      <c r="E5587" s="22"/>
      <c r="F5587" s="22">
        <f>C5587*E5587</f>
      </c>
    </row>
    <row r="5588">
      <c r="A5588" s="2"/>
      <c r="B5588" s="10" t="s">
        <v>689</v>
      </c>
      <c r="C5588" s="19"/>
      <c r="D5588" s="19"/>
      <c r="E5588" s="19"/>
      <c r="F5588" s="19"/>
    </row>
    <row r="5589">
      <c r="A5589" s="3"/>
      <c r="B5589" s="11" t="s">
        <v>37</v>
      </c>
      <c r="C5589" s="20"/>
      <c r="D5589" s="20"/>
      <c r="E5589" s="20"/>
      <c r="F5589" s="20"/>
    </row>
    <row r="5590">
      <c r="A5590" s="5" t="s">
        <v>690</v>
      </c>
      <c r="B5590" s="14" t="s">
        <v>39</v>
      </c>
      <c r="C5590" s="22"/>
      <c r="D5590" s="22" t="s">
        <v>10</v>
      </c>
      <c r="E5590" s="22"/>
      <c r="F5590" s="22">
        <f>C5590*E5590</f>
      </c>
    </row>
    <row r="5591">
      <c r="A5591" s="5" t="s">
        <v>691</v>
      </c>
      <c r="B5591" s="14" t="s">
        <v>41</v>
      </c>
      <c r="C5591" s="22"/>
      <c r="D5591" s="22" t="s">
        <v>10</v>
      </c>
      <c r="E5591" s="22"/>
      <c r="F5591" s="22">
        <f>C5591*E5591</f>
      </c>
    </row>
    <row r="5592">
      <c r="A5592" s="3"/>
      <c r="B5592" s="11" t="s">
        <v>42</v>
      </c>
      <c r="C5592" s="20"/>
      <c r="D5592" s="20"/>
      <c r="E5592" s="20"/>
      <c r="F5592" s="20"/>
    </row>
    <row r="5593">
      <c r="A5593" s="5"/>
      <c r="B5593" s="14" t="s">
        <v>692</v>
      </c>
      <c r="C5593" s="22"/>
      <c r="D5593" s="22" t="s">
        <v>10</v>
      </c>
      <c r="E5593" s="22"/>
      <c r="F5593" s="22">
        <f>C5593*E5593</f>
      </c>
    </row>
    <row r="5594">
      <c r="A5594" s="5"/>
      <c r="B5594" s="14" t="s">
        <v>693</v>
      </c>
      <c r="C5594" s="22"/>
      <c r="D5594" s="22" t="s">
        <v>10</v>
      </c>
      <c r="E5594" s="22"/>
      <c r="F5594" s="22">
        <f>C5594*E5594</f>
      </c>
    </row>
    <row r="5595">
      <c r="A5595" s="5"/>
      <c r="B5595" s="14" t="s">
        <v>694</v>
      </c>
      <c r="C5595" s="22"/>
      <c r="D5595" s="22" t="s">
        <v>10</v>
      </c>
      <c r="E5595" s="22"/>
      <c r="F5595" s="22">
        <f>C5595*E5595</f>
      </c>
    </row>
    <row r="5596">
      <c r="A5596" s="3"/>
      <c r="B5596" s="11" t="s">
        <v>44</v>
      </c>
      <c r="C5596" s="20"/>
      <c r="D5596" s="20"/>
      <c r="E5596" s="20"/>
      <c r="F5596" s="20"/>
    </row>
    <row r="5597">
      <c r="A5597" s="4"/>
      <c r="B5597" s="12" t="s">
        <v>45</v>
      </c>
      <c r="C5597" s="21"/>
      <c r="D5597" s="21"/>
      <c r="E5597" s="21"/>
      <c r="F5597" s="21"/>
    </row>
    <row r="5598">
      <c r="A5598" s="5" t="s">
        <v>695</v>
      </c>
      <c r="B5598" s="13" t="s">
        <v>696</v>
      </c>
      <c r="C5598" s="22"/>
      <c r="D5598" s="22" t="s">
        <v>10</v>
      </c>
      <c r="E5598" s="22"/>
      <c r="F5598" s="22">
        <f>C5598*E5598</f>
      </c>
    </row>
    <row r="5599">
      <c r="A5599" s="5" t="s">
        <v>697</v>
      </c>
      <c r="B5599" s="13" t="s">
        <v>698</v>
      </c>
      <c r="C5599" s="22"/>
      <c r="D5599" s="22" t="s">
        <v>10</v>
      </c>
      <c r="E5599" s="22"/>
      <c r="F5599" s="22">
        <f>C5599*E5599</f>
      </c>
    </row>
    <row r="5600">
      <c r="A5600" s="5" t="s">
        <v>699</v>
      </c>
      <c r="B5600" s="13" t="s">
        <v>700</v>
      </c>
      <c r="C5600" s="22"/>
      <c r="D5600" s="22" t="s">
        <v>10</v>
      </c>
      <c r="E5600" s="22"/>
      <c r="F5600" s="22">
        <f>C5600*E5600</f>
      </c>
    </row>
    <row r="5601">
      <c r="A5601" s="5" t="s">
        <v>701</v>
      </c>
      <c r="B5601" s="13" t="s">
        <v>646</v>
      </c>
      <c r="C5601" s="22"/>
      <c r="D5601" s="22" t="s">
        <v>10</v>
      </c>
      <c r="E5601" s="22"/>
      <c r="F5601" s="22">
        <f>C5601*E5601</f>
      </c>
    </row>
    <row r="5602">
      <c r="A5602" s="5" t="s">
        <v>702</v>
      </c>
      <c r="B5602" s="13" t="s">
        <v>648</v>
      </c>
      <c r="C5602" s="22"/>
      <c r="D5602" s="22" t="s">
        <v>10</v>
      </c>
      <c r="E5602" s="22"/>
      <c r="F5602" s="22">
        <f>C5602*E5602</f>
      </c>
    </row>
    <row r="5603">
      <c r="A5603" s="5" t="s">
        <v>703</v>
      </c>
      <c r="B5603" s="13" t="s">
        <v>704</v>
      </c>
      <c r="C5603" s="22"/>
      <c r="D5603" s="22" t="s">
        <v>10</v>
      </c>
      <c r="E5603" s="22"/>
      <c r="F5603" s="22">
        <f>C5603*E5603</f>
      </c>
    </row>
    <row r="5604">
      <c r="A5604" s="5" t="s">
        <v>705</v>
      </c>
      <c r="B5604" s="13" t="s">
        <v>123</v>
      </c>
      <c r="C5604" s="22"/>
      <c r="D5604" s="22" t="s">
        <v>10</v>
      </c>
      <c r="E5604" s="22"/>
      <c r="F5604" s="22">
        <f>C5604*E5604</f>
      </c>
    </row>
    <row r="5605">
      <c r="A5605" s="3"/>
      <c r="B5605" s="11" t="s">
        <v>68</v>
      </c>
      <c r="C5605" s="20"/>
      <c r="D5605" s="20"/>
      <c r="E5605" s="20"/>
      <c r="F5605" s="20"/>
    </row>
    <row r="5606">
      <c r="A5606" s="5" t="s">
        <v>706</v>
      </c>
      <c r="B5606" s="14" t="s">
        <v>707</v>
      </c>
      <c r="C5606" s="22">
        <f>(1)*(1)*(1)*(1)*(1 + (0))</f>
      </c>
      <c r="D5606" s="22" t="s">
        <v>71</v>
      </c>
      <c r="E5606" s="22"/>
      <c r="F5606" s="22">
        <f>C5606*E5606</f>
      </c>
    </row>
    <row r="5607">
      <c r="A5607" s="5" t="s">
        <v>708</v>
      </c>
      <c r="B5607" s="14" t="s">
        <v>709</v>
      </c>
      <c r="C5607" s="22">
        <f>(1)*(1)*(1)*(1)*(1 + (0))</f>
      </c>
      <c r="D5607" s="22" t="s">
        <v>71</v>
      </c>
      <c r="E5607" s="22"/>
      <c r="F5607" s="22">
        <f>C5607*E5607</f>
      </c>
    </row>
    <row r="5608">
      <c r="A5608" s="5" t="s">
        <v>710</v>
      </c>
      <c r="B5608" s="14" t="s">
        <v>711</v>
      </c>
      <c r="C5608" s="22">
        <f>(1)*(1)*(1)*(1)*(1 + (0))</f>
      </c>
      <c r="D5608" s="22" t="s">
        <v>71</v>
      </c>
      <c r="E5608" s="22"/>
      <c r="F5608" s="22">
        <f>C5608*E5608</f>
      </c>
    </row>
    <row r="5609">
      <c r="A5609" s="5" t="s">
        <v>712</v>
      </c>
      <c r="B5609" s="14" t="s">
        <v>79</v>
      </c>
      <c r="C5609" s="22">
        <f>(1)*(1)*(1)*(1)*(1 + (0))</f>
      </c>
      <c r="D5609" s="22" t="s">
        <v>71</v>
      </c>
      <c r="E5609" s="22"/>
      <c r="F5609" s="22">
        <f>C5609*E5609</f>
      </c>
    </row>
    <row r="5610">
      <c r="A5610" s="5" t="s">
        <v>713</v>
      </c>
      <c r="B5610" s="14" t="s">
        <v>714</v>
      </c>
      <c r="C5610" s="22">
        <f>(1)*(1)*(1)*(1)*(1 + (0))</f>
      </c>
      <c r="D5610" s="22" t="s">
        <v>71</v>
      </c>
      <c r="E5610" s="22"/>
      <c r="F5610" s="22">
        <f>C5610*E5610</f>
      </c>
    </row>
    <row r="5611">
      <c r="A5611" s="5" t="s">
        <v>715</v>
      </c>
      <c r="B5611" s="14" t="s">
        <v>716</v>
      </c>
      <c r="C5611" s="22">
        <f>(1)*(1)*(1)*(1)*(1 + (0))</f>
      </c>
      <c r="D5611" s="22" t="s">
        <v>71</v>
      </c>
      <c r="E5611" s="22"/>
      <c r="F5611" s="22">
        <f>C5611*E5611</f>
      </c>
    </row>
    <row r="5612">
      <c r="A5612" s="5" t="s">
        <v>717</v>
      </c>
      <c r="B5612" s="14" t="s">
        <v>718</v>
      </c>
      <c r="C5612" s="22">
        <f>(1)*(1)*(1)*(1)*(1 + (0))</f>
      </c>
      <c r="D5612" s="22" t="s">
        <v>71</v>
      </c>
      <c r="E5612" s="22"/>
      <c r="F5612" s="22">
        <f>C5612*E5612</f>
      </c>
    </row>
    <row r="5613">
      <c r="A5613" s="5" t="s">
        <v>719</v>
      </c>
      <c r="B5613" s="14" t="s">
        <v>720</v>
      </c>
      <c r="C5613" s="22">
        <f>(1)*(1)*(1)*(1)*(1 + (0))</f>
      </c>
      <c r="D5613" s="22" t="s">
        <v>71</v>
      </c>
      <c r="E5613" s="22"/>
      <c r="F5613" s="22">
        <f>C5613*E5613</f>
      </c>
    </row>
    <row r="5614">
      <c r="A5614" s="3"/>
      <c r="B5614" s="11" t="s">
        <v>721</v>
      </c>
      <c r="C5614" s="20"/>
      <c r="D5614" s="20"/>
      <c r="E5614" s="20"/>
      <c r="F5614" s="20"/>
    </row>
    <row r="5615">
      <c r="A5615" s="5"/>
      <c r="B5615" s="14" t="s">
        <v>2147</v>
      </c>
      <c r="C5615" s="22">
        <f>(705)*(1)*(1)*(1)*(1 + (0))</f>
      </c>
      <c r="D5615" s="22" t="s">
        <v>24</v>
      </c>
      <c r="E5615" s="22"/>
      <c r="F5615" s="22">
        <f>C5615*E5615</f>
      </c>
    </row>
    <row r="5616">
      <c r="A5616" s="3"/>
      <c r="B5616" s="11" t="s">
        <v>723</v>
      </c>
      <c r="C5616" s="20"/>
      <c r="D5616" s="20"/>
      <c r="E5616" s="20"/>
      <c r="F5616" s="20"/>
    </row>
    <row r="5617">
      <c r="A5617" s="5"/>
      <c r="B5617" s="14" t="s">
        <v>727</v>
      </c>
      <c r="C5617" s="22">
        <f>(705)*(1)*(1)*(1)*(1 + (0))</f>
      </c>
      <c r="D5617" s="22" t="s">
        <v>24</v>
      </c>
      <c r="E5617" s="22"/>
      <c r="F5617" s="22">
        <f>C5617*E5617</f>
      </c>
    </row>
    <row r="5618">
      <c r="A5618" s="3"/>
      <c r="B5618" s="11" t="s">
        <v>728</v>
      </c>
      <c r="C5618" s="20"/>
      <c r="D5618" s="20"/>
      <c r="E5618" s="20"/>
      <c r="F5618" s="20"/>
    </row>
    <row r="5619">
      <c r="A5619" s="5"/>
      <c r="B5619" s="14" t="s">
        <v>729</v>
      </c>
      <c r="C5619" s="22">
        <f>(705)*(1)*(1)*(1)*(1 + (0))</f>
      </c>
      <c r="D5619" s="22" t="s">
        <v>24</v>
      </c>
      <c r="E5619" s="22"/>
      <c r="F5619" s="22">
        <f>C5619*E5619</f>
      </c>
    </row>
    <row r="5620">
      <c r="A5620" s="3"/>
      <c r="B5620" s="11" t="s">
        <v>730</v>
      </c>
      <c r="C5620" s="20"/>
      <c r="D5620" s="20"/>
      <c r="E5620" s="20"/>
      <c r="F5620" s="20"/>
    </row>
    <row r="5621">
      <c r="A5621" s="4"/>
      <c r="B5621" s="12" t="s">
        <v>731</v>
      </c>
      <c r="C5621" s="21"/>
      <c r="D5621" s="21"/>
      <c r="E5621" s="21"/>
      <c r="F5621" s="21"/>
    </row>
    <row r="5622">
      <c r="A5622" s="5"/>
      <c r="B5622" s="13" t="s">
        <v>732</v>
      </c>
      <c r="C5622" s="22">
        <f>(23)*(1)*(1)*(1)*(1 + (0))</f>
      </c>
      <c r="D5622" s="22" t="s">
        <v>153</v>
      </c>
      <c r="E5622" s="22"/>
      <c r="F5622" s="22">
        <f>C5622*E5622</f>
      </c>
    </row>
    <row r="5623">
      <c r="A5623" s="5"/>
      <c r="B5623" s="13" t="s">
        <v>733</v>
      </c>
      <c r="C5623" s="22">
        <f>(56)*(1)*(1)*(1)*(1 + (0))</f>
      </c>
      <c r="D5623" s="22" t="s">
        <v>153</v>
      </c>
      <c r="E5623" s="22"/>
      <c r="F5623" s="22">
        <f>C5623*E5623</f>
      </c>
    </row>
    <row r="5624">
      <c r="A5624" s="4"/>
      <c r="B5624" s="12" t="s">
        <v>734</v>
      </c>
      <c r="C5624" s="21"/>
      <c r="D5624" s="21"/>
      <c r="E5624" s="21"/>
      <c r="F5624" s="21"/>
    </row>
    <row r="5625">
      <c r="A5625" s="5"/>
      <c r="B5625" s="13" t="s">
        <v>1714</v>
      </c>
      <c r="C5625" s="22">
        <f>(163)*(1)*(1)*(1)*(1 + (0))</f>
      </c>
      <c r="D5625" s="22" t="s">
        <v>153</v>
      </c>
      <c r="E5625" s="22"/>
      <c r="F5625" s="22">
        <f>C5625*E5625</f>
      </c>
    </row>
    <row r="5626">
      <c r="A5626" s="4"/>
      <c r="B5626" s="12" t="s">
        <v>738</v>
      </c>
      <c r="C5626" s="21"/>
      <c r="D5626" s="21"/>
      <c r="E5626" s="21"/>
      <c r="F5626" s="21"/>
    </row>
    <row r="5627">
      <c r="A5627" s="5"/>
      <c r="B5627" s="13" t="s">
        <v>2148</v>
      </c>
      <c r="C5627" s="22">
        <f>(35)*(1)*(1)*(1)*(1 + (0))</f>
      </c>
      <c r="D5627" s="22" t="s">
        <v>24</v>
      </c>
      <c r="E5627" s="22"/>
      <c r="F5627" s="22">
        <f>C5627*E5627</f>
      </c>
    </row>
    <row r="5628">
      <c r="A5628" s="3"/>
      <c r="B5628" s="11" t="s">
        <v>740</v>
      </c>
      <c r="C5628" s="20"/>
      <c r="D5628" s="20"/>
      <c r="E5628" s="20"/>
      <c r="F5628" s="20"/>
    </row>
    <row r="5629">
      <c r="A5629" s="5"/>
      <c r="B5629" s="14" t="s">
        <v>741</v>
      </c>
      <c r="C5629" s="22">
        <f>(56)*(1)*(1)*(1)*(1 + (0))</f>
      </c>
      <c r="D5629" s="22" t="s">
        <v>153</v>
      </c>
      <c r="E5629" s="22"/>
      <c r="F5629" s="22">
        <f>C5629*E5629</f>
      </c>
    </row>
    <row r="5630">
      <c r="A5630" s="5"/>
      <c r="B5630" s="14" t="s">
        <v>2149</v>
      </c>
      <c r="C5630" s="22">
        <f>(4)*(1)*(1)*(1)*(1 + (0))</f>
      </c>
      <c r="D5630" s="22" t="s">
        <v>162</v>
      </c>
      <c r="E5630" s="22"/>
      <c r="F5630" s="22">
        <f>C5630*E5630</f>
      </c>
    </row>
    <row r="5631">
      <c r="A5631" s="5"/>
      <c r="B5631" s="14" t="s">
        <v>2150</v>
      </c>
      <c r="C5631" s="22">
        <f>(2)*(1)*(1)*(1)*(1 + (0))</f>
      </c>
      <c r="D5631" s="22" t="s">
        <v>162</v>
      </c>
      <c r="E5631" s="22"/>
      <c r="F5631" s="22">
        <f>C5631*E5631</f>
      </c>
    </row>
    <row r="5632">
      <c r="A5632" s="5"/>
      <c r="B5632" s="14" t="s">
        <v>748</v>
      </c>
      <c r="C5632" s="22">
        <f>(8)*(1)*(1)*(1)*(1 + (0))</f>
      </c>
      <c r="D5632" s="22" t="s">
        <v>162</v>
      </c>
      <c r="E5632" s="22"/>
      <c r="F5632" s="22">
        <f>C5632*E5632</f>
      </c>
    </row>
    <row r="5633">
      <c r="A5633" s="5"/>
      <c r="B5633" s="14" t="s">
        <v>749</v>
      </c>
      <c r="C5633" s="22">
        <f>(56)*(1)*(1)*(1)*(1 + (0))</f>
      </c>
      <c r="D5633" s="22" t="s">
        <v>153</v>
      </c>
      <c r="E5633" s="22"/>
      <c r="F5633" s="22">
        <f>C5633*E5633</f>
      </c>
    </row>
    <row r="5634">
      <c r="A5634" s="5"/>
      <c r="B5634" s="14" t="s">
        <v>751</v>
      </c>
      <c r="C5634" s="22">
        <f>(6)*(1)*(1)*(1)*(1 + (0))</f>
      </c>
      <c r="D5634" s="22" t="s">
        <v>162</v>
      </c>
      <c r="E5634" s="22"/>
      <c r="F5634" s="22">
        <f>C5634*E5634</f>
      </c>
    </row>
    <row r="5635">
      <c r="A5635" s="3"/>
      <c r="B5635" s="11" t="s">
        <v>753</v>
      </c>
      <c r="C5635" s="20"/>
      <c r="D5635" s="20"/>
      <c r="E5635" s="20"/>
      <c r="F5635" s="20"/>
    </row>
    <row r="5636">
      <c r="A5636" s="5"/>
      <c r="B5636" s="14" t="s">
        <v>755</v>
      </c>
      <c r="C5636" s="22">
        <f>(1)*(1)*(1)*(1)*(1 + (0))</f>
      </c>
      <c r="D5636" s="22" t="s">
        <v>162</v>
      </c>
      <c r="E5636" s="22"/>
      <c r="F5636" s="22">
        <f>C5636*E5636</f>
      </c>
    </row>
    <row r="5637">
      <c r="A5637" s="5"/>
      <c r="B5637" s="14" t="s">
        <v>756</v>
      </c>
      <c r="C5637" s="22">
        <f>(1)*(1)*(1)*(1)*(1 + (0))</f>
      </c>
      <c r="D5637" s="22" t="s">
        <v>71</v>
      </c>
      <c r="E5637" s="22"/>
      <c r="F5637" s="22">
        <f>C5637*E5637</f>
      </c>
    </row>
    <row r="5638">
      <c r="A5638" s="2"/>
      <c r="B5638" s="10" t="s">
        <v>757</v>
      </c>
      <c r="C5638" s="19"/>
      <c r="D5638" s="19"/>
      <c r="E5638" s="19"/>
      <c r="F5638" s="19"/>
    </row>
    <row r="5639">
      <c r="A5639" s="3"/>
      <c r="B5639" s="11" t="s">
        <v>37</v>
      </c>
      <c r="C5639" s="20"/>
      <c r="D5639" s="20"/>
      <c r="E5639" s="20"/>
      <c r="F5639" s="20"/>
    </row>
    <row r="5640">
      <c r="A5640" s="5" t="s">
        <v>758</v>
      </c>
      <c r="B5640" s="14" t="s">
        <v>759</v>
      </c>
      <c r="C5640" s="22"/>
      <c r="D5640" s="22" t="s">
        <v>10</v>
      </c>
      <c r="E5640" s="22"/>
      <c r="F5640" s="22">
        <f>C5640*E5640</f>
      </c>
    </row>
    <row r="5641">
      <c r="A5641" s="5" t="s">
        <v>760</v>
      </c>
      <c r="B5641" s="14" t="s">
        <v>41</v>
      </c>
      <c r="C5641" s="22"/>
      <c r="D5641" s="22" t="s">
        <v>10</v>
      </c>
      <c r="E5641" s="22"/>
      <c r="F5641" s="22">
        <f>C5641*E5641</f>
      </c>
    </row>
    <row r="5642">
      <c r="A5642" s="3"/>
      <c r="B5642" s="11" t="s">
        <v>42</v>
      </c>
      <c r="C5642" s="20"/>
      <c r="D5642" s="20"/>
      <c r="E5642" s="20"/>
      <c r="F5642" s="20"/>
    </row>
    <row r="5643">
      <c r="A5643" s="5"/>
      <c r="B5643" s="14" t="s">
        <v>761</v>
      </c>
      <c r="C5643" s="22"/>
      <c r="D5643" s="22" t="s">
        <v>10</v>
      </c>
      <c r="E5643" s="22"/>
      <c r="F5643" s="22">
        <f>C5643*E5643</f>
      </c>
    </row>
    <row r="5644">
      <c r="A5644" s="5"/>
      <c r="B5644" s="14" t="s">
        <v>762</v>
      </c>
      <c r="C5644" s="22"/>
      <c r="D5644" s="22" t="s">
        <v>10</v>
      </c>
      <c r="E5644" s="22"/>
      <c r="F5644" s="22">
        <f>C5644*E5644</f>
      </c>
    </row>
    <row r="5645">
      <c r="A5645" s="5"/>
      <c r="B5645" s="14" t="s">
        <v>763</v>
      </c>
      <c r="C5645" s="22"/>
      <c r="D5645" s="22" t="s">
        <v>10</v>
      </c>
      <c r="E5645" s="22"/>
      <c r="F5645" s="22">
        <f>C5645*E5645</f>
      </c>
    </row>
    <row r="5646">
      <c r="A5646" s="5"/>
      <c r="B5646" s="14" t="s">
        <v>764</v>
      </c>
      <c r="C5646" s="22"/>
      <c r="D5646" s="22" t="s">
        <v>10</v>
      </c>
      <c r="E5646" s="22"/>
      <c r="F5646" s="22">
        <f>C5646*E5646</f>
      </c>
    </row>
    <row r="5647">
      <c r="A5647" s="3"/>
      <c r="B5647" s="11" t="s">
        <v>44</v>
      </c>
      <c r="C5647" s="20"/>
      <c r="D5647" s="20"/>
      <c r="E5647" s="20"/>
      <c r="F5647" s="20"/>
    </row>
    <row r="5648">
      <c r="A5648" s="4"/>
      <c r="B5648" s="12" t="s">
        <v>45</v>
      </c>
      <c r="C5648" s="21"/>
      <c r="D5648" s="21"/>
      <c r="E5648" s="21"/>
      <c r="F5648" s="21"/>
    </row>
    <row r="5649">
      <c r="A5649" s="5" t="s">
        <v>765</v>
      </c>
      <c r="B5649" s="13" t="s">
        <v>696</v>
      </c>
      <c r="C5649" s="22"/>
      <c r="D5649" s="22" t="s">
        <v>10</v>
      </c>
      <c r="E5649" s="22"/>
      <c r="F5649" s="22">
        <f>C5649*E5649</f>
      </c>
    </row>
    <row r="5650">
      <c r="A5650" s="5" t="s">
        <v>766</v>
      </c>
      <c r="B5650" s="13" t="s">
        <v>767</v>
      </c>
      <c r="C5650" s="22"/>
      <c r="D5650" s="22" t="s">
        <v>10</v>
      </c>
      <c r="E5650" s="22"/>
      <c r="F5650" s="22">
        <f>C5650*E5650</f>
      </c>
    </row>
    <row r="5651">
      <c r="A5651" s="5" t="s">
        <v>768</v>
      </c>
      <c r="B5651" s="13" t="s">
        <v>769</v>
      </c>
      <c r="C5651" s="22"/>
      <c r="D5651" s="22" t="s">
        <v>10</v>
      </c>
      <c r="E5651" s="22"/>
      <c r="F5651" s="22">
        <f>C5651*E5651</f>
      </c>
    </row>
    <row r="5652">
      <c r="A5652" s="5" t="s">
        <v>770</v>
      </c>
      <c r="B5652" s="13" t="s">
        <v>654</v>
      </c>
      <c r="C5652" s="22"/>
      <c r="D5652" s="22" t="s">
        <v>10</v>
      </c>
      <c r="E5652" s="22"/>
      <c r="F5652" s="22">
        <f>C5652*E5652</f>
      </c>
    </row>
    <row r="5653">
      <c r="A5653" s="6"/>
      <c r="B5653" s="15" t="s">
        <v>771</v>
      </c>
      <c r="C5653" s="23"/>
      <c r="D5653" s="23"/>
      <c r="E5653" s="23"/>
      <c r="F5653" s="23"/>
    </row>
    <row r="5654">
      <c r="A5654" s="5" t="s">
        <v>772</v>
      </c>
      <c r="B5654" s="16" t="s">
        <v>528</v>
      </c>
      <c r="C5654" s="22"/>
      <c r="D5654" s="22" t="s">
        <v>10</v>
      </c>
      <c r="E5654" s="22"/>
      <c r="F5654" s="22">
        <f>C5654*E5654</f>
      </c>
    </row>
    <row r="5655">
      <c r="A5655" s="5" t="s">
        <v>773</v>
      </c>
      <c r="B5655" s="16" t="s">
        <v>530</v>
      </c>
      <c r="C5655" s="22"/>
      <c r="D5655" s="22" t="s">
        <v>10</v>
      </c>
      <c r="E5655" s="22"/>
      <c r="F5655" s="22">
        <f>C5655*E5655</f>
      </c>
    </row>
    <row r="5656">
      <c r="A5656" s="5" t="s">
        <v>774</v>
      </c>
      <c r="B5656" s="16" t="s">
        <v>532</v>
      </c>
      <c r="C5656" s="22"/>
      <c r="D5656" s="22" t="s">
        <v>10</v>
      </c>
      <c r="E5656" s="22"/>
      <c r="F5656" s="22">
        <f>C5656*E5656</f>
      </c>
    </row>
    <row r="5657">
      <c r="A5657" s="5" t="s">
        <v>775</v>
      </c>
      <c r="B5657" s="16" t="s">
        <v>536</v>
      </c>
      <c r="C5657" s="22"/>
      <c r="D5657" s="22" t="s">
        <v>10</v>
      </c>
      <c r="E5657" s="22"/>
      <c r="F5657" s="22">
        <f>C5657*E5657</f>
      </c>
    </row>
    <row r="5658">
      <c r="A5658" s="5" t="s">
        <v>776</v>
      </c>
      <c r="B5658" s="16" t="s">
        <v>777</v>
      </c>
      <c r="C5658" s="22"/>
      <c r="D5658" s="22" t="s">
        <v>10</v>
      </c>
      <c r="E5658" s="22"/>
      <c r="F5658" s="22">
        <f>C5658*E5658</f>
      </c>
    </row>
    <row r="5659">
      <c r="A5659" s="6"/>
      <c r="B5659" s="15" t="s">
        <v>778</v>
      </c>
      <c r="C5659" s="23"/>
      <c r="D5659" s="23"/>
      <c r="E5659" s="23"/>
      <c r="F5659" s="23"/>
    </row>
    <row r="5660">
      <c r="A5660" s="5" t="s">
        <v>779</v>
      </c>
      <c r="B5660" s="16" t="s">
        <v>780</v>
      </c>
      <c r="C5660" s="22"/>
      <c r="D5660" s="22" t="s">
        <v>10</v>
      </c>
      <c r="E5660" s="22"/>
      <c r="F5660" s="22">
        <f>C5660*E5660</f>
      </c>
    </row>
    <row r="5661">
      <c r="A5661" s="5" t="s">
        <v>781</v>
      </c>
      <c r="B5661" s="16" t="s">
        <v>782</v>
      </c>
      <c r="C5661" s="22"/>
      <c r="D5661" s="22" t="s">
        <v>10</v>
      </c>
      <c r="E5661" s="22"/>
      <c r="F5661" s="22">
        <f>C5661*E5661</f>
      </c>
    </row>
    <row r="5662">
      <c r="A5662" s="5" t="s">
        <v>783</v>
      </c>
      <c r="B5662" s="16" t="s">
        <v>784</v>
      </c>
      <c r="C5662" s="22"/>
      <c r="D5662" s="22" t="s">
        <v>10</v>
      </c>
      <c r="E5662" s="22"/>
      <c r="F5662" s="22">
        <f>C5662*E5662</f>
      </c>
    </row>
    <row r="5663">
      <c r="A5663" s="5" t="s">
        <v>785</v>
      </c>
      <c r="B5663" s="16" t="s">
        <v>786</v>
      </c>
      <c r="C5663" s="22"/>
      <c r="D5663" s="22" t="s">
        <v>10</v>
      </c>
      <c r="E5663" s="22"/>
      <c r="F5663" s="22">
        <f>C5663*E5663</f>
      </c>
    </row>
    <row r="5664">
      <c r="A5664" s="5" t="s">
        <v>787</v>
      </c>
      <c r="B5664" s="16" t="s">
        <v>788</v>
      </c>
      <c r="C5664" s="22"/>
      <c r="D5664" s="22" t="s">
        <v>10</v>
      </c>
      <c r="E5664" s="22"/>
      <c r="F5664" s="22">
        <f>C5664*E5664</f>
      </c>
    </row>
    <row r="5665">
      <c r="A5665" s="5" t="s">
        <v>789</v>
      </c>
      <c r="B5665" s="16" t="s">
        <v>769</v>
      </c>
      <c r="C5665" s="22"/>
      <c r="D5665" s="22" t="s">
        <v>10</v>
      </c>
      <c r="E5665" s="22"/>
      <c r="F5665" s="22">
        <f>C5665*E5665</f>
      </c>
    </row>
    <row r="5666">
      <c r="A5666" s="6"/>
      <c r="B5666" s="15" t="s">
        <v>790</v>
      </c>
      <c r="C5666" s="23"/>
      <c r="D5666" s="23"/>
      <c r="E5666" s="23"/>
      <c r="F5666" s="23"/>
    </row>
    <row r="5667">
      <c r="A5667" s="5" t="s">
        <v>791</v>
      </c>
      <c r="B5667" s="16" t="s">
        <v>652</v>
      </c>
      <c r="C5667" s="22"/>
      <c r="D5667" s="22" t="s">
        <v>10</v>
      </c>
      <c r="E5667" s="22"/>
      <c r="F5667" s="22">
        <f>C5667*E5667</f>
      </c>
    </row>
    <row r="5668">
      <c r="A5668" s="5" t="s">
        <v>792</v>
      </c>
      <c r="B5668" s="16" t="s">
        <v>700</v>
      </c>
      <c r="C5668" s="22"/>
      <c r="D5668" s="22" t="s">
        <v>10</v>
      </c>
      <c r="E5668" s="22"/>
      <c r="F5668" s="22">
        <f>C5668*E5668</f>
      </c>
    </row>
    <row r="5669">
      <c r="A5669" s="5" t="s">
        <v>793</v>
      </c>
      <c r="B5669" s="16" t="s">
        <v>650</v>
      </c>
      <c r="C5669" s="22"/>
      <c r="D5669" s="22" t="s">
        <v>10</v>
      </c>
      <c r="E5669" s="22"/>
      <c r="F5669" s="22">
        <f>C5669*E5669</f>
      </c>
    </row>
    <row r="5670">
      <c r="A5670" s="3"/>
      <c r="B5670" s="11" t="s">
        <v>68</v>
      </c>
      <c r="C5670" s="20"/>
      <c r="D5670" s="20"/>
      <c r="E5670" s="20"/>
      <c r="F5670" s="20"/>
    </row>
    <row r="5671">
      <c r="A5671" s="5" t="s">
        <v>794</v>
      </c>
      <c r="B5671" s="14" t="s">
        <v>70</v>
      </c>
      <c r="C5671" s="22">
        <f>(1)*(1)*(1)*(1)*(1 + (0))</f>
      </c>
      <c r="D5671" s="22" t="s">
        <v>71</v>
      </c>
      <c r="E5671" s="22"/>
      <c r="F5671" s="22">
        <f>C5671*E5671</f>
      </c>
    </row>
    <row r="5672">
      <c r="A5672" s="5" t="s">
        <v>795</v>
      </c>
      <c r="B5672" s="14" t="s">
        <v>796</v>
      </c>
      <c r="C5672" s="22">
        <f>(1)*(1)*(1)*(1)*(1 + (0))</f>
      </c>
      <c r="D5672" s="22" t="s">
        <v>71</v>
      </c>
      <c r="E5672" s="22"/>
      <c r="F5672" s="22">
        <f>C5672*E5672</f>
      </c>
    </row>
    <row r="5673">
      <c r="A5673" s="5" t="s">
        <v>797</v>
      </c>
      <c r="B5673" s="14" t="s">
        <v>798</v>
      </c>
      <c r="C5673" s="22">
        <f>(1)*(1)*(1)*(1)*(1 + (0))</f>
      </c>
      <c r="D5673" s="22" t="s">
        <v>71</v>
      </c>
      <c r="E5673" s="22"/>
      <c r="F5673" s="22">
        <f>C5673*E5673</f>
      </c>
    </row>
    <row r="5674">
      <c r="A5674" s="5" t="s">
        <v>799</v>
      </c>
      <c r="B5674" s="14" t="s">
        <v>800</v>
      </c>
      <c r="C5674" s="22">
        <f>(1)*(1)*(1)*(1)*(1 + (0))</f>
      </c>
      <c r="D5674" s="22" t="s">
        <v>71</v>
      </c>
      <c r="E5674" s="22"/>
      <c r="F5674" s="22">
        <f>C5674*E5674</f>
      </c>
    </row>
    <row r="5675">
      <c r="A5675" s="5" t="s">
        <v>801</v>
      </c>
      <c r="B5675" s="14" t="s">
        <v>73</v>
      </c>
      <c r="C5675" s="22">
        <f>(1)*(1)*(1)*(1)*(1 + (0))</f>
      </c>
      <c r="D5675" s="22" t="s">
        <v>71</v>
      </c>
      <c r="E5675" s="22"/>
      <c r="F5675" s="22">
        <f>C5675*E5675</f>
      </c>
    </row>
    <row r="5676">
      <c r="A5676" s="5" t="s">
        <v>802</v>
      </c>
      <c r="B5676" s="14" t="s">
        <v>803</v>
      </c>
      <c r="C5676" s="22">
        <f>(1)*(1)*(1)*(1)*(1 + (0))</f>
      </c>
      <c r="D5676" s="22" t="s">
        <v>71</v>
      </c>
      <c r="E5676" s="22"/>
      <c r="F5676" s="22">
        <f>C5676*E5676</f>
      </c>
    </row>
    <row r="5677">
      <c r="A5677" s="5" t="s">
        <v>804</v>
      </c>
      <c r="B5677" s="14" t="s">
        <v>805</v>
      </c>
      <c r="C5677" s="22">
        <f>(1)*(1)*(1)*(1)*(1 + (0))</f>
      </c>
      <c r="D5677" s="22" t="s">
        <v>71</v>
      </c>
      <c r="E5677" s="22"/>
      <c r="F5677" s="22">
        <f>C5677*E5677</f>
      </c>
    </row>
    <row r="5678">
      <c r="A5678" s="5" t="s">
        <v>806</v>
      </c>
      <c r="B5678" s="14" t="s">
        <v>230</v>
      </c>
      <c r="C5678" s="22">
        <f>(1)*(1)*(1)*(1)*(1 + (0))</f>
      </c>
      <c r="D5678" s="22" t="s">
        <v>71</v>
      </c>
      <c r="E5678" s="22"/>
      <c r="F5678" s="22">
        <f>C5678*E5678</f>
      </c>
    </row>
    <row r="5679">
      <c r="A5679" s="5" t="s">
        <v>807</v>
      </c>
      <c r="B5679" s="14" t="s">
        <v>808</v>
      </c>
      <c r="C5679" s="22">
        <f>(1)*(1)*(1)*(1)*(1 + (0))</f>
      </c>
      <c r="D5679" s="22" t="s">
        <v>71</v>
      </c>
      <c r="E5679" s="22"/>
      <c r="F5679" s="22">
        <f>C5679*E5679</f>
      </c>
    </row>
    <row r="5680">
      <c r="A5680" s="5" t="s">
        <v>809</v>
      </c>
      <c r="B5680" s="14" t="s">
        <v>810</v>
      </c>
      <c r="C5680" s="22">
        <f>(1)*(1)*(1)*(1)*(1 + (0))</f>
      </c>
      <c r="D5680" s="22" t="s">
        <v>71</v>
      </c>
      <c r="E5680" s="22"/>
      <c r="F5680" s="22">
        <f>C5680*E5680</f>
      </c>
    </row>
    <row r="5681">
      <c r="A5681" s="5" t="s">
        <v>811</v>
      </c>
      <c r="B5681" s="14" t="s">
        <v>812</v>
      </c>
      <c r="C5681" s="22">
        <f>(1)*(1)*(1)*(1)*(1 + (0))</f>
      </c>
      <c r="D5681" s="22" t="s">
        <v>71</v>
      </c>
      <c r="E5681" s="22"/>
      <c r="F5681" s="22">
        <f>C5681*E5681</f>
      </c>
    </row>
    <row r="5682">
      <c r="A5682" s="5" t="s">
        <v>813</v>
      </c>
      <c r="B5682" s="14" t="s">
        <v>814</v>
      </c>
      <c r="C5682" s="22">
        <f>(1)*(1)*(1)*(1)*(1 + (0))</f>
      </c>
      <c r="D5682" s="22" t="s">
        <v>71</v>
      </c>
      <c r="E5682" s="22"/>
      <c r="F5682" s="22">
        <f>C5682*E5682</f>
      </c>
    </row>
    <row r="5683">
      <c r="A5683" s="5" t="s">
        <v>815</v>
      </c>
      <c r="B5683" s="14" t="s">
        <v>816</v>
      </c>
      <c r="C5683" s="22">
        <f>(1)*(1)*(1)*(1)*(1 + (0))</f>
      </c>
      <c r="D5683" s="22" t="s">
        <v>71</v>
      </c>
      <c r="E5683" s="22"/>
      <c r="F5683" s="22">
        <f>C5683*E5683</f>
      </c>
    </row>
    <row r="5684">
      <c r="A5684" s="5" t="s">
        <v>817</v>
      </c>
      <c r="B5684" s="14" t="s">
        <v>667</v>
      </c>
      <c r="C5684" s="22">
        <f>(1)*(1)*(1)*(1)*(1 + (0))</f>
      </c>
      <c r="D5684" s="22" t="s">
        <v>71</v>
      </c>
      <c r="E5684" s="22"/>
      <c r="F5684" s="22">
        <f>C5684*E5684</f>
      </c>
    </row>
    <row r="5685">
      <c r="A5685" s="3"/>
      <c r="B5685" s="11" t="s">
        <v>106</v>
      </c>
      <c r="C5685" s="20"/>
      <c r="D5685" s="20"/>
      <c r="E5685" s="20"/>
      <c r="F5685" s="20"/>
    </row>
    <row r="5686">
      <c r="A5686" s="5"/>
      <c r="B5686" s="14" t="s">
        <v>818</v>
      </c>
      <c r="C5686" s="22"/>
      <c r="D5686" s="22" t="s">
        <v>10</v>
      </c>
      <c r="E5686" s="22"/>
      <c r="F5686" s="22">
        <f>C5686*E5686</f>
      </c>
    </row>
    <row r="5687">
      <c r="A5687" s="3"/>
      <c r="B5687" s="11" t="s">
        <v>819</v>
      </c>
      <c r="C5687" s="20"/>
      <c r="D5687" s="20"/>
      <c r="E5687" s="20"/>
      <c r="F5687" s="20"/>
    </row>
    <row r="5688">
      <c r="A5688" s="4"/>
      <c r="B5688" s="12" t="s">
        <v>820</v>
      </c>
      <c r="C5688" s="21"/>
      <c r="D5688" s="21"/>
      <c r="E5688" s="21"/>
      <c r="F5688" s="21"/>
    </row>
    <row r="5689">
      <c r="A5689" s="5"/>
      <c r="B5689" s="13" t="s">
        <v>2151</v>
      </c>
      <c r="C5689" s="22">
        <f>(233)*(1)*(1)*(1)*(1 + (0))</f>
      </c>
      <c r="D5689" s="22" t="s">
        <v>24</v>
      </c>
      <c r="E5689" s="22"/>
      <c r="F5689" s="22">
        <f>C5689*E5689</f>
      </c>
    </row>
    <row r="5690">
      <c r="A5690" s="4"/>
      <c r="B5690" s="12" t="s">
        <v>1998</v>
      </c>
      <c r="C5690" s="21"/>
      <c r="D5690" s="21"/>
      <c r="E5690" s="21"/>
      <c r="F5690" s="21"/>
    </row>
    <row r="5691">
      <c r="A5691" s="5"/>
      <c r="B5691" s="13" t="s">
        <v>2151</v>
      </c>
      <c r="C5691" s="22">
        <f>(19)*(1)*(1)*(1)*(1 + (0))</f>
      </c>
      <c r="D5691" s="22" t="s">
        <v>24</v>
      </c>
      <c r="E5691" s="22"/>
      <c r="F5691" s="22">
        <f>C5691*E5691</f>
      </c>
    </row>
    <row r="5692">
      <c r="A5692" s="4"/>
      <c r="B5692" s="12" t="s">
        <v>1719</v>
      </c>
      <c r="C5692" s="21"/>
      <c r="D5692" s="21"/>
      <c r="E5692" s="21"/>
      <c r="F5692" s="21"/>
    </row>
    <row r="5693">
      <c r="A5693" s="5"/>
      <c r="B5693" s="13" t="s">
        <v>2151</v>
      </c>
      <c r="C5693" s="22">
        <f>(3)*(1)*(1)*(1)*(1 + (0))</f>
      </c>
      <c r="D5693" s="22" t="s">
        <v>24</v>
      </c>
      <c r="E5693" s="22"/>
      <c r="F5693" s="22">
        <f>C5693*E5693</f>
      </c>
    </row>
    <row r="5694">
      <c r="A5694" s="4"/>
      <c r="B5694" s="12" t="s">
        <v>826</v>
      </c>
      <c r="C5694" s="21"/>
      <c r="D5694" s="21"/>
      <c r="E5694" s="21"/>
      <c r="F5694" s="21"/>
    </row>
    <row r="5695">
      <c r="A5695" s="5"/>
      <c r="B5695" s="13" t="s">
        <v>2151</v>
      </c>
      <c r="C5695" s="22">
        <f>(168)*(1)*(1)*(1)*(1 + (0))</f>
      </c>
      <c r="D5695" s="22" t="s">
        <v>24</v>
      </c>
      <c r="E5695" s="22"/>
      <c r="F5695" s="22">
        <f>C5695*E5695</f>
      </c>
    </row>
    <row r="5696">
      <c r="A5696" s="2"/>
      <c r="B5696" s="10" t="s">
        <v>828</v>
      </c>
      <c r="C5696" s="19"/>
      <c r="D5696" s="19"/>
      <c r="E5696" s="19"/>
      <c r="F5696" s="19"/>
    </row>
    <row r="5697">
      <c r="A5697" s="3"/>
      <c r="B5697" s="11" t="s">
        <v>37</v>
      </c>
      <c r="C5697" s="20"/>
      <c r="D5697" s="20"/>
      <c r="E5697" s="20"/>
      <c r="F5697" s="20"/>
    </row>
    <row r="5698">
      <c r="A5698" s="5" t="s">
        <v>829</v>
      </c>
      <c r="B5698" s="14" t="s">
        <v>39</v>
      </c>
      <c r="C5698" s="22"/>
      <c r="D5698" s="22" t="s">
        <v>10</v>
      </c>
      <c r="E5698" s="22"/>
      <c r="F5698" s="22">
        <f>C5698*E5698</f>
      </c>
    </row>
    <row r="5699">
      <c r="A5699" s="5" t="s">
        <v>830</v>
      </c>
      <c r="B5699" s="14" t="s">
        <v>41</v>
      </c>
      <c r="C5699" s="22"/>
      <c r="D5699" s="22" t="s">
        <v>10</v>
      </c>
      <c r="E5699" s="22"/>
      <c r="F5699" s="22">
        <f>C5699*E5699</f>
      </c>
    </row>
    <row r="5700">
      <c r="A5700" s="3"/>
      <c r="B5700" s="11" t="s">
        <v>42</v>
      </c>
      <c r="C5700" s="20"/>
      <c r="D5700" s="20"/>
      <c r="E5700" s="20"/>
      <c r="F5700" s="20"/>
    </row>
    <row r="5701">
      <c r="A5701" s="5"/>
      <c r="B5701" s="14" t="s">
        <v>1722</v>
      </c>
      <c r="C5701" s="22"/>
      <c r="D5701" s="22" t="s">
        <v>10</v>
      </c>
      <c r="E5701" s="22"/>
      <c r="F5701" s="22">
        <f>C5701*E5701</f>
      </c>
    </row>
    <row r="5702">
      <c r="A5702" s="5"/>
      <c r="B5702" s="14" t="s">
        <v>1723</v>
      </c>
      <c r="C5702" s="22"/>
      <c r="D5702" s="22" t="s">
        <v>10</v>
      </c>
      <c r="E5702" s="22"/>
      <c r="F5702" s="22">
        <f>C5702*E5702</f>
      </c>
    </row>
    <row r="5703">
      <c r="A5703" s="3"/>
      <c r="B5703" s="11" t="s">
        <v>44</v>
      </c>
      <c r="C5703" s="20"/>
      <c r="D5703" s="20"/>
      <c r="E5703" s="20"/>
      <c r="F5703" s="20"/>
    </row>
    <row r="5704">
      <c r="A5704" s="4"/>
      <c r="B5704" s="12" t="s">
        <v>45</v>
      </c>
      <c r="C5704" s="21"/>
      <c r="D5704" s="21"/>
      <c r="E5704" s="21"/>
      <c r="F5704" s="21"/>
    </row>
    <row r="5705">
      <c r="A5705" s="5" t="s">
        <v>831</v>
      </c>
      <c r="B5705" s="13" t="s">
        <v>832</v>
      </c>
      <c r="C5705" s="22"/>
      <c r="D5705" s="22" t="s">
        <v>10</v>
      </c>
      <c r="E5705" s="22"/>
      <c r="F5705" s="22">
        <f>C5705*E5705</f>
      </c>
    </row>
    <row r="5706">
      <c r="A5706" s="5" t="s">
        <v>833</v>
      </c>
      <c r="B5706" s="13" t="s">
        <v>530</v>
      </c>
      <c r="C5706" s="22"/>
      <c r="D5706" s="22" t="s">
        <v>10</v>
      </c>
      <c r="E5706" s="22"/>
      <c r="F5706" s="22">
        <f>C5706*E5706</f>
      </c>
    </row>
    <row r="5707">
      <c r="A5707" s="5" t="s">
        <v>834</v>
      </c>
      <c r="B5707" s="13" t="s">
        <v>835</v>
      </c>
      <c r="C5707" s="22"/>
      <c r="D5707" s="22" t="s">
        <v>10</v>
      </c>
      <c r="E5707" s="22"/>
      <c r="F5707" s="22">
        <f>C5707*E5707</f>
      </c>
    </row>
    <row r="5708">
      <c r="A5708" s="5" t="s">
        <v>836</v>
      </c>
      <c r="B5708" s="13" t="s">
        <v>837</v>
      </c>
      <c r="C5708" s="22"/>
      <c r="D5708" s="22" t="s">
        <v>10</v>
      </c>
      <c r="E5708" s="22"/>
      <c r="F5708" s="22">
        <f>C5708*E5708</f>
      </c>
    </row>
    <row r="5709">
      <c r="A5709" s="5" t="s">
        <v>838</v>
      </c>
      <c r="B5709" s="13" t="s">
        <v>839</v>
      </c>
      <c r="C5709" s="22"/>
      <c r="D5709" s="22" t="s">
        <v>10</v>
      </c>
      <c r="E5709" s="22"/>
      <c r="F5709" s="22">
        <f>C5709*E5709</f>
      </c>
    </row>
    <row r="5710">
      <c r="A5710" s="5" t="s">
        <v>840</v>
      </c>
      <c r="B5710" s="13" t="s">
        <v>841</v>
      </c>
      <c r="C5710" s="22"/>
      <c r="D5710" s="22" t="s">
        <v>10</v>
      </c>
      <c r="E5710" s="22"/>
      <c r="F5710" s="22">
        <f>C5710*E5710</f>
      </c>
    </row>
    <row r="5711">
      <c r="A5711" s="5" t="s">
        <v>842</v>
      </c>
      <c r="B5711" s="13" t="s">
        <v>843</v>
      </c>
      <c r="C5711" s="22"/>
      <c r="D5711" s="22" t="s">
        <v>10</v>
      </c>
      <c r="E5711" s="22"/>
      <c r="F5711" s="22">
        <f>C5711*E5711</f>
      </c>
    </row>
    <row r="5712">
      <c r="A5712" s="5" t="s">
        <v>844</v>
      </c>
      <c r="B5712" s="13" t="s">
        <v>845</v>
      </c>
      <c r="C5712" s="22"/>
      <c r="D5712" s="22" t="s">
        <v>10</v>
      </c>
      <c r="E5712" s="22"/>
      <c r="F5712" s="22">
        <f>C5712*E5712</f>
      </c>
    </row>
    <row r="5713">
      <c r="A5713" s="5" t="s">
        <v>846</v>
      </c>
      <c r="B5713" s="13" t="s">
        <v>847</v>
      </c>
      <c r="C5713" s="22"/>
      <c r="D5713" s="22" t="s">
        <v>10</v>
      </c>
      <c r="E5713" s="22"/>
      <c r="F5713" s="22">
        <f>C5713*E5713</f>
      </c>
    </row>
    <row r="5714">
      <c r="A5714" s="5" t="s">
        <v>848</v>
      </c>
      <c r="B5714" s="13" t="s">
        <v>849</v>
      </c>
      <c r="C5714" s="22"/>
      <c r="D5714" s="22" t="s">
        <v>10</v>
      </c>
      <c r="E5714" s="22"/>
      <c r="F5714" s="22">
        <f>C5714*E5714</f>
      </c>
    </row>
    <row r="5715">
      <c r="A5715" s="5" t="s">
        <v>850</v>
      </c>
      <c r="B5715" s="13" t="s">
        <v>851</v>
      </c>
      <c r="C5715" s="22"/>
      <c r="D5715" s="22" t="s">
        <v>10</v>
      </c>
      <c r="E5715" s="22"/>
      <c r="F5715" s="22">
        <f>C5715*E5715</f>
      </c>
    </row>
    <row r="5716">
      <c r="A5716" s="5" t="s">
        <v>852</v>
      </c>
      <c r="B5716" s="13" t="s">
        <v>853</v>
      </c>
      <c r="C5716" s="22"/>
      <c r="D5716" s="22" t="s">
        <v>10</v>
      </c>
      <c r="E5716" s="22"/>
      <c r="F5716" s="22">
        <f>C5716*E5716</f>
      </c>
    </row>
    <row r="5717">
      <c r="A5717" s="5" t="s">
        <v>854</v>
      </c>
      <c r="B5717" s="13" t="s">
        <v>123</v>
      </c>
      <c r="C5717" s="22"/>
      <c r="D5717" s="22" t="s">
        <v>10</v>
      </c>
      <c r="E5717" s="22"/>
      <c r="F5717" s="22">
        <f>C5717*E5717</f>
      </c>
    </row>
    <row r="5718">
      <c r="A5718" s="3"/>
      <c r="B5718" s="11" t="s">
        <v>68</v>
      </c>
      <c r="C5718" s="20"/>
      <c r="D5718" s="20"/>
      <c r="E5718" s="20"/>
      <c r="F5718" s="20"/>
    </row>
    <row r="5719">
      <c r="A5719" s="5" t="s">
        <v>857</v>
      </c>
      <c r="B5719" s="14" t="s">
        <v>858</v>
      </c>
      <c r="C5719" s="22">
        <f>(1)*(1)*(1)*(1)*(1 + (0))</f>
      </c>
      <c r="D5719" s="22" t="s">
        <v>71</v>
      </c>
      <c r="E5719" s="22"/>
      <c r="F5719" s="22">
        <f>C5719*E5719</f>
      </c>
    </row>
    <row r="5720">
      <c r="A5720" s="5" t="s">
        <v>859</v>
      </c>
      <c r="B5720" s="14" t="s">
        <v>136</v>
      </c>
      <c r="C5720" s="22">
        <f>(1)*(1)*(1)*(1)*(1 + (0))</f>
      </c>
      <c r="D5720" s="22" t="s">
        <v>71</v>
      </c>
      <c r="E5720" s="22"/>
      <c r="F5720" s="22">
        <f>C5720*E5720</f>
      </c>
    </row>
    <row r="5721">
      <c r="A5721" s="5" t="s">
        <v>860</v>
      </c>
      <c r="B5721" s="14" t="s">
        <v>77</v>
      </c>
      <c r="C5721" s="22">
        <f>(1)*(1)*(1)*(1)*(1 + (0))</f>
      </c>
      <c r="D5721" s="22" t="s">
        <v>71</v>
      </c>
      <c r="E5721" s="22"/>
      <c r="F5721" s="22">
        <f>C5721*E5721</f>
      </c>
    </row>
    <row r="5722">
      <c r="A5722" s="5" t="s">
        <v>861</v>
      </c>
      <c r="B5722" s="14" t="s">
        <v>70</v>
      </c>
      <c r="C5722" s="22">
        <f>(1)*(1)*(1)*(1)*(1 + (0))</f>
      </c>
      <c r="D5722" s="22" t="s">
        <v>71</v>
      </c>
      <c r="E5722" s="22"/>
      <c r="F5722" s="22">
        <f>C5722*E5722</f>
      </c>
    </row>
    <row r="5723">
      <c r="A5723" s="5" t="s">
        <v>862</v>
      </c>
      <c r="B5723" s="14" t="s">
        <v>863</v>
      </c>
      <c r="C5723" s="22">
        <f>(1)*(1)*(1)*(1)*(1 + (0))</f>
      </c>
      <c r="D5723" s="22" t="s">
        <v>71</v>
      </c>
      <c r="E5723" s="22"/>
      <c r="F5723" s="22">
        <f>C5723*E5723</f>
      </c>
    </row>
    <row r="5724">
      <c r="A5724" s="5" t="s">
        <v>864</v>
      </c>
      <c r="B5724" s="14" t="s">
        <v>816</v>
      </c>
      <c r="C5724" s="22">
        <f>(1)*(1)*(1)*(1)*(1 + (0))</f>
      </c>
      <c r="D5724" s="22" t="s">
        <v>71</v>
      </c>
      <c r="E5724" s="22"/>
      <c r="F5724" s="22">
        <f>C5724*E5724</f>
      </c>
    </row>
    <row r="5725">
      <c r="A5725" s="5" t="s">
        <v>865</v>
      </c>
      <c r="B5725" s="14" t="s">
        <v>798</v>
      </c>
      <c r="C5725" s="22">
        <f>(1)*(1)*(1)*(1)*(1 + (0))</f>
      </c>
      <c r="D5725" s="22" t="s">
        <v>71</v>
      </c>
      <c r="E5725" s="22"/>
      <c r="F5725" s="22">
        <f>C5725*E5725</f>
      </c>
    </row>
    <row r="5726">
      <c r="A5726" s="5" t="s">
        <v>866</v>
      </c>
      <c r="B5726" s="14" t="s">
        <v>230</v>
      </c>
      <c r="C5726" s="22">
        <f>(1)*(1)*(1)*(1)*(1 + (0))</f>
      </c>
      <c r="D5726" s="22" t="s">
        <v>71</v>
      </c>
      <c r="E5726" s="22"/>
      <c r="F5726" s="22">
        <f>C5726*E5726</f>
      </c>
    </row>
    <row r="5727">
      <c r="A5727" s="5" t="s">
        <v>867</v>
      </c>
      <c r="B5727" s="14" t="s">
        <v>665</v>
      </c>
      <c r="C5727" s="22">
        <f>(1)*(1)*(1)*(1)*(1 + (0))</f>
      </c>
      <c r="D5727" s="22" t="s">
        <v>71</v>
      </c>
      <c r="E5727" s="22"/>
      <c r="F5727" s="22">
        <f>C5727*E5727</f>
      </c>
    </row>
    <row r="5728">
      <c r="A5728" s="3"/>
      <c r="B5728" s="11" t="s">
        <v>106</v>
      </c>
      <c r="C5728" s="20"/>
      <c r="D5728" s="20"/>
      <c r="E5728" s="20"/>
      <c r="F5728" s="20"/>
    </row>
    <row r="5729">
      <c r="A5729" s="5"/>
      <c r="B5729" s="14" t="s">
        <v>2152</v>
      </c>
      <c r="C5729" s="22"/>
      <c r="D5729" s="22" t="s">
        <v>10</v>
      </c>
      <c r="E5729" s="22"/>
      <c r="F5729" s="22">
        <f>C5729*E5729</f>
      </c>
    </row>
    <row r="5730">
      <c r="A5730" s="5"/>
      <c r="B5730" s="14" t="s">
        <v>2153</v>
      </c>
      <c r="C5730" s="22"/>
      <c r="D5730" s="22" t="s">
        <v>10</v>
      </c>
      <c r="E5730" s="22"/>
      <c r="F5730" s="22">
        <f>C5730*E5730</f>
      </c>
    </row>
    <row r="5731">
      <c r="A5731" s="3"/>
      <c r="B5731" s="11" t="s">
        <v>869</v>
      </c>
      <c r="C5731" s="20"/>
      <c r="D5731" s="20"/>
      <c r="E5731" s="20"/>
      <c r="F5731" s="20"/>
    </row>
    <row r="5732">
      <c r="A5732" s="4"/>
      <c r="B5732" s="12" t="s">
        <v>2154</v>
      </c>
      <c r="C5732" s="21"/>
      <c r="D5732" s="21"/>
      <c r="E5732" s="21"/>
      <c r="F5732" s="21"/>
    </row>
    <row r="5733">
      <c r="A5733" s="6"/>
      <c r="B5733" s="15" t="s">
        <v>871</v>
      </c>
      <c r="C5733" s="23"/>
      <c r="D5733" s="23"/>
      <c r="E5733" s="23"/>
      <c r="F5733" s="23"/>
    </row>
    <row r="5734">
      <c r="A5734" s="5"/>
      <c r="B5734" s="16" t="s">
        <v>2155</v>
      </c>
      <c r="C5734" s="22">
        <f>(5)*(1)*(1)*(1)*(1 + (0))</f>
      </c>
      <c r="D5734" s="22" t="s">
        <v>162</v>
      </c>
      <c r="E5734" s="22"/>
      <c r="F5734" s="22">
        <f>C5734*E5734</f>
      </c>
    </row>
    <row r="5735">
      <c r="A5735" s="5"/>
      <c r="B5735" s="16" t="s">
        <v>2156</v>
      </c>
      <c r="C5735" s="22">
        <f>(5)*(1)*(1)*(1)*(1 + (0))</f>
      </c>
      <c r="D5735" s="22" t="s">
        <v>162</v>
      </c>
      <c r="E5735" s="22"/>
      <c r="F5735" s="22">
        <f>C5735*E5735</f>
      </c>
    </row>
    <row r="5736">
      <c r="A5736" s="5"/>
      <c r="B5736" s="16" t="s">
        <v>2157</v>
      </c>
      <c r="C5736" s="22">
        <f>(2)*(1)*(1)*(1)*(1 + (0))</f>
      </c>
      <c r="D5736" s="22" t="s">
        <v>162</v>
      </c>
      <c r="E5736" s="22"/>
      <c r="F5736" s="22">
        <f>C5736*E5736</f>
      </c>
    </row>
    <row r="5737">
      <c r="A5737" s="5"/>
      <c r="B5737" s="16" t="s">
        <v>2158</v>
      </c>
      <c r="C5737" s="22">
        <f>(1)*(1)*(1)*(1)*(1 + (0))</f>
      </c>
      <c r="D5737" s="22" t="s">
        <v>162</v>
      </c>
      <c r="E5737" s="22"/>
      <c r="F5737" s="22">
        <f>C5737*E5737</f>
      </c>
    </row>
    <row r="5738">
      <c r="A5738" s="5"/>
      <c r="B5738" s="16" t="s">
        <v>2159</v>
      </c>
      <c r="C5738" s="22">
        <f>(1)*(1)*(1)*(1)*(1 + (0))</f>
      </c>
      <c r="D5738" s="22" t="s">
        <v>162</v>
      </c>
      <c r="E5738" s="22"/>
      <c r="F5738" s="22">
        <f>C5738*E5738</f>
      </c>
    </row>
    <row r="5739">
      <c r="A5739" s="5"/>
      <c r="B5739" s="16" t="s">
        <v>2160</v>
      </c>
      <c r="C5739" s="22">
        <f>(1)*(1)*(1)*(1)*(1 + (0))</f>
      </c>
      <c r="D5739" s="22" t="s">
        <v>162</v>
      </c>
      <c r="E5739" s="22"/>
      <c r="F5739" s="22">
        <f>C5739*E5739</f>
      </c>
    </row>
    <row r="5740">
      <c r="A5740" s="5"/>
      <c r="B5740" s="16" t="s">
        <v>2161</v>
      </c>
      <c r="C5740" s="22">
        <f>(3)*(1)*(1)*(1)*(1 + (0))</f>
      </c>
      <c r="D5740" s="22" t="s">
        <v>162</v>
      </c>
      <c r="E5740" s="22"/>
      <c r="F5740" s="22">
        <f>C5740*E5740</f>
      </c>
    </row>
    <row r="5741">
      <c r="A5741" s="3"/>
      <c r="B5741" s="11" t="s">
        <v>879</v>
      </c>
      <c r="C5741" s="20"/>
      <c r="D5741" s="20"/>
      <c r="E5741" s="20"/>
      <c r="F5741" s="20"/>
    </row>
    <row r="5742">
      <c r="A5742" s="4"/>
      <c r="B5742" s="12" t="s">
        <v>1711</v>
      </c>
      <c r="C5742" s="21"/>
      <c r="D5742" s="21"/>
      <c r="E5742" s="21"/>
      <c r="F5742" s="21"/>
    </row>
    <row r="5743">
      <c r="A5743" s="6"/>
      <c r="B5743" s="15" t="s">
        <v>871</v>
      </c>
      <c r="C5743" s="23"/>
      <c r="D5743" s="23"/>
      <c r="E5743" s="23"/>
      <c r="F5743" s="23"/>
    </row>
    <row r="5744">
      <c r="A5744" s="5"/>
      <c r="B5744" s="16" t="s">
        <v>2162</v>
      </c>
      <c r="C5744" s="22">
        <f>(3)*(1)*(1)*(1)*(1 + (0))</f>
      </c>
      <c r="D5744" s="22" t="s">
        <v>162</v>
      </c>
      <c r="E5744" s="22"/>
      <c r="F5744" s="22">
        <f>C5744*E5744</f>
      </c>
    </row>
    <row r="5745">
      <c r="A5745" s="5"/>
      <c r="B5745" s="16" t="s">
        <v>2163</v>
      </c>
      <c r="C5745" s="22">
        <f>(2)*(1)*(1)*(1)*(1 + (0))</f>
      </c>
      <c r="D5745" s="22" t="s">
        <v>162</v>
      </c>
      <c r="E5745" s="22"/>
      <c r="F5745" s="22">
        <f>C5745*E5745</f>
      </c>
    </row>
    <row r="5746">
      <c r="A5746" s="6"/>
      <c r="B5746" s="15" t="s">
        <v>874</v>
      </c>
      <c r="C5746" s="23"/>
      <c r="D5746" s="23"/>
      <c r="E5746" s="23"/>
      <c r="F5746" s="23"/>
    </row>
    <row r="5747">
      <c r="A5747" s="5"/>
      <c r="B5747" s="16" t="s">
        <v>2164</v>
      </c>
      <c r="C5747" s="22">
        <f>(1)*(1)*(1)*(1)*(1 + (0))</f>
      </c>
      <c r="D5747" s="22" t="s">
        <v>162</v>
      </c>
      <c r="E5747" s="22"/>
      <c r="F5747" s="22">
        <f>C5747*E5747</f>
      </c>
    </row>
    <row r="5748">
      <c r="A5748" s="3"/>
      <c r="B5748" s="11" t="s">
        <v>884</v>
      </c>
      <c r="C5748" s="20"/>
      <c r="D5748" s="20"/>
      <c r="E5748" s="20"/>
      <c r="F5748" s="20"/>
    </row>
    <row r="5749">
      <c r="A5749" s="4"/>
      <c r="B5749" s="12" t="s">
        <v>1711</v>
      </c>
      <c r="C5749" s="21"/>
      <c r="D5749" s="21"/>
      <c r="E5749" s="21"/>
      <c r="F5749" s="21"/>
    </row>
    <row r="5750">
      <c r="A5750" s="6"/>
      <c r="B5750" s="15" t="s">
        <v>1726</v>
      </c>
      <c r="C5750" s="23"/>
      <c r="D5750" s="23"/>
      <c r="E5750" s="23"/>
      <c r="F5750" s="23"/>
    </row>
    <row r="5751">
      <c r="A5751" s="5"/>
      <c r="B5751" s="16" t="s">
        <v>2165</v>
      </c>
      <c r="C5751" s="22">
        <f>(1)*(1)*(1)*(1)*(1 + (0))</f>
      </c>
      <c r="D5751" s="22" t="s">
        <v>162</v>
      </c>
      <c r="E5751" s="22"/>
      <c r="F5751" s="22">
        <f>C5751*E5751</f>
      </c>
    </row>
    <row r="5752">
      <c r="A5752" s="5"/>
      <c r="B5752" s="16" t="s">
        <v>2166</v>
      </c>
      <c r="C5752" s="22">
        <f>(2)*(1)*(1)*(1)*(1 + (0))</f>
      </c>
      <c r="D5752" s="22" t="s">
        <v>162</v>
      </c>
      <c r="E5752" s="22"/>
      <c r="F5752" s="22">
        <f>C5752*E5752</f>
      </c>
    </row>
    <row r="5753">
      <c r="A5753" s="6"/>
      <c r="B5753" s="15" t="s">
        <v>1725</v>
      </c>
      <c r="C5753" s="23"/>
      <c r="D5753" s="23"/>
      <c r="E5753" s="23"/>
      <c r="F5753" s="23"/>
    </row>
    <row r="5754">
      <c r="A5754" s="5"/>
      <c r="B5754" s="16" t="s">
        <v>2167</v>
      </c>
      <c r="C5754" s="22">
        <f>(1)*(1)*(1)*(1)*(1 + (0))</f>
      </c>
      <c r="D5754" s="22" t="s">
        <v>162</v>
      </c>
      <c r="E5754" s="22"/>
      <c r="F5754" s="22">
        <f>C5754*E5754</f>
      </c>
    </row>
    <row r="5755">
      <c r="A5755" s="5"/>
      <c r="B5755" s="16" t="s">
        <v>2168</v>
      </c>
      <c r="C5755" s="22">
        <f>(2)*(1)*(1)*(1)*(1 + (0))</f>
      </c>
      <c r="D5755" s="22" t="s">
        <v>162</v>
      </c>
      <c r="E5755" s="22"/>
      <c r="F5755" s="22">
        <f>C5755*E5755</f>
      </c>
    </row>
    <row r="5756">
      <c r="A5756" s="5"/>
      <c r="B5756" s="16" t="s">
        <v>2169</v>
      </c>
      <c r="C5756" s="22">
        <f>(3)*(1)*(1)*(1)*(1 + (0))</f>
      </c>
      <c r="D5756" s="22" t="s">
        <v>162</v>
      </c>
      <c r="E5756" s="22"/>
      <c r="F5756" s="22">
        <f>C5756*E5756</f>
      </c>
    </row>
    <row r="5757">
      <c r="A5757" s="3"/>
      <c r="B5757" s="11" t="s">
        <v>890</v>
      </c>
      <c r="C5757" s="20"/>
      <c r="D5757" s="20"/>
      <c r="E5757" s="20"/>
      <c r="F5757" s="20"/>
    </row>
    <row r="5758">
      <c r="A5758" s="4"/>
      <c r="B5758" s="12" t="s">
        <v>1711</v>
      </c>
      <c r="C5758" s="21"/>
      <c r="D5758" s="21"/>
      <c r="E5758" s="21"/>
      <c r="F5758" s="21"/>
    </row>
    <row r="5759">
      <c r="A5759" s="6"/>
      <c r="B5759" s="15" t="s">
        <v>1726</v>
      </c>
      <c r="C5759" s="23"/>
      <c r="D5759" s="23"/>
      <c r="E5759" s="23"/>
      <c r="F5759" s="23"/>
    </row>
    <row r="5760">
      <c r="A5760" s="5"/>
      <c r="B5760" s="16" t="s">
        <v>2170</v>
      </c>
      <c r="C5760" s="22">
        <f>(1)*(1)*(1)*(1)*(1 + (0))</f>
      </c>
      <c r="D5760" s="22" t="s">
        <v>162</v>
      </c>
      <c r="E5760" s="22"/>
      <c r="F5760" s="22">
        <f>C5760*E5760</f>
      </c>
    </row>
    <row r="5761">
      <c r="A5761" s="5"/>
      <c r="B5761" s="16" t="s">
        <v>2171</v>
      </c>
      <c r="C5761" s="22">
        <f>(2)*(1)*(1)*(1)*(1 + (0))</f>
      </c>
      <c r="D5761" s="22" t="s">
        <v>162</v>
      </c>
      <c r="E5761" s="22"/>
      <c r="F5761" s="22">
        <f>C5761*E5761</f>
      </c>
    </row>
    <row r="5762">
      <c r="A5762" s="6"/>
      <c r="B5762" s="15" t="s">
        <v>1725</v>
      </c>
      <c r="C5762" s="23"/>
      <c r="D5762" s="23"/>
      <c r="E5762" s="23"/>
      <c r="F5762" s="23"/>
    </row>
    <row r="5763">
      <c r="A5763" s="5"/>
      <c r="B5763" s="16" t="s">
        <v>2172</v>
      </c>
      <c r="C5763" s="22">
        <f>(5)*(1)*(1)*(1)*(1 + (0))</f>
      </c>
      <c r="D5763" s="22" t="s">
        <v>162</v>
      </c>
      <c r="E5763" s="22"/>
      <c r="F5763" s="22">
        <f>C5763*E5763</f>
      </c>
    </row>
    <row r="5764">
      <c r="A5764" s="2"/>
      <c r="B5764" s="10" t="s">
        <v>897</v>
      </c>
      <c r="C5764" s="19"/>
      <c r="D5764" s="19"/>
      <c r="E5764" s="19"/>
      <c r="F5764" s="19"/>
    </row>
    <row r="5765">
      <c r="A5765" s="3"/>
      <c r="B5765" s="11" t="s">
        <v>37</v>
      </c>
      <c r="C5765" s="20"/>
      <c r="D5765" s="20"/>
      <c r="E5765" s="20"/>
      <c r="F5765" s="20"/>
    </row>
    <row r="5766">
      <c r="A5766" s="5" t="s">
        <v>758</v>
      </c>
      <c r="B5766" s="14" t="s">
        <v>39</v>
      </c>
      <c r="C5766" s="22"/>
      <c r="D5766" s="22" t="s">
        <v>10</v>
      </c>
      <c r="E5766" s="22"/>
      <c r="F5766" s="22">
        <f>C5766*E5766</f>
      </c>
    </row>
    <row r="5767">
      <c r="A5767" s="5" t="s">
        <v>760</v>
      </c>
      <c r="B5767" s="14" t="s">
        <v>41</v>
      </c>
      <c r="C5767" s="22"/>
      <c r="D5767" s="22" t="s">
        <v>10</v>
      </c>
      <c r="E5767" s="22"/>
      <c r="F5767" s="22">
        <f>C5767*E5767</f>
      </c>
    </row>
    <row r="5768">
      <c r="A5768" s="3"/>
      <c r="B5768" s="11" t="s">
        <v>44</v>
      </c>
      <c r="C5768" s="20"/>
      <c r="D5768" s="20"/>
      <c r="E5768" s="20"/>
      <c r="F5768" s="20"/>
    </row>
    <row r="5769">
      <c r="A5769" s="4"/>
      <c r="B5769" s="12" t="s">
        <v>45</v>
      </c>
      <c r="C5769" s="21"/>
      <c r="D5769" s="21"/>
      <c r="E5769" s="21"/>
      <c r="F5769" s="21"/>
    </row>
    <row r="5770">
      <c r="A5770" s="5" t="s">
        <v>765</v>
      </c>
      <c r="B5770" s="13" t="s">
        <v>898</v>
      </c>
      <c r="C5770" s="22"/>
      <c r="D5770" s="22" t="s">
        <v>10</v>
      </c>
      <c r="E5770" s="22"/>
      <c r="F5770" s="22">
        <f>C5770*E5770</f>
      </c>
    </row>
    <row r="5771">
      <c r="A5771" s="5" t="s">
        <v>766</v>
      </c>
      <c r="B5771" s="13" t="s">
        <v>899</v>
      </c>
      <c r="C5771" s="22"/>
      <c r="D5771" s="22" t="s">
        <v>10</v>
      </c>
      <c r="E5771" s="22"/>
      <c r="F5771" s="22">
        <f>C5771*E5771</f>
      </c>
    </row>
    <row r="5772">
      <c r="A5772" s="5" t="s">
        <v>768</v>
      </c>
      <c r="B5772" s="13" t="s">
        <v>767</v>
      </c>
      <c r="C5772" s="22"/>
      <c r="D5772" s="22" t="s">
        <v>10</v>
      </c>
      <c r="E5772" s="22"/>
      <c r="F5772" s="22">
        <f>C5772*E5772</f>
      </c>
    </row>
    <row r="5773">
      <c r="A5773" s="5" t="s">
        <v>770</v>
      </c>
      <c r="B5773" s="13" t="s">
        <v>900</v>
      </c>
      <c r="C5773" s="22"/>
      <c r="D5773" s="22" t="s">
        <v>10</v>
      </c>
      <c r="E5773" s="22"/>
      <c r="F5773" s="22">
        <f>C5773*E5773</f>
      </c>
    </row>
    <row r="5774">
      <c r="A5774" s="5" t="s">
        <v>794</v>
      </c>
      <c r="B5774" s="13" t="s">
        <v>901</v>
      </c>
      <c r="C5774" s="22"/>
      <c r="D5774" s="22" t="s">
        <v>10</v>
      </c>
      <c r="E5774" s="22"/>
      <c r="F5774" s="22">
        <f>C5774*E5774</f>
      </c>
    </row>
    <row r="5775">
      <c r="A5775" s="5" t="s">
        <v>795</v>
      </c>
      <c r="B5775" s="13" t="s">
        <v>123</v>
      </c>
      <c r="C5775" s="22"/>
      <c r="D5775" s="22" t="s">
        <v>10</v>
      </c>
      <c r="E5775" s="22"/>
      <c r="F5775" s="22">
        <f>C5775*E5775</f>
      </c>
    </row>
    <row r="5776">
      <c r="A5776" s="3"/>
      <c r="B5776" s="11" t="s">
        <v>42</v>
      </c>
      <c r="C5776" s="20"/>
      <c r="D5776" s="20"/>
      <c r="E5776" s="20"/>
      <c r="F5776" s="20"/>
    </row>
    <row r="5777">
      <c r="A5777" s="5"/>
      <c r="B5777" s="14" t="s">
        <v>902</v>
      </c>
      <c r="C5777" s="22"/>
      <c r="D5777" s="22" t="s">
        <v>10</v>
      </c>
      <c r="E5777" s="22"/>
      <c r="F5777" s="22">
        <f>C5777*E5777</f>
      </c>
    </row>
    <row r="5778">
      <c r="A5778" s="5"/>
      <c r="B5778" s="14" t="s">
        <v>762</v>
      </c>
      <c r="C5778" s="22"/>
      <c r="D5778" s="22" t="s">
        <v>10</v>
      </c>
      <c r="E5778" s="22"/>
      <c r="F5778" s="22">
        <f>C5778*E5778</f>
      </c>
    </row>
    <row r="5779">
      <c r="A5779" s="5"/>
      <c r="B5779" s="14" t="s">
        <v>856</v>
      </c>
      <c r="C5779" s="22"/>
      <c r="D5779" s="22" t="s">
        <v>10</v>
      </c>
      <c r="E5779" s="22"/>
      <c r="F5779" s="22">
        <f>C5779*E5779</f>
      </c>
    </row>
    <row r="5780">
      <c r="A5780" s="3"/>
      <c r="B5780" s="11" t="s">
        <v>68</v>
      </c>
      <c r="C5780" s="20"/>
      <c r="D5780" s="20"/>
      <c r="E5780" s="20"/>
      <c r="F5780" s="20"/>
    </row>
    <row r="5781">
      <c r="A5781" s="5" t="s">
        <v>797</v>
      </c>
      <c r="B5781" s="14" t="s">
        <v>903</v>
      </c>
      <c r="C5781" s="22">
        <f>(1)*(1)*(1)*(1)*(1 + (0))</f>
      </c>
      <c r="D5781" s="22" t="s">
        <v>71</v>
      </c>
      <c r="E5781" s="22"/>
      <c r="F5781" s="22">
        <f>C5781*E5781</f>
      </c>
    </row>
    <row r="5782">
      <c r="A5782" s="5" t="s">
        <v>799</v>
      </c>
      <c r="B5782" s="14" t="s">
        <v>904</v>
      </c>
      <c r="C5782" s="22">
        <f>(1)*(1)*(1)*(1)*(1 + (0))</f>
      </c>
      <c r="D5782" s="22" t="s">
        <v>71</v>
      </c>
      <c r="E5782" s="22"/>
      <c r="F5782" s="22">
        <f>C5782*E5782</f>
      </c>
    </row>
    <row r="5783">
      <c r="A5783" s="5" t="s">
        <v>801</v>
      </c>
      <c r="B5783" s="14" t="s">
        <v>77</v>
      </c>
      <c r="C5783" s="22">
        <f>(1)*(1)*(1)*(1)*(1 + (0))</f>
      </c>
      <c r="D5783" s="22" t="s">
        <v>71</v>
      </c>
      <c r="E5783" s="22"/>
      <c r="F5783" s="22">
        <f>C5783*E5783</f>
      </c>
    </row>
    <row r="5784">
      <c r="A5784" s="5" t="s">
        <v>905</v>
      </c>
      <c r="B5784" s="14" t="s">
        <v>906</v>
      </c>
      <c r="C5784" s="22">
        <f>(1)*(1)*(1)*(1)*(1 + (0))</f>
      </c>
      <c r="D5784" s="22" t="s">
        <v>71</v>
      </c>
      <c r="E5784" s="22"/>
      <c r="F5784" s="22">
        <f>C5784*E5784</f>
      </c>
    </row>
    <row r="5785">
      <c r="A5785" s="5" t="s">
        <v>907</v>
      </c>
      <c r="B5785" s="14" t="s">
        <v>447</v>
      </c>
      <c r="C5785" s="22">
        <f>(1)*(1)*(1)*(1)*(1 + (0))</f>
      </c>
      <c r="D5785" s="22" t="s">
        <v>71</v>
      </c>
      <c r="E5785" s="22"/>
      <c r="F5785" s="22">
        <f>C5785*E5785</f>
      </c>
    </row>
    <row r="5786">
      <c r="A5786" s="5" t="s">
        <v>908</v>
      </c>
      <c r="B5786" s="14" t="s">
        <v>798</v>
      </c>
      <c r="C5786" s="22">
        <f>(1)*(1)*(1)*(1)*(1 + (0))</f>
      </c>
      <c r="D5786" s="22" t="s">
        <v>71</v>
      </c>
      <c r="E5786" s="22"/>
      <c r="F5786" s="22">
        <f>C5786*E5786</f>
      </c>
    </row>
    <row r="5787">
      <c r="A5787" s="5" t="s">
        <v>909</v>
      </c>
      <c r="B5787" s="14" t="s">
        <v>910</v>
      </c>
      <c r="C5787" s="22">
        <f>(1)*(1)*(1)*(1)*(1 + (0))</f>
      </c>
      <c r="D5787" s="22" t="s">
        <v>71</v>
      </c>
      <c r="E5787" s="22"/>
      <c r="F5787" s="22">
        <f>C5787*E5787</f>
      </c>
    </row>
    <row r="5788">
      <c r="A5788" s="5" t="s">
        <v>911</v>
      </c>
      <c r="B5788" s="14" t="s">
        <v>912</v>
      </c>
      <c r="C5788" s="22">
        <f>(1)*(1)*(1)*(1)*(1 + (0))</f>
      </c>
      <c r="D5788" s="22" t="s">
        <v>71</v>
      </c>
      <c r="E5788" s="22"/>
      <c r="F5788" s="22">
        <f>C5788*E5788</f>
      </c>
    </row>
    <row r="5789">
      <c r="A5789" s="5" t="s">
        <v>913</v>
      </c>
      <c r="B5789" s="14" t="s">
        <v>665</v>
      </c>
      <c r="C5789" s="22">
        <f>(1)*(1)*(1)*(1)*(1 + (0))</f>
      </c>
      <c r="D5789" s="22" t="s">
        <v>71</v>
      </c>
      <c r="E5789" s="22"/>
      <c r="F5789" s="22">
        <f>C5789*E5789</f>
      </c>
    </row>
    <row r="5790">
      <c r="A5790" s="3"/>
      <c r="B5790" s="11" t="s">
        <v>914</v>
      </c>
      <c r="C5790" s="20"/>
      <c r="D5790" s="20"/>
      <c r="E5790" s="20"/>
      <c r="F5790" s="20"/>
    </row>
    <row r="5791">
      <c r="A5791" s="4"/>
      <c r="B5791" s="12" t="s">
        <v>1711</v>
      </c>
      <c r="C5791" s="21"/>
      <c r="D5791" s="21"/>
      <c r="E5791" s="21"/>
      <c r="F5791" s="21"/>
    </row>
    <row r="5792">
      <c r="A5792" s="6"/>
      <c r="B5792" s="15" t="s">
        <v>918</v>
      </c>
      <c r="C5792" s="23"/>
      <c r="D5792" s="23"/>
      <c r="E5792" s="23"/>
      <c r="F5792" s="23"/>
    </row>
    <row r="5793">
      <c r="A5793" s="5"/>
      <c r="B5793" s="16" t="s">
        <v>2173</v>
      </c>
      <c r="C5793" s="22">
        <f>(2)*(1)*(1)*(1)*(1 + (0))</f>
      </c>
      <c r="D5793" s="22" t="s">
        <v>162</v>
      </c>
      <c r="E5793" s="22"/>
      <c r="F5793" s="22">
        <f>C5793*E5793</f>
      </c>
    </row>
    <row r="5794">
      <c r="A5794" s="3"/>
      <c r="B5794" s="11" t="s">
        <v>924</v>
      </c>
      <c r="C5794" s="20"/>
      <c r="D5794" s="20"/>
      <c r="E5794" s="20"/>
      <c r="F5794" s="20"/>
    </row>
    <row r="5795">
      <c r="A5795" s="4"/>
      <c r="B5795" s="12" t="s">
        <v>1711</v>
      </c>
      <c r="C5795" s="21"/>
      <c r="D5795" s="21"/>
      <c r="E5795" s="21"/>
      <c r="F5795" s="21"/>
    </row>
    <row r="5796">
      <c r="A5796" s="6"/>
      <c r="B5796" s="15" t="s">
        <v>915</v>
      </c>
      <c r="C5796" s="23"/>
      <c r="D5796" s="23"/>
      <c r="E5796" s="23"/>
      <c r="F5796" s="23"/>
    </row>
    <row r="5797">
      <c r="A5797" s="5"/>
      <c r="B5797" s="16" t="s">
        <v>2174</v>
      </c>
      <c r="C5797" s="22">
        <f>(2)*(1)*(1)*(1)*(1 + (0))</f>
      </c>
      <c r="D5797" s="22" t="s">
        <v>162</v>
      </c>
      <c r="E5797" s="22"/>
      <c r="F5797" s="22">
        <f>C5797*E5797</f>
      </c>
    </row>
    <row r="5798">
      <c r="A5798" s="6"/>
      <c r="B5798" s="15" t="s">
        <v>918</v>
      </c>
      <c r="C5798" s="23"/>
      <c r="D5798" s="23"/>
      <c r="E5798" s="23"/>
      <c r="F5798" s="23"/>
    </row>
    <row r="5799">
      <c r="A5799" s="5"/>
      <c r="B5799" s="16" t="s">
        <v>2015</v>
      </c>
      <c r="C5799" s="22">
        <f>(2)*(1)*(1)*(1)*(1 + (0))</f>
      </c>
      <c r="D5799" s="22" t="s">
        <v>162</v>
      </c>
      <c r="E5799" s="22"/>
      <c r="F5799" s="22">
        <f>C5799*E5799</f>
      </c>
    </row>
    <row r="5800">
      <c r="A5800" s="5"/>
      <c r="B5800" s="16" t="s">
        <v>2175</v>
      </c>
      <c r="C5800" s="22">
        <f>(2)*(1)*(1)*(1)*(1 + (0))</f>
      </c>
      <c r="D5800" s="22" t="s">
        <v>162</v>
      </c>
      <c r="E5800" s="22"/>
      <c r="F5800" s="22">
        <f>C5800*E5800</f>
      </c>
    </row>
    <row r="5801">
      <c r="A5801" s="5"/>
      <c r="B5801" s="16" t="s">
        <v>2176</v>
      </c>
      <c r="C5801" s="22">
        <f>(1)*(1)*(1)*(1)*(1 + (0))</f>
      </c>
      <c r="D5801" s="22" t="s">
        <v>162</v>
      </c>
      <c r="E5801" s="22"/>
      <c r="F5801" s="22">
        <f>C5801*E5801</f>
      </c>
    </row>
    <row r="5802">
      <c r="A5802" s="5"/>
      <c r="B5802" s="16" t="s">
        <v>2177</v>
      </c>
      <c r="C5802" s="22">
        <f>(6)*(1)*(1)*(1)*(1 + (0))</f>
      </c>
      <c r="D5802" s="22" t="s">
        <v>162</v>
      </c>
      <c r="E5802" s="22"/>
      <c r="F5802" s="22">
        <f>C5802*E5802</f>
      </c>
    </row>
    <row r="5803">
      <c r="A5803" s="5"/>
      <c r="B5803" s="16" t="s">
        <v>2178</v>
      </c>
      <c r="C5803" s="22">
        <f>(1)*(1)*(1)*(1)*(1 + (0))</f>
      </c>
      <c r="D5803" s="22" t="s">
        <v>162</v>
      </c>
      <c r="E5803" s="22"/>
      <c r="F5803" s="22">
        <f>C5803*E5803</f>
      </c>
    </row>
    <row r="5804">
      <c r="A5804" s="3"/>
      <c r="B5804" s="11" t="s">
        <v>931</v>
      </c>
      <c r="C5804" s="20"/>
      <c r="D5804" s="20"/>
      <c r="E5804" s="20"/>
      <c r="F5804" s="20"/>
    </row>
    <row r="5805">
      <c r="A5805" s="4"/>
      <c r="B5805" s="12" t="s">
        <v>1711</v>
      </c>
      <c r="C5805" s="21"/>
      <c r="D5805" s="21"/>
      <c r="E5805" s="21"/>
      <c r="F5805" s="21"/>
    </row>
    <row r="5806">
      <c r="A5806" s="5"/>
      <c r="B5806" s="13" t="s">
        <v>933</v>
      </c>
      <c r="C5806" s="22">
        <f>(2)*(1)*(1)*(1)*(1 + (0))</f>
      </c>
      <c r="D5806" s="22" t="s">
        <v>162</v>
      </c>
      <c r="E5806" s="22"/>
      <c r="F5806" s="22">
        <f>C5806*E5806</f>
      </c>
    </row>
    <row r="5807">
      <c r="A5807" s="3"/>
      <c r="B5807" s="11" t="s">
        <v>934</v>
      </c>
      <c r="C5807" s="20"/>
      <c r="D5807" s="20"/>
      <c r="E5807" s="20"/>
      <c r="F5807" s="20"/>
    </row>
    <row r="5808">
      <c r="A5808" s="4"/>
      <c r="B5808" s="12" t="s">
        <v>1711</v>
      </c>
      <c r="C5808" s="21"/>
      <c r="D5808" s="21"/>
      <c r="E5808" s="21"/>
      <c r="F5808" s="21"/>
    </row>
    <row r="5809">
      <c r="A5809" s="5"/>
      <c r="B5809" s="13" t="s">
        <v>932</v>
      </c>
      <c r="C5809" s="22">
        <f>(2)*(1)*(1)*(1)*(1 + (0))</f>
      </c>
      <c r="D5809" s="22" t="s">
        <v>162</v>
      </c>
      <c r="E5809" s="22"/>
      <c r="F5809" s="22">
        <f>C5809*E5809</f>
      </c>
    </row>
    <row r="5810">
      <c r="A5810" s="5"/>
      <c r="B5810" s="13" t="s">
        <v>933</v>
      </c>
      <c r="C5810" s="22">
        <f>(12)*(1)*(1)*(1)*(1 + (0))</f>
      </c>
      <c r="D5810" s="22" t="s">
        <v>162</v>
      </c>
      <c r="E5810" s="22"/>
      <c r="F5810" s="22">
        <f>C5810*E5810</f>
      </c>
    </row>
    <row r="5811">
      <c r="A5811" s="2"/>
      <c r="B5811" s="10" t="s">
        <v>935</v>
      </c>
      <c r="C5811" s="19"/>
      <c r="D5811" s="19"/>
      <c r="E5811" s="19"/>
      <c r="F5811" s="19"/>
    </row>
    <row r="5812">
      <c r="A5812" s="3"/>
      <c r="B5812" s="11" t="s">
        <v>37</v>
      </c>
      <c r="C5812" s="20"/>
      <c r="D5812" s="20"/>
      <c r="E5812" s="20"/>
      <c r="F5812" s="20"/>
    </row>
    <row r="5813">
      <c r="A5813" s="5" t="s">
        <v>936</v>
      </c>
      <c r="B5813" s="14" t="s">
        <v>39</v>
      </c>
      <c r="C5813" s="22"/>
      <c r="D5813" s="22" t="s">
        <v>10</v>
      </c>
      <c r="E5813" s="22"/>
      <c r="F5813" s="22">
        <f>C5813*E5813</f>
      </c>
    </row>
    <row r="5814">
      <c r="A5814" s="5" t="s">
        <v>937</v>
      </c>
      <c r="B5814" s="14" t="s">
        <v>41</v>
      </c>
      <c r="C5814" s="22"/>
      <c r="D5814" s="22" t="s">
        <v>10</v>
      </c>
      <c r="E5814" s="22"/>
      <c r="F5814" s="22">
        <f>C5814*E5814</f>
      </c>
    </row>
    <row r="5815">
      <c r="A5815" s="3"/>
      <c r="B5815" s="11" t="s">
        <v>42</v>
      </c>
      <c r="C5815" s="20"/>
      <c r="D5815" s="20"/>
      <c r="E5815" s="20"/>
      <c r="F5815" s="20"/>
    </row>
    <row r="5816">
      <c r="A5816" s="5"/>
      <c r="B5816" s="14" t="s">
        <v>938</v>
      </c>
      <c r="C5816" s="22"/>
      <c r="D5816" s="22" t="s">
        <v>10</v>
      </c>
      <c r="E5816" s="22"/>
      <c r="F5816" s="22">
        <f>C5816*E5816</f>
      </c>
    </row>
    <row r="5817">
      <c r="A5817" s="5"/>
      <c r="B5817" s="14" t="s">
        <v>762</v>
      </c>
      <c r="C5817" s="22"/>
      <c r="D5817" s="22" t="s">
        <v>10</v>
      </c>
      <c r="E5817" s="22"/>
      <c r="F5817" s="22">
        <f>C5817*E5817</f>
      </c>
    </row>
    <row r="5818">
      <c r="A5818" s="5"/>
      <c r="B5818" s="14" t="s">
        <v>763</v>
      </c>
      <c r="C5818" s="22"/>
      <c r="D5818" s="22" t="s">
        <v>10</v>
      </c>
      <c r="E5818" s="22"/>
      <c r="F5818" s="22">
        <f>C5818*E5818</f>
      </c>
    </row>
    <row r="5819">
      <c r="A5819" s="5"/>
      <c r="B5819" s="14" t="s">
        <v>939</v>
      </c>
      <c r="C5819" s="22"/>
      <c r="D5819" s="22" t="s">
        <v>10</v>
      </c>
      <c r="E5819" s="22"/>
      <c r="F5819" s="22">
        <f>C5819*E5819</f>
      </c>
    </row>
    <row r="5820">
      <c r="A5820" s="3"/>
      <c r="B5820" s="11" t="s">
        <v>44</v>
      </c>
      <c r="C5820" s="20"/>
      <c r="D5820" s="20"/>
      <c r="E5820" s="20"/>
      <c r="F5820" s="20"/>
    </row>
    <row r="5821">
      <c r="A5821" s="4"/>
      <c r="B5821" s="12" t="s">
        <v>45</v>
      </c>
      <c r="C5821" s="21"/>
      <c r="D5821" s="21"/>
      <c r="E5821" s="21"/>
      <c r="F5821" s="21"/>
    </row>
    <row r="5822">
      <c r="A5822" s="5" t="s">
        <v>940</v>
      </c>
      <c r="B5822" s="13" t="s">
        <v>123</v>
      </c>
      <c r="C5822" s="22"/>
      <c r="D5822" s="22" t="s">
        <v>10</v>
      </c>
      <c r="E5822" s="22"/>
      <c r="F5822" s="22">
        <f>C5822*E5822</f>
      </c>
    </row>
    <row r="5823">
      <c r="A5823" s="6"/>
      <c r="B5823" s="15" t="s">
        <v>771</v>
      </c>
      <c r="C5823" s="23"/>
      <c r="D5823" s="23"/>
      <c r="E5823" s="23"/>
      <c r="F5823" s="23"/>
    </row>
    <row r="5824">
      <c r="A5824" s="5" t="s">
        <v>772</v>
      </c>
      <c r="B5824" s="16" t="s">
        <v>528</v>
      </c>
      <c r="C5824" s="22"/>
      <c r="D5824" s="22" t="s">
        <v>10</v>
      </c>
      <c r="E5824" s="22"/>
      <c r="F5824" s="22">
        <f>C5824*E5824</f>
      </c>
    </row>
    <row r="5825">
      <c r="A5825" s="5" t="s">
        <v>773</v>
      </c>
      <c r="B5825" s="16" t="s">
        <v>530</v>
      </c>
      <c r="C5825" s="22"/>
      <c r="D5825" s="22" t="s">
        <v>10</v>
      </c>
      <c r="E5825" s="22"/>
      <c r="F5825" s="22">
        <f>C5825*E5825</f>
      </c>
    </row>
    <row r="5826">
      <c r="A5826" s="5" t="s">
        <v>774</v>
      </c>
      <c r="B5826" s="16" t="s">
        <v>532</v>
      </c>
      <c r="C5826" s="22"/>
      <c r="D5826" s="22" t="s">
        <v>10</v>
      </c>
      <c r="E5826" s="22"/>
      <c r="F5826" s="22">
        <f>C5826*E5826</f>
      </c>
    </row>
    <row r="5827">
      <c r="A5827" s="5" t="s">
        <v>775</v>
      </c>
      <c r="B5827" s="16" t="s">
        <v>536</v>
      </c>
      <c r="C5827" s="22"/>
      <c r="D5827" s="22" t="s">
        <v>10</v>
      </c>
      <c r="E5827" s="22"/>
      <c r="F5827" s="22">
        <f>C5827*E5827</f>
      </c>
    </row>
    <row r="5828">
      <c r="A5828" s="5" t="s">
        <v>776</v>
      </c>
      <c r="B5828" s="16" t="s">
        <v>777</v>
      </c>
      <c r="C5828" s="22"/>
      <c r="D5828" s="22" t="s">
        <v>10</v>
      </c>
      <c r="E5828" s="22"/>
      <c r="F5828" s="22">
        <f>C5828*E5828</f>
      </c>
    </row>
    <row r="5829">
      <c r="A5829" s="6"/>
      <c r="B5829" s="15" t="s">
        <v>778</v>
      </c>
      <c r="C5829" s="23"/>
      <c r="D5829" s="23"/>
      <c r="E5829" s="23"/>
      <c r="F5829" s="23"/>
    </row>
    <row r="5830">
      <c r="A5830" s="5" t="s">
        <v>779</v>
      </c>
      <c r="B5830" s="16" t="s">
        <v>780</v>
      </c>
      <c r="C5830" s="22"/>
      <c r="D5830" s="22" t="s">
        <v>10</v>
      </c>
      <c r="E5830" s="22"/>
      <c r="F5830" s="22">
        <f>C5830*E5830</f>
      </c>
    </row>
    <row r="5831">
      <c r="A5831" s="5" t="s">
        <v>781</v>
      </c>
      <c r="B5831" s="16" t="s">
        <v>782</v>
      </c>
      <c r="C5831" s="22"/>
      <c r="D5831" s="22" t="s">
        <v>10</v>
      </c>
      <c r="E5831" s="22"/>
      <c r="F5831" s="22">
        <f>C5831*E5831</f>
      </c>
    </row>
    <row r="5832">
      <c r="A5832" s="5" t="s">
        <v>783</v>
      </c>
      <c r="B5832" s="16" t="s">
        <v>784</v>
      </c>
      <c r="C5832" s="22"/>
      <c r="D5832" s="22" t="s">
        <v>10</v>
      </c>
      <c r="E5832" s="22"/>
      <c r="F5832" s="22">
        <f>C5832*E5832</f>
      </c>
    </row>
    <row r="5833">
      <c r="A5833" s="5" t="s">
        <v>785</v>
      </c>
      <c r="B5833" s="16" t="s">
        <v>786</v>
      </c>
      <c r="C5833" s="22"/>
      <c r="D5833" s="22" t="s">
        <v>10</v>
      </c>
      <c r="E5833" s="22"/>
      <c r="F5833" s="22">
        <f>C5833*E5833</f>
      </c>
    </row>
    <row r="5834">
      <c r="A5834" s="5" t="s">
        <v>787</v>
      </c>
      <c r="B5834" s="16" t="s">
        <v>788</v>
      </c>
      <c r="C5834" s="22"/>
      <c r="D5834" s="22" t="s">
        <v>10</v>
      </c>
      <c r="E5834" s="22"/>
      <c r="F5834" s="22">
        <f>C5834*E5834</f>
      </c>
    </row>
    <row r="5835">
      <c r="A5835" s="5" t="s">
        <v>789</v>
      </c>
      <c r="B5835" s="16" t="s">
        <v>769</v>
      </c>
      <c r="C5835" s="22"/>
      <c r="D5835" s="22" t="s">
        <v>10</v>
      </c>
      <c r="E5835" s="22"/>
      <c r="F5835" s="22">
        <f>C5835*E5835</f>
      </c>
    </row>
    <row r="5836">
      <c r="A5836" s="6"/>
      <c r="B5836" s="15" t="s">
        <v>790</v>
      </c>
      <c r="C5836" s="23"/>
      <c r="D5836" s="23"/>
      <c r="E5836" s="23"/>
      <c r="F5836" s="23"/>
    </row>
    <row r="5837">
      <c r="A5837" s="5" t="s">
        <v>791</v>
      </c>
      <c r="B5837" s="16" t="s">
        <v>652</v>
      </c>
      <c r="C5837" s="22"/>
      <c r="D5837" s="22" t="s">
        <v>10</v>
      </c>
      <c r="E5837" s="22"/>
      <c r="F5837" s="22">
        <f>C5837*E5837</f>
      </c>
    </row>
    <row r="5838">
      <c r="A5838" s="5" t="s">
        <v>792</v>
      </c>
      <c r="B5838" s="16" t="s">
        <v>700</v>
      </c>
      <c r="C5838" s="22"/>
      <c r="D5838" s="22" t="s">
        <v>10</v>
      </c>
      <c r="E5838" s="22"/>
      <c r="F5838" s="22">
        <f>C5838*E5838</f>
      </c>
    </row>
    <row r="5839">
      <c r="A5839" s="5" t="s">
        <v>793</v>
      </c>
      <c r="B5839" s="16" t="s">
        <v>650</v>
      </c>
      <c r="C5839" s="22"/>
      <c r="D5839" s="22" t="s">
        <v>10</v>
      </c>
      <c r="E5839" s="22"/>
      <c r="F5839" s="22">
        <f>C5839*E5839</f>
      </c>
    </row>
    <row r="5840">
      <c r="A5840" s="3"/>
      <c r="B5840" s="11" t="s">
        <v>68</v>
      </c>
      <c r="C5840" s="20"/>
      <c r="D5840" s="20"/>
      <c r="E5840" s="20"/>
      <c r="F5840" s="20"/>
    </row>
    <row r="5841">
      <c r="A5841" s="5" t="s">
        <v>807</v>
      </c>
      <c r="B5841" s="14" t="s">
        <v>808</v>
      </c>
      <c r="C5841" s="22">
        <f>(1)*(1)*(1)*(1)*(1 + (0))</f>
      </c>
      <c r="D5841" s="22" t="s">
        <v>71</v>
      </c>
      <c r="E5841" s="22"/>
      <c r="F5841" s="22">
        <f>C5841*E5841</f>
      </c>
    </row>
    <row r="5842">
      <c r="A5842" s="5" t="s">
        <v>809</v>
      </c>
      <c r="B5842" s="14" t="s">
        <v>810</v>
      </c>
      <c r="C5842" s="22">
        <f>(1)*(1)*(1)*(1)*(1 + (0))</f>
      </c>
      <c r="D5842" s="22" t="s">
        <v>71</v>
      </c>
      <c r="E5842" s="22"/>
      <c r="F5842" s="22">
        <f>C5842*E5842</f>
      </c>
    </row>
    <row r="5843">
      <c r="A5843" s="5" t="s">
        <v>811</v>
      </c>
      <c r="B5843" s="14" t="s">
        <v>812</v>
      </c>
      <c r="C5843" s="22">
        <f>(1)*(1)*(1)*(1)*(1 + (0))</f>
      </c>
      <c r="D5843" s="22" t="s">
        <v>71</v>
      </c>
      <c r="E5843" s="22"/>
      <c r="F5843" s="22">
        <f>C5843*E5843</f>
      </c>
    </row>
    <row r="5844">
      <c r="A5844" s="5" t="s">
        <v>941</v>
      </c>
      <c r="B5844" s="14" t="s">
        <v>447</v>
      </c>
      <c r="C5844" s="22">
        <f>(1)*(1)*(1)*(1)*(1 + (0))</f>
      </c>
      <c r="D5844" s="22" t="s">
        <v>71</v>
      </c>
      <c r="E5844" s="22"/>
      <c r="F5844" s="22">
        <f>C5844*E5844</f>
      </c>
    </row>
    <row r="5845">
      <c r="A5845" s="5" t="s">
        <v>942</v>
      </c>
      <c r="B5845" s="14" t="s">
        <v>70</v>
      </c>
      <c r="C5845" s="22">
        <f>(1)*(1)*(1)*(1)*(1 + (0))</f>
      </c>
      <c r="D5845" s="22" t="s">
        <v>71</v>
      </c>
      <c r="E5845" s="22"/>
      <c r="F5845" s="22">
        <f>C5845*E5845</f>
      </c>
    </row>
    <row r="5846">
      <c r="A5846" s="5" t="s">
        <v>813</v>
      </c>
      <c r="B5846" s="14" t="s">
        <v>814</v>
      </c>
      <c r="C5846" s="22">
        <f>(1)*(1)*(1)*(1)*(1 + (0))</f>
      </c>
      <c r="D5846" s="22" t="s">
        <v>71</v>
      </c>
      <c r="E5846" s="22"/>
      <c r="F5846" s="22">
        <f>C5846*E5846</f>
      </c>
    </row>
    <row r="5847">
      <c r="A5847" s="5" t="s">
        <v>815</v>
      </c>
      <c r="B5847" s="14" t="s">
        <v>816</v>
      </c>
      <c r="C5847" s="22">
        <f>(1)*(1)*(1)*(1)*(1 + (0))</f>
      </c>
      <c r="D5847" s="22" t="s">
        <v>71</v>
      </c>
      <c r="E5847" s="22"/>
      <c r="F5847" s="22">
        <f>C5847*E5847</f>
      </c>
    </row>
    <row r="5848">
      <c r="A5848" s="5" t="s">
        <v>943</v>
      </c>
      <c r="B5848" s="14" t="s">
        <v>798</v>
      </c>
      <c r="C5848" s="22">
        <f>(1)*(1)*(1)*(1)*(1 + (0))</f>
      </c>
      <c r="D5848" s="22" t="s">
        <v>71</v>
      </c>
      <c r="E5848" s="22"/>
      <c r="F5848" s="22">
        <f>C5848*E5848</f>
      </c>
    </row>
    <row r="5849">
      <c r="A5849" s="5" t="s">
        <v>944</v>
      </c>
      <c r="B5849" s="14" t="s">
        <v>800</v>
      </c>
      <c r="C5849" s="22">
        <f>(1)*(1)*(1)*(1)*(1 + (0))</f>
      </c>
      <c r="D5849" s="22" t="s">
        <v>71</v>
      </c>
      <c r="E5849" s="22"/>
      <c r="F5849" s="22">
        <f>C5849*E5849</f>
      </c>
    </row>
    <row r="5850">
      <c r="A5850" s="5" t="s">
        <v>817</v>
      </c>
      <c r="B5850" s="14" t="s">
        <v>667</v>
      </c>
      <c r="C5850" s="22">
        <f>(1)*(1)*(1)*(1)*(1 + (0))</f>
      </c>
      <c r="D5850" s="22" t="s">
        <v>71</v>
      </c>
      <c r="E5850" s="22"/>
      <c r="F5850" s="22">
        <f>C5850*E5850</f>
      </c>
    </row>
    <row r="5851">
      <c r="A5851" s="5" t="s">
        <v>945</v>
      </c>
      <c r="B5851" s="14" t="s">
        <v>665</v>
      </c>
      <c r="C5851" s="22">
        <f>(1)*(1)*(1)*(1)*(1 + (0))</f>
      </c>
      <c r="D5851" s="22" t="s">
        <v>71</v>
      </c>
      <c r="E5851" s="22"/>
      <c r="F5851" s="22">
        <f>C5851*E5851</f>
      </c>
    </row>
    <row r="5852">
      <c r="A5852" s="3"/>
      <c r="B5852" s="11" t="s">
        <v>106</v>
      </c>
      <c r="C5852" s="20"/>
      <c r="D5852" s="20"/>
      <c r="E5852" s="20"/>
      <c r="F5852" s="20"/>
    </row>
    <row r="5853">
      <c r="A5853" s="5"/>
      <c r="B5853" s="14" t="s">
        <v>946</v>
      </c>
      <c r="C5853" s="22"/>
      <c r="D5853" s="22" t="s">
        <v>10</v>
      </c>
      <c r="E5853" s="22"/>
      <c r="F5853" s="22">
        <f>C5853*E5853</f>
      </c>
    </row>
    <row r="5854">
      <c r="A5854" s="3"/>
      <c r="B5854" s="11" t="s">
        <v>947</v>
      </c>
      <c r="C5854" s="20"/>
      <c r="D5854" s="20"/>
      <c r="E5854" s="20"/>
      <c r="F5854" s="20"/>
    </row>
    <row r="5855">
      <c r="A5855" s="4"/>
      <c r="B5855" s="12" t="s">
        <v>955</v>
      </c>
      <c r="C5855" s="21"/>
      <c r="D5855" s="21"/>
      <c r="E5855" s="21"/>
      <c r="F5855" s="21"/>
    </row>
    <row r="5856">
      <c r="A5856" s="6"/>
      <c r="B5856" s="15" t="s">
        <v>2179</v>
      </c>
      <c r="C5856" s="23"/>
      <c r="D5856" s="23"/>
      <c r="E5856" s="23"/>
      <c r="F5856" s="23"/>
    </row>
    <row r="5857">
      <c r="A5857" s="5"/>
      <c r="B5857" s="16" t="s">
        <v>2180</v>
      </c>
      <c r="C5857" s="22">
        <f>(208)*(1)*(1)*(1)*(1 + (0))</f>
      </c>
      <c r="D5857" s="22" t="s">
        <v>24</v>
      </c>
      <c r="E5857" s="22"/>
      <c r="F5857" s="22">
        <f>C5857*E5857</f>
      </c>
    </row>
    <row r="5858">
      <c r="A5858" s="6"/>
      <c r="B5858" s="15" t="s">
        <v>2181</v>
      </c>
      <c r="C5858" s="23"/>
      <c r="D5858" s="23"/>
      <c r="E5858" s="23"/>
      <c r="F5858" s="23"/>
    </row>
    <row r="5859">
      <c r="A5859" s="5"/>
      <c r="B5859" s="16" t="s">
        <v>2180</v>
      </c>
      <c r="C5859" s="22">
        <f>(82)*(1)*(1)*(1)*(1 + (0))</f>
      </c>
      <c r="D5859" s="22" t="s">
        <v>24</v>
      </c>
      <c r="E5859" s="22"/>
      <c r="F5859" s="22">
        <f>C5859*E5859</f>
      </c>
    </row>
    <row r="5860">
      <c r="A5860" s="3"/>
      <c r="B5860" s="11" t="s">
        <v>960</v>
      </c>
      <c r="C5860" s="20"/>
      <c r="D5860" s="20"/>
      <c r="E5860" s="20"/>
      <c r="F5860" s="20"/>
    </row>
    <row r="5861">
      <c r="A5861" s="4"/>
      <c r="B5861" s="12" t="s">
        <v>948</v>
      </c>
      <c r="C5861" s="21"/>
      <c r="D5861" s="21"/>
      <c r="E5861" s="21"/>
      <c r="F5861" s="21"/>
    </row>
    <row r="5862">
      <c r="A5862" s="6"/>
      <c r="B5862" s="15" t="s">
        <v>967</v>
      </c>
      <c r="C5862" s="23"/>
      <c r="D5862" s="23"/>
      <c r="E5862" s="23"/>
      <c r="F5862" s="23"/>
    </row>
    <row r="5863">
      <c r="A5863" s="5"/>
      <c r="B5863" s="16" t="s">
        <v>2180</v>
      </c>
      <c r="C5863" s="22">
        <f>(11)*(1)*(1)*(1)*(1 + (0))</f>
      </c>
      <c r="D5863" s="22" t="s">
        <v>24</v>
      </c>
      <c r="E5863" s="22"/>
      <c r="F5863" s="22">
        <f>C5863*E5863</f>
      </c>
    </row>
    <row r="5864">
      <c r="A5864" s="4"/>
      <c r="B5864" s="12" t="s">
        <v>953</v>
      </c>
      <c r="C5864" s="21"/>
      <c r="D5864" s="21"/>
      <c r="E5864" s="21"/>
      <c r="F5864" s="21"/>
    </row>
    <row r="5865">
      <c r="A5865" s="6"/>
      <c r="B5865" s="15" t="s">
        <v>975</v>
      </c>
      <c r="C5865" s="23"/>
      <c r="D5865" s="23"/>
      <c r="E5865" s="23"/>
      <c r="F5865" s="23"/>
    </row>
    <row r="5866">
      <c r="A5866" s="5"/>
      <c r="B5866" s="16" t="s">
        <v>2180</v>
      </c>
      <c r="C5866" s="22">
        <f>(121)*(1)*(1)*(1)*(1 + (0))</f>
      </c>
      <c r="D5866" s="22" t="s">
        <v>24</v>
      </c>
      <c r="E5866" s="22"/>
      <c r="F5866" s="22">
        <f>C5866*E5866</f>
      </c>
    </row>
    <row r="5867">
      <c r="A5867" s="6"/>
      <c r="B5867" s="15" t="s">
        <v>974</v>
      </c>
      <c r="C5867" s="23"/>
      <c r="D5867" s="23"/>
      <c r="E5867" s="23"/>
      <c r="F5867" s="23"/>
    </row>
    <row r="5868">
      <c r="A5868" s="5"/>
      <c r="B5868" s="16" t="s">
        <v>2180</v>
      </c>
      <c r="C5868" s="22">
        <f>(40)*(1)*(1)*(1)*(1 + (0))</f>
      </c>
      <c r="D5868" s="22" t="s">
        <v>24</v>
      </c>
      <c r="E5868" s="22"/>
      <c r="F5868" s="22">
        <f>C5868*E5868</f>
      </c>
    </row>
    <row r="5869">
      <c r="A5869" s="6"/>
      <c r="B5869" s="15" t="s">
        <v>973</v>
      </c>
      <c r="C5869" s="23"/>
      <c r="D5869" s="23"/>
      <c r="E5869" s="23"/>
      <c r="F5869" s="23"/>
    </row>
    <row r="5870">
      <c r="A5870" s="5"/>
      <c r="B5870" s="16" t="s">
        <v>2180</v>
      </c>
      <c r="C5870" s="22">
        <f>(76)*(1)*(1)*(1)*(1 + (0))</f>
      </c>
      <c r="D5870" s="22" t="s">
        <v>24</v>
      </c>
      <c r="E5870" s="22"/>
      <c r="F5870" s="22">
        <f>C5870*E5870</f>
      </c>
    </row>
    <row r="5871">
      <c r="A5871" s="6"/>
      <c r="B5871" s="15" t="s">
        <v>2182</v>
      </c>
      <c r="C5871" s="23"/>
      <c r="D5871" s="23"/>
      <c r="E5871" s="23"/>
      <c r="F5871" s="23"/>
    </row>
    <row r="5872">
      <c r="A5872" s="5"/>
      <c r="B5872" s="16" t="s">
        <v>2180</v>
      </c>
      <c r="C5872" s="22">
        <f>(11)*(1)*(1)*(1)*(1 + (0))</f>
      </c>
      <c r="D5872" s="22" t="s">
        <v>24</v>
      </c>
      <c r="E5872" s="22"/>
      <c r="F5872" s="22">
        <f>C5872*E5872</f>
      </c>
    </row>
    <row r="5873">
      <c r="A5873" s="6"/>
      <c r="B5873" s="15" t="s">
        <v>1738</v>
      </c>
      <c r="C5873" s="23"/>
      <c r="D5873" s="23"/>
      <c r="E5873" s="23"/>
      <c r="F5873" s="23"/>
    </row>
    <row r="5874">
      <c r="A5874" s="5"/>
      <c r="B5874" s="16" t="s">
        <v>2180</v>
      </c>
      <c r="C5874" s="22">
        <f>(49)*(1)*(1)*(1)*(1 + (0))</f>
      </c>
      <c r="D5874" s="22" t="s">
        <v>24</v>
      </c>
      <c r="E5874" s="22"/>
      <c r="F5874" s="22">
        <f>C5874*E5874</f>
      </c>
    </row>
    <row r="5875">
      <c r="A5875" s="6"/>
      <c r="B5875" s="15" t="s">
        <v>1739</v>
      </c>
      <c r="C5875" s="23"/>
      <c r="D5875" s="23"/>
      <c r="E5875" s="23"/>
      <c r="F5875" s="23"/>
    </row>
    <row r="5876">
      <c r="A5876" s="5"/>
      <c r="B5876" s="16" t="s">
        <v>2180</v>
      </c>
      <c r="C5876" s="22">
        <f>(7)*(1)*(1)*(1)*(1 + (0))</f>
      </c>
      <c r="D5876" s="22" t="s">
        <v>24</v>
      </c>
      <c r="E5876" s="22"/>
      <c r="F5876" s="22">
        <f>C5876*E5876</f>
      </c>
    </row>
    <row r="5877">
      <c r="A5877" s="6"/>
      <c r="B5877" s="15" t="s">
        <v>1740</v>
      </c>
      <c r="C5877" s="23"/>
      <c r="D5877" s="23"/>
      <c r="E5877" s="23"/>
      <c r="F5877" s="23"/>
    </row>
    <row r="5878">
      <c r="A5878" s="5"/>
      <c r="B5878" s="16" t="s">
        <v>2180</v>
      </c>
      <c r="C5878" s="22">
        <f>(23)*(1)*(1)*(1)*(1 + (0))</f>
      </c>
      <c r="D5878" s="22" t="s">
        <v>24</v>
      </c>
      <c r="E5878" s="22"/>
      <c r="F5878" s="22">
        <f>C5878*E5878</f>
      </c>
    </row>
    <row r="5879">
      <c r="A5879" s="6"/>
      <c r="B5879" s="15" t="s">
        <v>2183</v>
      </c>
      <c r="C5879" s="23"/>
      <c r="D5879" s="23"/>
      <c r="E5879" s="23"/>
      <c r="F5879" s="23"/>
    </row>
    <row r="5880">
      <c r="A5880" s="5"/>
      <c r="B5880" s="16" t="s">
        <v>2180</v>
      </c>
      <c r="C5880" s="22">
        <f>(10)*(1)*(1)*(1)*(1 + (0))</f>
      </c>
      <c r="D5880" s="22" t="s">
        <v>24</v>
      </c>
      <c r="E5880" s="22"/>
      <c r="F5880" s="22">
        <f>C5880*E5880</f>
      </c>
    </row>
    <row r="5881">
      <c r="A5881" s="6"/>
      <c r="B5881" s="15" t="s">
        <v>2184</v>
      </c>
      <c r="C5881" s="23"/>
      <c r="D5881" s="23"/>
      <c r="E5881" s="23"/>
      <c r="F5881" s="23"/>
    </row>
    <row r="5882">
      <c r="A5882" s="5"/>
      <c r="B5882" s="16" t="s">
        <v>2180</v>
      </c>
      <c r="C5882" s="22">
        <f>(5)*(1)*(1)*(1)*(1 + (0))</f>
      </c>
      <c r="D5882" s="22" t="s">
        <v>24</v>
      </c>
      <c r="E5882" s="22"/>
      <c r="F5882" s="22">
        <f>C5882*E5882</f>
      </c>
    </row>
    <row r="5883">
      <c r="A5883" s="6"/>
      <c r="B5883" s="15" t="s">
        <v>2185</v>
      </c>
      <c r="C5883" s="23"/>
      <c r="D5883" s="23"/>
      <c r="E5883" s="23"/>
      <c r="F5883" s="23"/>
    </row>
    <row r="5884">
      <c r="A5884" s="5"/>
      <c r="B5884" s="16" t="s">
        <v>2180</v>
      </c>
      <c r="C5884" s="22">
        <f>(22)*(1)*(1)*(1)*(1 + (0))</f>
      </c>
      <c r="D5884" s="22" t="s">
        <v>24</v>
      </c>
      <c r="E5884" s="22"/>
      <c r="F5884" s="22">
        <f>C5884*E5884</f>
      </c>
    </row>
    <row r="5885">
      <c r="A5885" s="6"/>
      <c r="B5885" s="15" t="s">
        <v>984</v>
      </c>
      <c r="C5885" s="23"/>
      <c r="D5885" s="23"/>
      <c r="E5885" s="23"/>
      <c r="F5885" s="23"/>
    </row>
    <row r="5886">
      <c r="A5886" s="5"/>
      <c r="B5886" s="16" t="s">
        <v>2180</v>
      </c>
      <c r="C5886" s="22">
        <f>(44)*(1)*(1)*(1)*(1 + (0))</f>
      </c>
      <c r="D5886" s="22" t="s">
        <v>24</v>
      </c>
      <c r="E5886" s="22"/>
      <c r="F5886" s="22">
        <f>C5886*E5886</f>
      </c>
    </row>
    <row r="5887">
      <c r="A5887" s="6"/>
      <c r="B5887" s="15" t="s">
        <v>2186</v>
      </c>
      <c r="C5887" s="23"/>
      <c r="D5887" s="23"/>
      <c r="E5887" s="23"/>
      <c r="F5887" s="23"/>
    </row>
    <row r="5888">
      <c r="A5888" s="5"/>
      <c r="B5888" s="16" t="s">
        <v>2180</v>
      </c>
      <c r="C5888" s="22">
        <f>(15)*(1)*(1)*(1)*(1 + (0))</f>
      </c>
      <c r="D5888" s="22" t="s">
        <v>24</v>
      </c>
      <c r="E5888" s="22"/>
      <c r="F5888" s="22">
        <f>C5888*E5888</f>
      </c>
    </row>
    <row r="5889">
      <c r="A5889" s="4"/>
      <c r="B5889" s="12" t="s">
        <v>955</v>
      </c>
      <c r="C5889" s="21"/>
      <c r="D5889" s="21"/>
      <c r="E5889" s="21"/>
      <c r="F5889" s="21"/>
    </row>
    <row r="5890">
      <c r="A5890" s="6"/>
      <c r="B5890" s="15" t="s">
        <v>987</v>
      </c>
      <c r="C5890" s="23"/>
      <c r="D5890" s="23"/>
      <c r="E5890" s="23"/>
      <c r="F5890" s="23"/>
    </row>
    <row r="5891">
      <c r="A5891" s="5"/>
      <c r="B5891" s="16" t="s">
        <v>2180</v>
      </c>
      <c r="C5891" s="22">
        <f>(14)*(1)*(1)*(1)*(1 + (0))</f>
      </c>
      <c r="D5891" s="22" t="s">
        <v>24</v>
      </c>
      <c r="E5891" s="22"/>
      <c r="F5891" s="22">
        <f>C5891*E5891</f>
      </c>
    </row>
    <row r="5892">
      <c r="A5892" s="3"/>
      <c r="B5892" s="11" t="s">
        <v>989</v>
      </c>
      <c r="C5892" s="20"/>
      <c r="D5892" s="20"/>
      <c r="E5892" s="20"/>
      <c r="F5892" s="20"/>
    </row>
    <row r="5893">
      <c r="A5893" s="4"/>
      <c r="B5893" s="12" t="s">
        <v>2025</v>
      </c>
      <c r="C5893" s="21"/>
      <c r="D5893" s="21"/>
      <c r="E5893" s="21"/>
      <c r="F5893" s="21"/>
    </row>
    <row r="5894">
      <c r="A5894" s="5"/>
      <c r="B5894" s="13" t="s">
        <v>2187</v>
      </c>
      <c r="C5894" s="22">
        <f>(21)*(1)*(1)*(1)*(1 + (0))</f>
      </c>
      <c r="D5894" s="22" t="s">
        <v>24</v>
      </c>
      <c r="E5894" s="22"/>
      <c r="F5894" s="22">
        <f>C5894*E5894</f>
      </c>
    </row>
    <row r="5895">
      <c r="A5895" s="4"/>
      <c r="B5895" s="12" t="s">
        <v>2188</v>
      </c>
      <c r="C5895" s="21"/>
      <c r="D5895" s="21"/>
      <c r="E5895" s="21"/>
      <c r="F5895" s="21"/>
    </row>
    <row r="5896">
      <c r="A5896" s="5"/>
      <c r="B5896" s="13" t="s">
        <v>2187</v>
      </c>
      <c r="C5896" s="22">
        <f>(47)*(1)*(1)*(1)*(1 + (0))</f>
      </c>
      <c r="D5896" s="22" t="s">
        <v>24</v>
      </c>
      <c r="E5896" s="22"/>
      <c r="F5896" s="22">
        <f>C5896*E5896</f>
      </c>
    </row>
    <row r="5897">
      <c r="A5897" s="3"/>
      <c r="B5897" s="11" t="s">
        <v>2026</v>
      </c>
      <c r="C5897" s="20"/>
      <c r="D5897" s="20"/>
      <c r="E5897" s="20"/>
      <c r="F5897" s="20"/>
    </row>
    <row r="5898">
      <c r="A5898" s="4"/>
      <c r="B5898" s="12" t="s">
        <v>2027</v>
      </c>
      <c r="C5898" s="21"/>
      <c r="D5898" s="21"/>
      <c r="E5898" s="21"/>
      <c r="F5898" s="21"/>
    </row>
    <row r="5899">
      <c r="A5899" s="5"/>
      <c r="B5899" s="13" t="s">
        <v>2187</v>
      </c>
      <c r="C5899" s="22">
        <f>(82)*(1)*(1)*(1)*(1 + (0))</f>
      </c>
      <c r="D5899" s="22" t="s">
        <v>24</v>
      </c>
      <c r="E5899" s="22"/>
      <c r="F5899" s="22">
        <f>C5899*E5899</f>
      </c>
    </row>
    <row r="5900">
      <c r="A5900" s="4"/>
      <c r="B5900" s="12" t="s">
        <v>999</v>
      </c>
      <c r="C5900" s="21"/>
      <c r="D5900" s="21"/>
      <c r="E5900" s="21"/>
      <c r="F5900" s="21"/>
    </row>
    <row r="5901">
      <c r="A5901" s="5"/>
      <c r="B5901" s="13" t="s">
        <v>32</v>
      </c>
      <c r="C5901" s="22">
        <f>(25)*(1)*(1)*(1)*(1 + (0))</f>
      </c>
      <c r="D5901" s="22" t="s">
        <v>24</v>
      </c>
      <c r="E5901" s="22"/>
      <c r="F5901" s="22">
        <f>C5901*E5901</f>
      </c>
    </row>
    <row r="5902">
      <c r="A5902" s="3"/>
      <c r="B5902" s="11" t="s">
        <v>998</v>
      </c>
      <c r="C5902" s="20"/>
      <c r="D5902" s="20"/>
      <c r="E5902" s="20"/>
      <c r="F5902" s="20"/>
    </row>
    <row r="5903">
      <c r="A5903" s="4"/>
      <c r="B5903" s="12" t="s">
        <v>1000</v>
      </c>
      <c r="C5903" s="21"/>
      <c r="D5903" s="21"/>
      <c r="E5903" s="21"/>
      <c r="F5903" s="21"/>
    </row>
    <row r="5904">
      <c r="A5904" s="5"/>
      <c r="B5904" s="13" t="s">
        <v>1002</v>
      </c>
      <c r="C5904" s="22">
        <f>(25)*(1)*(1)*(1)*(1 + (0))</f>
      </c>
      <c r="D5904" s="22" t="s">
        <v>24</v>
      </c>
      <c r="E5904" s="22"/>
      <c r="F5904" s="22">
        <f>C5904*E5904</f>
      </c>
    </row>
    <row r="5905">
      <c r="A5905" s="5"/>
      <c r="B5905" s="7" t="s">
        <v>1003</v>
      </c>
      <c r="C5905" s="22"/>
      <c r="D5905" s="22"/>
      <c r="E5905" s="22"/>
      <c r="F5905" s="22">
        <f>C5905*E5905</f>
      </c>
    </row>
    <row r="5906">
      <c r="A5906" s="2"/>
      <c r="B5906" s="10" t="s">
        <v>1006</v>
      </c>
      <c r="C5906" s="19"/>
      <c r="D5906" s="19"/>
      <c r="E5906" s="19"/>
      <c r="F5906" s="19"/>
    </row>
    <row r="5907">
      <c r="A5907" s="3"/>
      <c r="B5907" s="11" t="s">
        <v>37</v>
      </c>
      <c r="C5907" s="20"/>
      <c r="D5907" s="20"/>
      <c r="E5907" s="20"/>
      <c r="F5907" s="20"/>
    </row>
    <row r="5908">
      <c r="A5908" s="5" t="s">
        <v>1007</v>
      </c>
      <c r="B5908" s="14" t="s">
        <v>39</v>
      </c>
      <c r="C5908" s="22"/>
      <c r="D5908" s="22" t="s">
        <v>10</v>
      </c>
      <c r="E5908" s="22"/>
      <c r="F5908" s="22">
        <f>C5908*E5908</f>
      </c>
    </row>
    <row r="5909">
      <c r="A5909" s="5" t="s">
        <v>1008</v>
      </c>
      <c r="B5909" s="14" t="s">
        <v>41</v>
      </c>
      <c r="C5909" s="22"/>
      <c r="D5909" s="22" t="s">
        <v>10</v>
      </c>
      <c r="E5909" s="22"/>
      <c r="F5909" s="22">
        <f>C5909*E5909</f>
      </c>
    </row>
    <row r="5910">
      <c r="A5910" s="3"/>
      <c r="B5910" s="11" t="s">
        <v>42</v>
      </c>
      <c r="C5910" s="20"/>
      <c r="D5910" s="20"/>
      <c r="E5910" s="20"/>
      <c r="F5910" s="20"/>
    </row>
    <row r="5911">
      <c r="A5911" s="5"/>
      <c r="B5911" s="14" t="s">
        <v>1009</v>
      </c>
      <c r="C5911" s="22"/>
      <c r="D5911" s="22" t="s">
        <v>10</v>
      </c>
      <c r="E5911" s="22"/>
      <c r="F5911" s="22">
        <f>C5911*E5911</f>
      </c>
    </row>
    <row r="5912">
      <c r="A5912" s="5"/>
      <c r="B5912" s="14" t="s">
        <v>1010</v>
      </c>
      <c r="C5912" s="22"/>
      <c r="D5912" s="22" t="s">
        <v>10</v>
      </c>
      <c r="E5912" s="22"/>
      <c r="F5912" s="22">
        <f>C5912*E5912</f>
      </c>
    </row>
    <row r="5913">
      <c r="A5913" s="5"/>
      <c r="B5913" s="14" t="s">
        <v>1011</v>
      </c>
      <c r="C5913" s="22"/>
      <c r="D5913" s="22" t="s">
        <v>10</v>
      </c>
      <c r="E5913" s="22"/>
      <c r="F5913" s="22">
        <f>C5913*E5913</f>
      </c>
    </row>
    <row r="5914">
      <c r="A5914" s="3"/>
      <c r="B5914" s="11" t="s">
        <v>44</v>
      </c>
      <c r="C5914" s="20"/>
      <c r="D5914" s="20"/>
      <c r="E5914" s="20"/>
      <c r="F5914" s="20"/>
    </row>
    <row r="5915">
      <c r="A5915" s="4"/>
      <c r="B5915" s="12" t="s">
        <v>45</v>
      </c>
      <c r="C5915" s="21"/>
      <c r="D5915" s="21"/>
      <c r="E5915" s="21"/>
      <c r="F5915" s="21"/>
    </row>
    <row r="5916">
      <c r="A5916" s="5" t="s">
        <v>1012</v>
      </c>
      <c r="B5916" s="13" t="s">
        <v>1013</v>
      </c>
      <c r="C5916" s="22"/>
      <c r="D5916" s="22" t="s">
        <v>10</v>
      </c>
      <c r="E5916" s="22"/>
      <c r="F5916" s="22">
        <f>C5916*E5916</f>
      </c>
    </row>
    <row r="5917">
      <c r="A5917" s="5" t="s">
        <v>1014</v>
      </c>
      <c r="B5917" s="13" t="s">
        <v>1015</v>
      </c>
      <c r="C5917" s="22"/>
      <c r="D5917" s="22" t="s">
        <v>10</v>
      </c>
      <c r="E5917" s="22"/>
      <c r="F5917" s="22">
        <f>C5917*E5917</f>
      </c>
    </row>
    <row r="5918">
      <c r="A5918" s="5" t="s">
        <v>1016</v>
      </c>
      <c r="B5918" s="13" t="s">
        <v>1017</v>
      </c>
      <c r="C5918" s="22"/>
      <c r="D5918" s="22" t="s">
        <v>10</v>
      </c>
      <c r="E5918" s="22"/>
      <c r="F5918" s="22">
        <f>C5918*E5918</f>
      </c>
    </row>
    <row r="5919">
      <c r="A5919" s="5" t="s">
        <v>1018</v>
      </c>
      <c r="B5919" s="13" t="s">
        <v>784</v>
      </c>
      <c r="C5919" s="22"/>
      <c r="D5919" s="22" t="s">
        <v>10</v>
      </c>
      <c r="E5919" s="22"/>
      <c r="F5919" s="22">
        <f>C5919*E5919</f>
      </c>
    </row>
    <row r="5920">
      <c r="A5920" s="5" t="s">
        <v>1019</v>
      </c>
      <c r="B5920" s="13" t="s">
        <v>123</v>
      </c>
      <c r="C5920" s="22"/>
      <c r="D5920" s="22" t="s">
        <v>10</v>
      </c>
      <c r="E5920" s="22"/>
      <c r="F5920" s="22">
        <f>C5920*E5920</f>
      </c>
    </row>
    <row r="5921">
      <c r="A5921" s="3"/>
      <c r="B5921" s="11" t="s">
        <v>68</v>
      </c>
      <c r="C5921" s="20"/>
      <c r="D5921" s="20"/>
      <c r="E5921" s="20"/>
      <c r="F5921" s="20"/>
    </row>
    <row r="5922">
      <c r="A5922" s="5" t="s">
        <v>1020</v>
      </c>
      <c r="B5922" s="14" t="s">
        <v>230</v>
      </c>
      <c r="C5922" s="22">
        <f>(1)*(1)*(1)*(1)*(1 + (0))</f>
      </c>
      <c r="D5922" s="22" t="s">
        <v>71</v>
      </c>
      <c r="E5922" s="22"/>
      <c r="F5922" s="22">
        <f>C5922*E5922</f>
      </c>
    </row>
    <row r="5923">
      <c r="A5923" s="5" t="s">
        <v>1021</v>
      </c>
      <c r="B5923" s="14" t="s">
        <v>1022</v>
      </c>
      <c r="C5923" s="22">
        <f>(1)*(1)*(1)*(1)*(1 + (0))</f>
      </c>
      <c r="D5923" s="22" t="s">
        <v>71</v>
      </c>
      <c r="E5923" s="22"/>
      <c r="F5923" s="22">
        <f>C5923*E5923</f>
      </c>
    </row>
    <row r="5924">
      <c r="A5924" s="5" t="s">
        <v>1023</v>
      </c>
      <c r="B5924" s="14" t="s">
        <v>812</v>
      </c>
      <c r="C5924" s="22">
        <f>(1)*(1)*(1)*(1)*(1 + (0))</f>
      </c>
      <c r="D5924" s="22" t="s">
        <v>71</v>
      </c>
      <c r="E5924" s="22"/>
      <c r="F5924" s="22">
        <f>C5924*E5924</f>
      </c>
    </row>
    <row r="5925">
      <c r="A5925" s="5" t="s">
        <v>1024</v>
      </c>
      <c r="B5925" s="14" t="s">
        <v>814</v>
      </c>
      <c r="C5925" s="22">
        <f>(1)*(1)*(1)*(1)*(1 + (0))</f>
      </c>
      <c r="D5925" s="22" t="s">
        <v>71</v>
      </c>
      <c r="E5925" s="22"/>
      <c r="F5925" s="22">
        <f>C5925*E5925</f>
      </c>
    </row>
    <row r="5926">
      <c r="A5926" s="5" t="s">
        <v>1025</v>
      </c>
      <c r="B5926" s="14" t="s">
        <v>798</v>
      </c>
      <c r="C5926" s="22">
        <f>(1)*(1)*(1)*(1)*(1 + (0))</f>
      </c>
      <c r="D5926" s="22" t="s">
        <v>71</v>
      </c>
      <c r="E5926" s="22"/>
      <c r="F5926" s="22">
        <f>C5926*E5926</f>
      </c>
    </row>
    <row r="5927">
      <c r="A5927" s="5" t="s">
        <v>1026</v>
      </c>
      <c r="B5927" s="14" t="s">
        <v>805</v>
      </c>
      <c r="C5927" s="22">
        <f>(1)*(1)*(1)*(1)*(1 + (0))</f>
      </c>
      <c r="D5927" s="22" t="s">
        <v>71</v>
      </c>
      <c r="E5927" s="22"/>
      <c r="F5927" s="22">
        <f>C5927*E5927</f>
      </c>
    </row>
    <row r="5928">
      <c r="A5928" s="5" t="s">
        <v>1027</v>
      </c>
      <c r="B5928" s="14" t="s">
        <v>800</v>
      </c>
      <c r="C5928" s="22">
        <f>(1)*(1)*(1)*(1)*(1 + (0))</f>
      </c>
      <c r="D5928" s="22" t="s">
        <v>71</v>
      </c>
      <c r="E5928" s="22"/>
      <c r="F5928" s="22">
        <f>C5928*E5928</f>
      </c>
    </row>
    <row r="5929">
      <c r="A5929" s="5" t="s">
        <v>1028</v>
      </c>
      <c r="B5929" s="14" t="s">
        <v>1029</v>
      </c>
      <c r="C5929" s="22">
        <f>(1)*(1)*(1)*(1)*(1 + (0))</f>
      </c>
      <c r="D5929" s="22" t="s">
        <v>71</v>
      </c>
      <c r="E5929" s="22"/>
      <c r="F5929" s="22">
        <f>C5929*E5929</f>
      </c>
    </row>
    <row r="5930">
      <c r="A5930" s="5" t="s">
        <v>1030</v>
      </c>
      <c r="B5930" s="14" t="s">
        <v>1031</v>
      </c>
      <c r="C5930" s="22">
        <f>(1)*(1)*(1)*(1)*(1 + (0))</f>
      </c>
      <c r="D5930" s="22" t="s">
        <v>71</v>
      </c>
      <c r="E5930" s="22"/>
      <c r="F5930" s="22">
        <f>C5930*E5930</f>
      </c>
    </row>
    <row r="5931">
      <c r="A5931" s="3"/>
      <c r="B5931" s="11" t="s">
        <v>106</v>
      </c>
      <c r="C5931" s="20"/>
      <c r="D5931" s="20"/>
      <c r="E5931" s="20"/>
      <c r="F5931" s="20"/>
    </row>
    <row r="5932">
      <c r="A5932" s="5"/>
      <c r="B5932" s="14" t="s">
        <v>2189</v>
      </c>
      <c r="C5932" s="22"/>
      <c r="D5932" s="22" t="s">
        <v>10</v>
      </c>
      <c r="E5932" s="22"/>
      <c r="F5932" s="22">
        <f>C5932*E5932</f>
      </c>
    </row>
    <row r="5933">
      <c r="A5933" s="3"/>
      <c r="B5933" s="11" t="s">
        <v>1033</v>
      </c>
      <c r="C5933" s="20"/>
      <c r="D5933" s="20"/>
      <c r="E5933" s="20"/>
      <c r="F5933" s="20"/>
    </row>
    <row r="5934">
      <c r="A5934" s="4"/>
      <c r="B5934" s="12" t="s">
        <v>1034</v>
      </c>
      <c r="C5934" s="21"/>
      <c r="D5934" s="21"/>
      <c r="E5934" s="21"/>
      <c r="F5934" s="21"/>
    </row>
    <row r="5935">
      <c r="A5935" s="6"/>
      <c r="B5935" s="15" t="s">
        <v>1035</v>
      </c>
      <c r="C5935" s="23"/>
      <c r="D5935" s="23"/>
      <c r="E5935" s="23"/>
      <c r="F5935" s="23"/>
    </row>
    <row r="5936">
      <c r="A5936" s="5"/>
      <c r="B5936" s="16" t="s">
        <v>32</v>
      </c>
      <c r="C5936" s="22">
        <f>(41)*(1)*(1)*(1)*(1 + (0))</f>
      </c>
      <c r="D5936" s="22" t="s">
        <v>24</v>
      </c>
      <c r="E5936" s="22"/>
      <c r="F5936" s="22">
        <f>C5936*E5936</f>
      </c>
    </row>
    <row r="5937">
      <c r="A5937" s="6"/>
      <c r="B5937" s="15" t="s">
        <v>1036</v>
      </c>
      <c r="C5937" s="23"/>
      <c r="D5937" s="23"/>
      <c r="E5937" s="23"/>
      <c r="F5937" s="23"/>
    </row>
    <row r="5938">
      <c r="A5938" s="5"/>
      <c r="B5938" s="16" t="s">
        <v>32</v>
      </c>
      <c r="C5938" s="22">
        <f>(65)*(1)*(1)*(1)*(1 + (0))</f>
      </c>
      <c r="D5938" s="22" t="s">
        <v>24</v>
      </c>
      <c r="E5938" s="22"/>
      <c r="F5938" s="22">
        <f>C5938*E5938</f>
      </c>
    </row>
    <row r="5939">
      <c r="A5939" s="6"/>
      <c r="B5939" s="15" t="s">
        <v>2190</v>
      </c>
      <c r="C5939" s="23"/>
      <c r="D5939" s="23"/>
      <c r="E5939" s="23"/>
      <c r="F5939" s="23"/>
    </row>
    <row r="5940">
      <c r="A5940" s="5"/>
      <c r="B5940" s="16" t="s">
        <v>32</v>
      </c>
      <c r="C5940" s="22">
        <f>(69)*(1)*(1)*(1)*(1 + (0))</f>
      </c>
      <c r="D5940" s="22" t="s">
        <v>24</v>
      </c>
      <c r="E5940" s="22"/>
      <c r="F5940" s="22">
        <f>C5940*E5940</f>
      </c>
    </row>
    <row r="5941">
      <c r="A5941" s="6"/>
      <c r="B5941" s="15" t="s">
        <v>1037</v>
      </c>
      <c r="C5941" s="23"/>
      <c r="D5941" s="23"/>
      <c r="E5941" s="23"/>
      <c r="F5941" s="23"/>
    </row>
    <row r="5942">
      <c r="A5942" s="5"/>
      <c r="B5942" s="16" t="s">
        <v>32</v>
      </c>
      <c r="C5942" s="22">
        <f>(36)*(1)*(1)*(1)*(1 + (0))</f>
      </c>
      <c r="D5942" s="22" t="s">
        <v>24</v>
      </c>
      <c r="E5942" s="22"/>
      <c r="F5942" s="22">
        <f>C5942*E5942</f>
      </c>
    </row>
    <row r="5943">
      <c r="A5943" s="6"/>
      <c r="B5943" s="15" t="s">
        <v>1039</v>
      </c>
      <c r="C5943" s="23"/>
      <c r="D5943" s="23"/>
      <c r="E5943" s="23"/>
      <c r="F5943" s="23"/>
    </row>
    <row r="5944">
      <c r="A5944" s="5"/>
      <c r="B5944" s="16" t="s">
        <v>32</v>
      </c>
      <c r="C5944" s="22">
        <f>(6)*(1)*(1)*(1)*(1 + (0))</f>
      </c>
      <c r="D5944" s="22" t="s">
        <v>24</v>
      </c>
      <c r="E5944" s="22"/>
      <c r="F5944" s="22">
        <f>C5944*E5944</f>
      </c>
    </row>
    <row r="5945">
      <c r="A5945" s="6"/>
      <c r="B5945" s="15" t="s">
        <v>2191</v>
      </c>
      <c r="C5945" s="23"/>
      <c r="D5945" s="23"/>
      <c r="E5945" s="23"/>
      <c r="F5945" s="23"/>
    </row>
    <row r="5946">
      <c r="A5946" s="5"/>
      <c r="B5946" s="16" t="s">
        <v>32</v>
      </c>
      <c r="C5946" s="22">
        <f>(164)*(1)*(1)*(1)*(1 + (0))</f>
      </c>
      <c r="D5946" s="22" t="s">
        <v>24</v>
      </c>
      <c r="E5946" s="22"/>
      <c r="F5946" s="22">
        <f>C5946*E5946</f>
      </c>
    </row>
    <row r="5947">
      <c r="A5947" s="6"/>
      <c r="B5947" s="15" t="s">
        <v>2192</v>
      </c>
      <c r="C5947" s="23"/>
      <c r="D5947" s="23"/>
      <c r="E5947" s="23"/>
      <c r="F5947" s="23"/>
    </row>
    <row r="5948">
      <c r="A5948" s="5"/>
      <c r="B5948" s="16" t="s">
        <v>32</v>
      </c>
      <c r="C5948" s="22">
        <f>(26)*(1)*(1)*(1)*(1 + (0))</f>
      </c>
      <c r="D5948" s="22" t="s">
        <v>24</v>
      </c>
      <c r="E5948" s="22"/>
      <c r="F5948" s="22">
        <f>C5948*E5948</f>
      </c>
    </row>
    <row r="5949">
      <c r="A5949" s="4"/>
      <c r="B5949" s="12" t="s">
        <v>1042</v>
      </c>
      <c r="C5949" s="21"/>
      <c r="D5949" s="21"/>
      <c r="E5949" s="21"/>
      <c r="F5949" s="21"/>
    </row>
    <row r="5950">
      <c r="A5950" s="6"/>
      <c r="B5950" s="15" t="s">
        <v>2193</v>
      </c>
      <c r="C5950" s="23"/>
      <c r="D5950" s="23"/>
      <c r="E5950" s="23"/>
      <c r="F5950" s="23"/>
    </row>
    <row r="5951">
      <c r="A5951" s="5"/>
      <c r="B5951" s="16" t="s">
        <v>32</v>
      </c>
      <c r="C5951" s="22">
        <f>(104)*(1)*(1)*(1)*(1 + (0))</f>
      </c>
      <c r="D5951" s="22" t="s">
        <v>24</v>
      </c>
      <c r="E5951" s="22"/>
      <c r="F5951" s="22">
        <f>C5951*E5951</f>
      </c>
    </row>
    <row r="5952">
      <c r="A5952" s="6"/>
      <c r="B5952" s="15" t="s">
        <v>2194</v>
      </c>
      <c r="C5952" s="23"/>
      <c r="D5952" s="23"/>
      <c r="E5952" s="23"/>
      <c r="F5952" s="23"/>
    </row>
    <row r="5953">
      <c r="A5953" s="5"/>
      <c r="B5953" s="16" t="s">
        <v>32</v>
      </c>
      <c r="C5953" s="22">
        <f>(93)*(1)*(1)*(1)*(1 + (0))</f>
      </c>
      <c r="D5953" s="22" t="s">
        <v>24</v>
      </c>
      <c r="E5953" s="22"/>
      <c r="F5953" s="22">
        <f>C5953*E5953</f>
      </c>
    </row>
    <row r="5954">
      <c r="A5954" s="3"/>
      <c r="B5954" s="11" t="s">
        <v>1044</v>
      </c>
      <c r="C5954" s="20"/>
      <c r="D5954" s="20"/>
      <c r="E5954" s="20"/>
      <c r="F5954" s="20"/>
    </row>
    <row r="5955">
      <c r="A5955" s="4"/>
      <c r="B5955" s="12" t="s">
        <v>1045</v>
      </c>
      <c r="C5955" s="21"/>
      <c r="D5955" s="21"/>
      <c r="E5955" s="21"/>
      <c r="F5955" s="21"/>
    </row>
    <row r="5956">
      <c r="A5956" s="6"/>
      <c r="B5956" s="15" t="s">
        <v>1046</v>
      </c>
      <c r="C5956" s="23"/>
      <c r="D5956" s="23"/>
      <c r="E5956" s="23"/>
      <c r="F5956" s="23"/>
    </row>
    <row r="5957">
      <c r="A5957" s="5"/>
      <c r="B5957" s="16" t="s">
        <v>32</v>
      </c>
      <c r="C5957" s="22">
        <f>(8)*(1)*(1)*(1)*(1 + (0))</f>
      </c>
      <c r="D5957" s="22" t="s">
        <v>24</v>
      </c>
      <c r="E5957" s="22"/>
      <c r="F5957" s="22">
        <f>C5957*E5957</f>
      </c>
    </row>
    <row r="5958">
      <c r="A5958" s="4"/>
      <c r="B5958" s="12" t="s">
        <v>1047</v>
      </c>
      <c r="C5958" s="21"/>
      <c r="D5958" s="21"/>
      <c r="E5958" s="21"/>
      <c r="F5958" s="21"/>
    </row>
    <row r="5959">
      <c r="A5959" s="6"/>
      <c r="B5959" s="15" t="s">
        <v>1048</v>
      </c>
      <c r="C5959" s="23"/>
      <c r="D5959" s="23"/>
      <c r="E5959" s="23"/>
      <c r="F5959" s="23"/>
    </row>
    <row r="5960">
      <c r="A5960" s="5"/>
      <c r="B5960" s="16" t="s">
        <v>32</v>
      </c>
      <c r="C5960" s="22">
        <f>(47)*(1)*(1)*(1)*(1 + (0))</f>
      </c>
      <c r="D5960" s="22" t="s">
        <v>153</v>
      </c>
      <c r="E5960" s="22"/>
      <c r="F5960" s="22">
        <f>C5960*E5960</f>
      </c>
    </row>
    <row r="5961">
      <c r="A5961" s="6"/>
      <c r="B5961" s="15" t="s">
        <v>1049</v>
      </c>
      <c r="C5961" s="23"/>
      <c r="D5961" s="23"/>
      <c r="E5961" s="23"/>
      <c r="F5961" s="23"/>
    </row>
    <row r="5962">
      <c r="A5962" s="5"/>
      <c r="B5962" s="16" t="s">
        <v>32</v>
      </c>
      <c r="C5962" s="22">
        <f>(309)*(1)*(1)*(1)*(1 + (0))</f>
      </c>
      <c r="D5962" s="22" t="s">
        <v>153</v>
      </c>
      <c r="E5962" s="22"/>
      <c r="F5962" s="22">
        <f>C5962*E5962</f>
      </c>
    </row>
    <row r="5963">
      <c r="A5963" s="4"/>
      <c r="B5963" s="12" t="s">
        <v>1050</v>
      </c>
      <c r="C5963" s="21"/>
      <c r="D5963" s="21"/>
      <c r="E5963" s="21"/>
      <c r="F5963" s="21"/>
    </row>
    <row r="5964">
      <c r="A5964" s="6"/>
      <c r="B5964" s="15" t="s">
        <v>2195</v>
      </c>
      <c r="C5964" s="23"/>
      <c r="D5964" s="23"/>
      <c r="E5964" s="23"/>
      <c r="F5964" s="23"/>
    </row>
    <row r="5965">
      <c r="A5965" s="5"/>
      <c r="B5965" s="16" t="s">
        <v>32</v>
      </c>
      <c r="C5965" s="22">
        <f>(1)*(1)*(1)*(1)*(1 + (0))</f>
      </c>
      <c r="D5965" s="22" t="s">
        <v>162</v>
      </c>
      <c r="E5965" s="22"/>
      <c r="F5965" s="22">
        <f>C5965*E5965</f>
      </c>
    </row>
    <row r="5966">
      <c r="A5966" s="6"/>
      <c r="B5966" s="15" t="s">
        <v>1052</v>
      </c>
      <c r="C5966" s="23"/>
      <c r="D5966" s="23"/>
      <c r="E5966" s="23"/>
      <c r="F5966" s="23"/>
    </row>
    <row r="5967">
      <c r="A5967" s="5"/>
      <c r="B5967" s="16" t="s">
        <v>32</v>
      </c>
      <c r="C5967" s="22">
        <f>(5)*(1)*(1)*(1)*(1 + (0))</f>
      </c>
      <c r="D5967" s="22" t="s">
        <v>162</v>
      </c>
      <c r="E5967" s="22"/>
      <c r="F5967" s="22">
        <f>C5967*E5967</f>
      </c>
    </row>
    <row r="5968">
      <c r="A5968" s="6"/>
      <c r="B5968" s="15" t="s">
        <v>2196</v>
      </c>
      <c r="C5968" s="23"/>
      <c r="D5968" s="23"/>
      <c r="E5968" s="23"/>
      <c r="F5968" s="23"/>
    </row>
    <row r="5969">
      <c r="A5969" s="5"/>
      <c r="B5969" s="16" t="s">
        <v>32</v>
      </c>
      <c r="C5969" s="22">
        <f>(4)*(1)*(1)*(1)*(1 + (0))</f>
      </c>
      <c r="D5969" s="22" t="s">
        <v>162</v>
      </c>
      <c r="E5969" s="22"/>
      <c r="F5969" s="22">
        <f>C5969*E5969</f>
      </c>
    </row>
    <row r="5970">
      <c r="A5970" s="6"/>
      <c r="B5970" s="15" t="s">
        <v>2197</v>
      </c>
      <c r="C5970" s="23"/>
      <c r="D5970" s="23"/>
      <c r="E5970" s="23"/>
      <c r="F5970" s="23"/>
    </row>
    <row r="5971">
      <c r="A5971" s="5"/>
      <c r="B5971" s="16" t="s">
        <v>32</v>
      </c>
      <c r="C5971" s="22">
        <f>(3)*(1)*(1)*(1)*(1 + (0))</f>
      </c>
      <c r="D5971" s="22" t="s">
        <v>162</v>
      </c>
      <c r="E5971" s="22"/>
      <c r="F5971" s="22">
        <f>C5971*E5971</f>
      </c>
    </row>
    <row r="5972">
      <c r="A5972" s="2"/>
      <c r="B5972" s="10" t="s">
        <v>1054</v>
      </c>
      <c r="C5972" s="19"/>
      <c r="D5972" s="19"/>
      <c r="E5972" s="19"/>
      <c r="F5972" s="19"/>
    </row>
    <row r="5973">
      <c r="A5973" s="3"/>
      <c r="B5973" s="11" t="s">
        <v>37</v>
      </c>
      <c r="C5973" s="20"/>
      <c r="D5973" s="20"/>
      <c r="E5973" s="20"/>
      <c r="F5973" s="20"/>
    </row>
    <row r="5974">
      <c r="A5974" s="5" t="s">
        <v>2198</v>
      </c>
      <c r="B5974" s="14" t="s">
        <v>39</v>
      </c>
      <c r="C5974" s="22"/>
      <c r="D5974" s="22" t="s">
        <v>10</v>
      </c>
      <c r="E5974" s="22"/>
      <c r="F5974" s="22">
        <f>C5974*E5974</f>
      </c>
    </row>
    <row r="5975">
      <c r="A5975" s="5" t="s">
        <v>2199</v>
      </c>
      <c r="B5975" s="14" t="s">
        <v>41</v>
      </c>
      <c r="C5975" s="22"/>
      <c r="D5975" s="22" t="s">
        <v>10</v>
      </c>
      <c r="E5975" s="22"/>
      <c r="F5975" s="22">
        <f>C5975*E5975</f>
      </c>
    </row>
    <row r="5976">
      <c r="A5976" s="3"/>
      <c r="B5976" s="11" t="s">
        <v>44</v>
      </c>
      <c r="C5976" s="20"/>
      <c r="D5976" s="20"/>
      <c r="E5976" s="20"/>
      <c r="F5976" s="20"/>
    </row>
    <row r="5977">
      <c r="A5977" s="4"/>
      <c r="B5977" s="12" t="s">
        <v>45</v>
      </c>
      <c r="C5977" s="21"/>
      <c r="D5977" s="21"/>
      <c r="E5977" s="21"/>
      <c r="F5977" s="21"/>
    </row>
    <row r="5978">
      <c r="A5978" s="5" t="s">
        <v>2200</v>
      </c>
      <c r="B5978" s="13" t="s">
        <v>1060</v>
      </c>
      <c r="C5978" s="22"/>
      <c r="D5978" s="22" t="s">
        <v>10</v>
      </c>
      <c r="E5978" s="22"/>
      <c r="F5978" s="22">
        <f>C5978*E5978</f>
      </c>
    </row>
    <row r="5979">
      <c r="A5979" s="5" t="s">
        <v>2201</v>
      </c>
      <c r="B5979" s="13" t="s">
        <v>1062</v>
      </c>
      <c r="C5979" s="22"/>
      <c r="D5979" s="22" t="s">
        <v>10</v>
      </c>
      <c r="E5979" s="22"/>
      <c r="F5979" s="22">
        <f>C5979*E5979</f>
      </c>
    </row>
    <row r="5980">
      <c r="A5980" s="5" t="s">
        <v>2202</v>
      </c>
      <c r="B5980" s="13" t="s">
        <v>1064</v>
      </c>
      <c r="C5980" s="22"/>
      <c r="D5980" s="22" t="s">
        <v>10</v>
      </c>
      <c r="E5980" s="22"/>
      <c r="F5980" s="22">
        <f>C5980*E5980</f>
      </c>
    </row>
    <row r="5981">
      <c r="A5981" s="5" t="s">
        <v>2203</v>
      </c>
      <c r="B5981" s="13" t="s">
        <v>1066</v>
      </c>
      <c r="C5981" s="22"/>
      <c r="D5981" s="22" t="s">
        <v>10</v>
      </c>
      <c r="E5981" s="22"/>
      <c r="F5981" s="22">
        <f>C5981*E5981</f>
      </c>
    </row>
    <row r="5982">
      <c r="A5982" s="5" t="s">
        <v>2204</v>
      </c>
      <c r="B5982" s="13" t="s">
        <v>1068</v>
      </c>
      <c r="C5982" s="22"/>
      <c r="D5982" s="22" t="s">
        <v>10</v>
      </c>
      <c r="E5982" s="22"/>
      <c r="F5982" s="22">
        <f>C5982*E5982</f>
      </c>
    </row>
    <row r="5983">
      <c r="A5983" s="5" t="s">
        <v>2205</v>
      </c>
      <c r="B5983" s="13" t="s">
        <v>123</v>
      </c>
      <c r="C5983" s="22"/>
      <c r="D5983" s="22" t="s">
        <v>10</v>
      </c>
      <c r="E5983" s="22"/>
      <c r="F5983" s="22">
        <f>C5983*E5983</f>
      </c>
    </row>
    <row r="5984">
      <c r="A5984" s="3"/>
      <c r="B5984" s="11" t="s">
        <v>68</v>
      </c>
      <c r="C5984" s="20"/>
      <c r="D5984" s="20"/>
      <c r="E5984" s="20"/>
      <c r="F5984" s="20"/>
    </row>
    <row r="5985">
      <c r="A5985" s="5" t="s">
        <v>2206</v>
      </c>
      <c r="B5985" s="14" t="s">
        <v>1071</v>
      </c>
      <c r="C5985" s="22">
        <f>(1)*(1)*(1)*(1)*(1 + (0))</f>
      </c>
      <c r="D5985" s="22" t="s">
        <v>71</v>
      </c>
      <c r="E5985" s="22"/>
      <c r="F5985" s="22">
        <f>C5985*E5985</f>
      </c>
    </row>
    <row r="5986">
      <c r="A5986" s="5" t="s">
        <v>2207</v>
      </c>
      <c r="B5986" s="14" t="s">
        <v>798</v>
      </c>
      <c r="C5986" s="22">
        <f>(1)*(1)*(1)*(1)*(1 + (0))</f>
      </c>
      <c r="D5986" s="22" t="s">
        <v>71</v>
      </c>
      <c r="E5986" s="22"/>
      <c r="F5986" s="22">
        <f>C5986*E5986</f>
      </c>
    </row>
    <row r="5987">
      <c r="A5987" s="5" t="s">
        <v>2208</v>
      </c>
      <c r="B5987" s="14" t="s">
        <v>230</v>
      </c>
      <c r="C5987" s="22">
        <f>(1)*(1)*(1)*(1)*(1 + (0))</f>
      </c>
      <c r="D5987" s="22" t="s">
        <v>71</v>
      </c>
      <c r="E5987" s="22"/>
      <c r="F5987" s="22">
        <f>C5987*E5987</f>
      </c>
    </row>
    <row r="5988">
      <c r="A5988" s="5" t="s">
        <v>2209</v>
      </c>
      <c r="B5988" s="14" t="s">
        <v>1075</v>
      </c>
      <c r="C5988" s="22">
        <f>(1)*(1)*(1)*(1)*(1 + (0))</f>
      </c>
      <c r="D5988" s="22" t="s">
        <v>71</v>
      </c>
      <c r="E5988" s="22"/>
      <c r="F5988" s="22">
        <f>C5988*E5988</f>
      </c>
    </row>
    <row r="5989">
      <c r="A5989" s="5" t="s">
        <v>2210</v>
      </c>
      <c r="B5989" s="14" t="s">
        <v>904</v>
      </c>
      <c r="C5989" s="22">
        <f>(1)*(1)*(1)*(1)*(1 + (0))</f>
      </c>
      <c r="D5989" s="22" t="s">
        <v>71</v>
      </c>
      <c r="E5989" s="22"/>
      <c r="F5989" s="22">
        <f>C5989*E5989</f>
      </c>
    </row>
    <row r="5990">
      <c r="A5990" s="5" t="s">
        <v>2211</v>
      </c>
      <c r="B5990" s="14" t="s">
        <v>1078</v>
      </c>
      <c r="C5990" s="22">
        <f>(1)*(1)*(1)*(1)*(1 + (0))</f>
      </c>
      <c r="D5990" s="22" t="s">
        <v>71</v>
      </c>
      <c r="E5990" s="22"/>
      <c r="F5990" s="22">
        <f>C5990*E5990</f>
      </c>
    </row>
    <row r="5991">
      <c r="A5991" s="5" t="s">
        <v>2212</v>
      </c>
      <c r="B5991" s="14" t="s">
        <v>1080</v>
      </c>
      <c r="C5991" s="22">
        <f>(1)*(1)*(1)*(1)*(1 + (0))</f>
      </c>
      <c r="D5991" s="22" t="s">
        <v>71</v>
      </c>
      <c r="E5991" s="22"/>
      <c r="F5991" s="22">
        <f>C5991*E5991</f>
      </c>
    </row>
    <row r="5992">
      <c r="A5992" s="5" t="s">
        <v>2213</v>
      </c>
      <c r="B5992" s="14" t="s">
        <v>1082</v>
      </c>
      <c r="C5992" s="22">
        <f>(1)*(1)*(1)*(1)*(1 + (0))</f>
      </c>
      <c r="D5992" s="22" t="s">
        <v>71</v>
      </c>
      <c r="E5992" s="22"/>
      <c r="F5992" s="22">
        <f>C5992*E5992</f>
      </c>
    </row>
    <row r="5993">
      <c r="A5993" s="5" t="s">
        <v>2214</v>
      </c>
      <c r="B5993" s="14" t="s">
        <v>1084</v>
      </c>
      <c r="C5993" s="22">
        <f>(1)*(1)*(1)*(1)*(1 + (0))</f>
      </c>
      <c r="D5993" s="22" t="s">
        <v>71</v>
      </c>
      <c r="E5993" s="22"/>
      <c r="F5993" s="22">
        <f>C5993*E5993</f>
      </c>
    </row>
    <row r="5994">
      <c r="A5994" s="5" t="s">
        <v>2215</v>
      </c>
      <c r="B5994" s="14" t="s">
        <v>665</v>
      </c>
      <c r="C5994" s="22">
        <f>(1)*(1)*(1)*(1)*(1 + (0))</f>
      </c>
      <c r="D5994" s="22" t="s">
        <v>71</v>
      </c>
      <c r="E5994" s="22"/>
      <c r="F5994" s="22">
        <f>C5994*E5994</f>
      </c>
    </row>
    <row r="5995">
      <c r="A5995" s="3"/>
      <c r="B5995" s="11" t="s">
        <v>1091</v>
      </c>
      <c r="C5995" s="20"/>
      <c r="D5995" s="20"/>
      <c r="E5995" s="20"/>
      <c r="F5995" s="20"/>
    </row>
    <row r="5996">
      <c r="A5996" s="4"/>
      <c r="B5996" s="12" t="s">
        <v>1092</v>
      </c>
      <c r="C5996" s="21"/>
      <c r="D5996" s="21"/>
      <c r="E5996" s="21"/>
      <c r="F5996" s="21"/>
    </row>
    <row r="5997">
      <c r="A5997" s="5"/>
      <c r="B5997" s="13" t="s">
        <v>1942</v>
      </c>
      <c r="C5997" s="22">
        <f>(133)*(1)*(1)*(1)*(1 + (0))</f>
      </c>
      <c r="D5997" s="22" t="s">
        <v>24</v>
      </c>
      <c r="E5997" s="22"/>
      <c r="F5997" s="22">
        <f>C5997*E5997</f>
      </c>
    </row>
    <row r="5998">
      <c r="A5998" s="2"/>
      <c r="B5998" s="10" t="s">
        <v>1095</v>
      </c>
      <c r="C5998" s="19"/>
      <c r="D5998" s="19"/>
      <c r="E5998" s="19"/>
      <c r="F5998" s="19"/>
    </row>
    <row r="5999">
      <c r="A5999" s="3"/>
      <c r="B5999" s="11" t="s">
        <v>37</v>
      </c>
      <c r="C5999" s="20"/>
      <c r="D5999" s="20"/>
      <c r="E5999" s="20"/>
      <c r="F5999" s="20"/>
    </row>
    <row r="6000">
      <c r="A6000" s="5" t="s">
        <v>1055</v>
      </c>
      <c r="B6000" s="14" t="s">
        <v>39</v>
      </c>
      <c r="C6000" s="22"/>
      <c r="D6000" s="22" t="s">
        <v>10</v>
      </c>
      <c r="E6000" s="22"/>
      <c r="F6000" s="22">
        <f>C6000*E6000</f>
      </c>
    </row>
    <row r="6001">
      <c r="A6001" s="5" t="s">
        <v>1056</v>
      </c>
      <c r="B6001" s="14" t="s">
        <v>41</v>
      </c>
      <c r="C6001" s="22"/>
      <c r="D6001" s="22" t="s">
        <v>10</v>
      </c>
      <c r="E6001" s="22"/>
      <c r="F6001" s="22">
        <f>C6001*E6001</f>
      </c>
    </row>
    <row r="6002">
      <c r="A6002" s="3"/>
      <c r="B6002" s="11" t="s">
        <v>523</v>
      </c>
      <c r="C6002" s="20"/>
      <c r="D6002" s="20"/>
      <c r="E6002" s="20"/>
      <c r="F6002" s="20"/>
    </row>
    <row r="6003">
      <c r="A6003" s="5"/>
      <c r="B6003" s="14" t="s">
        <v>1096</v>
      </c>
      <c r="C6003" s="22"/>
      <c r="D6003" s="22" t="s">
        <v>10</v>
      </c>
      <c r="E6003" s="22"/>
      <c r="F6003" s="22">
        <f>C6003*E6003</f>
      </c>
    </row>
    <row r="6004">
      <c r="A6004" s="5"/>
      <c r="B6004" s="14" t="s">
        <v>1058</v>
      </c>
      <c r="C6004" s="22"/>
      <c r="D6004" s="22" t="s">
        <v>10</v>
      </c>
      <c r="E6004" s="22"/>
      <c r="F6004" s="22">
        <f>C6004*E6004</f>
      </c>
    </row>
    <row r="6005">
      <c r="A6005" s="5"/>
      <c r="B6005" s="14" t="s">
        <v>635</v>
      </c>
      <c r="C6005" s="22"/>
      <c r="D6005" s="22" t="s">
        <v>10</v>
      </c>
      <c r="E6005" s="22"/>
      <c r="F6005" s="22">
        <f>C6005*E6005</f>
      </c>
    </row>
    <row r="6006">
      <c r="A6006" s="3"/>
      <c r="B6006" s="11" t="s">
        <v>44</v>
      </c>
      <c r="C6006" s="20"/>
      <c r="D6006" s="20"/>
      <c r="E6006" s="20"/>
      <c r="F6006" s="20"/>
    </row>
    <row r="6007">
      <c r="A6007" s="4"/>
      <c r="B6007" s="12" t="s">
        <v>45</v>
      </c>
      <c r="C6007" s="21"/>
      <c r="D6007" s="21"/>
      <c r="E6007" s="21"/>
      <c r="F6007" s="21"/>
    </row>
    <row r="6008">
      <c r="A6008" s="5" t="s">
        <v>1097</v>
      </c>
      <c r="B6008" s="13" t="s">
        <v>1098</v>
      </c>
      <c r="C6008" s="22"/>
      <c r="D6008" s="22" t="s">
        <v>10</v>
      </c>
      <c r="E6008" s="22"/>
      <c r="F6008" s="22">
        <f>C6008*E6008</f>
      </c>
    </row>
    <row r="6009">
      <c r="A6009" s="5" t="s">
        <v>1099</v>
      </c>
      <c r="B6009" s="13" t="s">
        <v>1100</v>
      </c>
      <c r="C6009" s="22"/>
      <c r="D6009" s="22" t="s">
        <v>10</v>
      </c>
      <c r="E6009" s="22"/>
      <c r="F6009" s="22">
        <f>C6009*E6009</f>
      </c>
    </row>
    <row r="6010">
      <c r="A6010" s="5" t="s">
        <v>1101</v>
      </c>
      <c r="B6010" s="13" t="s">
        <v>123</v>
      </c>
      <c r="C6010" s="22"/>
      <c r="D6010" s="22" t="s">
        <v>10</v>
      </c>
      <c r="E6010" s="22"/>
      <c r="F6010" s="22">
        <f>C6010*E6010</f>
      </c>
    </row>
    <row r="6011">
      <c r="A6011" s="3"/>
      <c r="B6011" s="11" t="s">
        <v>68</v>
      </c>
      <c r="C6011" s="20"/>
      <c r="D6011" s="20"/>
      <c r="E6011" s="20"/>
      <c r="F6011" s="20"/>
    </row>
    <row r="6012">
      <c r="A6012" s="5" t="s">
        <v>1102</v>
      </c>
      <c r="B6012" s="14" t="s">
        <v>1103</v>
      </c>
      <c r="C6012" s="22">
        <f>(1)*(1)*(1)*(1)*(1 + (0))</f>
      </c>
      <c r="D6012" s="22" t="s">
        <v>71</v>
      </c>
      <c r="E6012" s="22"/>
      <c r="F6012" s="22">
        <f>C6012*E6012</f>
      </c>
    </row>
    <row r="6013">
      <c r="A6013" s="5" t="s">
        <v>1104</v>
      </c>
      <c r="B6013" s="14" t="s">
        <v>543</v>
      </c>
      <c r="C6013" s="22">
        <f>(1)*(1)*(1)*(1)*(1 + (0))</f>
      </c>
      <c r="D6013" s="22" t="s">
        <v>71</v>
      </c>
      <c r="E6013" s="22"/>
      <c r="F6013" s="22">
        <f>C6013*E6013</f>
      </c>
    </row>
    <row r="6014">
      <c r="A6014" s="5" t="s">
        <v>1105</v>
      </c>
      <c r="B6014" s="14" t="s">
        <v>810</v>
      </c>
      <c r="C6014" s="22">
        <f>(1)*(1)*(1)*(1)*(1 + (0))</f>
      </c>
      <c r="D6014" s="22" t="s">
        <v>71</v>
      </c>
      <c r="E6014" s="22"/>
      <c r="F6014" s="22">
        <f>C6014*E6014</f>
      </c>
    </row>
    <row r="6015">
      <c r="A6015" s="5" t="s">
        <v>1106</v>
      </c>
      <c r="B6015" s="14" t="s">
        <v>665</v>
      </c>
      <c r="C6015" s="22">
        <f>(1)*(1)*(1)*(1)*(1 + (0))</f>
      </c>
      <c r="D6015" s="22" t="s">
        <v>71</v>
      </c>
      <c r="E6015" s="22"/>
      <c r="F6015" s="22">
        <f>C6015*E6015</f>
      </c>
    </row>
    <row r="6016">
      <c r="A6016" s="3"/>
      <c r="B6016" s="11" t="s">
        <v>106</v>
      </c>
      <c r="C6016" s="20"/>
      <c r="D6016" s="20"/>
      <c r="E6016" s="20"/>
      <c r="F6016" s="20"/>
    </row>
    <row r="6017">
      <c r="A6017" s="5"/>
      <c r="B6017" s="14" t="s">
        <v>1107</v>
      </c>
      <c r="C6017" s="22"/>
      <c r="D6017" s="22" t="s">
        <v>10</v>
      </c>
      <c r="E6017" s="22"/>
      <c r="F6017" s="22">
        <f>C6017*E6017</f>
      </c>
    </row>
    <row r="6018">
      <c r="A6018" s="3"/>
      <c r="B6018" s="11" t="s">
        <v>1108</v>
      </c>
      <c r="C6018" s="20"/>
      <c r="D6018" s="20"/>
      <c r="E6018" s="20"/>
      <c r="F6018" s="20"/>
    </row>
    <row r="6019">
      <c r="A6019" s="4"/>
      <c r="B6019" s="12" t="s">
        <v>2216</v>
      </c>
      <c r="C6019" s="21"/>
      <c r="D6019" s="21"/>
      <c r="E6019" s="21"/>
      <c r="F6019" s="21"/>
    </row>
    <row r="6020">
      <c r="A6020" s="5"/>
      <c r="B6020" s="13" t="s">
        <v>1711</v>
      </c>
      <c r="C6020" s="22">
        <f>(120)*(1)*(1)*(1)*(1 + (0))</f>
      </c>
      <c r="D6020" s="22" t="s">
        <v>24</v>
      </c>
      <c r="E6020" s="22"/>
      <c r="F6020" s="22">
        <f>C6020*E6020</f>
      </c>
    </row>
    <row r="6021">
      <c r="A6021" s="3"/>
      <c r="B6021" s="11" t="s">
        <v>1116</v>
      </c>
      <c r="C6021" s="20"/>
      <c r="D6021" s="20"/>
      <c r="E6021" s="20"/>
      <c r="F6021" s="20"/>
    </row>
    <row r="6022">
      <c r="A6022" s="4"/>
      <c r="B6022" s="12" t="s">
        <v>1118</v>
      </c>
      <c r="C6022" s="21"/>
      <c r="D6022" s="21"/>
      <c r="E6022" s="21"/>
      <c r="F6022" s="21"/>
    </row>
    <row r="6023">
      <c r="A6023" s="5"/>
      <c r="B6023" s="13" t="s">
        <v>1711</v>
      </c>
      <c r="C6023" s="22">
        <f>(29)*(1)*(1)*(1)*(1 + (0))</f>
      </c>
      <c r="D6023" s="22" t="s">
        <v>153</v>
      </c>
      <c r="E6023" s="22"/>
      <c r="F6023" s="22">
        <f>C6023*E6023</f>
      </c>
    </row>
    <row r="6024">
      <c r="A6024" s="3"/>
      <c r="B6024" s="11" t="s">
        <v>1119</v>
      </c>
      <c r="C6024" s="20"/>
      <c r="D6024" s="20"/>
      <c r="E6024" s="20"/>
      <c r="F6024" s="20"/>
    </row>
    <row r="6025">
      <c r="A6025" s="5"/>
      <c r="B6025" s="14" t="s">
        <v>1122</v>
      </c>
      <c r="C6025" s="22">
        <f>(120)*(1)*(1)*(1)*(1 + (0))</f>
      </c>
      <c r="D6025" s="22" t="s">
        <v>24</v>
      </c>
      <c r="E6025" s="22"/>
      <c r="F6025" s="22">
        <f>C6025*E6025</f>
      </c>
    </row>
    <row r="6026">
      <c r="A6026" s="2"/>
      <c r="B6026" s="10" t="s">
        <v>1123</v>
      </c>
      <c r="C6026" s="19"/>
      <c r="D6026" s="19"/>
      <c r="E6026" s="19"/>
      <c r="F6026" s="19"/>
    </row>
    <row r="6027">
      <c r="A6027" s="3"/>
      <c r="B6027" s="11" t="s">
        <v>37</v>
      </c>
      <c r="C6027" s="20"/>
      <c r="D6027" s="20"/>
      <c r="E6027" s="20"/>
      <c r="F6027" s="20"/>
    </row>
    <row r="6028">
      <c r="A6028" s="5" t="s">
        <v>1124</v>
      </c>
      <c r="B6028" s="14" t="s">
        <v>39</v>
      </c>
      <c r="C6028" s="22"/>
      <c r="D6028" s="22" t="s">
        <v>10</v>
      </c>
      <c r="E6028" s="22"/>
      <c r="F6028" s="22">
        <f>C6028*E6028</f>
      </c>
    </row>
    <row r="6029">
      <c r="A6029" s="5" t="s">
        <v>1125</v>
      </c>
      <c r="B6029" s="14" t="s">
        <v>41</v>
      </c>
      <c r="C6029" s="22"/>
      <c r="D6029" s="22" t="s">
        <v>10</v>
      </c>
      <c r="E6029" s="22"/>
      <c r="F6029" s="22">
        <f>C6029*E6029</f>
      </c>
    </row>
    <row r="6030">
      <c r="A6030" s="3"/>
      <c r="B6030" s="11" t="s">
        <v>523</v>
      </c>
      <c r="C6030" s="20"/>
      <c r="D6030" s="20"/>
      <c r="E6030" s="20"/>
      <c r="F6030" s="20"/>
    </row>
    <row r="6031">
      <c r="A6031" s="5"/>
      <c r="B6031" s="14" t="s">
        <v>1126</v>
      </c>
      <c r="C6031" s="22"/>
      <c r="D6031" s="22" t="s">
        <v>10</v>
      </c>
      <c r="E6031" s="22"/>
      <c r="F6031" s="22">
        <f>C6031*E6031</f>
      </c>
    </row>
    <row r="6032">
      <c r="A6032" s="5"/>
      <c r="B6032" s="14" t="s">
        <v>1058</v>
      </c>
      <c r="C6032" s="22"/>
      <c r="D6032" s="22" t="s">
        <v>10</v>
      </c>
      <c r="E6032" s="22"/>
      <c r="F6032" s="22">
        <f>C6032*E6032</f>
      </c>
    </row>
    <row r="6033">
      <c r="A6033" s="5"/>
      <c r="B6033" s="14" t="s">
        <v>635</v>
      </c>
      <c r="C6033" s="22"/>
      <c r="D6033" s="22" t="s">
        <v>10</v>
      </c>
      <c r="E6033" s="22"/>
      <c r="F6033" s="22">
        <f>C6033*E6033</f>
      </c>
    </row>
    <row r="6034">
      <c r="A6034" s="3"/>
      <c r="B6034" s="11" t="s">
        <v>44</v>
      </c>
      <c r="C6034" s="20"/>
      <c r="D6034" s="20"/>
      <c r="E6034" s="20"/>
      <c r="F6034" s="20"/>
    </row>
    <row r="6035">
      <c r="A6035" s="4"/>
      <c r="B6035" s="12" t="s">
        <v>45</v>
      </c>
      <c r="C6035" s="21"/>
      <c r="D6035" s="21"/>
      <c r="E6035" s="21"/>
      <c r="F6035" s="21"/>
    </row>
    <row r="6036">
      <c r="A6036" s="5" t="s">
        <v>1097</v>
      </c>
      <c r="B6036" s="13" t="s">
        <v>1098</v>
      </c>
      <c r="C6036" s="22"/>
      <c r="D6036" s="22" t="s">
        <v>10</v>
      </c>
      <c r="E6036" s="22"/>
      <c r="F6036" s="22">
        <f>C6036*E6036</f>
      </c>
    </row>
    <row r="6037">
      <c r="A6037" s="5" t="s">
        <v>1099</v>
      </c>
      <c r="B6037" s="13" t="s">
        <v>1100</v>
      </c>
      <c r="C6037" s="22"/>
      <c r="D6037" s="22" t="s">
        <v>10</v>
      </c>
      <c r="E6037" s="22"/>
      <c r="F6037" s="22">
        <f>C6037*E6037</f>
      </c>
    </row>
    <row r="6038">
      <c r="A6038" s="5" t="s">
        <v>1101</v>
      </c>
      <c r="B6038" s="13" t="s">
        <v>123</v>
      </c>
      <c r="C6038" s="22"/>
      <c r="D6038" s="22" t="s">
        <v>10</v>
      </c>
      <c r="E6038" s="22"/>
      <c r="F6038" s="22">
        <f>C6038*E6038</f>
      </c>
    </row>
    <row r="6039">
      <c r="A6039" s="3"/>
      <c r="B6039" s="11" t="s">
        <v>68</v>
      </c>
      <c r="C6039" s="20"/>
      <c r="D6039" s="20"/>
      <c r="E6039" s="20"/>
      <c r="F6039" s="20"/>
    </row>
    <row r="6040">
      <c r="A6040" s="5" t="s">
        <v>1127</v>
      </c>
      <c r="B6040" s="14" t="s">
        <v>1071</v>
      </c>
      <c r="C6040" s="22">
        <f>(1)*(1)*(1)*(1)*(1 + (0))</f>
      </c>
      <c r="D6040" s="22" t="s">
        <v>71</v>
      </c>
      <c r="E6040" s="22"/>
      <c r="F6040" s="22">
        <f>C6040*E6040</f>
      </c>
    </row>
    <row r="6041">
      <c r="A6041" s="5" t="s">
        <v>1128</v>
      </c>
      <c r="B6041" s="14" t="s">
        <v>798</v>
      </c>
      <c r="C6041" s="22">
        <f>(1)*(1)*(1)*(1)*(1 + (0))</f>
      </c>
      <c r="D6041" s="22" t="s">
        <v>71</v>
      </c>
      <c r="E6041" s="22"/>
      <c r="F6041" s="22">
        <f>C6041*E6041</f>
      </c>
    </row>
    <row r="6042">
      <c r="A6042" s="5" t="s">
        <v>1129</v>
      </c>
      <c r="B6042" s="14" t="s">
        <v>812</v>
      </c>
      <c r="C6042" s="22">
        <f>(1)*(1)*(1)*(1)*(1 + (0))</f>
      </c>
      <c r="D6042" s="22" t="s">
        <v>71</v>
      </c>
      <c r="E6042" s="22"/>
      <c r="F6042" s="22">
        <f>C6042*E6042</f>
      </c>
    </row>
    <row r="6043">
      <c r="A6043" s="5" t="s">
        <v>1130</v>
      </c>
      <c r="B6043" s="14" t="s">
        <v>810</v>
      </c>
      <c r="C6043" s="22">
        <f>(1)*(1)*(1)*(1)*(1 + (0))</f>
      </c>
      <c r="D6043" s="22" t="s">
        <v>71</v>
      </c>
      <c r="E6043" s="22"/>
      <c r="F6043" s="22">
        <f>C6043*E6043</f>
      </c>
    </row>
    <row r="6044">
      <c r="A6044" s="5" t="s">
        <v>1131</v>
      </c>
      <c r="B6044" s="14" t="s">
        <v>230</v>
      </c>
      <c r="C6044" s="22">
        <f>(1)*(1)*(1)*(1)*(1 + (0))</f>
      </c>
      <c r="D6044" s="22" t="s">
        <v>71</v>
      </c>
      <c r="E6044" s="22"/>
      <c r="F6044" s="22">
        <f>C6044*E6044</f>
      </c>
    </row>
    <row r="6045">
      <c r="A6045" s="5" t="s">
        <v>1132</v>
      </c>
      <c r="B6045" s="14" t="s">
        <v>800</v>
      </c>
      <c r="C6045" s="22">
        <f>(1)*(1)*(1)*(1)*(1 + (0))</f>
      </c>
      <c r="D6045" s="22" t="s">
        <v>71</v>
      </c>
      <c r="E6045" s="22"/>
      <c r="F6045" s="22">
        <f>C6045*E6045</f>
      </c>
    </row>
    <row r="6046">
      <c r="A6046" s="5" t="s">
        <v>1133</v>
      </c>
      <c r="B6046" s="14" t="s">
        <v>70</v>
      </c>
      <c r="C6046" s="22">
        <f>(1)*(1)*(1)*(1)*(1 + (0))</f>
      </c>
      <c r="D6046" s="22" t="s">
        <v>71</v>
      </c>
      <c r="E6046" s="22"/>
      <c r="F6046" s="22">
        <f>C6046*E6046</f>
      </c>
    </row>
    <row r="6047">
      <c r="A6047" s="5" t="s">
        <v>1134</v>
      </c>
      <c r="B6047" s="14" t="s">
        <v>1135</v>
      </c>
      <c r="C6047" s="22">
        <f>(1)*(1)*(1)*(1)*(1 + (0))</f>
      </c>
      <c r="D6047" s="22" t="s">
        <v>71</v>
      </c>
      <c r="E6047" s="22"/>
      <c r="F6047" s="22">
        <f>C6047*E6047</f>
      </c>
    </row>
    <row r="6048">
      <c r="A6048" s="5" t="s">
        <v>1136</v>
      </c>
      <c r="B6048" s="14" t="s">
        <v>667</v>
      </c>
      <c r="C6048" s="22">
        <f>(1)*(1)*(1)*(1)*(1 + (0))</f>
      </c>
      <c r="D6048" s="22" t="s">
        <v>71</v>
      </c>
      <c r="E6048" s="22"/>
      <c r="F6048" s="22">
        <f>C6048*E6048</f>
      </c>
    </row>
    <row r="6049">
      <c r="A6049" s="5" t="s">
        <v>1137</v>
      </c>
      <c r="B6049" s="14" t="s">
        <v>665</v>
      </c>
      <c r="C6049" s="22">
        <f>(1)*(1)*(1)*(1)*(1 + (0))</f>
      </c>
      <c r="D6049" s="22" t="s">
        <v>71</v>
      </c>
      <c r="E6049" s="22"/>
      <c r="F6049" s="22">
        <f>C6049*E6049</f>
      </c>
    </row>
    <row r="6050">
      <c r="A6050" s="3"/>
      <c r="B6050" s="11" t="s">
        <v>106</v>
      </c>
      <c r="C6050" s="20"/>
      <c r="D6050" s="20"/>
      <c r="E6050" s="20"/>
      <c r="F6050" s="20"/>
    </row>
    <row r="6051">
      <c r="A6051" s="5"/>
      <c r="B6051" s="14" t="s">
        <v>1107</v>
      </c>
      <c r="C6051" s="22"/>
      <c r="D6051" s="22" t="s">
        <v>10</v>
      </c>
      <c r="E6051" s="22"/>
      <c r="F6051" s="22">
        <f>C6051*E6051</f>
      </c>
    </row>
    <row r="6052">
      <c r="A6052" s="5"/>
      <c r="B6052" s="14" t="s">
        <v>2217</v>
      </c>
      <c r="C6052" s="22"/>
      <c r="D6052" s="22" t="s">
        <v>1335</v>
      </c>
      <c r="E6052" s="22"/>
      <c r="F6052" s="22">
        <f>C6052*E6052</f>
      </c>
    </row>
    <row r="6053">
      <c r="A6053" s="3"/>
      <c r="B6053" s="11" t="s">
        <v>1139</v>
      </c>
      <c r="C6053" s="20"/>
      <c r="D6053" s="20"/>
      <c r="E6053" s="20"/>
      <c r="F6053" s="20"/>
    </row>
    <row r="6054">
      <c r="A6054" s="4"/>
      <c r="B6054" s="12" t="s">
        <v>1140</v>
      </c>
      <c r="C6054" s="21"/>
      <c r="D6054" s="21"/>
      <c r="E6054" s="21"/>
      <c r="F6054" s="21"/>
    </row>
    <row r="6055">
      <c r="A6055" s="5"/>
      <c r="B6055" s="13" t="s">
        <v>1711</v>
      </c>
      <c r="C6055" s="22">
        <f>(8)*(1)*(1)*(1)*(1 + (0))</f>
      </c>
      <c r="D6055" s="22" t="s">
        <v>24</v>
      </c>
      <c r="E6055" s="22"/>
      <c r="F6055" s="22">
        <f>C6055*E6055</f>
      </c>
    </row>
    <row r="6056">
      <c r="A6056" s="4"/>
      <c r="B6056" s="12" t="s">
        <v>1141</v>
      </c>
      <c r="C6056" s="21"/>
      <c r="D6056" s="21"/>
      <c r="E6056" s="21"/>
      <c r="F6056" s="21"/>
    </row>
    <row r="6057">
      <c r="A6057" s="5"/>
      <c r="B6057" s="13" t="s">
        <v>1711</v>
      </c>
      <c r="C6057" s="22">
        <f>(199)*(1)*(1)*(1)*(1 + (0))</f>
      </c>
      <c r="D6057" s="22" t="s">
        <v>24</v>
      </c>
      <c r="E6057" s="22"/>
      <c r="F6057" s="22">
        <f>C6057*E6057</f>
      </c>
    </row>
    <row r="6058">
      <c r="A6058" s="4"/>
      <c r="B6058" s="12" t="s">
        <v>1142</v>
      </c>
      <c r="C6058" s="21"/>
      <c r="D6058" s="21"/>
      <c r="E6058" s="21"/>
      <c r="F6058" s="21"/>
    </row>
    <row r="6059">
      <c r="A6059" s="5"/>
      <c r="B6059" s="13" t="s">
        <v>1711</v>
      </c>
      <c r="C6059" s="22">
        <f>(58)*(1)*(1)*(1)*(1 + (0))</f>
      </c>
      <c r="D6059" s="22" t="s">
        <v>24</v>
      </c>
      <c r="E6059" s="22"/>
      <c r="F6059" s="22">
        <f>C6059*E6059</f>
      </c>
    </row>
    <row r="6060">
      <c r="A6060" s="4"/>
      <c r="B6060" s="12" t="s">
        <v>1143</v>
      </c>
      <c r="C6060" s="21"/>
      <c r="D6060" s="21"/>
      <c r="E6060" s="21"/>
      <c r="F6060" s="21"/>
    </row>
    <row r="6061">
      <c r="A6061" s="5"/>
      <c r="B6061" s="13" t="s">
        <v>1711</v>
      </c>
      <c r="C6061" s="22">
        <f>(6)*(1)*(1)*(1)*(1 + (0))</f>
      </c>
      <c r="D6061" s="22" t="s">
        <v>24</v>
      </c>
      <c r="E6061" s="22"/>
      <c r="F6061" s="22">
        <f>C6061*E6061</f>
      </c>
    </row>
    <row r="6062">
      <c r="A6062" s="4"/>
      <c r="B6062" s="12" t="s">
        <v>2218</v>
      </c>
      <c r="C6062" s="21"/>
      <c r="D6062" s="21"/>
      <c r="E6062" s="21"/>
      <c r="F6062" s="21"/>
    </row>
    <row r="6063">
      <c r="A6063" s="5"/>
      <c r="B6063" s="13" t="s">
        <v>1711</v>
      </c>
      <c r="C6063" s="22">
        <f>(27)*(1)*(1)*(1)*(1 + (0))</f>
      </c>
      <c r="D6063" s="22" t="s">
        <v>24</v>
      </c>
      <c r="E6063" s="22"/>
      <c r="F6063" s="22">
        <f>C6063*E6063</f>
      </c>
    </row>
    <row r="6064">
      <c r="A6064" s="3"/>
      <c r="B6064" s="11" t="s">
        <v>1144</v>
      </c>
      <c r="C6064" s="20"/>
      <c r="D6064" s="20"/>
      <c r="E6064" s="20"/>
      <c r="F6064" s="20"/>
    </row>
    <row r="6065">
      <c r="A6065" s="4"/>
      <c r="B6065" s="12" t="s">
        <v>2219</v>
      </c>
      <c r="C6065" s="21"/>
      <c r="D6065" s="21"/>
      <c r="E6065" s="21"/>
      <c r="F6065" s="21"/>
    </row>
    <row r="6066">
      <c r="A6066" s="5"/>
      <c r="B6066" s="13" t="s">
        <v>1711</v>
      </c>
      <c r="C6066" s="22">
        <f>(25)*(1)*(1)*(1)*(1 + (0))</f>
      </c>
      <c r="D6066" s="22" t="s">
        <v>24</v>
      </c>
      <c r="E6066" s="22"/>
      <c r="F6066" s="22">
        <f>C6066*E6066</f>
      </c>
    </row>
    <row r="6067">
      <c r="A6067" s="4"/>
      <c r="B6067" s="12" t="s">
        <v>1145</v>
      </c>
      <c r="C6067" s="21"/>
      <c r="D6067" s="21"/>
      <c r="E6067" s="21"/>
      <c r="F6067" s="21"/>
    </row>
    <row r="6068">
      <c r="A6068" s="5"/>
      <c r="B6068" s="13" t="s">
        <v>1711</v>
      </c>
      <c r="C6068" s="22">
        <f>(17)*(1)*(1)*(1)*(1 + (0))</f>
      </c>
      <c r="D6068" s="22" t="s">
        <v>24</v>
      </c>
      <c r="E6068" s="22"/>
      <c r="F6068" s="22">
        <f>C6068*E6068</f>
      </c>
    </row>
    <row r="6069">
      <c r="A6069" s="3"/>
      <c r="B6069" s="11" t="s">
        <v>1089</v>
      </c>
      <c r="C6069" s="20"/>
      <c r="D6069" s="20"/>
      <c r="E6069" s="20"/>
      <c r="F6069" s="20"/>
    </row>
    <row r="6070">
      <c r="A6070" s="4"/>
      <c r="B6070" s="12" t="s">
        <v>2220</v>
      </c>
      <c r="C6070" s="21"/>
      <c r="D6070" s="21"/>
      <c r="E6070" s="21"/>
      <c r="F6070" s="21"/>
    </row>
    <row r="6071">
      <c r="A6071" s="5"/>
      <c r="B6071" s="13" t="s">
        <v>1711</v>
      </c>
      <c r="C6071" s="22">
        <f>(53)*(1)*(1)*(1)*(1 + (0))</f>
      </c>
      <c r="D6071" s="22" t="s">
        <v>24</v>
      </c>
      <c r="E6071" s="22"/>
      <c r="F6071" s="22">
        <f>C6071*E6071</f>
      </c>
    </row>
    <row r="6072">
      <c r="A6072" s="3"/>
      <c r="B6072" s="11" t="s">
        <v>1119</v>
      </c>
      <c r="C6072" s="20"/>
      <c r="D6072" s="20"/>
      <c r="E6072" s="20"/>
      <c r="F6072" s="20"/>
    </row>
    <row r="6073">
      <c r="A6073" s="5"/>
      <c r="B6073" s="14" t="s">
        <v>1148</v>
      </c>
      <c r="C6073" s="22">
        <f>(296)*(1)*(1)*(1)*(1 + (0))</f>
      </c>
      <c r="D6073" s="22" t="s">
        <v>24</v>
      </c>
      <c r="E6073" s="22"/>
      <c r="F6073" s="22">
        <f>C6073*E6073</f>
      </c>
    </row>
    <row r="6074">
      <c r="A6074" s="5"/>
      <c r="B6074" s="14" t="s">
        <v>1149</v>
      </c>
      <c r="C6074" s="22">
        <f>(296)*(1)*(1)*(1)*(1 + (0))</f>
      </c>
      <c r="D6074" s="22" t="s">
        <v>24</v>
      </c>
      <c r="E6074" s="22"/>
      <c r="F6074" s="22">
        <f>C6074*E6074</f>
      </c>
    </row>
    <row r="6075">
      <c r="A6075" s="5"/>
      <c r="B6075" s="7" t="s">
        <v>1150</v>
      </c>
      <c r="C6075" s="22"/>
      <c r="D6075" s="22"/>
      <c r="E6075" s="22"/>
      <c r="F6075" s="22">
        <f>C6075*E6075</f>
      </c>
    </row>
    <row r="6076">
      <c r="A6076" s="5"/>
      <c r="B6076" s="7" t="s">
        <v>1151</v>
      </c>
      <c r="C6076" s="22"/>
      <c r="D6076" s="22"/>
      <c r="E6076" s="22"/>
      <c r="F6076" s="22">
        <f>C6076*E6076</f>
      </c>
    </row>
    <row r="6077">
      <c r="A6077" s="2"/>
      <c r="B6077" s="10" t="s">
        <v>1152</v>
      </c>
      <c r="C6077" s="19"/>
      <c r="D6077" s="19"/>
      <c r="E6077" s="19"/>
      <c r="F6077" s="19"/>
    </row>
    <row r="6078">
      <c r="A6078" s="3"/>
      <c r="B6078" s="11" t="s">
        <v>37</v>
      </c>
      <c r="C6078" s="20"/>
      <c r="D6078" s="20"/>
      <c r="E6078" s="20"/>
      <c r="F6078" s="20"/>
    </row>
    <row r="6079">
      <c r="A6079" s="5" t="s">
        <v>1153</v>
      </c>
      <c r="B6079" s="14" t="s">
        <v>39</v>
      </c>
      <c r="C6079" s="22"/>
      <c r="D6079" s="22" t="s">
        <v>10</v>
      </c>
      <c r="E6079" s="22"/>
      <c r="F6079" s="22">
        <f>C6079*E6079</f>
      </c>
    </row>
    <row r="6080">
      <c r="A6080" s="5" t="s">
        <v>1154</v>
      </c>
      <c r="B6080" s="14" t="s">
        <v>41</v>
      </c>
      <c r="C6080" s="22"/>
      <c r="D6080" s="22" t="s">
        <v>10</v>
      </c>
      <c r="E6080" s="22"/>
      <c r="F6080" s="22">
        <f>C6080*E6080</f>
      </c>
    </row>
    <row r="6081">
      <c r="A6081" s="3"/>
      <c r="B6081" s="11" t="s">
        <v>44</v>
      </c>
      <c r="C6081" s="20"/>
      <c r="D6081" s="20"/>
      <c r="E6081" s="20"/>
      <c r="F6081" s="20"/>
    </row>
    <row r="6082">
      <c r="A6082" s="4"/>
      <c r="B6082" s="12" t="s">
        <v>45</v>
      </c>
      <c r="C6082" s="21"/>
      <c r="D6082" s="21"/>
      <c r="E6082" s="21"/>
      <c r="F6082" s="21"/>
    </row>
    <row r="6083">
      <c r="A6083" s="5" t="s">
        <v>1158</v>
      </c>
      <c r="B6083" s="13" t="s">
        <v>898</v>
      </c>
      <c r="C6083" s="22"/>
      <c r="D6083" s="22" t="s">
        <v>10</v>
      </c>
      <c r="E6083" s="22"/>
      <c r="F6083" s="22">
        <f>C6083*E6083</f>
      </c>
    </row>
    <row r="6084">
      <c r="A6084" s="5" t="s">
        <v>1159</v>
      </c>
      <c r="B6084" s="13" t="s">
        <v>899</v>
      </c>
      <c r="C6084" s="22"/>
      <c r="D6084" s="22" t="s">
        <v>10</v>
      </c>
      <c r="E6084" s="22"/>
      <c r="F6084" s="22">
        <f>C6084*E6084</f>
      </c>
    </row>
    <row r="6085">
      <c r="A6085" s="5" t="s">
        <v>1160</v>
      </c>
      <c r="B6085" s="13" t="s">
        <v>767</v>
      </c>
      <c r="C6085" s="22"/>
      <c r="D6085" s="22" t="s">
        <v>10</v>
      </c>
      <c r="E6085" s="22"/>
      <c r="F6085" s="22">
        <f>C6085*E6085</f>
      </c>
    </row>
    <row r="6086">
      <c r="A6086" s="5" t="s">
        <v>1161</v>
      </c>
      <c r="B6086" s="13" t="s">
        <v>1162</v>
      </c>
      <c r="C6086" s="22"/>
      <c r="D6086" s="22" t="s">
        <v>10</v>
      </c>
      <c r="E6086" s="22"/>
      <c r="F6086" s="22">
        <f>C6086*E6086</f>
      </c>
    </row>
    <row r="6087">
      <c r="A6087" s="5" t="s">
        <v>1163</v>
      </c>
      <c r="B6087" s="13" t="s">
        <v>1164</v>
      </c>
      <c r="C6087" s="22"/>
      <c r="D6087" s="22" t="s">
        <v>10</v>
      </c>
      <c r="E6087" s="22"/>
      <c r="F6087" s="22">
        <f>C6087*E6087</f>
      </c>
    </row>
    <row r="6088">
      <c r="A6088" s="5" t="s">
        <v>1165</v>
      </c>
      <c r="B6088" s="13" t="s">
        <v>123</v>
      </c>
      <c r="C6088" s="22"/>
      <c r="D6088" s="22" t="s">
        <v>10</v>
      </c>
      <c r="E6088" s="22"/>
      <c r="F6088" s="22">
        <f>C6088*E6088</f>
      </c>
    </row>
    <row r="6089">
      <c r="A6089" s="3"/>
      <c r="B6089" s="11" t="s">
        <v>42</v>
      </c>
      <c r="C6089" s="20"/>
      <c r="D6089" s="20"/>
      <c r="E6089" s="20"/>
      <c r="F6089" s="20"/>
    </row>
    <row r="6090">
      <c r="A6090" s="5"/>
      <c r="B6090" s="14" t="s">
        <v>1155</v>
      </c>
      <c r="C6090" s="22"/>
      <c r="D6090" s="22" t="s">
        <v>10</v>
      </c>
      <c r="E6090" s="22"/>
      <c r="F6090" s="22">
        <f>C6090*E6090</f>
      </c>
    </row>
    <row r="6091">
      <c r="A6091" s="5"/>
      <c r="B6091" s="14" t="s">
        <v>1156</v>
      </c>
      <c r="C6091" s="22"/>
      <c r="D6091" s="22" t="s">
        <v>10</v>
      </c>
      <c r="E6091" s="22"/>
      <c r="F6091" s="22">
        <f>C6091*E6091</f>
      </c>
    </row>
    <row r="6092">
      <c r="A6092" s="5"/>
      <c r="B6092" s="14" t="s">
        <v>1157</v>
      </c>
      <c r="C6092" s="22"/>
      <c r="D6092" s="22" t="s">
        <v>10</v>
      </c>
      <c r="E6092" s="22"/>
      <c r="F6092" s="22">
        <f>C6092*E6092</f>
      </c>
    </row>
    <row r="6093">
      <c r="A6093" s="3"/>
      <c r="B6093" s="11" t="s">
        <v>68</v>
      </c>
      <c r="C6093" s="20"/>
      <c r="D6093" s="20"/>
      <c r="E6093" s="20"/>
      <c r="F6093" s="20"/>
    </row>
    <row r="6094">
      <c r="A6094" s="5" t="s">
        <v>1166</v>
      </c>
      <c r="B6094" s="14" t="s">
        <v>70</v>
      </c>
      <c r="C6094" s="22">
        <f>(1)*(1)*(1)*(1)*(1 + (0))</f>
      </c>
      <c r="D6094" s="22" t="s">
        <v>71</v>
      </c>
      <c r="E6094" s="22"/>
      <c r="F6094" s="22">
        <f>C6094*E6094</f>
      </c>
    </row>
    <row r="6095">
      <c r="A6095" s="5" t="s">
        <v>1167</v>
      </c>
      <c r="B6095" s="14" t="s">
        <v>1022</v>
      </c>
      <c r="C6095" s="22">
        <f>(1)*(1)*(1)*(1)*(1 + (0))</f>
      </c>
      <c r="D6095" s="22" t="s">
        <v>71</v>
      </c>
      <c r="E6095" s="22"/>
      <c r="F6095" s="22">
        <f>C6095*E6095</f>
      </c>
    </row>
    <row r="6096">
      <c r="A6096" s="5" t="s">
        <v>1168</v>
      </c>
      <c r="B6096" s="14" t="s">
        <v>1169</v>
      </c>
      <c r="C6096" s="22">
        <f>(1)*(1)*(1)*(1)*(1 + (0))</f>
      </c>
      <c r="D6096" s="22" t="s">
        <v>71</v>
      </c>
      <c r="E6096" s="22"/>
      <c r="F6096" s="22">
        <f>C6096*E6096</f>
      </c>
    </row>
    <row r="6097">
      <c r="A6097" s="5" t="s">
        <v>1170</v>
      </c>
      <c r="B6097" s="14" t="s">
        <v>1071</v>
      </c>
      <c r="C6097" s="22">
        <f>(1)*(1)*(1)*(1)*(1 + (0))</f>
      </c>
      <c r="D6097" s="22" t="s">
        <v>71</v>
      </c>
      <c r="E6097" s="22"/>
      <c r="F6097" s="22">
        <f>C6097*E6097</f>
      </c>
    </row>
    <row r="6098">
      <c r="A6098" s="5" t="s">
        <v>1171</v>
      </c>
      <c r="B6098" s="14" t="s">
        <v>798</v>
      </c>
      <c r="C6098" s="22">
        <f>(1)*(1)*(1)*(1)*(1 + (0))</f>
      </c>
      <c r="D6098" s="22" t="s">
        <v>71</v>
      </c>
      <c r="E6098" s="22"/>
      <c r="F6098" s="22">
        <f>C6098*E6098</f>
      </c>
    </row>
    <row r="6099">
      <c r="A6099" s="5" t="s">
        <v>1172</v>
      </c>
      <c r="B6099" s="14" t="s">
        <v>665</v>
      </c>
      <c r="C6099" s="22">
        <f>(1)*(1)*(1)*(1)*(1 + (0))</f>
      </c>
      <c r="D6099" s="22" t="s">
        <v>71</v>
      </c>
      <c r="E6099" s="22"/>
      <c r="F6099" s="22">
        <f>C6099*E6099</f>
      </c>
    </row>
    <row r="6100">
      <c r="A6100" s="3"/>
      <c r="B6100" s="11" t="s">
        <v>106</v>
      </c>
      <c r="C6100" s="20"/>
      <c r="D6100" s="20"/>
      <c r="E6100" s="20"/>
      <c r="F6100" s="20"/>
    </row>
    <row r="6101">
      <c r="A6101" s="5"/>
      <c r="B6101" s="14" t="s">
        <v>1173</v>
      </c>
      <c r="C6101" s="22"/>
      <c r="D6101" s="22" t="s">
        <v>10</v>
      </c>
      <c r="E6101" s="22"/>
      <c r="F6101" s="22">
        <f>C6101*E6101</f>
      </c>
    </row>
    <row r="6102">
      <c r="A6102" s="5"/>
      <c r="B6102" s="14" t="s">
        <v>1174</v>
      </c>
      <c r="C6102" s="22"/>
      <c r="D6102" s="22" t="s">
        <v>10</v>
      </c>
      <c r="E6102" s="22"/>
      <c r="F6102" s="22">
        <f>C6102*E6102</f>
      </c>
    </row>
    <row r="6103">
      <c r="A6103" s="5"/>
      <c r="B6103" s="14" t="s">
        <v>1175</v>
      </c>
      <c r="C6103" s="22"/>
      <c r="D6103" s="22" t="s">
        <v>10</v>
      </c>
      <c r="E6103" s="22"/>
      <c r="F6103" s="22">
        <f>C6103*E6103</f>
      </c>
    </row>
    <row r="6104">
      <c r="A6104" s="5"/>
      <c r="B6104" s="14" t="s">
        <v>1176</v>
      </c>
      <c r="C6104" s="22"/>
      <c r="D6104" s="22" t="s">
        <v>10</v>
      </c>
      <c r="E6104" s="22"/>
      <c r="F6104" s="22">
        <f>C6104*E6104</f>
      </c>
    </row>
    <row r="6105">
      <c r="A6105" s="5"/>
      <c r="B6105" s="14" t="s">
        <v>1177</v>
      </c>
      <c r="C6105" s="22"/>
      <c r="D6105" s="22" t="s">
        <v>10</v>
      </c>
      <c r="E6105" s="22"/>
      <c r="F6105" s="22">
        <f>C6105*E6105</f>
      </c>
    </row>
    <row r="6106">
      <c r="A6106" s="5"/>
      <c r="B6106" s="14" t="s">
        <v>1178</v>
      </c>
      <c r="C6106" s="22"/>
      <c r="D6106" s="22" t="s">
        <v>10</v>
      </c>
      <c r="E6106" s="22"/>
      <c r="F6106" s="22">
        <f>C6106*E6106</f>
      </c>
    </row>
    <row r="6107">
      <c r="A6107" s="5"/>
      <c r="B6107" s="14" t="s">
        <v>1179</v>
      </c>
      <c r="C6107" s="22"/>
      <c r="D6107" s="22" t="s">
        <v>10</v>
      </c>
      <c r="E6107" s="22"/>
      <c r="F6107" s="22">
        <f>C6107*E6107</f>
      </c>
    </row>
    <row r="6108">
      <c r="A6108" s="5"/>
      <c r="B6108" s="14" t="s">
        <v>1180</v>
      </c>
      <c r="C6108" s="22"/>
      <c r="D6108" s="22" t="s">
        <v>10</v>
      </c>
      <c r="E6108" s="22"/>
      <c r="F6108" s="22">
        <f>C6108*E6108</f>
      </c>
    </row>
    <row r="6109">
      <c r="A6109" s="5"/>
      <c r="B6109" s="14" t="s">
        <v>1181</v>
      </c>
      <c r="C6109" s="22"/>
      <c r="D6109" s="22" t="s">
        <v>10</v>
      </c>
      <c r="E6109" s="22"/>
      <c r="F6109" s="22">
        <f>C6109*E6109</f>
      </c>
    </row>
    <row r="6110">
      <c r="A6110" s="5"/>
      <c r="B6110" s="14" t="s">
        <v>1182</v>
      </c>
      <c r="C6110" s="22"/>
      <c r="D6110" s="22" t="s">
        <v>10</v>
      </c>
      <c r="E6110" s="22"/>
      <c r="F6110" s="22">
        <f>C6110*E6110</f>
      </c>
    </row>
    <row r="6111">
      <c r="A6111" s="5"/>
      <c r="B6111" s="14" t="s">
        <v>1183</v>
      </c>
      <c r="C6111" s="22"/>
      <c r="D6111" s="22" t="s">
        <v>10</v>
      </c>
      <c r="E6111" s="22"/>
      <c r="F6111" s="22">
        <f>C6111*E6111</f>
      </c>
    </row>
    <row r="6112">
      <c r="A6112" s="5"/>
      <c r="B6112" s="14" t="s">
        <v>1184</v>
      </c>
      <c r="C6112" s="22"/>
      <c r="D6112" s="22" t="s">
        <v>10</v>
      </c>
      <c r="E6112" s="22"/>
      <c r="F6112" s="22">
        <f>C6112*E6112</f>
      </c>
    </row>
    <row r="6113">
      <c r="A6113" s="5"/>
      <c r="B6113" s="14" t="s">
        <v>1185</v>
      </c>
      <c r="C6113" s="22"/>
      <c r="D6113" s="22" t="s">
        <v>10</v>
      </c>
      <c r="E6113" s="22"/>
      <c r="F6113" s="22">
        <f>C6113*E6113</f>
      </c>
    </row>
    <row r="6114">
      <c r="A6114" s="5"/>
      <c r="B6114" s="14" t="s">
        <v>1186</v>
      </c>
      <c r="C6114" s="22"/>
      <c r="D6114" s="22" t="s">
        <v>10</v>
      </c>
      <c r="E6114" s="22"/>
      <c r="F6114" s="22">
        <f>C6114*E6114</f>
      </c>
    </row>
    <row r="6115">
      <c r="A6115" s="5"/>
      <c r="B6115" s="14" t="s">
        <v>1187</v>
      </c>
      <c r="C6115" s="22"/>
      <c r="D6115" s="22" t="s">
        <v>10</v>
      </c>
      <c r="E6115" s="22"/>
      <c r="F6115" s="22">
        <f>C6115*E6115</f>
      </c>
    </row>
    <row r="6116">
      <c r="A6116" s="5"/>
      <c r="B6116" s="14" t="s">
        <v>1188</v>
      </c>
      <c r="C6116" s="22"/>
      <c r="D6116" s="22" t="s">
        <v>10</v>
      </c>
      <c r="E6116" s="22"/>
      <c r="F6116" s="22">
        <f>C6116*E6116</f>
      </c>
    </row>
    <row r="6117">
      <c r="A6117" s="5"/>
      <c r="B6117" s="14" t="s">
        <v>1189</v>
      </c>
      <c r="C6117" s="22"/>
      <c r="D6117" s="22" t="s">
        <v>10</v>
      </c>
      <c r="E6117" s="22"/>
      <c r="F6117" s="22">
        <f>C6117*E6117</f>
      </c>
    </row>
    <row r="6118">
      <c r="A6118" s="5"/>
      <c r="B6118" s="14" t="s">
        <v>1190</v>
      </c>
      <c r="C6118" s="22"/>
      <c r="D6118" s="22" t="s">
        <v>10</v>
      </c>
      <c r="E6118" s="22"/>
      <c r="F6118" s="22">
        <f>C6118*E6118</f>
      </c>
    </row>
    <row r="6119">
      <c r="A6119" s="5"/>
      <c r="B6119" s="14" t="s">
        <v>1191</v>
      </c>
      <c r="C6119" s="22"/>
      <c r="D6119" s="22" t="s">
        <v>10</v>
      </c>
      <c r="E6119" s="22"/>
      <c r="F6119" s="22">
        <f>C6119*E6119</f>
      </c>
    </row>
    <row r="6120">
      <c r="A6120" s="5"/>
      <c r="B6120" s="14" t="s">
        <v>1192</v>
      </c>
      <c r="C6120" s="22"/>
      <c r="D6120" s="22" t="s">
        <v>10</v>
      </c>
      <c r="E6120" s="22"/>
      <c r="F6120" s="22">
        <f>C6120*E6120</f>
      </c>
    </row>
    <row r="6121">
      <c r="A6121" s="5"/>
      <c r="B6121" s="14" t="s">
        <v>1193</v>
      </c>
      <c r="C6121" s="22"/>
      <c r="D6121" s="22" t="s">
        <v>10</v>
      </c>
      <c r="E6121" s="22"/>
      <c r="F6121" s="22">
        <f>C6121*E6121</f>
      </c>
    </row>
    <row r="6122">
      <c r="A6122" s="5"/>
      <c r="B6122" s="14" t="s">
        <v>1194</v>
      </c>
      <c r="C6122" s="22"/>
      <c r="D6122" s="22" t="s">
        <v>10</v>
      </c>
      <c r="E6122" s="22"/>
      <c r="F6122" s="22">
        <f>C6122*E6122</f>
      </c>
    </row>
    <row r="6123">
      <c r="A6123" s="5"/>
      <c r="B6123" s="14" t="s">
        <v>1195</v>
      </c>
      <c r="C6123" s="22"/>
      <c r="D6123" s="22" t="s">
        <v>10</v>
      </c>
      <c r="E6123" s="22"/>
      <c r="F6123" s="22">
        <f>C6123*E6123</f>
      </c>
    </row>
    <row r="6124">
      <c r="A6124" s="5"/>
      <c r="B6124" s="14" t="s">
        <v>1196</v>
      </c>
      <c r="C6124" s="22"/>
      <c r="D6124" s="22" t="s">
        <v>10</v>
      </c>
      <c r="E6124" s="22"/>
      <c r="F6124" s="22">
        <f>C6124*E6124</f>
      </c>
    </row>
    <row r="6125">
      <c r="A6125" s="5"/>
      <c r="B6125" s="14" t="s">
        <v>1197</v>
      </c>
      <c r="C6125" s="22"/>
      <c r="D6125" s="22" t="s">
        <v>10</v>
      </c>
      <c r="E6125" s="22"/>
      <c r="F6125" s="22">
        <f>C6125*E6125</f>
      </c>
    </row>
    <row r="6126">
      <c r="A6126" s="5"/>
      <c r="B6126" s="14" t="s">
        <v>1198</v>
      </c>
      <c r="C6126" s="22"/>
      <c r="D6126" s="22" t="s">
        <v>10</v>
      </c>
      <c r="E6126" s="22"/>
      <c r="F6126" s="22">
        <f>C6126*E6126</f>
      </c>
    </row>
    <row r="6127">
      <c r="A6127" s="3"/>
      <c r="B6127" s="11" t="s">
        <v>1769</v>
      </c>
      <c r="C6127" s="20"/>
      <c r="D6127" s="20"/>
      <c r="E6127" s="20"/>
      <c r="F6127" s="20"/>
    </row>
    <row r="6128">
      <c r="A6128" s="5"/>
      <c r="B6128" s="14" t="s">
        <v>2221</v>
      </c>
      <c r="C6128" s="22">
        <f>(1)*(1)*(1)*(1)*(1 + (0))</f>
      </c>
      <c r="D6128" s="22" t="s">
        <v>162</v>
      </c>
      <c r="E6128" s="22"/>
      <c r="F6128" s="22">
        <f>C6128*E6128</f>
      </c>
    </row>
    <row r="6129">
      <c r="A6129" s="5"/>
      <c r="B6129" s="14" t="s">
        <v>2222</v>
      </c>
      <c r="C6129" s="22">
        <f>(1)*(1)*(1)*(1)*(1 + (0))</f>
      </c>
      <c r="D6129" s="22" t="s">
        <v>162</v>
      </c>
      <c r="E6129" s="22"/>
      <c r="F6129" s="22">
        <f>C6129*E6129</f>
      </c>
    </row>
    <row r="6130">
      <c r="A6130" s="5"/>
      <c r="B6130" s="14" t="s">
        <v>2223</v>
      </c>
      <c r="C6130" s="22">
        <f>(3)*(1)*(1)*(1)*(1 + (0))</f>
      </c>
      <c r="D6130" s="22" t="s">
        <v>162</v>
      </c>
      <c r="E6130" s="22"/>
      <c r="F6130" s="22">
        <f>C6130*E6130</f>
      </c>
    </row>
    <row r="6131">
      <c r="A6131" s="5"/>
      <c r="B6131" s="14" t="s">
        <v>2224</v>
      </c>
      <c r="C6131" s="22">
        <f>(1)*(1)*(1)*(1)*(1 + (0))</f>
      </c>
      <c r="D6131" s="22" t="s">
        <v>162</v>
      </c>
      <c r="E6131" s="22"/>
      <c r="F6131" s="22">
        <f>C6131*E6131</f>
      </c>
    </row>
    <row r="6132">
      <c r="A6132" s="5"/>
      <c r="B6132" s="14" t="s">
        <v>2225</v>
      </c>
      <c r="C6132" s="22">
        <f>(1)*(1)*(1)*(1)*(1 + (0))</f>
      </c>
      <c r="D6132" s="22" t="s">
        <v>162</v>
      </c>
      <c r="E6132" s="22"/>
      <c r="F6132" s="22">
        <f>C6132*E6132</f>
      </c>
    </row>
    <row r="6133">
      <c r="A6133" s="5"/>
      <c r="B6133" s="14" t="s">
        <v>2226</v>
      </c>
      <c r="C6133" s="22">
        <f>(1)*(1)*(1)*(1)*(1 + (0))</f>
      </c>
      <c r="D6133" s="22" t="s">
        <v>162</v>
      </c>
      <c r="E6133" s="22"/>
      <c r="F6133" s="22">
        <f>C6133*E6133</f>
      </c>
    </row>
    <row r="6134">
      <c r="A6134" s="5"/>
      <c r="B6134" s="14" t="s">
        <v>2227</v>
      </c>
      <c r="C6134" s="22">
        <f>(3)*(1)*(1)*(1)*(1 + (0))</f>
      </c>
      <c r="D6134" s="22" t="s">
        <v>162</v>
      </c>
      <c r="E6134" s="22"/>
      <c r="F6134" s="22">
        <f>C6134*E6134</f>
      </c>
    </row>
    <row r="6135">
      <c r="A6135" s="5"/>
      <c r="B6135" s="14" t="s">
        <v>2228</v>
      </c>
      <c r="C6135" s="22">
        <f>(3)*(1)*(1)*(1)*(1 + (0))</f>
      </c>
      <c r="D6135" s="22" t="s">
        <v>162</v>
      </c>
      <c r="E6135" s="22"/>
      <c r="F6135" s="22">
        <f>C6135*E6135</f>
      </c>
    </row>
    <row r="6136">
      <c r="A6136" s="5"/>
      <c r="B6136" s="14" t="s">
        <v>2229</v>
      </c>
      <c r="C6136" s="22">
        <f>(3)*(1)*(1)*(1)*(1 + (0))</f>
      </c>
      <c r="D6136" s="22" t="s">
        <v>162</v>
      </c>
      <c r="E6136" s="22"/>
      <c r="F6136" s="22">
        <f>C6136*E6136</f>
      </c>
    </row>
    <row r="6137">
      <c r="A6137" s="5"/>
      <c r="B6137" s="14" t="s">
        <v>2230</v>
      </c>
      <c r="C6137" s="22">
        <f>(3)*(1)*(1)*(1)*(1 + (0))</f>
      </c>
      <c r="D6137" s="22" t="s">
        <v>162</v>
      </c>
      <c r="E6137" s="22"/>
      <c r="F6137" s="22">
        <f>C6137*E6137</f>
      </c>
    </row>
    <row r="6138">
      <c r="A6138" s="5"/>
      <c r="B6138" s="14" t="s">
        <v>2231</v>
      </c>
      <c r="C6138" s="22">
        <f>(2)*(1)*(1)*(1)*(1 + (0))</f>
      </c>
      <c r="D6138" s="22" t="s">
        <v>162</v>
      </c>
      <c r="E6138" s="22"/>
      <c r="F6138" s="22">
        <f>C6138*E6138</f>
      </c>
    </row>
    <row r="6139">
      <c r="A6139" s="5"/>
      <c r="B6139" s="14" t="s">
        <v>2232</v>
      </c>
      <c r="C6139" s="22">
        <f>(2)*(1)*(1)*(1)*(1 + (0))</f>
      </c>
      <c r="D6139" s="22" t="s">
        <v>1217</v>
      </c>
      <c r="E6139" s="22"/>
      <c r="F6139" s="22">
        <f>C6139*E6139</f>
      </c>
    </row>
    <row r="6140">
      <c r="A6140" s="5"/>
      <c r="B6140" s="14" t="s">
        <v>2233</v>
      </c>
      <c r="C6140" s="22">
        <f>(1)*(1)*(1)*(1)*(1 + (0))</f>
      </c>
      <c r="D6140" s="22" t="s">
        <v>162</v>
      </c>
      <c r="E6140" s="22"/>
      <c r="F6140" s="22">
        <f>C6140*E6140</f>
      </c>
    </row>
    <row r="6141">
      <c r="A6141" s="5"/>
      <c r="B6141" s="14" t="s">
        <v>2234</v>
      </c>
      <c r="C6141" s="22">
        <f>(1)*(1)*(1)*(1)*(1 + (0))</f>
      </c>
      <c r="D6141" s="22" t="s">
        <v>162</v>
      </c>
      <c r="E6141" s="22"/>
      <c r="F6141" s="22">
        <f>C6141*E6141</f>
      </c>
    </row>
    <row r="6142">
      <c r="A6142" s="2"/>
      <c r="B6142" s="10" t="s">
        <v>1224</v>
      </c>
      <c r="C6142" s="19"/>
      <c r="D6142" s="19"/>
      <c r="E6142" s="19"/>
      <c r="F6142" s="19"/>
    </row>
    <row r="6143">
      <c r="A6143" s="3"/>
      <c r="B6143" s="11" t="s">
        <v>37</v>
      </c>
      <c r="C6143" s="20"/>
      <c r="D6143" s="20"/>
      <c r="E6143" s="20"/>
      <c r="F6143" s="20"/>
    </row>
    <row r="6144">
      <c r="A6144" s="5" t="s">
        <v>1225</v>
      </c>
      <c r="B6144" s="14" t="s">
        <v>39</v>
      </c>
      <c r="C6144" s="22"/>
      <c r="D6144" s="22" t="s">
        <v>10</v>
      </c>
      <c r="E6144" s="22"/>
      <c r="F6144" s="22">
        <f>C6144*E6144</f>
      </c>
    </row>
    <row r="6145">
      <c r="A6145" s="5" t="s">
        <v>1226</v>
      </c>
      <c r="B6145" s="14" t="s">
        <v>41</v>
      </c>
      <c r="C6145" s="22"/>
      <c r="D6145" s="22" t="s">
        <v>10</v>
      </c>
      <c r="E6145" s="22"/>
      <c r="F6145" s="22">
        <f>C6145*E6145</f>
      </c>
    </row>
    <row r="6146">
      <c r="A6146" s="3"/>
      <c r="B6146" s="11" t="s">
        <v>42</v>
      </c>
      <c r="C6146" s="20"/>
      <c r="D6146" s="20"/>
      <c r="E6146" s="20"/>
      <c r="F6146" s="20"/>
    </row>
    <row r="6147">
      <c r="A6147" s="5"/>
      <c r="B6147" s="14" t="s">
        <v>1280</v>
      </c>
      <c r="C6147" s="22"/>
      <c r="D6147" s="22" t="s">
        <v>10</v>
      </c>
      <c r="E6147" s="22"/>
      <c r="F6147" s="22">
        <f>C6147*E6147</f>
      </c>
    </row>
    <row r="6148">
      <c r="A6148" s="5"/>
      <c r="B6148" s="14" t="s">
        <v>1228</v>
      </c>
      <c r="C6148" s="22"/>
      <c r="D6148" s="22" t="s">
        <v>10</v>
      </c>
      <c r="E6148" s="22"/>
      <c r="F6148" s="22">
        <f>C6148*E6148</f>
      </c>
    </row>
    <row r="6149">
      <c r="A6149" s="5"/>
      <c r="B6149" s="14" t="s">
        <v>694</v>
      </c>
      <c r="C6149" s="22"/>
      <c r="D6149" s="22" t="s">
        <v>10</v>
      </c>
      <c r="E6149" s="22"/>
      <c r="F6149" s="22">
        <f>C6149*E6149</f>
      </c>
    </row>
    <row r="6150">
      <c r="A6150" s="3"/>
      <c r="B6150" s="11" t="s">
        <v>44</v>
      </c>
      <c r="C6150" s="20"/>
      <c r="D6150" s="20"/>
      <c r="E6150" s="20"/>
      <c r="F6150" s="20"/>
    </row>
    <row r="6151">
      <c r="A6151" s="4"/>
      <c r="B6151" s="12" t="s">
        <v>45</v>
      </c>
      <c r="C6151" s="21"/>
      <c r="D6151" s="21"/>
      <c r="E6151" s="21"/>
      <c r="F6151" s="21"/>
    </row>
    <row r="6152">
      <c r="A6152" s="5" t="s">
        <v>1229</v>
      </c>
      <c r="B6152" s="13" t="s">
        <v>528</v>
      </c>
      <c r="C6152" s="22"/>
      <c r="D6152" s="22" t="s">
        <v>10</v>
      </c>
      <c r="E6152" s="22"/>
      <c r="F6152" s="22">
        <f>C6152*E6152</f>
      </c>
    </row>
    <row r="6153">
      <c r="A6153" s="5" t="s">
        <v>1230</v>
      </c>
      <c r="B6153" s="13" t="s">
        <v>530</v>
      </c>
      <c r="C6153" s="22"/>
      <c r="D6153" s="22" t="s">
        <v>10</v>
      </c>
      <c r="E6153" s="22"/>
      <c r="F6153" s="22">
        <f>C6153*E6153</f>
      </c>
    </row>
    <row r="6154">
      <c r="A6154" s="5" t="s">
        <v>1231</v>
      </c>
      <c r="B6154" s="13" t="s">
        <v>1232</v>
      </c>
      <c r="C6154" s="22"/>
      <c r="D6154" s="22" t="s">
        <v>10</v>
      </c>
      <c r="E6154" s="22"/>
      <c r="F6154" s="22">
        <f>C6154*E6154</f>
      </c>
    </row>
    <row r="6155">
      <c r="A6155" s="5" t="s">
        <v>1233</v>
      </c>
      <c r="B6155" s="13" t="s">
        <v>853</v>
      </c>
      <c r="C6155" s="22"/>
      <c r="D6155" s="22" t="s">
        <v>10</v>
      </c>
      <c r="E6155" s="22"/>
      <c r="F6155" s="22">
        <f>C6155*E6155</f>
      </c>
    </row>
    <row r="6156">
      <c r="A6156" s="5" t="s">
        <v>1234</v>
      </c>
      <c r="B6156" s="13" t="s">
        <v>538</v>
      </c>
      <c r="C6156" s="22"/>
      <c r="D6156" s="22" t="s">
        <v>10</v>
      </c>
      <c r="E6156" s="22"/>
      <c r="F6156" s="22">
        <f>C6156*E6156</f>
      </c>
    </row>
    <row r="6157">
      <c r="A6157" s="5" t="s">
        <v>1235</v>
      </c>
      <c r="B6157" s="13" t="s">
        <v>123</v>
      </c>
      <c r="C6157" s="22"/>
      <c r="D6157" s="22" t="s">
        <v>10</v>
      </c>
      <c r="E6157" s="22"/>
      <c r="F6157" s="22">
        <f>C6157*E6157</f>
      </c>
    </row>
    <row r="6158">
      <c r="A6158" s="3"/>
      <c r="B6158" s="11" t="s">
        <v>68</v>
      </c>
      <c r="C6158" s="20"/>
      <c r="D6158" s="20"/>
      <c r="E6158" s="20"/>
      <c r="F6158" s="20"/>
    </row>
    <row r="6159">
      <c r="A6159" s="5" t="s">
        <v>1236</v>
      </c>
      <c r="B6159" s="14" t="s">
        <v>543</v>
      </c>
      <c r="C6159" s="22">
        <f>(1)*(1)*(1)*(1)*(1 + (0))</f>
      </c>
      <c r="D6159" s="22" t="s">
        <v>71</v>
      </c>
      <c r="E6159" s="22"/>
      <c r="F6159" s="22">
        <f>C6159*E6159</f>
      </c>
    </row>
    <row r="6160">
      <c r="A6160" s="5" t="s">
        <v>1237</v>
      </c>
      <c r="B6160" s="14" t="s">
        <v>136</v>
      </c>
      <c r="C6160" s="22">
        <f>(1)*(1)*(1)*(1)*(1 + (0))</f>
      </c>
      <c r="D6160" s="22" t="s">
        <v>71</v>
      </c>
      <c r="E6160" s="22"/>
      <c r="F6160" s="22">
        <f>C6160*E6160</f>
      </c>
    </row>
    <row r="6161">
      <c r="A6161" s="5" t="s">
        <v>1238</v>
      </c>
      <c r="B6161" s="14" t="s">
        <v>1239</v>
      </c>
      <c r="C6161" s="22">
        <f>(1)*(1)*(1)*(1)*(1 + (0))</f>
      </c>
      <c r="D6161" s="22" t="s">
        <v>71</v>
      </c>
      <c r="E6161" s="22"/>
      <c r="F6161" s="22">
        <f>C6161*E6161</f>
      </c>
    </row>
    <row r="6162">
      <c r="A6162" s="5" t="s">
        <v>1240</v>
      </c>
      <c r="B6162" s="14" t="s">
        <v>798</v>
      </c>
      <c r="C6162" s="22">
        <f>(1)*(1)*(1)*(1)*(1 + (0))</f>
      </c>
      <c r="D6162" s="22" t="s">
        <v>71</v>
      </c>
      <c r="E6162" s="22"/>
      <c r="F6162" s="22">
        <f>C6162*E6162</f>
      </c>
    </row>
    <row r="6163">
      <c r="A6163" s="5" t="s">
        <v>1241</v>
      </c>
      <c r="B6163" s="14" t="s">
        <v>70</v>
      </c>
      <c r="C6163" s="22">
        <f>(1)*(1)*(1)*(1)*(1 + (0))</f>
      </c>
      <c r="D6163" s="22" t="s">
        <v>71</v>
      </c>
      <c r="E6163" s="22"/>
      <c r="F6163" s="22">
        <f>C6163*E6163</f>
      </c>
    </row>
    <row r="6164">
      <c r="A6164" s="5" t="s">
        <v>1242</v>
      </c>
      <c r="B6164" s="14" t="s">
        <v>665</v>
      </c>
      <c r="C6164" s="22">
        <f>(1)*(1)*(1)*(1)*(1 + (0))</f>
      </c>
      <c r="D6164" s="22" t="s">
        <v>71</v>
      </c>
      <c r="E6164" s="22"/>
      <c r="F6164" s="22">
        <f>C6164*E6164</f>
      </c>
    </row>
    <row r="6165">
      <c r="A6165" s="3"/>
      <c r="B6165" s="11" t="s">
        <v>1249</v>
      </c>
      <c r="C6165" s="20"/>
      <c r="D6165" s="20"/>
      <c r="E6165" s="20"/>
      <c r="F6165" s="20"/>
    </row>
    <row r="6166">
      <c r="A6166" s="4"/>
      <c r="B6166" s="12" t="s">
        <v>2235</v>
      </c>
      <c r="C6166" s="21"/>
      <c r="D6166" s="21"/>
      <c r="E6166" s="21"/>
      <c r="F6166" s="21"/>
    </row>
    <row r="6167">
      <c r="A6167" s="5"/>
      <c r="B6167" s="13" t="s">
        <v>2050</v>
      </c>
      <c r="C6167" s="22">
        <f>(26)*(1)*(1)*(1)*(1 + (0))</f>
      </c>
      <c r="D6167" s="22" t="s">
        <v>24</v>
      </c>
      <c r="E6167" s="22"/>
      <c r="F6167" s="22">
        <f>C6167*E6167</f>
      </c>
    </row>
    <row r="6168">
      <c r="A6168" s="3"/>
      <c r="B6168" s="11" t="s">
        <v>1251</v>
      </c>
      <c r="C6168" s="20"/>
      <c r="D6168" s="20"/>
      <c r="E6168" s="20"/>
      <c r="F6168" s="20"/>
    </row>
    <row r="6169">
      <c r="A6169" s="4"/>
      <c r="B6169" s="12" t="s">
        <v>2235</v>
      </c>
      <c r="C6169" s="21"/>
      <c r="D6169" s="21"/>
      <c r="E6169" s="21"/>
      <c r="F6169" s="21"/>
    </row>
    <row r="6170">
      <c r="A6170" s="5"/>
      <c r="B6170" s="13" t="s">
        <v>1252</v>
      </c>
      <c r="C6170" s="22">
        <f>(24)*(1)*(1)*(1)*(1 + (0))</f>
      </c>
      <c r="D6170" s="22" t="s">
        <v>153</v>
      </c>
      <c r="E6170" s="22"/>
      <c r="F6170" s="22">
        <f>C6170*E6170</f>
      </c>
    </row>
    <row r="6171">
      <c r="A6171" s="3"/>
      <c r="B6171" s="11" t="s">
        <v>1255</v>
      </c>
      <c r="C6171" s="20"/>
      <c r="D6171" s="20"/>
      <c r="E6171" s="20"/>
      <c r="F6171" s="20"/>
    </row>
    <row r="6172">
      <c r="A6172" s="4"/>
      <c r="B6172" s="12" t="s">
        <v>2236</v>
      </c>
      <c r="C6172" s="21"/>
      <c r="D6172" s="21"/>
      <c r="E6172" s="21"/>
      <c r="F6172" s="21"/>
    </row>
    <row r="6173">
      <c r="A6173" s="6"/>
      <c r="B6173" s="15" t="s">
        <v>1260</v>
      </c>
      <c r="C6173" s="23"/>
      <c r="D6173" s="23"/>
      <c r="E6173" s="23"/>
      <c r="F6173" s="23"/>
    </row>
    <row r="6174">
      <c r="A6174" s="5"/>
      <c r="B6174" s="16" t="s">
        <v>2237</v>
      </c>
      <c r="C6174" s="22">
        <f>(6)*(1)*(1)*(1)*(1 + (0))</f>
      </c>
      <c r="D6174" s="22" t="s">
        <v>162</v>
      </c>
      <c r="E6174" s="22"/>
      <c r="F6174" s="22">
        <f>C6174*E6174</f>
      </c>
    </row>
    <row r="6175">
      <c r="A6175" s="2"/>
      <c r="B6175" s="10" t="s">
        <v>1279</v>
      </c>
      <c r="C6175" s="19"/>
      <c r="D6175" s="19"/>
      <c r="E6175" s="19"/>
      <c r="F6175" s="19"/>
    </row>
    <row r="6176">
      <c r="A6176" s="3"/>
      <c r="B6176" s="11" t="s">
        <v>37</v>
      </c>
      <c r="C6176" s="20"/>
      <c r="D6176" s="20"/>
      <c r="E6176" s="20"/>
      <c r="F6176" s="20"/>
    </row>
    <row r="6177">
      <c r="A6177" s="5" t="s">
        <v>1225</v>
      </c>
      <c r="B6177" s="14" t="s">
        <v>39</v>
      </c>
      <c r="C6177" s="22"/>
      <c r="D6177" s="22" t="s">
        <v>10</v>
      </c>
      <c r="E6177" s="22"/>
      <c r="F6177" s="22">
        <f>C6177*E6177</f>
      </c>
    </row>
    <row r="6178">
      <c r="A6178" s="5" t="s">
        <v>1226</v>
      </c>
      <c r="B6178" s="14" t="s">
        <v>41</v>
      </c>
      <c r="C6178" s="22"/>
      <c r="D6178" s="22" t="s">
        <v>10</v>
      </c>
      <c r="E6178" s="22"/>
      <c r="F6178" s="22">
        <f>C6178*E6178</f>
      </c>
    </row>
    <row r="6179">
      <c r="A6179" s="3"/>
      <c r="B6179" s="11" t="s">
        <v>42</v>
      </c>
      <c r="C6179" s="20"/>
      <c r="D6179" s="20"/>
      <c r="E6179" s="20"/>
      <c r="F6179" s="20"/>
    </row>
    <row r="6180">
      <c r="A6180" s="5"/>
      <c r="B6180" s="14" t="s">
        <v>1280</v>
      </c>
      <c r="C6180" s="22"/>
      <c r="D6180" s="22" t="s">
        <v>10</v>
      </c>
      <c r="E6180" s="22"/>
      <c r="F6180" s="22">
        <f>C6180*E6180</f>
      </c>
    </row>
    <row r="6181">
      <c r="A6181" s="5"/>
      <c r="B6181" s="14" t="s">
        <v>1228</v>
      </c>
      <c r="C6181" s="22"/>
      <c r="D6181" s="22" t="s">
        <v>10</v>
      </c>
      <c r="E6181" s="22"/>
      <c r="F6181" s="22">
        <f>C6181*E6181</f>
      </c>
    </row>
    <row r="6182">
      <c r="A6182" s="5"/>
      <c r="B6182" s="14" t="s">
        <v>694</v>
      </c>
      <c r="C6182" s="22"/>
      <c r="D6182" s="22" t="s">
        <v>10</v>
      </c>
      <c r="E6182" s="22"/>
      <c r="F6182" s="22">
        <f>C6182*E6182</f>
      </c>
    </row>
    <row r="6183">
      <c r="A6183" s="3"/>
      <c r="B6183" s="11" t="s">
        <v>44</v>
      </c>
      <c r="C6183" s="20"/>
      <c r="D6183" s="20"/>
      <c r="E6183" s="20"/>
      <c r="F6183" s="20"/>
    </row>
    <row r="6184">
      <c r="A6184" s="4"/>
      <c r="B6184" s="12" t="s">
        <v>45</v>
      </c>
      <c r="C6184" s="21"/>
      <c r="D6184" s="21"/>
      <c r="E6184" s="21"/>
      <c r="F6184" s="21"/>
    </row>
    <row r="6185">
      <c r="A6185" s="5" t="s">
        <v>1229</v>
      </c>
      <c r="B6185" s="13" t="s">
        <v>528</v>
      </c>
      <c r="C6185" s="22"/>
      <c r="D6185" s="22" t="s">
        <v>10</v>
      </c>
      <c r="E6185" s="22"/>
      <c r="F6185" s="22">
        <f>C6185*E6185</f>
      </c>
    </row>
    <row r="6186">
      <c r="A6186" s="5" t="s">
        <v>1230</v>
      </c>
      <c r="B6186" s="13" t="s">
        <v>530</v>
      </c>
      <c r="C6186" s="22"/>
      <c r="D6186" s="22" t="s">
        <v>10</v>
      </c>
      <c r="E6186" s="22"/>
      <c r="F6186" s="22">
        <f>C6186*E6186</f>
      </c>
    </row>
    <row r="6187">
      <c r="A6187" s="5" t="s">
        <v>1231</v>
      </c>
      <c r="B6187" s="13" t="s">
        <v>1232</v>
      </c>
      <c r="C6187" s="22"/>
      <c r="D6187" s="22" t="s">
        <v>10</v>
      </c>
      <c r="E6187" s="22"/>
      <c r="F6187" s="22">
        <f>C6187*E6187</f>
      </c>
    </row>
    <row r="6188">
      <c r="A6188" s="5" t="s">
        <v>1233</v>
      </c>
      <c r="B6188" s="13" t="s">
        <v>853</v>
      </c>
      <c r="C6188" s="22"/>
      <c r="D6188" s="22" t="s">
        <v>10</v>
      </c>
      <c r="E6188" s="22"/>
      <c r="F6188" s="22">
        <f>C6188*E6188</f>
      </c>
    </row>
    <row r="6189">
      <c r="A6189" s="5" t="s">
        <v>1234</v>
      </c>
      <c r="B6189" s="13" t="s">
        <v>538</v>
      </c>
      <c r="C6189" s="22"/>
      <c r="D6189" s="22" t="s">
        <v>10</v>
      </c>
      <c r="E6189" s="22"/>
      <c r="F6189" s="22">
        <f>C6189*E6189</f>
      </c>
    </row>
    <row r="6190">
      <c r="A6190" s="5" t="s">
        <v>1235</v>
      </c>
      <c r="B6190" s="13" t="s">
        <v>123</v>
      </c>
      <c r="C6190" s="22"/>
      <c r="D6190" s="22" t="s">
        <v>10</v>
      </c>
      <c r="E6190" s="22"/>
      <c r="F6190" s="22">
        <f>C6190*E6190</f>
      </c>
    </row>
    <row r="6191">
      <c r="A6191" s="3"/>
      <c r="B6191" s="11" t="s">
        <v>68</v>
      </c>
      <c r="C6191" s="20"/>
      <c r="D6191" s="20"/>
      <c r="E6191" s="20"/>
      <c r="F6191" s="20"/>
    </row>
    <row r="6192">
      <c r="A6192" s="5" t="s">
        <v>1236</v>
      </c>
      <c r="B6192" s="14" t="s">
        <v>543</v>
      </c>
      <c r="C6192" s="22">
        <f>(1)*(1)*(1)*(1)*(1 + (0))</f>
      </c>
      <c r="D6192" s="22" t="s">
        <v>71</v>
      </c>
      <c r="E6192" s="22"/>
      <c r="F6192" s="22">
        <f>C6192*E6192</f>
      </c>
    </row>
    <row r="6193">
      <c r="A6193" s="5" t="s">
        <v>1237</v>
      </c>
      <c r="B6193" s="14" t="s">
        <v>136</v>
      </c>
      <c r="C6193" s="22">
        <f>(1)*(1)*(1)*(1)*(1 + (0))</f>
      </c>
      <c r="D6193" s="22" t="s">
        <v>71</v>
      </c>
      <c r="E6193" s="22"/>
      <c r="F6193" s="22">
        <f>C6193*E6193</f>
      </c>
    </row>
    <row r="6194">
      <c r="A6194" s="5" t="s">
        <v>1238</v>
      </c>
      <c r="B6194" s="14" t="s">
        <v>1239</v>
      </c>
      <c r="C6194" s="22">
        <f>(1)*(1)*(1)*(1)*(1 + (0))</f>
      </c>
      <c r="D6194" s="22" t="s">
        <v>71</v>
      </c>
      <c r="E6194" s="22"/>
      <c r="F6194" s="22">
        <f>C6194*E6194</f>
      </c>
    </row>
    <row r="6195">
      <c r="A6195" s="5" t="s">
        <v>1240</v>
      </c>
      <c r="B6195" s="14" t="s">
        <v>798</v>
      </c>
      <c r="C6195" s="22">
        <f>(1)*(1)*(1)*(1)*(1 + (0))</f>
      </c>
      <c r="D6195" s="22" t="s">
        <v>71</v>
      </c>
      <c r="E6195" s="22"/>
      <c r="F6195" s="22">
        <f>C6195*E6195</f>
      </c>
    </row>
    <row r="6196">
      <c r="A6196" s="5" t="s">
        <v>1241</v>
      </c>
      <c r="B6196" s="14" t="s">
        <v>70</v>
      </c>
      <c r="C6196" s="22">
        <f>(1)*(1)*(1)*(1)*(1 + (0))</f>
      </c>
      <c r="D6196" s="22" t="s">
        <v>71</v>
      </c>
      <c r="E6196" s="22"/>
      <c r="F6196" s="22">
        <f>C6196*E6196</f>
      </c>
    </row>
    <row r="6197">
      <c r="A6197" s="5" t="s">
        <v>1242</v>
      </c>
      <c r="B6197" s="14" t="s">
        <v>665</v>
      </c>
      <c r="C6197" s="22">
        <f>(1)*(1)*(1)*(1)*(1 + (0))</f>
      </c>
      <c r="D6197" s="22" t="s">
        <v>71</v>
      </c>
      <c r="E6197" s="22"/>
      <c r="F6197" s="22">
        <f>C6197*E6197</f>
      </c>
    </row>
    <row r="6198">
      <c r="A6198" s="3"/>
      <c r="B6198" s="11" t="s">
        <v>2238</v>
      </c>
      <c r="C6198" s="20"/>
      <c r="D6198" s="20"/>
      <c r="E6198" s="20"/>
      <c r="F6198" s="20"/>
    </row>
    <row r="6199">
      <c r="A6199" s="4"/>
      <c r="B6199" s="12" t="s">
        <v>2235</v>
      </c>
      <c r="C6199" s="21"/>
      <c r="D6199" s="21"/>
      <c r="E6199" s="21"/>
      <c r="F6199" s="21"/>
    </row>
    <row r="6200">
      <c r="A6200" s="5"/>
      <c r="B6200" s="13" t="s">
        <v>2239</v>
      </c>
      <c r="C6200" s="22">
        <f>(5)*(1)*(1)*(1)*(1 + (0))</f>
      </c>
      <c r="D6200" s="22" t="s">
        <v>153</v>
      </c>
      <c r="E6200" s="22"/>
      <c r="F6200" s="22">
        <f>C6200*E6200</f>
      </c>
    </row>
    <row r="6201">
      <c r="A6201" s="3"/>
      <c r="B6201" s="11" t="s">
        <v>1281</v>
      </c>
      <c r="C6201" s="20"/>
      <c r="D6201" s="20"/>
      <c r="E6201" s="20"/>
      <c r="F6201" s="20"/>
    </row>
    <row r="6202">
      <c r="A6202" s="4"/>
      <c r="B6202" s="12" t="s">
        <v>2235</v>
      </c>
      <c r="C6202" s="21"/>
      <c r="D6202" s="21"/>
      <c r="E6202" s="21"/>
      <c r="F6202" s="21"/>
    </row>
    <row r="6203">
      <c r="A6203" s="5"/>
      <c r="B6203" s="13" t="s">
        <v>2240</v>
      </c>
      <c r="C6203" s="22">
        <f>(1)*(1)*(1)*(1)*(1 + (0))</f>
      </c>
      <c r="D6203" s="22" t="s">
        <v>1217</v>
      </c>
      <c r="E6203" s="22"/>
      <c r="F6203" s="22">
        <f>C6203*E6203</f>
      </c>
    </row>
    <row r="6204">
      <c r="A6204" s="2"/>
      <c r="B6204" s="10" t="s">
        <v>1284</v>
      </c>
      <c r="C6204" s="19"/>
      <c r="D6204" s="19"/>
      <c r="E6204" s="19"/>
      <c r="F6204" s="19"/>
    </row>
    <row r="6205">
      <c r="A6205" s="3"/>
      <c r="B6205" s="11" t="s">
        <v>37</v>
      </c>
      <c r="C6205" s="20"/>
      <c r="D6205" s="20"/>
      <c r="E6205" s="20"/>
      <c r="F6205" s="20"/>
    </row>
    <row r="6206">
      <c r="A6206" s="5" t="s">
        <v>1285</v>
      </c>
      <c r="B6206" s="14" t="s">
        <v>39</v>
      </c>
      <c r="C6206" s="22"/>
      <c r="D6206" s="22" t="s">
        <v>10</v>
      </c>
      <c r="E6206" s="22"/>
      <c r="F6206" s="22">
        <f>C6206*E6206</f>
      </c>
    </row>
    <row r="6207">
      <c r="A6207" s="5" t="s">
        <v>1286</v>
      </c>
      <c r="B6207" s="14" t="s">
        <v>41</v>
      </c>
      <c r="C6207" s="22"/>
      <c r="D6207" s="22" t="s">
        <v>10</v>
      </c>
      <c r="E6207" s="22"/>
      <c r="F6207" s="22">
        <f>C6207*E6207</f>
      </c>
    </row>
    <row r="6208">
      <c r="A6208" s="3"/>
      <c r="B6208" s="11" t="s">
        <v>42</v>
      </c>
      <c r="C6208" s="20"/>
      <c r="D6208" s="20"/>
      <c r="E6208" s="20"/>
      <c r="F6208" s="20"/>
    </row>
    <row r="6209">
      <c r="A6209" s="5"/>
      <c r="B6209" s="14" t="s">
        <v>1287</v>
      </c>
      <c r="C6209" s="22"/>
      <c r="D6209" s="22" t="s">
        <v>10</v>
      </c>
      <c r="E6209" s="22"/>
      <c r="F6209" s="22">
        <f>C6209*E6209</f>
      </c>
    </row>
    <row r="6210">
      <c r="A6210" s="5"/>
      <c r="B6210" s="14" t="s">
        <v>1288</v>
      </c>
      <c r="C6210" s="22"/>
      <c r="D6210" s="22" t="s">
        <v>10</v>
      </c>
      <c r="E6210" s="22"/>
      <c r="F6210" s="22">
        <f>C6210*E6210</f>
      </c>
    </row>
    <row r="6211">
      <c r="A6211" s="5"/>
      <c r="B6211" s="14" t="s">
        <v>1289</v>
      </c>
      <c r="C6211" s="22"/>
      <c r="D6211" s="22" t="s">
        <v>10</v>
      </c>
      <c r="E6211" s="22"/>
      <c r="F6211" s="22">
        <f>C6211*E6211</f>
      </c>
    </row>
    <row r="6212">
      <c r="A6212" s="5"/>
      <c r="B6212" s="14" t="s">
        <v>1290</v>
      </c>
      <c r="C6212" s="22"/>
      <c r="D6212" s="22" t="s">
        <v>10</v>
      </c>
      <c r="E6212" s="22"/>
      <c r="F6212" s="22">
        <f>C6212*E6212</f>
      </c>
    </row>
    <row r="6213">
      <c r="A6213" s="3"/>
      <c r="B6213" s="11" t="s">
        <v>44</v>
      </c>
      <c r="C6213" s="20"/>
      <c r="D6213" s="20"/>
      <c r="E6213" s="20"/>
      <c r="F6213" s="20"/>
    </row>
    <row r="6214">
      <c r="A6214" s="4"/>
      <c r="B6214" s="12" t="s">
        <v>45</v>
      </c>
      <c r="C6214" s="21"/>
      <c r="D6214" s="21"/>
      <c r="E6214" s="21"/>
      <c r="F6214" s="21"/>
    </row>
    <row r="6215">
      <c r="A6215" s="5" t="s">
        <v>1291</v>
      </c>
      <c r="B6215" s="13" t="s">
        <v>767</v>
      </c>
      <c r="C6215" s="22"/>
      <c r="D6215" s="22" t="s">
        <v>10</v>
      </c>
      <c r="E6215" s="22"/>
      <c r="F6215" s="22">
        <f>C6215*E6215</f>
      </c>
    </row>
    <row r="6216">
      <c r="A6216" s="5" t="s">
        <v>1292</v>
      </c>
      <c r="B6216" s="13" t="s">
        <v>123</v>
      </c>
      <c r="C6216" s="22"/>
      <c r="D6216" s="22" t="s">
        <v>10</v>
      </c>
      <c r="E6216" s="22"/>
      <c r="F6216" s="22">
        <f>C6216*E6216</f>
      </c>
    </row>
    <row r="6217">
      <c r="A6217" s="3"/>
      <c r="B6217" s="11" t="s">
        <v>68</v>
      </c>
      <c r="C6217" s="20"/>
      <c r="D6217" s="20"/>
      <c r="E6217" s="20"/>
      <c r="F6217" s="20"/>
    </row>
    <row r="6218">
      <c r="A6218" s="5" t="s">
        <v>1293</v>
      </c>
      <c r="B6218" s="14" t="s">
        <v>230</v>
      </c>
      <c r="C6218" s="22">
        <f>(1)*(1)*(1)*(1)*(1 + (0))</f>
      </c>
      <c r="D6218" s="22" t="s">
        <v>71</v>
      </c>
      <c r="E6218" s="22"/>
      <c r="F6218" s="22">
        <f>C6218*E6218</f>
      </c>
    </row>
    <row r="6219">
      <c r="A6219" s="5" t="s">
        <v>1294</v>
      </c>
      <c r="B6219" s="14" t="s">
        <v>70</v>
      </c>
      <c r="C6219" s="22">
        <f>(1)*(1)*(1)*(1)*(1 + (0))</f>
      </c>
      <c r="D6219" s="22" t="s">
        <v>71</v>
      </c>
      <c r="E6219" s="22"/>
      <c r="F6219" s="22">
        <f>C6219*E6219</f>
      </c>
    </row>
    <row r="6220">
      <c r="A6220" s="5" t="s">
        <v>1295</v>
      </c>
      <c r="B6220" s="14" t="s">
        <v>906</v>
      </c>
      <c r="C6220" s="22">
        <f>(1)*(1)*(1)*(1)*(1 + (0))</f>
      </c>
      <c r="D6220" s="22" t="s">
        <v>71</v>
      </c>
      <c r="E6220" s="22"/>
      <c r="F6220" s="22">
        <f>C6220*E6220</f>
      </c>
    </row>
    <row r="6221">
      <c r="A6221" s="5" t="s">
        <v>1296</v>
      </c>
      <c r="B6221" s="14" t="s">
        <v>665</v>
      </c>
      <c r="C6221" s="22">
        <f>(1)*(1)*(1)*(1)*(1 + (0))</f>
      </c>
      <c r="D6221" s="22" t="s">
        <v>71</v>
      </c>
      <c r="E6221" s="22"/>
      <c r="F6221" s="22">
        <f>C6221*E6221</f>
      </c>
    </row>
    <row r="6222">
      <c r="A6222" s="3"/>
      <c r="B6222" s="11" t="s">
        <v>1297</v>
      </c>
      <c r="C6222" s="20"/>
      <c r="D6222" s="20"/>
      <c r="E6222" s="20"/>
      <c r="F6222" s="20"/>
    </row>
    <row r="6223">
      <c r="A6223" s="4"/>
      <c r="B6223" s="12" t="s">
        <v>2241</v>
      </c>
      <c r="C6223" s="21"/>
      <c r="D6223" s="21"/>
      <c r="E6223" s="21"/>
      <c r="F6223" s="21"/>
    </row>
    <row r="6224">
      <c r="A6224" s="5"/>
      <c r="B6224" s="13" t="s">
        <v>1299</v>
      </c>
      <c r="C6224" s="22">
        <f>(5)*(1)*(1)*(1)*(1 + (0))</f>
      </c>
      <c r="D6224" s="22" t="s">
        <v>153</v>
      </c>
      <c r="E6224" s="22"/>
      <c r="F6224" s="22">
        <f>C6224*E6224</f>
      </c>
    </row>
    <row r="6225">
      <c r="A6225" s="2"/>
      <c r="B6225" s="10" t="s">
        <v>1301</v>
      </c>
      <c r="C6225" s="19"/>
      <c r="D6225" s="19"/>
      <c r="E6225" s="19"/>
      <c r="F6225" s="19"/>
    </row>
    <row r="6226">
      <c r="A6226" s="3"/>
      <c r="B6226" s="11" t="s">
        <v>37</v>
      </c>
      <c r="C6226" s="20"/>
      <c r="D6226" s="20"/>
      <c r="E6226" s="20"/>
      <c r="F6226" s="20"/>
    </row>
    <row r="6227">
      <c r="A6227" s="5" t="s">
        <v>1302</v>
      </c>
      <c r="B6227" s="14" t="s">
        <v>39</v>
      </c>
      <c r="C6227" s="22"/>
      <c r="D6227" s="22" t="s">
        <v>10</v>
      </c>
      <c r="E6227" s="22"/>
      <c r="F6227" s="22">
        <f>C6227*E6227</f>
      </c>
    </row>
    <row r="6228">
      <c r="A6228" s="5" t="s">
        <v>1303</v>
      </c>
      <c r="B6228" s="14" t="s">
        <v>41</v>
      </c>
      <c r="C6228" s="22"/>
      <c r="D6228" s="22" t="s">
        <v>10</v>
      </c>
      <c r="E6228" s="22"/>
      <c r="F6228" s="22">
        <f>C6228*E6228</f>
      </c>
    </row>
    <row r="6229">
      <c r="A6229" s="3"/>
      <c r="B6229" s="11" t="s">
        <v>42</v>
      </c>
      <c r="C6229" s="20"/>
      <c r="D6229" s="20"/>
      <c r="E6229" s="20"/>
      <c r="F6229" s="20"/>
    </row>
    <row r="6230">
      <c r="A6230" s="5"/>
      <c r="B6230" s="14" t="s">
        <v>1009</v>
      </c>
      <c r="C6230" s="22"/>
      <c r="D6230" s="22" t="s">
        <v>10</v>
      </c>
      <c r="E6230" s="22"/>
      <c r="F6230" s="22">
        <f>C6230*E6230</f>
      </c>
    </row>
    <row r="6231">
      <c r="A6231" s="5"/>
      <c r="B6231" s="14" t="s">
        <v>762</v>
      </c>
      <c r="C6231" s="22"/>
      <c r="D6231" s="22" t="s">
        <v>10</v>
      </c>
      <c r="E6231" s="22"/>
      <c r="F6231" s="22">
        <f>C6231*E6231</f>
      </c>
    </row>
    <row r="6232">
      <c r="A6232" s="5"/>
      <c r="B6232" s="14" t="s">
        <v>763</v>
      </c>
      <c r="C6232" s="22"/>
      <c r="D6232" s="22" t="s">
        <v>10</v>
      </c>
      <c r="E6232" s="22"/>
      <c r="F6232" s="22">
        <f>C6232*E6232</f>
      </c>
    </row>
    <row r="6233">
      <c r="A6233" s="5"/>
      <c r="B6233" s="14" t="s">
        <v>1010</v>
      </c>
      <c r="C6233" s="22"/>
      <c r="D6233" s="22" t="s">
        <v>10</v>
      </c>
      <c r="E6233" s="22"/>
      <c r="F6233" s="22">
        <f>C6233*E6233</f>
      </c>
    </row>
    <row r="6234">
      <c r="A6234" s="5"/>
      <c r="B6234" s="14" t="s">
        <v>2242</v>
      </c>
      <c r="C6234" s="22"/>
      <c r="D6234" s="22" t="s">
        <v>10</v>
      </c>
      <c r="E6234" s="22"/>
      <c r="F6234" s="22">
        <f>C6234*E6234</f>
      </c>
    </row>
    <row r="6235">
      <c r="A6235" s="3"/>
      <c r="B6235" s="11" t="s">
        <v>44</v>
      </c>
      <c r="C6235" s="20"/>
      <c r="D6235" s="20"/>
      <c r="E6235" s="20"/>
      <c r="F6235" s="20"/>
    </row>
    <row r="6236">
      <c r="A6236" s="4"/>
      <c r="B6236" s="12" t="s">
        <v>45</v>
      </c>
      <c r="C6236" s="21"/>
      <c r="D6236" s="21"/>
      <c r="E6236" s="21"/>
      <c r="F6236" s="21"/>
    </row>
    <row r="6237">
      <c r="A6237" s="5" t="s">
        <v>1305</v>
      </c>
      <c r="B6237" s="13" t="s">
        <v>1306</v>
      </c>
      <c r="C6237" s="22"/>
      <c r="D6237" s="22" t="s">
        <v>10</v>
      </c>
      <c r="E6237" s="22"/>
      <c r="F6237" s="22">
        <f>C6237*E6237</f>
      </c>
    </row>
    <row r="6238">
      <c r="A6238" s="5" t="s">
        <v>1307</v>
      </c>
      <c r="B6238" s="13" t="s">
        <v>1308</v>
      </c>
      <c r="C6238" s="22"/>
      <c r="D6238" s="22" t="s">
        <v>10</v>
      </c>
      <c r="E6238" s="22"/>
      <c r="F6238" s="22">
        <f>C6238*E6238</f>
      </c>
    </row>
    <row r="6239">
      <c r="A6239" s="5" t="s">
        <v>1309</v>
      </c>
      <c r="B6239" s="13" t="s">
        <v>1310</v>
      </c>
      <c r="C6239" s="22"/>
      <c r="D6239" s="22" t="s">
        <v>10</v>
      </c>
      <c r="E6239" s="22"/>
      <c r="F6239" s="22">
        <f>C6239*E6239</f>
      </c>
    </row>
    <row r="6240">
      <c r="A6240" s="5" t="s">
        <v>1311</v>
      </c>
      <c r="B6240" s="13" t="s">
        <v>1312</v>
      </c>
      <c r="C6240" s="22"/>
      <c r="D6240" s="22" t="s">
        <v>10</v>
      </c>
      <c r="E6240" s="22"/>
      <c r="F6240" s="22">
        <f>C6240*E6240</f>
      </c>
    </row>
    <row r="6241">
      <c r="A6241" s="5" t="s">
        <v>1313</v>
      </c>
      <c r="B6241" s="13" t="s">
        <v>1314</v>
      </c>
      <c r="C6241" s="22"/>
      <c r="D6241" s="22" t="s">
        <v>10</v>
      </c>
      <c r="E6241" s="22"/>
      <c r="F6241" s="22">
        <f>C6241*E6241</f>
      </c>
    </row>
    <row r="6242">
      <c r="A6242" s="5" t="s">
        <v>1315</v>
      </c>
      <c r="B6242" s="13" t="s">
        <v>1316</v>
      </c>
      <c r="C6242" s="22"/>
      <c r="D6242" s="22" t="s">
        <v>10</v>
      </c>
      <c r="E6242" s="22"/>
      <c r="F6242" s="22">
        <f>C6242*E6242</f>
      </c>
    </row>
    <row r="6243">
      <c r="A6243" s="5" t="s">
        <v>1317</v>
      </c>
      <c r="B6243" s="13" t="s">
        <v>1318</v>
      </c>
      <c r="C6243" s="22"/>
      <c r="D6243" s="22" t="s">
        <v>10</v>
      </c>
      <c r="E6243" s="22"/>
      <c r="F6243" s="22">
        <f>C6243*E6243</f>
      </c>
    </row>
    <row r="6244">
      <c r="A6244" s="5" t="s">
        <v>1319</v>
      </c>
      <c r="B6244" s="13" t="s">
        <v>123</v>
      </c>
      <c r="C6244" s="22"/>
      <c r="D6244" s="22" t="s">
        <v>10</v>
      </c>
      <c r="E6244" s="22"/>
      <c r="F6244" s="22">
        <f>C6244*E6244</f>
      </c>
    </row>
    <row r="6245">
      <c r="A6245" s="3"/>
      <c r="B6245" s="11" t="s">
        <v>68</v>
      </c>
      <c r="C6245" s="20"/>
      <c r="D6245" s="20"/>
      <c r="E6245" s="20"/>
      <c r="F6245" s="20"/>
    </row>
    <row r="6246">
      <c r="A6246" s="5" t="s">
        <v>1320</v>
      </c>
      <c r="B6246" s="14" t="s">
        <v>75</v>
      </c>
      <c r="C6246" s="22">
        <f>(1)*(1)*(1)*(1)*(1 + (0))</f>
      </c>
      <c r="D6246" s="22" t="s">
        <v>71</v>
      </c>
      <c r="E6246" s="22"/>
      <c r="F6246" s="22">
        <f>C6246*E6246</f>
      </c>
    </row>
    <row r="6247">
      <c r="A6247" s="5" t="s">
        <v>1321</v>
      </c>
      <c r="B6247" s="14" t="s">
        <v>1322</v>
      </c>
      <c r="C6247" s="22">
        <f>(1)*(1)*(1)*(1)*(1 + (0))</f>
      </c>
      <c r="D6247" s="22" t="s">
        <v>71</v>
      </c>
      <c r="E6247" s="22"/>
      <c r="F6247" s="22">
        <f>C6247*E6247</f>
      </c>
    </row>
    <row r="6248">
      <c r="A6248" s="5" t="s">
        <v>1323</v>
      </c>
      <c r="B6248" s="14" t="s">
        <v>1324</v>
      </c>
      <c r="C6248" s="22">
        <f>(1)*(1)*(1)*(1)*(1 + (0))</f>
      </c>
      <c r="D6248" s="22" t="s">
        <v>71</v>
      </c>
      <c r="E6248" s="22"/>
      <c r="F6248" s="22">
        <f>C6248*E6248</f>
      </c>
    </row>
    <row r="6249">
      <c r="A6249" s="5" t="s">
        <v>1325</v>
      </c>
      <c r="B6249" s="14" t="s">
        <v>230</v>
      </c>
      <c r="C6249" s="22">
        <f>(1)*(1)*(1)*(1)*(1 + (0))</f>
      </c>
      <c r="D6249" s="22" t="s">
        <v>71</v>
      </c>
      <c r="E6249" s="22"/>
      <c r="F6249" s="22">
        <f>C6249*E6249</f>
      </c>
    </row>
    <row r="6250">
      <c r="A6250" s="5" t="s">
        <v>1326</v>
      </c>
      <c r="B6250" s="14" t="s">
        <v>800</v>
      </c>
      <c r="C6250" s="22">
        <f>(1)*(1)*(1)*(1)*(1 + (0))</f>
      </c>
      <c r="D6250" s="22" t="s">
        <v>71</v>
      </c>
      <c r="E6250" s="22"/>
      <c r="F6250" s="22">
        <f>C6250*E6250</f>
      </c>
    </row>
    <row r="6251">
      <c r="A6251" s="5" t="s">
        <v>1327</v>
      </c>
      <c r="B6251" s="14" t="s">
        <v>73</v>
      </c>
      <c r="C6251" s="22">
        <f>(1)*(1)*(1)*(1)*(1 + (0))</f>
      </c>
      <c r="D6251" s="22" t="s">
        <v>71</v>
      </c>
      <c r="E6251" s="22"/>
      <c r="F6251" s="22">
        <f>C6251*E6251</f>
      </c>
    </row>
    <row r="6252">
      <c r="A6252" s="5" t="s">
        <v>1328</v>
      </c>
      <c r="B6252" s="14" t="s">
        <v>70</v>
      </c>
      <c r="C6252" s="22">
        <f>(1)*(1)*(1)*(1)*(1 + (0))</f>
      </c>
      <c r="D6252" s="22" t="s">
        <v>71</v>
      </c>
      <c r="E6252" s="22"/>
      <c r="F6252" s="22">
        <f>C6252*E6252</f>
      </c>
    </row>
    <row r="6253">
      <c r="A6253" s="5" t="s">
        <v>1329</v>
      </c>
      <c r="B6253" s="14" t="s">
        <v>1330</v>
      </c>
      <c r="C6253" s="22">
        <f>(1)*(1)*(1)*(1)*(1 + (0))</f>
      </c>
      <c r="D6253" s="22" t="s">
        <v>71</v>
      </c>
      <c r="E6253" s="22"/>
      <c r="F6253" s="22">
        <f>C6253*E6253</f>
      </c>
    </row>
    <row r="6254">
      <c r="A6254" s="5" t="s">
        <v>1331</v>
      </c>
      <c r="B6254" s="14" t="s">
        <v>665</v>
      </c>
      <c r="C6254" s="22">
        <f>(1)*(1)*(1)*(1)*(1 + (0))</f>
      </c>
      <c r="D6254" s="22" t="s">
        <v>71</v>
      </c>
      <c r="E6254" s="22"/>
      <c r="F6254" s="22">
        <f>C6254*E6254</f>
      </c>
    </row>
    <row r="6255">
      <c r="A6255" s="3"/>
      <c r="B6255" s="11" t="s">
        <v>106</v>
      </c>
      <c r="C6255" s="20"/>
      <c r="D6255" s="20"/>
      <c r="E6255" s="20"/>
      <c r="F6255" s="20"/>
    </row>
    <row r="6256">
      <c r="A6256" s="5"/>
      <c r="B6256" s="14" t="s">
        <v>1751</v>
      </c>
      <c r="C6256" s="22"/>
      <c r="D6256" s="22" t="s">
        <v>1333</v>
      </c>
      <c r="E6256" s="22"/>
      <c r="F6256" s="22">
        <f>C6256*E6256</f>
      </c>
    </row>
    <row r="6257">
      <c r="A6257" s="5"/>
      <c r="B6257" s="14" t="s">
        <v>1334</v>
      </c>
      <c r="C6257" s="22"/>
      <c r="D6257" s="22" t="s">
        <v>1335</v>
      </c>
      <c r="E6257" s="22"/>
      <c r="F6257" s="22">
        <f>C6257*E6257</f>
      </c>
    </row>
    <row r="6258">
      <c r="A6258" s="3"/>
      <c r="B6258" s="11" t="s">
        <v>1336</v>
      </c>
      <c r="C6258" s="20"/>
      <c r="D6258" s="20"/>
      <c r="E6258" s="20"/>
      <c r="F6258" s="20"/>
    </row>
    <row r="6259">
      <c r="A6259" s="4"/>
      <c r="B6259" s="12" t="s">
        <v>1337</v>
      </c>
      <c r="C6259" s="21"/>
      <c r="D6259" s="21"/>
      <c r="E6259" s="21"/>
      <c r="F6259" s="21"/>
    </row>
    <row r="6260">
      <c r="A6260" s="6"/>
      <c r="B6260" s="15" t="s">
        <v>1338</v>
      </c>
      <c r="C6260" s="23"/>
      <c r="D6260" s="23"/>
      <c r="E6260" s="23"/>
      <c r="F6260" s="23"/>
    </row>
    <row r="6261">
      <c r="A6261" s="5"/>
      <c r="B6261" s="16" t="s">
        <v>1339</v>
      </c>
      <c r="C6261" s="22"/>
      <c r="D6261" s="22"/>
      <c r="E6261" s="22"/>
      <c r="F6261" s="22"/>
    </row>
    <row r="6262">
      <c r="A6262" s="5"/>
      <c r="B6262" s="17" t="s">
        <v>32</v>
      </c>
      <c r="C6262" s="22">
        <f>(41)*(1)*(1)*(1)*(1 + (0))</f>
      </c>
      <c r="D6262" s="22" t="s">
        <v>24</v>
      </c>
      <c r="E6262" s="22"/>
      <c r="F6262" s="22">
        <f>C6262*E6262</f>
      </c>
    </row>
    <row r="6263">
      <c r="A6263" s="5"/>
      <c r="B6263" s="16" t="s">
        <v>2243</v>
      </c>
      <c r="C6263" s="22"/>
      <c r="D6263" s="22"/>
      <c r="E6263" s="22"/>
      <c r="F6263" s="22"/>
    </row>
    <row r="6264">
      <c r="A6264" s="5"/>
      <c r="B6264" s="17" t="s">
        <v>32</v>
      </c>
      <c r="C6264" s="22">
        <f>(69)*(1)*(1)*(1)*(1 + (0))</f>
      </c>
      <c r="D6264" s="22" t="s">
        <v>24</v>
      </c>
      <c r="E6264" s="22"/>
      <c r="F6264" s="22">
        <f>C6264*E6264</f>
      </c>
    </row>
    <row r="6265">
      <c r="A6265" s="5"/>
      <c r="B6265" s="16" t="s">
        <v>1340</v>
      </c>
      <c r="C6265" s="22"/>
      <c r="D6265" s="22"/>
      <c r="E6265" s="22"/>
      <c r="F6265" s="22"/>
    </row>
    <row r="6266">
      <c r="A6266" s="5"/>
      <c r="B6266" s="17" t="s">
        <v>32</v>
      </c>
      <c r="C6266" s="22">
        <f>(36)*(1)*(1)*(1)*(1 + (0))</f>
      </c>
      <c r="D6266" s="22" t="s">
        <v>24</v>
      </c>
      <c r="E6266" s="22"/>
      <c r="F6266" s="22">
        <f>C6266*E6266</f>
      </c>
    </row>
    <row r="6267">
      <c r="A6267" s="5"/>
      <c r="B6267" s="16" t="s">
        <v>1341</v>
      </c>
      <c r="C6267" s="22"/>
      <c r="D6267" s="22"/>
      <c r="E6267" s="22"/>
      <c r="F6267" s="22"/>
    </row>
    <row r="6268">
      <c r="A6268" s="5"/>
      <c r="B6268" s="17" t="s">
        <v>32</v>
      </c>
      <c r="C6268" s="22">
        <f>(6)*(1)*(1)*(1)*(1 + (0))</f>
      </c>
      <c r="D6268" s="22" t="s">
        <v>24</v>
      </c>
      <c r="E6268" s="22"/>
      <c r="F6268" s="22">
        <f>C6268*E6268</f>
      </c>
    </row>
    <row r="6269">
      <c r="A6269" s="5"/>
      <c r="B6269" s="16" t="s">
        <v>1343</v>
      </c>
      <c r="C6269" s="22"/>
      <c r="D6269" s="22"/>
      <c r="E6269" s="22"/>
      <c r="F6269" s="22"/>
    </row>
    <row r="6270">
      <c r="A6270" s="5"/>
      <c r="B6270" s="17" t="s">
        <v>32</v>
      </c>
      <c r="C6270" s="22">
        <f>(65)*(1)*(1)*(1)*(1 + (0))</f>
      </c>
      <c r="D6270" s="22" t="s">
        <v>24</v>
      </c>
      <c r="E6270" s="22"/>
      <c r="F6270" s="22">
        <f>C6270*E6270</f>
      </c>
    </row>
    <row r="6271">
      <c r="A6271" s="6"/>
      <c r="B6271" s="15" t="s">
        <v>2055</v>
      </c>
      <c r="C6271" s="23"/>
      <c r="D6271" s="23"/>
      <c r="E6271" s="23"/>
      <c r="F6271" s="23"/>
    </row>
    <row r="6272">
      <c r="A6272" s="5"/>
      <c r="B6272" s="16" t="s">
        <v>2056</v>
      </c>
      <c r="C6272" s="22"/>
      <c r="D6272" s="22"/>
      <c r="E6272" s="22"/>
      <c r="F6272" s="22"/>
    </row>
    <row r="6273">
      <c r="A6273" s="5"/>
      <c r="B6273" s="17" t="s">
        <v>32</v>
      </c>
      <c r="C6273" s="22">
        <f>(104)*(1)*(1)*(1)*(1 + (0))</f>
      </c>
      <c r="D6273" s="22" t="s">
        <v>24</v>
      </c>
      <c r="E6273" s="22"/>
      <c r="F6273" s="22">
        <f>C6273*E6273</f>
      </c>
    </row>
    <row r="6274">
      <c r="A6274" s="4"/>
      <c r="B6274" s="12" t="s">
        <v>1346</v>
      </c>
      <c r="C6274" s="21"/>
      <c r="D6274" s="21"/>
      <c r="E6274" s="21"/>
      <c r="F6274" s="21"/>
    </row>
    <row r="6275">
      <c r="A6275" s="6"/>
      <c r="B6275" s="15" t="s">
        <v>1347</v>
      </c>
      <c r="C6275" s="23"/>
      <c r="D6275" s="23"/>
      <c r="E6275" s="23"/>
      <c r="F6275" s="23"/>
    </row>
    <row r="6276">
      <c r="A6276" s="5"/>
      <c r="B6276" s="16" t="s">
        <v>32</v>
      </c>
      <c r="C6276" s="22">
        <f>(8)*(1)*(1)*(1)*(1 + (0))</f>
      </c>
      <c r="D6276" s="22" t="s">
        <v>24</v>
      </c>
      <c r="E6276" s="22"/>
      <c r="F6276" s="22">
        <f>C6276*E6276</f>
      </c>
    </row>
    <row r="6277">
      <c r="A6277" s="4"/>
      <c r="B6277" s="12" t="s">
        <v>1348</v>
      </c>
      <c r="C6277" s="21"/>
      <c r="D6277" s="21"/>
      <c r="E6277" s="21"/>
      <c r="F6277" s="21"/>
    </row>
    <row r="6278">
      <c r="A6278" s="6"/>
      <c r="B6278" s="15" t="s">
        <v>1349</v>
      </c>
      <c r="C6278" s="23"/>
      <c r="D6278" s="23"/>
      <c r="E6278" s="23"/>
      <c r="F6278" s="23"/>
    </row>
    <row r="6279">
      <c r="A6279" s="5"/>
      <c r="B6279" s="16" t="s">
        <v>32</v>
      </c>
      <c r="C6279" s="22">
        <f>(47)*(1)*(1)*(1)*(1 + (0))</f>
      </c>
      <c r="D6279" s="22" t="s">
        <v>153</v>
      </c>
      <c r="E6279" s="22"/>
      <c r="F6279" s="22">
        <f>C6279*E6279</f>
      </c>
    </row>
    <row r="6280">
      <c r="A6280" s="3"/>
      <c r="B6280" s="11" t="s">
        <v>1350</v>
      </c>
      <c r="C6280" s="20"/>
      <c r="D6280" s="20"/>
      <c r="E6280" s="20"/>
      <c r="F6280" s="20"/>
    </row>
    <row r="6281">
      <c r="A6281" s="4"/>
      <c r="B6281" s="12" t="s">
        <v>1351</v>
      </c>
      <c r="C6281" s="21"/>
      <c r="D6281" s="21"/>
      <c r="E6281" s="21"/>
      <c r="F6281" s="21"/>
    </row>
    <row r="6282">
      <c r="A6282" s="5"/>
      <c r="B6282" s="13" t="s">
        <v>2187</v>
      </c>
      <c r="C6282" s="22">
        <f>(645)*(1)*(1)*(1)*(1 + (0))</f>
      </c>
      <c r="D6282" s="22" t="s">
        <v>24</v>
      </c>
      <c r="E6282" s="22"/>
      <c r="F6282" s="22">
        <f>C6282*E6282</f>
      </c>
    </row>
    <row r="6283">
      <c r="A6283" s="3"/>
      <c r="B6283" s="11" t="s">
        <v>1352</v>
      </c>
      <c r="C6283" s="20"/>
      <c r="D6283" s="20"/>
      <c r="E6283" s="20"/>
      <c r="F6283" s="20"/>
    </row>
    <row r="6284">
      <c r="A6284" s="4"/>
      <c r="B6284" s="12" t="s">
        <v>2244</v>
      </c>
      <c r="C6284" s="21"/>
      <c r="D6284" s="21"/>
      <c r="E6284" s="21"/>
      <c r="F6284" s="21"/>
    </row>
    <row r="6285">
      <c r="A6285" s="5"/>
      <c r="B6285" s="13" t="s">
        <v>2151</v>
      </c>
      <c r="C6285" s="22">
        <f>(3)*(1)*(1)*(1)*(1 + (0))</f>
      </c>
      <c r="D6285" s="22" t="s">
        <v>24</v>
      </c>
      <c r="E6285" s="22"/>
      <c r="F6285" s="22">
        <f>C6285*E6285</f>
      </c>
    </row>
    <row r="6286">
      <c r="A6286" s="3"/>
      <c r="B6286" s="11" t="s">
        <v>1355</v>
      </c>
      <c r="C6286" s="20"/>
      <c r="D6286" s="20"/>
      <c r="E6286" s="20"/>
      <c r="F6286" s="20"/>
    </row>
    <row r="6287">
      <c r="A6287" s="4"/>
      <c r="B6287" s="12" t="s">
        <v>1711</v>
      </c>
      <c r="C6287" s="21"/>
      <c r="D6287" s="21"/>
      <c r="E6287" s="21"/>
      <c r="F6287" s="21"/>
    </row>
    <row r="6288">
      <c r="A6288" s="6"/>
      <c r="B6288" s="15" t="s">
        <v>1356</v>
      </c>
      <c r="C6288" s="23"/>
      <c r="D6288" s="23"/>
      <c r="E6288" s="23"/>
      <c r="F6288" s="23"/>
    </row>
    <row r="6289">
      <c r="A6289" s="5"/>
      <c r="B6289" s="16" t="s">
        <v>1358</v>
      </c>
      <c r="C6289" s="22">
        <f>(2)*(1)*(1)*(1)*(1 + (0))</f>
      </c>
      <c r="D6289" s="22" t="s">
        <v>162</v>
      </c>
      <c r="E6289" s="22"/>
      <c r="F6289" s="22">
        <f>C6289*E6289</f>
      </c>
    </row>
    <row r="6290">
      <c r="A6290" s="3"/>
      <c r="B6290" s="11" t="s">
        <v>1359</v>
      </c>
      <c r="C6290" s="20"/>
      <c r="D6290" s="20"/>
      <c r="E6290" s="20"/>
      <c r="F6290" s="20"/>
    </row>
    <row r="6291">
      <c r="A6291" s="4"/>
      <c r="B6291" s="12" t="s">
        <v>1711</v>
      </c>
      <c r="C6291" s="21"/>
      <c r="D6291" s="21"/>
      <c r="E6291" s="21"/>
      <c r="F6291" s="21"/>
    </row>
    <row r="6292">
      <c r="A6292" s="6"/>
      <c r="B6292" s="15" t="s">
        <v>1360</v>
      </c>
      <c r="C6292" s="23"/>
      <c r="D6292" s="23"/>
      <c r="E6292" s="23"/>
      <c r="F6292" s="23"/>
    </row>
    <row r="6293">
      <c r="A6293" s="5"/>
      <c r="B6293" s="16" t="s">
        <v>1357</v>
      </c>
      <c r="C6293" s="22">
        <f>(2)*(1)*(1)*(1)*(1 + (0))</f>
      </c>
      <c r="D6293" s="22" t="s">
        <v>162</v>
      </c>
      <c r="E6293" s="22"/>
      <c r="F6293" s="22">
        <f>C6293*E6293</f>
      </c>
    </row>
    <row r="6294">
      <c r="A6294" s="5"/>
      <c r="B6294" s="16" t="s">
        <v>1358</v>
      </c>
      <c r="C6294" s="22">
        <f>(12)*(1)*(1)*(1)*(1 + (0))</f>
      </c>
      <c r="D6294" s="22" t="s">
        <v>162</v>
      </c>
      <c r="E6294" s="22"/>
      <c r="F6294" s="22">
        <f>C6294*E6294</f>
      </c>
    </row>
    <row r="6295">
      <c r="A6295" s="2"/>
      <c r="B6295" s="10" t="s">
        <v>1361</v>
      </c>
      <c r="C6295" s="19"/>
      <c r="D6295" s="19"/>
      <c r="E6295" s="19"/>
      <c r="F6295" s="19"/>
    </row>
    <row r="6296">
      <c r="A6296" s="3"/>
      <c r="B6296" s="11" t="s">
        <v>37</v>
      </c>
      <c r="C6296" s="20"/>
      <c r="D6296" s="20"/>
      <c r="E6296" s="20"/>
      <c r="F6296" s="20"/>
    </row>
    <row r="6297">
      <c r="A6297" s="5" t="s">
        <v>1285</v>
      </c>
      <c r="B6297" s="14" t="s">
        <v>39</v>
      </c>
      <c r="C6297" s="22"/>
      <c r="D6297" s="22" t="s">
        <v>10</v>
      </c>
      <c r="E6297" s="22"/>
      <c r="F6297" s="22">
        <f>C6297*E6297</f>
      </c>
    </row>
    <row r="6298">
      <c r="A6298" s="5" t="s">
        <v>1286</v>
      </c>
      <c r="B6298" s="14" t="s">
        <v>41</v>
      </c>
      <c r="C6298" s="22"/>
      <c r="D6298" s="22" t="s">
        <v>10</v>
      </c>
      <c r="E6298" s="22"/>
      <c r="F6298" s="22">
        <f>C6298*E6298</f>
      </c>
    </row>
    <row r="6299">
      <c r="A6299" s="3"/>
      <c r="B6299" s="11" t="s">
        <v>42</v>
      </c>
      <c r="C6299" s="20"/>
      <c r="D6299" s="20"/>
      <c r="E6299" s="20"/>
      <c r="F6299" s="20"/>
    </row>
    <row r="6300">
      <c r="A6300" s="5"/>
      <c r="B6300" s="14" t="s">
        <v>1287</v>
      </c>
      <c r="C6300" s="22"/>
      <c r="D6300" s="22" t="s">
        <v>10</v>
      </c>
      <c r="E6300" s="22"/>
      <c r="F6300" s="22">
        <f>C6300*E6300</f>
      </c>
    </row>
    <row r="6301">
      <c r="A6301" s="5"/>
      <c r="B6301" s="14" t="s">
        <v>1288</v>
      </c>
      <c r="C6301" s="22"/>
      <c r="D6301" s="22" t="s">
        <v>10</v>
      </c>
      <c r="E6301" s="22"/>
      <c r="F6301" s="22">
        <f>C6301*E6301</f>
      </c>
    </row>
    <row r="6302">
      <c r="A6302" s="5"/>
      <c r="B6302" s="14" t="s">
        <v>1289</v>
      </c>
      <c r="C6302" s="22"/>
      <c r="D6302" s="22" t="s">
        <v>10</v>
      </c>
      <c r="E6302" s="22"/>
      <c r="F6302" s="22">
        <f>C6302*E6302</f>
      </c>
    </row>
    <row r="6303">
      <c r="A6303" s="5"/>
      <c r="B6303" s="14" t="s">
        <v>1290</v>
      </c>
      <c r="C6303" s="22"/>
      <c r="D6303" s="22" t="s">
        <v>10</v>
      </c>
      <c r="E6303" s="22"/>
      <c r="F6303" s="22">
        <f>C6303*E6303</f>
      </c>
    </row>
    <row r="6304">
      <c r="A6304" s="3"/>
      <c r="B6304" s="11" t="s">
        <v>44</v>
      </c>
      <c r="C6304" s="20"/>
      <c r="D6304" s="20"/>
      <c r="E6304" s="20"/>
      <c r="F6304" s="20"/>
    </row>
    <row r="6305">
      <c r="A6305" s="4"/>
      <c r="B6305" s="12" t="s">
        <v>45</v>
      </c>
      <c r="C6305" s="21"/>
      <c r="D6305" s="21"/>
      <c r="E6305" s="21"/>
      <c r="F6305" s="21"/>
    </row>
    <row r="6306">
      <c r="A6306" s="5" t="s">
        <v>1291</v>
      </c>
      <c r="B6306" s="13" t="s">
        <v>767</v>
      </c>
      <c r="C6306" s="22"/>
      <c r="D6306" s="22" t="s">
        <v>10</v>
      </c>
      <c r="E6306" s="22"/>
      <c r="F6306" s="22">
        <f>C6306*E6306</f>
      </c>
    </row>
    <row r="6307">
      <c r="A6307" s="5" t="s">
        <v>1292</v>
      </c>
      <c r="B6307" s="13" t="s">
        <v>123</v>
      </c>
      <c r="C6307" s="22"/>
      <c r="D6307" s="22" t="s">
        <v>10</v>
      </c>
      <c r="E6307" s="22"/>
      <c r="F6307" s="22">
        <f>C6307*E6307</f>
      </c>
    </row>
    <row r="6308">
      <c r="A6308" s="3"/>
      <c r="B6308" s="11" t="s">
        <v>68</v>
      </c>
      <c r="C6308" s="20"/>
      <c r="D6308" s="20"/>
      <c r="E6308" s="20"/>
      <c r="F6308" s="20"/>
    </row>
    <row r="6309">
      <c r="A6309" s="5" t="s">
        <v>1293</v>
      </c>
      <c r="B6309" s="14" t="s">
        <v>230</v>
      </c>
      <c r="C6309" s="22">
        <f>(1)*(1)*(1)*(1)*(1 + (0))</f>
      </c>
      <c r="D6309" s="22" t="s">
        <v>71</v>
      </c>
      <c r="E6309" s="22"/>
      <c r="F6309" s="22">
        <f>C6309*E6309</f>
      </c>
    </row>
    <row r="6310">
      <c r="A6310" s="5" t="s">
        <v>1294</v>
      </c>
      <c r="B6310" s="14" t="s">
        <v>70</v>
      </c>
      <c r="C6310" s="22">
        <f>(1)*(1)*(1)*(1)*(1 + (0))</f>
      </c>
      <c r="D6310" s="22" t="s">
        <v>71</v>
      </c>
      <c r="E6310" s="22"/>
      <c r="F6310" s="22">
        <f>C6310*E6310</f>
      </c>
    </row>
    <row r="6311">
      <c r="A6311" s="5" t="s">
        <v>1295</v>
      </c>
      <c r="B6311" s="14" t="s">
        <v>906</v>
      </c>
      <c r="C6311" s="22">
        <f>(1)*(1)*(1)*(1)*(1 + (0))</f>
      </c>
      <c r="D6311" s="22" t="s">
        <v>71</v>
      </c>
      <c r="E6311" s="22"/>
      <c r="F6311" s="22">
        <f>C6311*E6311</f>
      </c>
    </row>
    <row r="6312">
      <c r="A6312" s="5" t="s">
        <v>1296</v>
      </c>
      <c r="B6312" s="14" t="s">
        <v>665</v>
      </c>
      <c r="C6312" s="22">
        <f>(1)*(1)*(1)*(1)*(1 + (0))</f>
      </c>
      <c r="D6312" s="22" t="s">
        <v>71</v>
      </c>
      <c r="E6312" s="22"/>
      <c r="F6312" s="22">
        <f>C6312*E6312</f>
      </c>
    </row>
    <row r="6313">
      <c r="A6313" s="3"/>
      <c r="B6313" s="11" t="s">
        <v>1362</v>
      </c>
      <c r="C6313" s="20"/>
      <c r="D6313" s="20"/>
      <c r="E6313" s="20"/>
      <c r="F6313" s="20"/>
    </row>
    <row r="6314">
      <c r="A6314" s="4"/>
      <c r="B6314" s="12" t="s">
        <v>1361</v>
      </c>
      <c r="C6314" s="21"/>
      <c r="D6314" s="21"/>
      <c r="E6314" s="21"/>
      <c r="F6314" s="21"/>
    </row>
    <row r="6315">
      <c r="A6315" s="5"/>
      <c r="B6315" s="13" t="s">
        <v>1363</v>
      </c>
      <c r="C6315" s="22">
        <f>(29)*(1)*(1)*(1)*(1 + (0))</f>
      </c>
      <c r="D6315" s="22" t="s">
        <v>153</v>
      </c>
      <c r="E6315" s="22"/>
      <c r="F6315" s="22">
        <f>C6315*E6315</f>
      </c>
    </row>
    <row r="6316">
      <c r="A6316" s="2"/>
      <c r="B6316" s="10" t="s">
        <v>1366</v>
      </c>
      <c r="C6316" s="19"/>
      <c r="D6316" s="19"/>
      <c r="E6316" s="19"/>
      <c r="F6316" s="19"/>
    </row>
    <row r="6317">
      <c r="A6317" s="3"/>
      <c r="B6317" s="11" t="s">
        <v>37</v>
      </c>
      <c r="C6317" s="20"/>
      <c r="D6317" s="20"/>
      <c r="E6317" s="20"/>
      <c r="F6317" s="20"/>
    </row>
    <row r="6318">
      <c r="A6318" s="5" t="s">
        <v>1367</v>
      </c>
      <c r="B6318" s="14" t="s">
        <v>39</v>
      </c>
      <c r="C6318" s="22"/>
      <c r="D6318" s="22" t="s">
        <v>10</v>
      </c>
      <c r="E6318" s="22"/>
      <c r="F6318" s="22">
        <f>C6318*E6318</f>
      </c>
    </row>
    <row r="6319">
      <c r="A6319" s="5" t="s">
        <v>1368</v>
      </c>
      <c r="B6319" s="14" t="s">
        <v>41</v>
      </c>
      <c r="C6319" s="22"/>
      <c r="D6319" s="22" t="s">
        <v>10</v>
      </c>
      <c r="E6319" s="22"/>
      <c r="F6319" s="22">
        <f>C6319*E6319</f>
      </c>
    </row>
    <row r="6320">
      <c r="A6320" s="3"/>
      <c r="B6320" s="11" t="s">
        <v>42</v>
      </c>
      <c r="C6320" s="20"/>
      <c r="D6320" s="20"/>
      <c r="E6320" s="20"/>
      <c r="F6320" s="20"/>
    </row>
    <row r="6321">
      <c r="A6321" s="5"/>
      <c r="B6321" s="14" t="s">
        <v>1369</v>
      </c>
      <c r="C6321" s="22"/>
      <c r="D6321" s="22" t="s">
        <v>10</v>
      </c>
      <c r="E6321" s="22"/>
      <c r="F6321" s="22">
        <f>C6321*E6321</f>
      </c>
    </row>
    <row r="6322">
      <c r="A6322" s="5"/>
      <c r="B6322" s="14" t="s">
        <v>1370</v>
      </c>
      <c r="C6322" s="22"/>
      <c r="D6322" s="22" t="s">
        <v>10</v>
      </c>
      <c r="E6322" s="22"/>
      <c r="F6322" s="22">
        <f>C6322*E6322</f>
      </c>
    </row>
    <row r="6323">
      <c r="A6323" s="5"/>
      <c r="B6323" s="14" t="s">
        <v>1371</v>
      </c>
      <c r="C6323" s="22"/>
      <c r="D6323" s="22" t="s">
        <v>10</v>
      </c>
      <c r="E6323" s="22"/>
      <c r="F6323" s="22">
        <f>C6323*E6323</f>
      </c>
    </row>
    <row r="6324">
      <c r="A6324" s="5"/>
      <c r="B6324" s="14" t="s">
        <v>1372</v>
      </c>
      <c r="C6324" s="22"/>
      <c r="D6324" s="22" t="s">
        <v>10</v>
      </c>
      <c r="E6324" s="22"/>
      <c r="F6324" s="22">
        <f>C6324*E6324</f>
      </c>
    </row>
    <row r="6325">
      <c r="A6325" s="3"/>
      <c r="B6325" s="11" t="s">
        <v>44</v>
      </c>
      <c r="C6325" s="20"/>
      <c r="D6325" s="20"/>
      <c r="E6325" s="20"/>
      <c r="F6325" s="20"/>
    </row>
    <row r="6326">
      <c r="A6326" s="4"/>
      <c r="B6326" s="12" t="s">
        <v>45</v>
      </c>
      <c r="C6326" s="21"/>
      <c r="D6326" s="21"/>
      <c r="E6326" s="21"/>
      <c r="F6326" s="21"/>
    </row>
    <row r="6327">
      <c r="A6327" s="5" t="s">
        <v>1373</v>
      </c>
      <c r="B6327" s="13" t="s">
        <v>1374</v>
      </c>
      <c r="C6327" s="22"/>
      <c r="D6327" s="22" t="s">
        <v>10</v>
      </c>
      <c r="E6327" s="22"/>
      <c r="F6327" s="22">
        <f>C6327*E6327</f>
      </c>
    </row>
    <row r="6328">
      <c r="A6328" s="5" t="s">
        <v>1375</v>
      </c>
      <c r="B6328" s="13" t="s">
        <v>1376</v>
      </c>
      <c r="C6328" s="22"/>
      <c r="D6328" s="22" t="s">
        <v>10</v>
      </c>
      <c r="E6328" s="22"/>
      <c r="F6328" s="22">
        <f>C6328*E6328</f>
      </c>
    </row>
    <row r="6329">
      <c r="A6329" s="5" t="s">
        <v>1377</v>
      </c>
      <c r="B6329" s="13" t="s">
        <v>853</v>
      </c>
      <c r="C6329" s="22"/>
      <c r="D6329" s="22" t="s">
        <v>10</v>
      </c>
      <c r="E6329" s="22"/>
      <c r="F6329" s="22">
        <f>C6329*E6329</f>
      </c>
    </row>
    <row r="6330">
      <c r="A6330" s="5" t="s">
        <v>1378</v>
      </c>
      <c r="B6330" s="13" t="s">
        <v>123</v>
      </c>
      <c r="C6330" s="22"/>
      <c r="D6330" s="22" t="s">
        <v>10</v>
      </c>
      <c r="E6330" s="22"/>
      <c r="F6330" s="22">
        <f>C6330*E6330</f>
      </c>
    </row>
    <row r="6331">
      <c r="A6331" s="3"/>
      <c r="B6331" s="11" t="s">
        <v>68</v>
      </c>
      <c r="C6331" s="20"/>
      <c r="D6331" s="20"/>
      <c r="E6331" s="20"/>
      <c r="F6331" s="20"/>
    </row>
    <row r="6332">
      <c r="A6332" s="5" t="s">
        <v>1379</v>
      </c>
      <c r="B6332" s="14" t="s">
        <v>70</v>
      </c>
      <c r="C6332" s="22"/>
      <c r="D6332" s="22" t="s">
        <v>71</v>
      </c>
      <c r="E6332" s="22"/>
      <c r="F6332" s="22">
        <f>C6332*E6332</f>
      </c>
    </row>
    <row r="6333">
      <c r="A6333" s="5" t="s">
        <v>1380</v>
      </c>
      <c r="B6333" s="14" t="s">
        <v>230</v>
      </c>
      <c r="C6333" s="22"/>
      <c r="D6333" s="22" t="s">
        <v>71</v>
      </c>
      <c r="E6333" s="22"/>
      <c r="F6333" s="22">
        <f>C6333*E6333</f>
      </c>
    </row>
    <row r="6334">
      <c r="A6334" s="5" t="s">
        <v>1381</v>
      </c>
      <c r="B6334" s="14" t="s">
        <v>136</v>
      </c>
      <c r="C6334" s="22"/>
      <c r="D6334" s="22" t="s">
        <v>71</v>
      </c>
      <c r="E6334" s="22"/>
      <c r="F6334" s="22">
        <f>C6334*E6334</f>
      </c>
    </row>
    <row r="6335">
      <c r="A6335" s="5" t="s">
        <v>1382</v>
      </c>
      <c r="B6335" s="14" t="s">
        <v>816</v>
      </c>
      <c r="C6335" s="22"/>
      <c r="D6335" s="22" t="s">
        <v>71</v>
      </c>
      <c r="E6335" s="22"/>
      <c r="F6335" s="22">
        <f>C6335*E6335</f>
      </c>
    </row>
    <row r="6336">
      <c r="A6336" s="5" t="s">
        <v>1383</v>
      </c>
      <c r="B6336" s="14" t="s">
        <v>665</v>
      </c>
      <c r="C6336" s="22"/>
      <c r="D6336" s="22" t="s">
        <v>71</v>
      </c>
      <c r="E6336" s="22"/>
      <c r="F6336" s="22">
        <f>C6336*E6336</f>
      </c>
    </row>
    <row r="6337">
      <c r="A6337" s="5" t="s">
        <v>1384</v>
      </c>
      <c r="B6337" s="14" t="s">
        <v>1385</v>
      </c>
      <c r="C6337" s="22"/>
      <c r="D6337" s="22" t="s">
        <v>71</v>
      </c>
      <c r="E6337" s="22"/>
      <c r="F6337" s="22">
        <f>C6337*E6337</f>
      </c>
    </row>
    <row r="6338">
      <c r="A6338" s="3"/>
      <c r="B6338" s="11" t="s">
        <v>106</v>
      </c>
      <c r="C6338" s="20"/>
      <c r="D6338" s="20"/>
      <c r="E6338" s="20"/>
      <c r="F6338" s="20"/>
    </row>
    <row r="6339">
      <c r="A6339" s="5"/>
      <c r="B6339" s="14" t="s">
        <v>1386</v>
      </c>
      <c r="C6339" s="22"/>
      <c r="D6339" s="22" t="s">
        <v>10</v>
      </c>
      <c r="E6339" s="22"/>
      <c r="F6339" s="22">
        <f>C6339*E6339</f>
      </c>
    </row>
    <row r="6340">
      <c r="A6340" s="5"/>
      <c r="B6340" s="14" t="s">
        <v>1387</v>
      </c>
      <c r="C6340" s="22"/>
      <c r="D6340" s="22" t="s">
        <v>10</v>
      </c>
      <c r="E6340" s="22"/>
      <c r="F6340" s="22">
        <f>C6340*E6340</f>
      </c>
    </row>
    <row r="6341">
      <c r="A6341" s="3"/>
      <c r="B6341" s="11" t="s">
        <v>1388</v>
      </c>
      <c r="C6341" s="20"/>
      <c r="D6341" s="20"/>
      <c r="E6341" s="20"/>
      <c r="F6341" s="20"/>
    </row>
    <row r="6342">
      <c r="A6342" s="5"/>
      <c r="B6342" s="14" t="s">
        <v>1390</v>
      </c>
      <c r="C6342" s="22">
        <f>(1)*(1)*(1)*(1)*(1 + (0))</f>
      </c>
      <c r="D6342" s="22" t="s">
        <v>162</v>
      </c>
      <c r="E6342" s="22"/>
      <c r="F6342" s="22">
        <f>C6342*E6342</f>
      </c>
    </row>
    <row r="6343">
      <c r="A6343" s="3"/>
      <c r="B6343" s="11" t="s">
        <v>1392</v>
      </c>
      <c r="C6343" s="20"/>
      <c r="D6343" s="20"/>
      <c r="E6343" s="20"/>
      <c r="F6343" s="20"/>
    </row>
    <row r="6344">
      <c r="A6344" s="5"/>
      <c r="B6344" s="14" t="s">
        <v>1393</v>
      </c>
      <c r="C6344" s="22">
        <f>(1)*(1)*(1)*(1)*(1 + (0))</f>
      </c>
      <c r="D6344" s="22" t="s">
        <v>162</v>
      </c>
      <c r="E6344" s="22"/>
      <c r="F6344" s="22">
        <f>C6344*E6344</f>
      </c>
    </row>
    <row r="6345">
      <c r="A6345" s="3"/>
      <c r="B6345" s="11" t="s">
        <v>2059</v>
      </c>
      <c r="C6345" s="20"/>
      <c r="D6345" s="20"/>
      <c r="E6345" s="20"/>
      <c r="F6345" s="20"/>
    </row>
    <row r="6346">
      <c r="A6346" s="5"/>
      <c r="B6346" s="14" t="s">
        <v>2060</v>
      </c>
      <c r="C6346" s="22">
        <f>(2)*(1)*(1)*(1)*(1 + (0))</f>
      </c>
      <c r="D6346" s="22" t="s">
        <v>162</v>
      </c>
      <c r="E6346" s="22"/>
      <c r="F6346" s="22">
        <f>C6346*E6346</f>
      </c>
    </row>
    <row r="6347">
      <c r="A6347" s="3"/>
      <c r="B6347" s="11" t="s">
        <v>1397</v>
      </c>
      <c r="C6347" s="20"/>
      <c r="D6347" s="20"/>
      <c r="E6347" s="20"/>
      <c r="F6347" s="20"/>
    </row>
    <row r="6348">
      <c r="A6348" s="4"/>
      <c r="B6348" s="12" t="s">
        <v>1398</v>
      </c>
      <c r="C6348" s="21"/>
      <c r="D6348" s="21"/>
      <c r="E6348" s="21"/>
      <c r="F6348" s="21"/>
    </row>
    <row r="6349">
      <c r="A6349" s="6"/>
      <c r="B6349" s="15" t="s">
        <v>1793</v>
      </c>
      <c r="C6349" s="23"/>
      <c r="D6349" s="23"/>
      <c r="E6349" s="23"/>
      <c r="F6349" s="23"/>
    </row>
    <row r="6350">
      <c r="A6350" s="5"/>
      <c r="B6350" s="16" t="s">
        <v>2062</v>
      </c>
      <c r="C6350" s="22">
        <f>(3)*(1)*(1)*(1)*(1 + (0))</f>
      </c>
      <c r="D6350" s="22" t="s">
        <v>162</v>
      </c>
      <c r="E6350" s="22"/>
      <c r="F6350" s="22">
        <f>C6350*E6350</f>
      </c>
    </row>
    <row r="6351">
      <c r="A6351" s="5"/>
      <c r="B6351" s="16" t="s">
        <v>1420</v>
      </c>
      <c r="C6351" s="22">
        <f>(1)*(1)*(1)*(1)*(1 + (0))</f>
      </c>
      <c r="D6351" s="22" t="s">
        <v>162</v>
      </c>
      <c r="E6351" s="22"/>
      <c r="F6351" s="22">
        <f>C6351*E6351</f>
      </c>
    </row>
    <row r="6352">
      <c r="A6352" s="5"/>
      <c r="B6352" s="16" t="s">
        <v>1421</v>
      </c>
      <c r="C6352" s="22">
        <f>(1)*(1)*(1)*(1)*(1 + (0))</f>
      </c>
      <c r="D6352" s="22" t="s">
        <v>162</v>
      </c>
      <c r="E6352" s="22"/>
      <c r="F6352" s="22">
        <f>C6352*E6352</f>
      </c>
    </row>
    <row r="6353">
      <c r="A6353" s="5"/>
      <c r="B6353" s="14" t="s">
        <v>1436</v>
      </c>
      <c r="C6353" s="22">
        <f>(1)*(1)*(1)*(1)*(1 + (0))</f>
      </c>
      <c r="D6353" s="22" t="s">
        <v>606</v>
      </c>
      <c r="E6353" s="22"/>
      <c r="F6353" s="22">
        <f>C6353*E6353</f>
      </c>
    </row>
    <row r="6354">
      <c r="A6354" s="5"/>
      <c r="B6354" s="7" t="s">
        <v>1437</v>
      </c>
      <c r="C6354" s="22"/>
      <c r="D6354" s="22"/>
      <c r="E6354" s="22"/>
      <c r="F6354" s="22">
        <f>C6354*E6354</f>
      </c>
    </row>
    <row r="6355">
      <c r="A6355" s="5"/>
      <c r="B6355" s="7" t="s">
        <v>1438</v>
      </c>
      <c r="C6355" s="22"/>
      <c r="D6355" s="22"/>
      <c r="E6355" s="22"/>
      <c r="F6355" s="22">
        <f>C6355*E6355</f>
      </c>
    </row>
    <row r="6356">
      <c r="A6356" s="5"/>
      <c r="B6356" s="7" t="s">
        <v>1439</v>
      </c>
      <c r="C6356" s="22"/>
      <c r="D6356" s="22"/>
      <c r="E6356" s="22"/>
      <c r="F6356" s="22">
        <f>C6356*E6356</f>
      </c>
    </row>
    <row r="6357">
      <c r="A6357" s="5"/>
      <c r="B6357" s="7" t="s">
        <v>1440</v>
      </c>
      <c r="C6357" s="22"/>
      <c r="D6357" s="22"/>
      <c r="E6357" s="22"/>
      <c r="F6357" s="22">
        <f>C6357*E6357</f>
      </c>
    </row>
    <row r="6358">
      <c r="A6358" s="2"/>
      <c r="B6358" s="10" t="s">
        <v>1441</v>
      </c>
      <c r="C6358" s="19"/>
      <c r="D6358" s="19"/>
      <c r="E6358" s="19"/>
      <c r="F6358" s="19"/>
    </row>
    <row r="6359">
      <c r="A6359" s="3"/>
      <c r="B6359" s="11" t="s">
        <v>37</v>
      </c>
      <c r="C6359" s="20"/>
      <c r="D6359" s="20"/>
      <c r="E6359" s="20"/>
      <c r="F6359" s="20"/>
    </row>
    <row r="6360">
      <c r="A6360" s="5" t="s">
        <v>1285</v>
      </c>
      <c r="B6360" s="14" t="s">
        <v>39</v>
      </c>
      <c r="C6360" s="22"/>
      <c r="D6360" s="22" t="s">
        <v>10</v>
      </c>
      <c r="E6360" s="22"/>
      <c r="F6360" s="22">
        <f>C6360*E6360</f>
      </c>
    </row>
    <row r="6361">
      <c r="A6361" s="5" t="s">
        <v>1286</v>
      </c>
      <c r="B6361" s="14" t="s">
        <v>41</v>
      </c>
      <c r="C6361" s="22"/>
      <c r="D6361" s="22" t="s">
        <v>10</v>
      </c>
      <c r="E6361" s="22"/>
      <c r="F6361" s="22">
        <f>C6361*E6361</f>
      </c>
    </row>
    <row r="6362">
      <c r="A6362" s="3"/>
      <c r="B6362" s="11" t="s">
        <v>42</v>
      </c>
      <c r="C6362" s="20"/>
      <c r="D6362" s="20"/>
      <c r="E6362" s="20"/>
      <c r="F6362" s="20"/>
    </row>
    <row r="6363">
      <c r="A6363" s="5"/>
      <c r="B6363" s="14" t="s">
        <v>1287</v>
      </c>
      <c r="C6363" s="22"/>
      <c r="D6363" s="22" t="s">
        <v>10</v>
      </c>
      <c r="E6363" s="22"/>
      <c r="F6363" s="22">
        <f>C6363*E6363</f>
      </c>
    </row>
    <row r="6364">
      <c r="A6364" s="5"/>
      <c r="B6364" s="14" t="s">
        <v>1288</v>
      </c>
      <c r="C6364" s="22"/>
      <c r="D6364" s="22" t="s">
        <v>10</v>
      </c>
      <c r="E6364" s="22"/>
      <c r="F6364" s="22">
        <f>C6364*E6364</f>
      </c>
    </row>
    <row r="6365">
      <c r="A6365" s="5"/>
      <c r="B6365" s="14" t="s">
        <v>1289</v>
      </c>
      <c r="C6365" s="22"/>
      <c r="D6365" s="22" t="s">
        <v>10</v>
      </c>
      <c r="E6365" s="22"/>
      <c r="F6365" s="22">
        <f>C6365*E6365</f>
      </c>
    </row>
    <row r="6366">
      <c r="A6366" s="5"/>
      <c r="B6366" s="14" t="s">
        <v>1290</v>
      </c>
      <c r="C6366" s="22"/>
      <c r="D6366" s="22" t="s">
        <v>10</v>
      </c>
      <c r="E6366" s="22"/>
      <c r="F6366" s="22">
        <f>C6366*E6366</f>
      </c>
    </row>
    <row r="6367">
      <c r="A6367" s="3"/>
      <c r="B6367" s="11" t="s">
        <v>44</v>
      </c>
      <c r="C6367" s="20"/>
      <c r="D6367" s="20"/>
      <c r="E6367" s="20"/>
      <c r="F6367" s="20"/>
    </row>
    <row r="6368">
      <c r="A6368" s="4"/>
      <c r="B6368" s="12" t="s">
        <v>45</v>
      </c>
      <c r="C6368" s="21"/>
      <c r="D6368" s="21"/>
      <c r="E6368" s="21"/>
      <c r="F6368" s="21"/>
    </row>
    <row r="6369">
      <c r="A6369" s="5" t="s">
        <v>1291</v>
      </c>
      <c r="B6369" s="13" t="s">
        <v>767</v>
      </c>
      <c r="C6369" s="22"/>
      <c r="D6369" s="22" t="s">
        <v>10</v>
      </c>
      <c r="E6369" s="22"/>
      <c r="F6369" s="22">
        <f>C6369*E6369</f>
      </c>
    </row>
    <row r="6370">
      <c r="A6370" s="5" t="s">
        <v>1292</v>
      </c>
      <c r="B6370" s="13" t="s">
        <v>123</v>
      </c>
      <c r="C6370" s="22"/>
      <c r="D6370" s="22" t="s">
        <v>10</v>
      </c>
      <c r="E6370" s="22"/>
      <c r="F6370" s="22">
        <f>C6370*E6370</f>
      </c>
    </row>
    <row r="6371">
      <c r="A6371" s="3"/>
      <c r="B6371" s="11" t="s">
        <v>68</v>
      </c>
      <c r="C6371" s="20"/>
      <c r="D6371" s="20"/>
      <c r="E6371" s="20"/>
      <c r="F6371" s="20"/>
    </row>
    <row r="6372">
      <c r="A6372" s="5" t="s">
        <v>1293</v>
      </c>
      <c r="B6372" s="14" t="s">
        <v>230</v>
      </c>
      <c r="C6372" s="22">
        <f>(1)*(1)*(1)*(1)*(1 + (0))</f>
      </c>
      <c r="D6372" s="22" t="s">
        <v>71</v>
      </c>
      <c r="E6372" s="22"/>
      <c r="F6372" s="22">
        <f>C6372*E6372</f>
      </c>
    </row>
    <row r="6373">
      <c r="A6373" s="5" t="s">
        <v>1294</v>
      </c>
      <c r="B6373" s="14" t="s">
        <v>70</v>
      </c>
      <c r="C6373" s="22">
        <f>(1)*(1)*(1)*(1)*(1 + (0))</f>
      </c>
      <c r="D6373" s="22" t="s">
        <v>71</v>
      </c>
      <c r="E6373" s="22"/>
      <c r="F6373" s="22">
        <f>C6373*E6373</f>
      </c>
    </row>
    <row r="6374">
      <c r="A6374" s="5" t="s">
        <v>1295</v>
      </c>
      <c r="B6374" s="14" t="s">
        <v>906</v>
      </c>
      <c r="C6374" s="22">
        <f>(1)*(1)*(1)*(1)*(1 + (0))</f>
      </c>
      <c r="D6374" s="22" t="s">
        <v>71</v>
      </c>
      <c r="E6374" s="22"/>
      <c r="F6374" s="22">
        <f>C6374*E6374</f>
      </c>
    </row>
    <row r="6375">
      <c r="A6375" s="5" t="s">
        <v>1296</v>
      </c>
      <c r="B6375" s="14" t="s">
        <v>665</v>
      </c>
      <c r="C6375" s="22">
        <f>(1)*(1)*(1)*(1)*(1 + (0))</f>
      </c>
      <c r="D6375" s="22" t="s">
        <v>71</v>
      </c>
      <c r="E6375" s="22"/>
      <c r="F6375" s="22">
        <f>C6375*E6375</f>
      </c>
    </row>
    <row r="6376">
      <c r="A6376" s="3"/>
      <c r="B6376" s="11" t="s">
        <v>2245</v>
      </c>
      <c r="C6376" s="20"/>
      <c r="D6376" s="20"/>
      <c r="E6376" s="20"/>
      <c r="F6376" s="20"/>
    </row>
    <row r="6377">
      <c r="A6377" s="5"/>
      <c r="B6377" s="14" t="s">
        <v>2246</v>
      </c>
      <c r="C6377" s="22">
        <f>(1)*(1)*(1)*(1)*(1 + (0))</f>
      </c>
      <c r="D6377" s="22" t="s">
        <v>162</v>
      </c>
      <c r="E6377" s="22"/>
      <c r="F6377" s="22">
        <f>C6377*E6377</f>
      </c>
    </row>
    <row r="6378">
      <c r="A6378" s="3"/>
      <c r="B6378" s="11" t="s">
        <v>1442</v>
      </c>
      <c r="C6378" s="20"/>
      <c r="D6378" s="20"/>
      <c r="E6378" s="20"/>
      <c r="F6378" s="20"/>
    </row>
    <row r="6379">
      <c r="A6379" s="5"/>
      <c r="B6379" s="14" t="s">
        <v>1795</v>
      </c>
      <c r="C6379" s="22">
        <f>(3)*(1)*(1)*(1)*(1 + (0))</f>
      </c>
      <c r="D6379" s="22" t="s">
        <v>162</v>
      </c>
      <c r="E6379" s="22"/>
      <c r="F6379" s="22">
        <f>C6379*E6379</f>
      </c>
    </row>
    <row r="6380">
      <c r="A6380" s="5"/>
      <c r="B6380" s="7" t="s">
        <v>1452</v>
      </c>
      <c r="C6380" s="22"/>
      <c r="D6380" s="22"/>
      <c r="E6380" s="22"/>
      <c r="F6380" s="22">
        <f>C6380*E6380</f>
      </c>
    </row>
    <row r="6381">
      <c r="A6381" s="5"/>
      <c r="B6381" s="7" t="s">
        <v>1453</v>
      </c>
      <c r="C6381" s="22"/>
      <c r="D6381" s="22"/>
      <c r="E6381" s="22"/>
      <c r="F6381" s="22">
        <f>C6381*E6381</f>
      </c>
    </row>
    <row r="6382">
      <c r="A6382" s="2"/>
      <c r="B6382" s="10" t="s">
        <v>1454</v>
      </c>
      <c r="C6382" s="19"/>
      <c r="D6382" s="19"/>
      <c r="E6382" s="19"/>
      <c r="F6382" s="19"/>
    </row>
    <row r="6383">
      <c r="A6383" s="3"/>
      <c r="B6383" s="11" t="s">
        <v>37</v>
      </c>
      <c r="C6383" s="20"/>
      <c r="D6383" s="20"/>
      <c r="E6383" s="20"/>
      <c r="F6383" s="20"/>
    </row>
    <row r="6384">
      <c r="A6384" s="5" t="s">
        <v>1285</v>
      </c>
      <c r="B6384" s="14" t="s">
        <v>39</v>
      </c>
      <c r="C6384" s="22"/>
      <c r="D6384" s="22" t="s">
        <v>10</v>
      </c>
      <c r="E6384" s="22"/>
      <c r="F6384" s="22">
        <f>C6384*E6384</f>
      </c>
    </row>
    <row r="6385">
      <c r="A6385" s="5" t="s">
        <v>1286</v>
      </c>
      <c r="B6385" s="14" t="s">
        <v>41</v>
      </c>
      <c r="C6385" s="22"/>
      <c r="D6385" s="22" t="s">
        <v>10</v>
      </c>
      <c r="E6385" s="22"/>
      <c r="F6385" s="22">
        <f>C6385*E6385</f>
      </c>
    </row>
    <row r="6386">
      <c r="A6386" s="3"/>
      <c r="B6386" s="11" t="s">
        <v>42</v>
      </c>
      <c r="C6386" s="20"/>
      <c r="D6386" s="20"/>
      <c r="E6386" s="20"/>
      <c r="F6386" s="20"/>
    </row>
    <row r="6387">
      <c r="A6387" s="5"/>
      <c r="B6387" s="14" t="s">
        <v>1287</v>
      </c>
      <c r="C6387" s="22"/>
      <c r="D6387" s="22" t="s">
        <v>10</v>
      </c>
      <c r="E6387" s="22"/>
      <c r="F6387" s="22">
        <f>C6387*E6387</f>
      </c>
    </row>
    <row r="6388">
      <c r="A6388" s="5"/>
      <c r="B6388" s="14" t="s">
        <v>1288</v>
      </c>
      <c r="C6388" s="22"/>
      <c r="D6388" s="22" t="s">
        <v>10</v>
      </c>
      <c r="E6388" s="22"/>
      <c r="F6388" s="22">
        <f>C6388*E6388</f>
      </c>
    </row>
    <row r="6389">
      <c r="A6389" s="5"/>
      <c r="B6389" s="14" t="s">
        <v>1289</v>
      </c>
      <c r="C6389" s="22"/>
      <c r="D6389" s="22" t="s">
        <v>10</v>
      </c>
      <c r="E6389" s="22"/>
      <c r="F6389" s="22">
        <f>C6389*E6389</f>
      </c>
    </row>
    <row r="6390">
      <c r="A6390" s="5"/>
      <c r="B6390" s="14" t="s">
        <v>1290</v>
      </c>
      <c r="C6390" s="22"/>
      <c r="D6390" s="22" t="s">
        <v>10</v>
      </c>
      <c r="E6390" s="22"/>
      <c r="F6390" s="22">
        <f>C6390*E6390</f>
      </c>
    </row>
    <row r="6391">
      <c r="A6391" s="3"/>
      <c r="B6391" s="11" t="s">
        <v>44</v>
      </c>
      <c r="C6391" s="20"/>
      <c r="D6391" s="20"/>
      <c r="E6391" s="20"/>
      <c r="F6391" s="20"/>
    </row>
    <row r="6392">
      <c r="A6392" s="4"/>
      <c r="B6392" s="12" t="s">
        <v>45</v>
      </c>
      <c r="C6392" s="21"/>
      <c r="D6392" s="21"/>
      <c r="E6392" s="21"/>
      <c r="F6392" s="21"/>
    </row>
    <row r="6393">
      <c r="A6393" s="5" t="s">
        <v>1291</v>
      </c>
      <c r="B6393" s="13" t="s">
        <v>767</v>
      </c>
      <c r="C6393" s="22"/>
      <c r="D6393" s="22" t="s">
        <v>10</v>
      </c>
      <c r="E6393" s="22"/>
      <c r="F6393" s="22">
        <f>C6393*E6393</f>
      </c>
    </row>
    <row r="6394">
      <c r="A6394" s="5" t="s">
        <v>1292</v>
      </c>
      <c r="B6394" s="13" t="s">
        <v>123</v>
      </c>
      <c r="C6394" s="22"/>
      <c r="D6394" s="22" t="s">
        <v>10</v>
      </c>
      <c r="E6394" s="22"/>
      <c r="F6394" s="22">
        <f>C6394*E6394</f>
      </c>
    </row>
    <row r="6395">
      <c r="A6395" s="3"/>
      <c r="B6395" s="11" t="s">
        <v>68</v>
      </c>
      <c r="C6395" s="20"/>
      <c r="D6395" s="20"/>
      <c r="E6395" s="20"/>
      <c r="F6395" s="20"/>
    </row>
    <row r="6396">
      <c r="A6396" s="5" t="s">
        <v>1293</v>
      </c>
      <c r="B6396" s="14" t="s">
        <v>230</v>
      </c>
      <c r="C6396" s="22">
        <f>(1)*(1)*(1)*(1)*(1 + (0))</f>
      </c>
      <c r="D6396" s="22" t="s">
        <v>71</v>
      </c>
      <c r="E6396" s="22"/>
      <c r="F6396" s="22">
        <f>C6396*E6396</f>
      </c>
    </row>
    <row r="6397">
      <c r="A6397" s="5" t="s">
        <v>1294</v>
      </c>
      <c r="B6397" s="14" t="s">
        <v>70</v>
      </c>
      <c r="C6397" s="22">
        <f>(1)*(1)*(1)*(1)*(1 + (0))</f>
      </c>
      <c r="D6397" s="22" t="s">
        <v>71</v>
      </c>
      <c r="E6397" s="22"/>
      <c r="F6397" s="22">
        <f>C6397*E6397</f>
      </c>
    </row>
    <row r="6398">
      <c r="A6398" s="5" t="s">
        <v>1295</v>
      </c>
      <c r="B6398" s="14" t="s">
        <v>906</v>
      </c>
      <c r="C6398" s="22">
        <f>(1)*(1)*(1)*(1)*(1 + (0))</f>
      </c>
      <c r="D6398" s="22" t="s">
        <v>71</v>
      </c>
      <c r="E6398" s="22"/>
      <c r="F6398" s="22">
        <f>C6398*E6398</f>
      </c>
    </row>
    <row r="6399">
      <c r="A6399" s="5" t="s">
        <v>1296</v>
      </c>
      <c r="B6399" s="14" t="s">
        <v>665</v>
      </c>
      <c r="C6399" s="22">
        <f>(1)*(1)*(1)*(1)*(1 + (0))</f>
      </c>
      <c r="D6399" s="22" t="s">
        <v>71</v>
      </c>
      <c r="E6399" s="22"/>
      <c r="F6399" s="22">
        <f>C6399*E6399</f>
      </c>
    </row>
    <row r="6400">
      <c r="A6400" s="3"/>
      <c r="B6400" s="11" t="s">
        <v>106</v>
      </c>
      <c r="C6400" s="20"/>
      <c r="D6400" s="20"/>
      <c r="E6400" s="20"/>
      <c r="F6400" s="20"/>
    </row>
    <row r="6401">
      <c r="A6401" s="5"/>
      <c r="B6401" s="14" t="s">
        <v>1456</v>
      </c>
      <c r="C6401" s="22"/>
      <c r="D6401" s="22" t="s">
        <v>1335</v>
      </c>
      <c r="E6401" s="22"/>
      <c r="F6401" s="22">
        <f>C6401*E6401</f>
      </c>
    </row>
    <row r="6402">
      <c r="A6402" s="5"/>
      <c r="B6402" s="14" t="s">
        <v>1457</v>
      </c>
      <c r="C6402" s="22"/>
      <c r="D6402" s="22" t="s">
        <v>1335</v>
      </c>
      <c r="E6402" s="22"/>
      <c r="F6402" s="22">
        <f>C6402*E6402</f>
      </c>
    </row>
    <row r="6403">
      <c r="A6403" s="5"/>
      <c r="B6403" s="14" t="s">
        <v>1458</v>
      </c>
      <c r="C6403" s="22"/>
      <c r="D6403" s="22" t="s">
        <v>1335</v>
      </c>
      <c r="E6403" s="22"/>
      <c r="F6403" s="22">
        <f>C6403*E6403</f>
      </c>
    </row>
    <row r="6404">
      <c r="A6404" s="5"/>
      <c r="B6404" s="14" t="s">
        <v>1459</v>
      </c>
      <c r="C6404" s="22"/>
      <c r="D6404" s="22" t="s">
        <v>1335</v>
      </c>
      <c r="E6404" s="22"/>
      <c r="F6404" s="22">
        <f>C6404*E6404</f>
      </c>
    </row>
    <row r="6405">
      <c r="A6405" s="3"/>
      <c r="B6405" s="11" t="s">
        <v>1460</v>
      </c>
      <c r="C6405" s="20"/>
      <c r="D6405" s="20"/>
      <c r="E6405" s="20"/>
      <c r="F6405" s="20"/>
    </row>
    <row r="6406">
      <c r="A6406" s="4"/>
      <c r="B6406" s="12" t="s">
        <v>1467</v>
      </c>
      <c r="C6406" s="21"/>
      <c r="D6406" s="21"/>
      <c r="E6406" s="21"/>
      <c r="F6406" s="21"/>
    </row>
    <row r="6407">
      <c r="A6407" s="6"/>
      <c r="B6407" s="15" t="s">
        <v>1468</v>
      </c>
      <c r="C6407" s="23"/>
      <c r="D6407" s="23"/>
      <c r="E6407" s="23"/>
      <c r="F6407" s="23"/>
    </row>
    <row r="6408">
      <c r="A6408" s="5"/>
      <c r="B6408" s="16" t="s">
        <v>2247</v>
      </c>
      <c r="C6408" s="22">
        <f>(1)*(1)*(1)*(1)*(1 + (0))</f>
      </c>
      <c r="D6408" s="22" t="s">
        <v>162</v>
      </c>
      <c r="E6408" s="22"/>
      <c r="F6408" s="22">
        <f>C6408*E6408</f>
      </c>
    </row>
    <row r="6409">
      <c r="A6409" s="5"/>
      <c r="B6409" s="16" t="s">
        <v>2071</v>
      </c>
      <c r="C6409" s="22">
        <f>(1)*(1)*(1)*(1)*(1 + (0))</f>
      </c>
      <c r="D6409" s="22" t="s">
        <v>162</v>
      </c>
      <c r="E6409" s="22"/>
      <c r="F6409" s="22">
        <f>C6409*E6409</f>
      </c>
    </row>
    <row r="6410">
      <c r="A6410" s="5"/>
      <c r="B6410" s="16" t="s">
        <v>1799</v>
      </c>
      <c r="C6410" s="22">
        <f>(1)*(1)*(1)*(1)*(1 + (0))</f>
      </c>
      <c r="D6410" s="22" t="s">
        <v>162</v>
      </c>
      <c r="E6410" s="22"/>
      <c r="F6410" s="22">
        <f>C6410*E6410</f>
      </c>
    </row>
    <row r="6411">
      <c r="A6411" s="5"/>
      <c r="B6411" s="16" t="s">
        <v>1800</v>
      </c>
      <c r="C6411" s="22">
        <f>(1)*(1)*(1)*(1)*(1 + (0))</f>
      </c>
      <c r="D6411" s="22" t="s">
        <v>162</v>
      </c>
      <c r="E6411" s="22"/>
      <c r="F6411" s="22">
        <f>C6411*E6411</f>
      </c>
    </row>
    <row r="6412">
      <c r="A6412" s="5"/>
      <c r="B6412" s="16" t="s">
        <v>2073</v>
      </c>
      <c r="C6412" s="22">
        <f>(1)*(1)*(1)*(1)*(1 + (0))</f>
      </c>
      <c r="D6412" s="22" t="s">
        <v>162</v>
      </c>
      <c r="E6412" s="22"/>
      <c r="F6412" s="22">
        <f>C6412*E6412</f>
      </c>
    </row>
    <row r="6413">
      <c r="A6413" s="5"/>
      <c r="B6413" s="16" t="s">
        <v>1801</v>
      </c>
      <c r="C6413" s="22">
        <f>(1)*(1)*(1)*(1)*(1 + (0))</f>
      </c>
      <c r="D6413" s="22" t="s">
        <v>162</v>
      </c>
      <c r="E6413" s="22"/>
      <c r="F6413" s="22">
        <f>C6413*E6413</f>
      </c>
    </row>
    <row r="6414">
      <c r="A6414" s="5"/>
      <c r="B6414" s="16" t="s">
        <v>1477</v>
      </c>
      <c r="C6414" s="22">
        <f>(3)*(1)*(1)*(1)*(1 + (0))</f>
      </c>
      <c r="D6414" s="22" t="s">
        <v>162</v>
      </c>
      <c r="E6414" s="22"/>
      <c r="F6414" s="22">
        <f>C6414*E6414</f>
      </c>
    </row>
    <row r="6415">
      <c r="A6415" s="5"/>
      <c r="B6415" s="16" t="s">
        <v>2248</v>
      </c>
      <c r="C6415" s="22">
        <f>(2)*(1)*(1)*(1)*(1 + (0))</f>
      </c>
      <c r="D6415" s="22" t="s">
        <v>162</v>
      </c>
      <c r="E6415" s="22"/>
      <c r="F6415" s="22">
        <f>C6415*E6415</f>
      </c>
    </row>
    <row r="6416">
      <c r="A6416" s="5"/>
      <c r="B6416" s="16" t="s">
        <v>2249</v>
      </c>
      <c r="C6416" s="22">
        <f>(6)*(1)*(1)*(1)*(1 + (0))</f>
      </c>
      <c r="D6416" s="22" t="s">
        <v>162</v>
      </c>
      <c r="E6416" s="22"/>
      <c r="F6416" s="22">
        <f>C6416*E6416</f>
      </c>
    </row>
    <row r="6417">
      <c r="A6417" s="5"/>
      <c r="B6417" s="16" t="s">
        <v>2250</v>
      </c>
      <c r="C6417" s="22">
        <f>(1)*(1)*(1)*(1)*(1 + (0))</f>
      </c>
      <c r="D6417" s="22" t="s">
        <v>162</v>
      </c>
      <c r="E6417" s="22"/>
      <c r="F6417" s="22">
        <f>C6417*E6417</f>
      </c>
    </row>
    <row r="6418">
      <c r="A6418" s="6"/>
      <c r="B6418" s="15" t="s">
        <v>1479</v>
      </c>
      <c r="C6418" s="23"/>
      <c r="D6418" s="23"/>
      <c r="E6418" s="23"/>
      <c r="F6418" s="23"/>
    </row>
    <row r="6419">
      <c r="A6419" s="5"/>
      <c r="B6419" s="16" t="s">
        <v>1805</v>
      </c>
      <c r="C6419" s="22">
        <f>(1)*(1)*(1)*(1)*(1 + (0))</f>
      </c>
      <c r="D6419" s="22" t="s">
        <v>162</v>
      </c>
      <c r="E6419" s="22"/>
      <c r="F6419" s="22">
        <f>C6419*E6419</f>
      </c>
    </row>
    <row r="6420">
      <c r="A6420" s="5"/>
      <c r="B6420" s="16" t="s">
        <v>2251</v>
      </c>
      <c r="C6420" s="22">
        <f>(9)*(1)*(1)*(1)*(1 + (0))</f>
      </c>
      <c r="D6420" s="22" t="s">
        <v>162</v>
      </c>
      <c r="E6420" s="22"/>
      <c r="F6420" s="22">
        <f>C6420*E6420</f>
      </c>
    </row>
    <row r="6421">
      <c r="A6421" s="5"/>
      <c r="B6421" s="16" t="s">
        <v>1482</v>
      </c>
      <c r="C6421" s="22">
        <f>(13)*(1)*(1)*(1)*(1 + (0))</f>
      </c>
      <c r="D6421" s="22" t="s">
        <v>162</v>
      </c>
      <c r="E6421" s="22"/>
      <c r="F6421" s="22">
        <f>C6421*E6421</f>
      </c>
    </row>
    <row r="6422">
      <c r="A6422" s="5"/>
      <c r="B6422" s="16" t="s">
        <v>2252</v>
      </c>
      <c r="C6422" s="22">
        <f>(1)*(1)*(1)*(1)*(1 + (0))</f>
      </c>
      <c r="D6422" s="22" t="s">
        <v>162</v>
      </c>
      <c r="E6422" s="22"/>
      <c r="F6422" s="22">
        <f>C6422*E6422</f>
      </c>
    </row>
    <row r="6423">
      <c r="A6423" s="5"/>
      <c r="B6423" s="16" t="s">
        <v>2253</v>
      </c>
      <c r="C6423" s="22">
        <f>(1)*(1)*(1)*(1)*(1 + (0))</f>
      </c>
      <c r="D6423" s="22" t="s">
        <v>162</v>
      </c>
      <c r="E6423" s="22"/>
      <c r="F6423" s="22">
        <f>C6423*E6423</f>
      </c>
    </row>
    <row r="6424">
      <c r="A6424" s="5"/>
      <c r="B6424" s="16" t="s">
        <v>1807</v>
      </c>
      <c r="C6424" s="22">
        <f>(1)*(1)*(1)*(1)*(1 + (0))</f>
      </c>
      <c r="D6424" s="22" t="s">
        <v>162</v>
      </c>
      <c r="E6424" s="22"/>
      <c r="F6424" s="22">
        <f>C6424*E6424</f>
      </c>
    </row>
    <row r="6425">
      <c r="A6425" s="5"/>
      <c r="B6425" s="16" t="s">
        <v>2078</v>
      </c>
      <c r="C6425" s="22">
        <f>(1)*(1)*(1)*(1)*(1 + (0))</f>
      </c>
      <c r="D6425" s="22" t="s">
        <v>162</v>
      </c>
      <c r="E6425" s="22"/>
      <c r="F6425" s="22">
        <f>C6425*E6425</f>
      </c>
    </row>
    <row r="6426">
      <c r="A6426" s="5"/>
      <c r="B6426" s="16"/>
      <c r="C6426" s="22"/>
      <c r="D6426" s="22"/>
      <c r="E6426" s="22"/>
      <c r="F6426" s="22">
        <f>C6426*E6426</f>
      </c>
    </row>
    <row r="6427">
      <c r="A6427" s="5"/>
      <c r="B6427" s="16" t="s">
        <v>2080</v>
      </c>
      <c r="C6427" s="22">
        <f>(2)*(1)*(1)*(1)*(1 + (0))</f>
      </c>
      <c r="D6427" s="22" t="s">
        <v>162</v>
      </c>
      <c r="E6427" s="22"/>
      <c r="F6427" s="22">
        <f>C6427*E6427</f>
      </c>
    </row>
    <row r="6428">
      <c r="A6428" s="6"/>
      <c r="B6428" s="15" t="s">
        <v>1489</v>
      </c>
      <c r="C6428" s="23"/>
      <c r="D6428" s="23"/>
      <c r="E6428" s="23"/>
      <c r="F6428" s="23"/>
    </row>
    <row r="6429">
      <c r="A6429" s="5"/>
      <c r="B6429" s="16" t="s">
        <v>1492</v>
      </c>
      <c r="C6429" s="22">
        <f>(1)*(1)*(1)*(1)*(1 + (0))</f>
      </c>
      <c r="D6429" s="22" t="s">
        <v>162</v>
      </c>
      <c r="E6429" s="22"/>
      <c r="F6429" s="22">
        <f>C6429*E6429</f>
      </c>
    </row>
    <row r="6430">
      <c r="A6430" s="5"/>
      <c r="B6430" s="16" t="s">
        <v>2254</v>
      </c>
      <c r="C6430" s="22">
        <f>(1)*(1)*(1)*(1)*(1 + (0))</f>
      </c>
      <c r="D6430" s="22" t="s">
        <v>162</v>
      </c>
      <c r="E6430" s="22"/>
      <c r="F6430" s="22">
        <f>C6430*E6430</f>
      </c>
    </row>
    <row r="6431">
      <c r="A6431" s="5"/>
      <c r="B6431" s="16" t="s">
        <v>2255</v>
      </c>
      <c r="C6431" s="22">
        <f>(9)*(1)*(1)*(1)*(1 + (0))</f>
      </c>
      <c r="D6431" s="22" t="s">
        <v>162</v>
      </c>
      <c r="E6431" s="22"/>
      <c r="F6431" s="22">
        <f>C6431*E6431</f>
      </c>
    </row>
    <row r="6432">
      <c r="A6432" s="6"/>
      <c r="B6432" s="15" t="s">
        <v>1493</v>
      </c>
      <c r="C6432" s="23"/>
      <c r="D6432" s="23"/>
      <c r="E6432" s="23"/>
      <c r="F6432" s="23"/>
    </row>
    <row r="6433">
      <c r="A6433" s="5"/>
      <c r="B6433" s="16" t="s">
        <v>1494</v>
      </c>
      <c r="C6433" s="22">
        <f>(2)*(1)*(1)*(1)*(1 + (0))</f>
      </c>
      <c r="D6433" s="22" t="s">
        <v>162</v>
      </c>
      <c r="E6433" s="22"/>
      <c r="F6433" s="22">
        <f>C6433*E6433</f>
      </c>
    </row>
    <row r="6434">
      <c r="A6434" s="5"/>
      <c r="B6434" s="16" t="s">
        <v>2256</v>
      </c>
      <c r="C6434" s="22">
        <f>(1)*(1)*(1)*(1)*(1 + (0))</f>
      </c>
      <c r="D6434" s="22" t="s">
        <v>162</v>
      </c>
      <c r="E6434" s="22"/>
      <c r="F6434" s="22">
        <f>C6434*E6434</f>
      </c>
    </row>
    <row r="6435">
      <c r="A6435" s="6"/>
      <c r="B6435" s="15" t="s">
        <v>2083</v>
      </c>
      <c r="C6435" s="23"/>
      <c r="D6435" s="23"/>
      <c r="E6435" s="23"/>
      <c r="F6435" s="23"/>
    </row>
    <row r="6436">
      <c r="A6436" s="5"/>
      <c r="B6436" s="16" t="s">
        <v>1497</v>
      </c>
      <c r="C6436" s="22">
        <f>(7)*(1)*(1)*(1)*(1 + (0))</f>
      </c>
      <c r="D6436" s="22" t="s">
        <v>162</v>
      </c>
      <c r="E6436" s="22"/>
      <c r="F6436" s="22">
        <f>C6436*E6436</f>
      </c>
    </row>
    <row r="6437">
      <c r="A6437" s="4"/>
      <c r="B6437" s="12" t="s">
        <v>1499</v>
      </c>
      <c r="C6437" s="21"/>
      <c r="D6437" s="21"/>
      <c r="E6437" s="21"/>
      <c r="F6437" s="21"/>
    </row>
    <row r="6438">
      <c r="A6438" s="6"/>
      <c r="B6438" s="15" t="s">
        <v>1500</v>
      </c>
      <c r="C6438" s="23"/>
      <c r="D6438" s="23"/>
      <c r="E6438" s="23"/>
      <c r="F6438" s="23"/>
    </row>
    <row r="6439">
      <c r="A6439" s="5"/>
      <c r="B6439" s="16" t="s">
        <v>1501</v>
      </c>
      <c r="C6439" s="22">
        <f>(10)*(1)*(1)*(1)*(1 + (0))</f>
      </c>
      <c r="D6439" s="22" t="s">
        <v>162</v>
      </c>
      <c r="E6439" s="22"/>
      <c r="F6439" s="22">
        <f>C6439*E6439</f>
      </c>
    </row>
    <row r="6440">
      <c r="A6440" s="5"/>
      <c r="B6440" s="16" t="s">
        <v>1502</v>
      </c>
      <c r="C6440" s="22">
        <f>(1)*(1)*(1)*(1)*(1 + (0))</f>
      </c>
      <c r="D6440" s="22" t="s">
        <v>162</v>
      </c>
      <c r="E6440" s="22"/>
      <c r="F6440" s="22">
        <f>C6440*E6440</f>
      </c>
    </row>
    <row r="6441">
      <c r="A6441" s="5"/>
      <c r="B6441" s="16" t="s">
        <v>1503</v>
      </c>
      <c r="C6441" s="22">
        <f>(10)*(1)*(1)*(1)*(1 + (0))</f>
      </c>
      <c r="D6441" s="22" t="s">
        <v>162</v>
      </c>
      <c r="E6441" s="22"/>
      <c r="F6441" s="22">
        <f>C6441*E6441</f>
      </c>
    </row>
    <row r="6442">
      <c r="A6442" s="5"/>
      <c r="B6442" s="16" t="s">
        <v>1817</v>
      </c>
      <c r="C6442" s="22">
        <f>(15)*(1)*(1)*(1)*(1 + (0))</f>
      </c>
      <c r="D6442" s="22" t="s">
        <v>162</v>
      </c>
      <c r="E6442" s="22"/>
      <c r="F6442" s="22">
        <f>C6442*E6442</f>
      </c>
    </row>
    <row r="6443">
      <c r="A6443" s="5"/>
      <c r="B6443" s="16" t="s">
        <v>2084</v>
      </c>
      <c r="C6443" s="22">
        <f>(1)*(1)*(1)*(1)*(1 + (0))</f>
      </c>
      <c r="D6443" s="22" t="s">
        <v>162</v>
      </c>
      <c r="E6443" s="22"/>
      <c r="F6443" s="22">
        <f>C6443*E6443</f>
      </c>
    </row>
    <row r="6444">
      <c r="A6444" s="6"/>
      <c r="B6444" s="15" t="s">
        <v>1507</v>
      </c>
      <c r="C6444" s="23"/>
      <c r="D6444" s="23"/>
      <c r="E6444" s="23"/>
      <c r="F6444" s="23"/>
    </row>
    <row r="6445">
      <c r="A6445" s="5"/>
      <c r="B6445" s="16" t="s">
        <v>1819</v>
      </c>
      <c r="C6445" s="22">
        <f>(1)*(1)*(1)*(1)*(1 + (0))</f>
      </c>
      <c r="D6445" s="22" t="s">
        <v>162</v>
      </c>
      <c r="E6445" s="22"/>
      <c r="F6445" s="22">
        <f>C6445*E6445</f>
      </c>
    </row>
    <row r="6446">
      <c r="A6446" s="5"/>
      <c r="B6446" s="16" t="s">
        <v>2085</v>
      </c>
      <c r="C6446" s="22">
        <f>(1)*(1)*(1)*(1)*(1 + (0))</f>
      </c>
      <c r="D6446" s="22" t="s">
        <v>162</v>
      </c>
      <c r="E6446" s="22"/>
      <c r="F6446" s="22">
        <f>C6446*E6446</f>
      </c>
    </row>
    <row r="6447">
      <c r="A6447" s="6"/>
      <c r="B6447" s="15" t="s">
        <v>1511</v>
      </c>
      <c r="C6447" s="23"/>
      <c r="D6447" s="23"/>
      <c r="E6447" s="23"/>
      <c r="F6447" s="23"/>
    </row>
    <row r="6448">
      <c r="A6448" s="5"/>
      <c r="B6448" s="16" t="s">
        <v>1512</v>
      </c>
      <c r="C6448" s="22">
        <f>(1)*(1)*(1)*(1)*(1 + (0))</f>
      </c>
      <c r="D6448" s="22" t="s">
        <v>162</v>
      </c>
      <c r="E6448" s="22"/>
      <c r="F6448" s="22">
        <f>C6448*E6448</f>
      </c>
    </row>
    <row r="6449">
      <c r="A6449" s="5"/>
      <c r="B6449" s="16" t="s">
        <v>2086</v>
      </c>
      <c r="C6449" s="22">
        <f>(1)*(1)*(1)*(1)*(1 + (0))</f>
      </c>
      <c r="D6449" s="22" t="s">
        <v>162</v>
      </c>
      <c r="E6449" s="22"/>
      <c r="F6449" s="22">
        <f>C6449*E6449</f>
      </c>
    </row>
    <row r="6450">
      <c r="A6450" s="5"/>
      <c r="B6450" s="16" t="s">
        <v>1820</v>
      </c>
      <c r="C6450" s="22">
        <f>(2)*(1)*(1)*(1)*(1 + (0))</f>
      </c>
      <c r="D6450" s="22" t="s">
        <v>162</v>
      </c>
      <c r="E6450" s="22"/>
      <c r="F6450" s="22">
        <f>C6450*E6450</f>
      </c>
    </row>
    <row r="6451">
      <c r="A6451" s="5"/>
      <c r="B6451" s="16" t="s">
        <v>1506</v>
      </c>
      <c r="C6451" s="22">
        <f>(2)*(1)*(1)*(1)*(1 + (0))</f>
      </c>
      <c r="D6451" s="22" t="s">
        <v>162</v>
      </c>
      <c r="E6451" s="22"/>
      <c r="F6451" s="22">
        <f>C6451*E6451</f>
      </c>
    </row>
    <row r="6452">
      <c r="A6452" s="5"/>
      <c r="B6452" s="16" t="s">
        <v>2087</v>
      </c>
      <c r="C6452" s="22">
        <f>(1)*(1)*(1)*(1)*(1 + (0))</f>
      </c>
      <c r="D6452" s="22" t="s">
        <v>162</v>
      </c>
      <c r="E6452" s="22"/>
      <c r="F6452" s="22">
        <f>C6452*E6452</f>
      </c>
    </row>
    <row r="6453">
      <c r="A6453" s="6"/>
      <c r="B6453" s="15" t="s">
        <v>1516</v>
      </c>
      <c r="C6453" s="23"/>
      <c r="D6453" s="23"/>
      <c r="E6453" s="23"/>
      <c r="F6453" s="23"/>
    </row>
    <row r="6454">
      <c r="A6454" s="5"/>
      <c r="B6454" s="16" t="s">
        <v>1517</v>
      </c>
      <c r="C6454" s="22">
        <f>(1)*(1)*(1)*(1)*(1 + (0))</f>
      </c>
      <c r="D6454" s="22" t="s">
        <v>162</v>
      </c>
      <c r="E6454" s="22"/>
      <c r="F6454" s="22">
        <f>C6454*E6454</f>
      </c>
    </row>
    <row r="6455">
      <c r="A6455" s="5"/>
      <c r="B6455" s="16" t="s">
        <v>1518</v>
      </c>
      <c r="C6455" s="22">
        <f>(2)*(1)*(1)*(1)*(1 + (0))</f>
      </c>
      <c r="D6455" s="22" t="s">
        <v>162</v>
      </c>
      <c r="E6455" s="22"/>
      <c r="F6455" s="22">
        <f>C6455*E6455</f>
      </c>
    </row>
    <row r="6456">
      <c r="A6456" s="5"/>
      <c r="B6456" s="16" t="s">
        <v>2088</v>
      </c>
      <c r="C6456" s="22">
        <f>(4)*(1)*(1)*(1)*(1 + (0))</f>
      </c>
      <c r="D6456" s="22" t="s">
        <v>162</v>
      </c>
      <c r="E6456" s="22"/>
      <c r="F6456" s="22">
        <f>C6456*E6456</f>
      </c>
    </row>
    <row r="6457">
      <c r="A6457" s="6"/>
      <c r="B6457" s="15" t="s">
        <v>1520</v>
      </c>
      <c r="C6457" s="23"/>
      <c r="D6457" s="23"/>
      <c r="E6457" s="23"/>
      <c r="F6457" s="23"/>
    </row>
    <row r="6458">
      <c r="A6458" s="5"/>
      <c r="B6458" s="16" t="s">
        <v>1521</v>
      </c>
      <c r="C6458" s="22">
        <f>(1)*(1)*(1)*(1)*(1 + (0))</f>
      </c>
      <c r="D6458" s="22" t="s">
        <v>162</v>
      </c>
      <c r="E6458" s="22"/>
      <c r="F6458" s="22">
        <f>C6458*E6458</f>
      </c>
    </row>
    <row r="6459">
      <c r="A6459" s="6"/>
      <c r="B6459" s="15" t="s">
        <v>1523</v>
      </c>
      <c r="C6459" s="23"/>
      <c r="D6459" s="23"/>
      <c r="E6459" s="23"/>
      <c r="F6459" s="23"/>
    </row>
    <row r="6460">
      <c r="A6460" s="5"/>
      <c r="B6460" s="16" t="s">
        <v>2089</v>
      </c>
      <c r="C6460" s="22">
        <f>(1)*(1)*(1)*(1)*(1 + (0))</f>
      </c>
      <c r="D6460" s="22" t="s">
        <v>162</v>
      </c>
      <c r="E6460" s="22"/>
      <c r="F6460" s="22">
        <f>C6460*E6460</f>
      </c>
    </row>
    <row r="6461">
      <c r="A6461" s="5"/>
      <c r="B6461" s="16" t="s">
        <v>1525</v>
      </c>
      <c r="C6461" s="22">
        <f>(3)*(1)*(1)*(1)*(1 + (0))</f>
      </c>
      <c r="D6461" s="22" t="s">
        <v>162</v>
      </c>
      <c r="E6461" s="22"/>
      <c r="F6461" s="22">
        <f>C6461*E6461</f>
      </c>
    </row>
    <row r="6462">
      <c r="A6462" s="6"/>
      <c r="B6462" s="15" t="s">
        <v>1822</v>
      </c>
      <c r="C6462" s="23"/>
      <c r="D6462" s="23"/>
      <c r="E6462" s="23"/>
      <c r="F6462" s="23"/>
    </row>
    <row r="6463">
      <c r="A6463" s="5"/>
      <c r="B6463" s="16" t="s">
        <v>2257</v>
      </c>
      <c r="C6463" s="22">
        <f>(2)*(1)*(1)*(1)*(1 + (0))</f>
      </c>
      <c r="D6463" s="22" t="s">
        <v>162</v>
      </c>
      <c r="E6463" s="22"/>
      <c r="F6463" s="22">
        <f>C6463*E6463</f>
      </c>
    </row>
    <row r="6464">
      <c r="A6464" s="4"/>
      <c r="B6464" s="12" t="s">
        <v>1527</v>
      </c>
      <c r="C6464" s="21"/>
      <c r="D6464" s="21"/>
      <c r="E6464" s="21"/>
      <c r="F6464" s="21"/>
    </row>
    <row r="6465">
      <c r="A6465" s="5"/>
      <c r="B6465" s="13" t="s">
        <v>1528</v>
      </c>
      <c r="C6465" s="22">
        <f>(1)*(1)*(1)*(1)*(1 + (0))</f>
      </c>
      <c r="D6465" s="22" t="s">
        <v>162</v>
      </c>
      <c r="E6465" s="22"/>
      <c r="F6465" s="22">
        <f>C6465*E6465</f>
      </c>
    </row>
    <row r="6466">
      <c r="A6466" s="6"/>
      <c r="B6466" s="15" t="s">
        <v>2091</v>
      </c>
      <c r="C6466" s="23"/>
      <c r="D6466" s="23"/>
      <c r="E6466" s="23"/>
      <c r="F6466" s="23"/>
    </row>
    <row r="6467">
      <c r="A6467" s="5"/>
      <c r="B6467" s="16" t="s">
        <v>2095</v>
      </c>
      <c r="C6467" s="22">
        <f>(2)*(1)*(1)*(1)*(1 + (0))</f>
      </c>
      <c r="D6467" s="22" t="s">
        <v>162</v>
      </c>
      <c r="E6467" s="22"/>
      <c r="F6467" s="22">
        <f>C6467*E6467</f>
      </c>
    </row>
    <row r="6468">
      <c r="A6468" s="5"/>
      <c r="B6468" s="16" t="s">
        <v>2092</v>
      </c>
      <c r="C6468" s="22">
        <f>(1)*(1)*(1)*(1)*(1 + (0))</f>
      </c>
      <c r="D6468" s="22" t="s">
        <v>162</v>
      </c>
      <c r="E6468" s="22"/>
      <c r="F6468" s="22">
        <f>C6468*E6468</f>
      </c>
    </row>
    <row r="6469">
      <c r="A6469" s="5"/>
      <c r="B6469" s="16" t="s">
        <v>2094</v>
      </c>
      <c r="C6469" s="22">
        <f>(2)*(1)*(1)*(1)*(1 + (0))</f>
      </c>
      <c r="D6469" s="22" t="s">
        <v>162</v>
      </c>
      <c r="E6469" s="22"/>
      <c r="F6469" s="22">
        <f>C6469*E6469</f>
      </c>
    </row>
    <row r="6470">
      <c r="A6470" s="5"/>
      <c r="B6470" s="16" t="s">
        <v>2098</v>
      </c>
      <c r="C6470" s="22">
        <f>(1)*(1)*(1)*(1)*(1 + (0))</f>
      </c>
      <c r="D6470" s="22" t="s">
        <v>162</v>
      </c>
      <c r="E6470" s="22"/>
      <c r="F6470" s="22">
        <f>C6470*E6470</f>
      </c>
    </row>
    <row r="6471">
      <c r="A6471" s="5"/>
      <c r="B6471" s="16" t="s">
        <v>2258</v>
      </c>
      <c r="C6471" s="22">
        <f>(1)*(1)*(1)*(1)*(1 + (0))</f>
      </c>
      <c r="D6471" s="22" t="s">
        <v>162</v>
      </c>
      <c r="E6471" s="22"/>
      <c r="F6471" s="22">
        <f>C6471*E6471</f>
      </c>
    </row>
    <row r="6472">
      <c r="A6472" s="5"/>
      <c r="B6472" s="16" t="s">
        <v>2097</v>
      </c>
      <c r="C6472" s="22">
        <f>(1)*(1)*(1)*(1)*(1 + (0))</f>
      </c>
      <c r="D6472" s="22" t="s">
        <v>162</v>
      </c>
      <c r="E6472" s="22"/>
      <c r="F6472" s="22">
        <f>C6472*E6472</f>
      </c>
    </row>
    <row r="6473">
      <c r="A6473" s="5"/>
      <c r="B6473" s="16" t="s">
        <v>1532</v>
      </c>
      <c r="C6473" s="22">
        <f>(3)*(1)*(1)*(1)*(1 + (0))</f>
      </c>
      <c r="D6473" s="22" t="s">
        <v>162</v>
      </c>
      <c r="E6473" s="22"/>
      <c r="F6473" s="22">
        <f>C6473*E6473</f>
      </c>
    </row>
    <row r="6474">
      <c r="A6474" s="6"/>
      <c r="B6474" s="15" t="s">
        <v>1824</v>
      </c>
      <c r="C6474" s="23"/>
      <c r="D6474" s="23"/>
      <c r="E6474" s="23"/>
      <c r="F6474" s="23"/>
    </row>
    <row r="6475">
      <c r="A6475" s="5"/>
      <c r="B6475" s="16" t="s">
        <v>2259</v>
      </c>
      <c r="C6475" s="22">
        <f>(1)*(1)*(1)*(1)*(1 + (0))</f>
      </c>
      <c r="D6475" s="22" t="s">
        <v>162</v>
      </c>
      <c r="E6475" s="22"/>
      <c r="F6475" s="22">
        <f>C6475*E6475</f>
      </c>
    </row>
    <row r="6476">
      <c r="A6476" s="2"/>
      <c r="B6476" s="10" t="s">
        <v>1533</v>
      </c>
      <c r="C6476" s="19"/>
      <c r="D6476" s="19"/>
      <c r="E6476" s="19"/>
      <c r="F6476" s="19"/>
    </row>
    <row r="6477">
      <c r="A6477" s="3"/>
      <c r="B6477" s="11" t="s">
        <v>37</v>
      </c>
      <c r="C6477" s="20"/>
      <c r="D6477" s="20"/>
      <c r="E6477" s="20"/>
      <c r="F6477" s="20"/>
    </row>
    <row r="6478">
      <c r="A6478" s="5" t="s">
        <v>1285</v>
      </c>
      <c r="B6478" s="14" t="s">
        <v>39</v>
      </c>
      <c r="C6478" s="22"/>
      <c r="D6478" s="22" t="s">
        <v>10</v>
      </c>
      <c r="E6478" s="22"/>
      <c r="F6478" s="22">
        <f>C6478*E6478</f>
      </c>
    </row>
    <row r="6479">
      <c r="A6479" s="5" t="s">
        <v>1286</v>
      </c>
      <c r="B6479" s="14" t="s">
        <v>41</v>
      </c>
      <c r="C6479" s="22"/>
      <c r="D6479" s="22" t="s">
        <v>10</v>
      </c>
      <c r="E6479" s="22"/>
      <c r="F6479" s="22">
        <f>C6479*E6479</f>
      </c>
    </row>
    <row r="6480">
      <c r="A6480" s="3"/>
      <c r="B6480" s="11" t="s">
        <v>42</v>
      </c>
      <c r="C6480" s="20"/>
      <c r="D6480" s="20"/>
      <c r="E6480" s="20"/>
      <c r="F6480" s="20"/>
    </row>
    <row r="6481">
      <c r="A6481" s="5"/>
      <c r="B6481" s="14" t="s">
        <v>1287</v>
      </c>
      <c r="C6481" s="22"/>
      <c r="D6481" s="22" t="s">
        <v>10</v>
      </c>
      <c r="E6481" s="22"/>
      <c r="F6481" s="22">
        <f>C6481*E6481</f>
      </c>
    </row>
    <row r="6482">
      <c r="A6482" s="5"/>
      <c r="B6482" s="14" t="s">
        <v>1288</v>
      </c>
      <c r="C6482" s="22"/>
      <c r="D6482" s="22" t="s">
        <v>10</v>
      </c>
      <c r="E6482" s="22"/>
      <c r="F6482" s="22">
        <f>C6482*E6482</f>
      </c>
    </row>
    <row r="6483">
      <c r="A6483" s="5"/>
      <c r="B6483" s="14" t="s">
        <v>1289</v>
      </c>
      <c r="C6483" s="22"/>
      <c r="D6483" s="22" t="s">
        <v>10</v>
      </c>
      <c r="E6483" s="22"/>
      <c r="F6483" s="22">
        <f>C6483*E6483</f>
      </c>
    </row>
    <row r="6484">
      <c r="A6484" s="5"/>
      <c r="B6484" s="14" t="s">
        <v>1290</v>
      </c>
      <c r="C6484" s="22"/>
      <c r="D6484" s="22" t="s">
        <v>10</v>
      </c>
      <c r="E6484" s="22"/>
      <c r="F6484" s="22">
        <f>C6484*E6484</f>
      </c>
    </row>
    <row r="6485">
      <c r="A6485" s="3"/>
      <c r="B6485" s="11" t="s">
        <v>44</v>
      </c>
      <c r="C6485" s="20"/>
      <c r="D6485" s="20"/>
      <c r="E6485" s="20"/>
      <c r="F6485" s="20"/>
    </row>
    <row r="6486">
      <c r="A6486" s="4"/>
      <c r="B6486" s="12" t="s">
        <v>45</v>
      </c>
      <c r="C6486" s="21"/>
      <c r="D6486" s="21"/>
      <c r="E6486" s="21"/>
      <c r="F6486" s="21"/>
    </row>
    <row r="6487">
      <c r="A6487" s="5" t="s">
        <v>1291</v>
      </c>
      <c r="B6487" s="13" t="s">
        <v>767</v>
      </c>
      <c r="C6487" s="22"/>
      <c r="D6487" s="22" t="s">
        <v>10</v>
      </c>
      <c r="E6487" s="22"/>
      <c r="F6487" s="22">
        <f>C6487*E6487</f>
      </c>
    </row>
    <row r="6488">
      <c r="A6488" s="5" t="s">
        <v>1292</v>
      </c>
      <c r="B6488" s="13" t="s">
        <v>123</v>
      </c>
      <c r="C6488" s="22"/>
      <c r="D6488" s="22" t="s">
        <v>10</v>
      </c>
      <c r="E6488" s="22"/>
      <c r="F6488" s="22">
        <f>C6488*E6488</f>
      </c>
    </row>
    <row r="6489">
      <c r="A6489" s="3"/>
      <c r="B6489" s="11" t="s">
        <v>68</v>
      </c>
      <c r="C6489" s="20"/>
      <c r="D6489" s="20"/>
      <c r="E6489" s="20"/>
      <c r="F6489" s="20"/>
    </row>
    <row r="6490">
      <c r="A6490" s="5" t="s">
        <v>1293</v>
      </c>
      <c r="B6490" s="14" t="s">
        <v>230</v>
      </c>
      <c r="C6490" s="22">
        <f>(1)*(1)*(1)*(1)*(1 + (0))</f>
      </c>
      <c r="D6490" s="22" t="s">
        <v>71</v>
      </c>
      <c r="E6490" s="22"/>
      <c r="F6490" s="22">
        <f>C6490*E6490</f>
      </c>
    </row>
    <row r="6491">
      <c r="A6491" s="5" t="s">
        <v>1294</v>
      </c>
      <c r="B6491" s="14" t="s">
        <v>70</v>
      </c>
      <c r="C6491" s="22">
        <f>(1)*(1)*(1)*(1)*(1 + (0))</f>
      </c>
      <c r="D6491" s="22" t="s">
        <v>71</v>
      </c>
      <c r="E6491" s="22"/>
      <c r="F6491" s="22">
        <f>C6491*E6491</f>
      </c>
    </row>
    <row r="6492">
      <c r="A6492" s="5" t="s">
        <v>1295</v>
      </c>
      <c r="B6492" s="14" t="s">
        <v>906</v>
      </c>
      <c r="C6492" s="22">
        <f>(1)*(1)*(1)*(1)*(1 + (0))</f>
      </c>
      <c r="D6492" s="22" t="s">
        <v>71</v>
      </c>
      <c r="E6492" s="22"/>
      <c r="F6492" s="22">
        <f>C6492*E6492</f>
      </c>
    </row>
    <row r="6493">
      <c r="A6493" s="5" t="s">
        <v>1296</v>
      </c>
      <c r="B6493" s="14" t="s">
        <v>665</v>
      </c>
      <c r="C6493" s="22">
        <f>(1)*(1)*(1)*(1)*(1 + (0))</f>
      </c>
      <c r="D6493" s="22" t="s">
        <v>71</v>
      </c>
      <c r="E6493" s="22"/>
      <c r="F6493" s="22">
        <f>C6493*E6493</f>
      </c>
    </row>
    <row r="6494">
      <c r="A6494" s="3"/>
      <c r="B6494" s="11" t="s">
        <v>106</v>
      </c>
      <c r="C6494" s="20"/>
      <c r="D6494" s="20"/>
      <c r="E6494" s="20"/>
      <c r="F6494" s="20"/>
    </row>
    <row r="6495">
      <c r="A6495" s="5"/>
      <c r="B6495" s="14" t="s">
        <v>1455</v>
      </c>
      <c r="C6495" s="22"/>
      <c r="D6495" s="22" t="s">
        <v>1335</v>
      </c>
      <c r="E6495" s="22"/>
      <c r="F6495" s="22">
        <f>C6495*E6495</f>
      </c>
    </row>
    <row r="6496">
      <c r="A6496" s="3"/>
      <c r="B6496" s="11" t="s">
        <v>1534</v>
      </c>
      <c r="C6496" s="20"/>
      <c r="D6496" s="20"/>
      <c r="E6496" s="20"/>
      <c r="F6496" s="20"/>
    </row>
    <row r="6497">
      <c r="A6497" s="4"/>
      <c r="B6497" s="12" t="s">
        <v>1461</v>
      </c>
      <c r="C6497" s="21"/>
      <c r="D6497" s="21"/>
      <c r="E6497" s="21"/>
      <c r="F6497" s="21"/>
    </row>
    <row r="6498">
      <c r="A6498" s="6"/>
      <c r="B6498" s="15" t="s">
        <v>1535</v>
      </c>
      <c r="C6498" s="23"/>
      <c r="D6498" s="23"/>
      <c r="E6498" s="23"/>
      <c r="F6498" s="23"/>
    </row>
    <row r="6499">
      <c r="A6499" s="5"/>
      <c r="B6499" s="16" t="s">
        <v>2260</v>
      </c>
      <c r="C6499" s="22">
        <f>(20)*(1)*(1)*(1)*(1 + (0))</f>
      </c>
      <c r="D6499" s="22" t="s">
        <v>162</v>
      </c>
      <c r="E6499" s="22"/>
      <c r="F6499" s="22">
        <f>C6499*E6499</f>
      </c>
    </row>
    <row r="6500">
      <c r="A6500" s="5"/>
      <c r="B6500" s="16" t="s">
        <v>2261</v>
      </c>
      <c r="C6500" s="22">
        <f>(1)*(1)*(1)*(1)*(1 + (0))</f>
      </c>
      <c r="D6500" s="22" t="s">
        <v>162</v>
      </c>
      <c r="E6500" s="22"/>
      <c r="F6500" s="22">
        <f>C6500*E6500</f>
      </c>
    </row>
    <row r="6501">
      <c r="A6501" s="5"/>
      <c r="B6501" s="16" t="s">
        <v>2262</v>
      </c>
      <c r="C6501" s="22">
        <f>(1)*(1)*(1)*(1)*(1 + (0))</f>
      </c>
      <c r="D6501" s="22" t="s">
        <v>162</v>
      </c>
      <c r="E6501" s="22"/>
      <c r="F6501" s="22">
        <f>C6501*E6501</f>
      </c>
    </row>
    <row r="6502">
      <c r="A6502" s="5"/>
      <c r="B6502" s="16" t="s">
        <v>2263</v>
      </c>
      <c r="C6502" s="22">
        <f>(6)*(1)*(1)*(1)*(1 + (0))</f>
      </c>
      <c r="D6502" s="22" t="s">
        <v>162</v>
      </c>
      <c r="E6502" s="22"/>
      <c r="F6502" s="22">
        <f>C6502*E6502</f>
      </c>
    </row>
    <row r="6503">
      <c r="A6503" s="5"/>
      <c r="B6503" s="16" t="s">
        <v>2264</v>
      </c>
      <c r="C6503" s="22">
        <f>(3)*(1)*(1)*(1)*(1 + (0))</f>
      </c>
      <c r="D6503" s="22" t="s">
        <v>162</v>
      </c>
      <c r="E6503" s="22"/>
      <c r="F6503" s="22">
        <f>C6503*E6503</f>
      </c>
    </row>
    <row r="6504">
      <c r="A6504" s="5"/>
      <c r="B6504" s="16" t="s">
        <v>2265</v>
      </c>
      <c r="C6504" s="22">
        <f>(4)*(1)*(1)*(1)*(1 + (0))</f>
      </c>
      <c r="D6504" s="22" t="s">
        <v>162</v>
      </c>
      <c r="E6504" s="22"/>
      <c r="F6504" s="22">
        <f>C6504*E6504</f>
      </c>
    </row>
    <row r="6505">
      <c r="A6505" s="6"/>
      <c r="B6505" s="15" t="s">
        <v>1553</v>
      </c>
      <c r="C6505" s="23"/>
      <c r="D6505" s="23"/>
      <c r="E6505" s="23"/>
      <c r="F6505" s="23"/>
    </row>
    <row r="6506">
      <c r="A6506" s="5"/>
      <c r="B6506" s="16" t="s">
        <v>2266</v>
      </c>
      <c r="C6506" s="22">
        <f>(4)*(1)*(1)*(1)*(1 + (0))</f>
      </c>
      <c r="D6506" s="22" t="s">
        <v>162</v>
      </c>
      <c r="E6506" s="22"/>
      <c r="F6506" s="22">
        <f>C6506*E6506</f>
      </c>
    </row>
    <row r="6507">
      <c r="A6507" s="5"/>
      <c r="B6507" s="16" t="s">
        <v>2267</v>
      </c>
      <c r="C6507" s="22">
        <f>(1)*(1)*(1)*(1)*(1 + (0))</f>
      </c>
      <c r="D6507" s="22" t="s">
        <v>162</v>
      </c>
      <c r="E6507" s="22"/>
      <c r="F6507" s="22">
        <f>C6507*E6507</f>
      </c>
    </row>
    <row r="6508">
      <c r="A6508" s="5"/>
      <c r="B6508" s="16" t="s">
        <v>2268</v>
      </c>
      <c r="C6508" s="22">
        <f>(8)*(1)*(1)*(1)*(1 + (0))</f>
      </c>
      <c r="D6508" s="22" t="s">
        <v>162</v>
      </c>
      <c r="E6508" s="22"/>
      <c r="F6508" s="22">
        <f>C6508*E6508</f>
      </c>
    </row>
    <row r="6509">
      <c r="A6509" s="5"/>
      <c r="B6509" s="16" t="s">
        <v>2269</v>
      </c>
      <c r="C6509" s="22">
        <f>(1)*(1)*(1)*(1)*(1 + (0))</f>
      </c>
      <c r="D6509" s="22" t="s">
        <v>162</v>
      </c>
      <c r="E6509" s="22"/>
      <c r="F6509" s="22">
        <f>C6509*E6509</f>
      </c>
    </row>
    <row r="6510">
      <c r="A6510" s="5"/>
      <c r="B6510" s="16" t="s">
        <v>2270</v>
      </c>
      <c r="C6510" s="22">
        <f>(2)*(1)*(1)*(1)*(1 + (0))</f>
      </c>
      <c r="D6510" s="22" t="s">
        <v>162</v>
      </c>
      <c r="E6510" s="22"/>
      <c r="F6510" s="22">
        <f>C6510*E6510</f>
      </c>
    </row>
    <row r="6511">
      <c r="A6511" s="5"/>
      <c r="B6511" s="16" t="s">
        <v>2271</v>
      </c>
      <c r="C6511" s="22">
        <f>(1)*(1)*(1)*(1)*(1 + (0))</f>
      </c>
      <c r="D6511" s="22" t="s">
        <v>162</v>
      </c>
      <c r="E6511" s="22"/>
      <c r="F6511" s="22">
        <f>C6511*E6511</f>
      </c>
    </row>
    <row r="6512">
      <c r="A6512" s="5"/>
      <c r="B6512" s="16" t="s">
        <v>2272</v>
      </c>
      <c r="C6512" s="22">
        <f>(1)*(1)*(1)*(1)*(1 + (0))</f>
      </c>
      <c r="D6512" s="22" t="s">
        <v>162</v>
      </c>
      <c r="E6512" s="22"/>
      <c r="F6512" s="22">
        <f>C6512*E6512</f>
      </c>
    </row>
    <row r="6513">
      <c r="A6513" s="6"/>
      <c r="B6513" s="15" t="s">
        <v>1462</v>
      </c>
      <c r="C6513" s="23"/>
      <c r="D6513" s="23"/>
      <c r="E6513" s="23"/>
      <c r="F6513" s="23"/>
    </row>
    <row r="6514">
      <c r="A6514" s="5"/>
      <c r="B6514" s="16" t="s">
        <v>2273</v>
      </c>
      <c r="C6514" s="22">
        <f>(1)*(1)*(1)*(1)*(1 + (0))</f>
      </c>
      <c r="D6514" s="22" t="s">
        <v>162</v>
      </c>
      <c r="E6514" s="22"/>
      <c r="F6514" s="22">
        <f>C6514*E6514</f>
      </c>
    </row>
    <row r="6515">
      <c r="A6515" s="5"/>
      <c r="B6515" s="16" t="s">
        <v>2274</v>
      </c>
      <c r="C6515" s="22">
        <f>(2)*(1)*(1)*(1)*(1 + (0))</f>
      </c>
      <c r="D6515" s="22" t="s">
        <v>162</v>
      </c>
      <c r="E6515" s="22"/>
      <c r="F6515" s="22">
        <f>C6515*E6515</f>
      </c>
    </row>
    <row r="6516">
      <c r="A6516" s="5"/>
      <c r="B6516" s="16" t="s">
        <v>2275</v>
      </c>
      <c r="C6516" s="22">
        <f>(1)*(1)*(1)*(1)*(1 + (0))</f>
      </c>
      <c r="D6516" s="22" t="s">
        <v>162</v>
      </c>
      <c r="E6516" s="22"/>
      <c r="F6516" s="22">
        <f>C6516*E6516</f>
      </c>
    </row>
    <row r="6517">
      <c r="A6517" s="5"/>
      <c r="B6517" s="16" t="s">
        <v>2276</v>
      </c>
      <c r="C6517" s="22">
        <f>(6)*(1)*(1)*(1)*(1 + (0))</f>
      </c>
      <c r="D6517" s="22" t="s">
        <v>162</v>
      </c>
      <c r="E6517" s="22"/>
      <c r="F6517" s="22">
        <f>C6517*E6517</f>
      </c>
    </row>
    <row r="6518">
      <c r="A6518" s="5"/>
      <c r="B6518" s="16" t="s">
        <v>2277</v>
      </c>
      <c r="C6518" s="22">
        <f>(3)*(1)*(1)*(1)*(1 + (0))</f>
      </c>
      <c r="D6518" s="22" t="s">
        <v>162</v>
      </c>
      <c r="E6518" s="22"/>
      <c r="F6518" s="22">
        <f>C6518*E6518</f>
      </c>
    </row>
    <row r="6519">
      <c r="A6519" s="5"/>
      <c r="B6519" s="16" t="s">
        <v>2110</v>
      </c>
      <c r="C6519" s="22">
        <f>(1)*(1)*(1)*(1)*(1 + (0))</f>
      </c>
      <c r="D6519" s="22" t="s">
        <v>162</v>
      </c>
      <c r="E6519" s="22"/>
      <c r="F6519" s="22">
        <f>C6519*E6519</f>
      </c>
    </row>
    <row r="6520">
      <c r="A6520" s="5"/>
      <c r="B6520" s="16" t="s">
        <v>2278</v>
      </c>
      <c r="C6520" s="22">
        <f>(1)*(1)*(1)*(1)*(1 + (0))</f>
      </c>
      <c r="D6520" s="22" t="s">
        <v>162</v>
      </c>
      <c r="E6520" s="22"/>
      <c r="F6520" s="22">
        <f>C6520*E6520</f>
      </c>
    </row>
    <row r="6521">
      <c r="A6521" s="4"/>
      <c r="B6521" s="12" t="s">
        <v>1527</v>
      </c>
      <c r="C6521" s="21"/>
      <c r="D6521" s="21"/>
      <c r="E6521" s="21"/>
      <c r="F6521" s="21"/>
    </row>
    <row r="6522">
      <c r="A6522" s="5"/>
      <c r="B6522" s="13" t="s">
        <v>2279</v>
      </c>
      <c r="C6522" s="22">
        <f>(1)*(1)*(1)*(1)*(1 + (0))</f>
      </c>
      <c r="D6522" s="22" t="s">
        <v>162</v>
      </c>
      <c r="E6522" s="22"/>
      <c r="F6522" s="22">
        <f>C6522*E6522</f>
      </c>
    </row>
    <row r="6523">
      <c r="A6523" s="4"/>
      <c r="B6523" s="12" t="s">
        <v>1582</v>
      </c>
      <c r="C6523" s="21"/>
      <c r="D6523" s="21"/>
      <c r="E6523" s="21"/>
      <c r="F6523" s="21"/>
    </row>
    <row r="6524">
      <c r="A6524" s="6"/>
      <c r="B6524" s="15" t="s">
        <v>2280</v>
      </c>
      <c r="C6524" s="23"/>
      <c r="D6524" s="23"/>
      <c r="E6524" s="23"/>
      <c r="F6524" s="23"/>
    </row>
    <row r="6525">
      <c r="A6525" s="5"/>
      <c r="B6525" s="16" t="s">
        <v>2281</v>
      </c>
      <c r="C6525" s="22">
        <f>(1)*(1)*(1)*(1)*(1 + (0))</f>
      </c>
      <c r="D6525" s="22" t="s">
        <v>162</v>
      </c>
      <c r="E6525" s="22"/>
      <c r="F6525" s="22">
        <f>C6525*E6525</f>
      </c>
    </row>
    <row r="6526">
      <c r="A6526" s="5"/>
      <c r="B6526" s="16" t="s">
        <v>2282</v>
      </c>
      <c r="C6526" s="22">
        <f>(1)*(1)*(1)*(1)*(1 + (0))</f>
      </c>
      <c r="D6526" s="22" t="s">
        <v>162</v>
      </c>
      <c r="E6526" s="22"/>
      <c r="F6526" s="22">
        <f>C6526*E6526</f>
      </c>
    </row>
    <row r="6527">
      <c r="A6527" s="5"/>
      <c r="B6527" s="16" t="s">
        <v>2283</v>
      </c>
      <c r="C6527" s="22">
        <f>(1)*(1)*(1)*(1)*(1 + (0))</f>
      </c>
      <c r="D6527" s="22" t="s">
        <v>162</v>
      </c>
      <c r="E6527" s="22"/>
      <c r="F6527" s="22">
        <f>C6527*E6527</f>
      </c>
    </row>
    <row r="6528">
      <c r="A6528" s="5"/>
      <c r="B6528" s="16" t="s">
        <v>2284</v>
      </c>
      <c r="C6528" s="22">
        <f>(2)*(1)*(1)*(1)*(1 + (0))</f>
      </c>
      <c r="D6528" s="22" t="s">
        <v>162</v>
      </c>
      <c r="E6528" s="22"/>
      <c r="F6528" s="22">
        <f>C6528*E6528</f>
      </c>
    </row>
    <row r="6529">
      <c r="A6529" s="5"/>
      <c r="B6529" s="16" t="s">
        <v>2285</v>
      </c>
      <c r="C6529" s="22">
        <f>(2)*(1)*(1)*(1)*(1 + (0))</f>
      </c>
      <c r="D6529" s="22" t="s">
        <v>162</v>
      </c>
      <c r="E6529" s="22"/>
      <c r="F6529" s="22">
        <f>C6529*E6529</f>
      </c>
    </row>
    <row r="6530">
      <c r="A6530" s="5"/>
      <c r="B6530" s="16" t="s">
        <v>2286</v>
      </c>
      <c r="C6530" s="22">
        <f>(2)*(1)*(1)*(1)*(1 + (0))</f>
      </c>
      <c r="D6530" s="22" t="s">
        <v>162</v>
      </c>
      <c r="E6530" s="22"/>
      <c r="F6530" s="22">
        <f>C6530*E6530</f>
      </c>
    </row>
    <row r="6531">
      <c r="A6531" s="2"/>
      <c r="B6531" s="10" t="s">
        <v>1841</v>
      </c>
      <c r="C6531" s="19"/>
      <c r="D6531" s="19"/>
      <c r="E6531" s="19"/>
      <c r="F6531" s="19"/>
    </row>
    <row r="6532">
      <c r="A6532" s="3"/>
      <c r="B6532" s="11" t="s">
        <v>37</v>
      </c>
      <c r="C6532" s="20"/>
      <c r="D6532" s="20"/>
      <c r="E6532" s="20"/>
      <c r="F6532" s="20"/>
    </row>
    <row r="6533">
      <c r="A6533" s="5" t="s">
        <v>1285</v>
      </c>
      <c r="B6533" s="14" t="s">
        <v>39</v>
      </c>
      <c r="C6533" s="22"/>
      <c r="D6533" s="22" t="s">
        <v>10</v>
      </c>
      <c r="E6533" s="22"/>
      <c r="F6533" s="22">
        <f>C6533*E6533</f>
      </c>
    </row>
    <row r="6534">
      <c r="A6534" s="5" t="s">
        <v>1286</v>
      </c>
      <c r="B6534" s="14" t="s">
        <v>41</v>
      </c>
      <c r="C6534" s="22"/>
      <c r="D6534" s="22" t="s">
        <v>10</v>
      </c>
      <c r="E6534" s="22"/>
      <c r="F6534" s="22">
        <f>C6534*E6534</f>
      </c>
    </row>
    <row r="6535">
      <c r="A6535" s="3"/>
      <c r="B6535" s="11" t="s">
        <v>42</v>
      </c>
      <c r="C6535" s="20"/>
      <c r="D6535" s="20"/>
      <c r="E6535" s="20"/>
      <c r="F6535" s="20"/>
    </row>
    <row r="6536">
      <c r="A6536" s="5"/>
      <c r="B6536" s="14" t="s">
        <v>2287</v>
      </c>
      <c r="C6536" s="22"/>
      <c r="D6536" s="22" t="s">
        <v>10</v>
      </c>
      <c r="E6536" s="22"/>
      <c r="F6536" s="22">
        <f>C6536*E6536</f>
      </c>
    </row>
    <row r="6537">
      <c r="A6537" s="5"/>
      <c r="B6537" s="14" t="s">
        <v>1288</v>
      </c>
      <c r="C6537" s="22"/>
      <c r="D6537" s="22" t="s">
        <v>10</v>
      </c>
      <c r="E6537" s="22"/>
      <c r="F6537" s="22">
        <f>C6537*E6537</f>
      </c>
    </row>
    <row r="6538">
      <c r="A6538" s="5"/>
      <c r="B6538" s="14" t="s">
        <v>1289</v>
      </c>
      <c r="C6538" s="22"/>
      <c r="D6538" s="22" t="s">
        <v>10</v>
      </c>
      <c r="E6538" s="22"/>
      <c r="F6538" s="22">
        <f>C6538*E6538</f>
      </c>
    </row>
    <row r="6539">
      <c r="A6539" s="5"/>
      <c r="B6539" s="14" t="s">
        <v>1290</v>
      </c>
      <c r="C6539" s="22"/>
      <c r="D6539" s="22" t="s">
        <v>10</v>
      </c>
      <c r="E6539" s="22"/>
      <c r="F6539" s="22">
        <f>C6539*E6539</f>
      </c>
    </row>
    <row r="6540">
      <c r="A6540" s="3"/>
      <c r="B6540" s="11" t="s">
        <v>44</v>
      </c>
      <c r="C6540" s="20"/>
      <c r="D6540" s="20"/>
      <c r="E6540" s="20"/>
      <c r="F6540" s="20"/>
    </row>
    <row r="6541">
      <c r="A6541" s="4"/>
      <c r="B6541" s="12" t="s">
        <v>45</v>
      </c>
      <c r="C6541" s="21"/>
      <c r="D6541" s="21"/>
      <c r="E6541" s="21"/>
      <c r="F6541" s="21"/>
    </row>
    <row r="6542">
      <c r="A6542" s="5" t="s">
        <v>1291</v>
      </c>
      <c r="B6542" s="13" t="s">
        <v>767</v>
      </c>
      <c r="C6542" s="22"/>
      <c r="D6542" s="22" t="s">
        <v>10</v>
      </c>
      <c r="E6542" s="22"/>
      <c r="F6542" s="22">
        <f>C6542*E6542</f>
      </c>
    </row>
    <row r="6543">
      <c r="A6543" s="5" t="s">
        <v>1292</v>
      </c>
      <c r="B6543" s="13" t="s">
        <v>123</v>
      </c>
      <c r="C6543" s="22"/>
      <c r="D6543" s="22" t="s">
        <v>10</v>
      </c>
      <c r="E6543" s="22"/>
      <c r="F6543" s="22">
        <f>C6543*E6543</f>
      </c>
    </row>
    <row r="6544">
      <c r="A6544" s="3"/>
      <c r="B6544" s="11" t="s">
        <v>68</v>
      </c>
      <c r="C6544" s="20"/>
      <c r="D6544" s="20"/>
      <c r="E6544" s="20"/>
      <c r="F6544" s="20"/>
    </row>
    <row r="6545">
      <c r="A6545" s="5" t="s">
        <v>1293</v>
      </c>
      <c r="B6545" s="14" t="s">
        <v>230</v>
      </c>
      <c r="C6545" s="22">
        <f>(1)*(1)*(1)*(1)*(1 + (0))</f>
      </c>
      <c r="D6545" s="22" t="s">
        <v>71</v>
      </c>
      <c r="E6545" s="22"/>
      <c r="F6545" s="22">
        <f>C6545*E6545</f>
      </c>
    </row>
    <row r="6546">
      <c r="A6546" s="5" t="s">
        <v>1294</v>
      </c>
      <c r="B6546" s="14" t="s">
        <v>70</v>
      </c>
      <c r="C6546" s="22">
        <f>(1)*(1)*(1)*(1)*(1 + (0))</f>
      </c>
      <c r="D6546" s="22" t="s">
        <v>71</v>
      </c>
      <c r="E6546" s="22"/>
      <c r="F6546" s="22">
        <f>C6546*E6546</f>
      </c>
    </row>
    <row r="6547">
      <c r="A6547" s="5" t="s">
        <v>1295</v>
      </c>
      <c r="B6547" s="14" t="s">
        <v>906</v>
      </c>
      <c r="C6547" s="22">
        <f>(1)*(1)*(1)*(1)*(1 + (0))</f>
      </c>
      <c r="D6547" s="22" t="s">
        <v>71</v>
      </c>
      <c r="E6547" s="22"/>
      <c r="F6547" s="22">
        <f>C6547*E6547</f>
      </c>
    </row>
    <row r="6548">
      <c r="A6548" s="5" t="s">
        <v>1296</v>
      </c>
      <c r="B6548" s="14" t="s">
        <v>665</v>
      </c>
      <c r="C6548" s="22">
        <f>(1)*(1)*(1)*(1)*(1 + (0))</f>
      </c>
      <c r="D6548" s="22" t="s">
        <v>71</v>
      </c>
      <c r="E6548" s="22"/>
      <c r="F6548" s="22">
        <f>C6548*E6548</f>
      </c>
    </row>
    <row r="6549">
      <c r="A6549" s="3"/>
      <c r="B6549" s="11" t="s">
        <v>1587</v>
      </c>
      <c r="C6549" s="20"/>
      <c r="D6549" s="20"/>
      <c r="E6549" s="20"/>
      <c r="F6549" s="20"/>
    </row>
    <row r="6550">
      <c r="A6550" s="4"/>
      <c r="B6550" s="12" t="s">
        <v>1461</v>
      </c>
      <c r="C6550" s="21"/>
      <c r="D6550" s="21"/>
      <c r="E6550" s="21"/>
      <c r="F6550" s="21"/>
    </row>
    <row r="6551">
      <c r="A6551" s="6"/>
      <c r="B6551" s="15" t="s">
        <v>1535</v>
      </c>
      <c r="C6551" s="23"/>
      <c r="D6551" s="23"/>
      <c r="E6551" s="23"/>
      <c r="F6551" s="23"/>
    </row>
    <row r="6552">
      <c r="A6552" s="5"/>
      <c r="B6552" s="16" t="s">
        <v>2288</v>
      </c>
      <c r="C6552" s="22">
        <f>(4)*(1)*(1)*(1)*(1 + (0))</f>
      </c>
      <c r="D6552" s="22" t="s">
        <v>162</v>
      </c>
      <c r="E6552" s="22"/>
      <c r="F6552" s="22">
        <f>C6552*E6552</f>
      </c>
    </row>
    <row r="6553">
      <c r="A6553" s="5"/>
      <c r="B6553" s="16" t="s">
        <v>2289</v>
      </c>
      <c r="C6553" s="22">
        <f>(11)*(1)*(1)*(1)*(1 + (0))</f>
      </c>
      <c r="D6553" s="22" t="s">
        <v>162</v>
      </c>
      <c r="E6553" s="22"/>
      <c r="F6553" s="22">
        <f>C6553*E6553</f>
      </c>
    </row>
    <row r="6554">
      <c r="A6554" s="6"/>
      <c r="B6554" s="15" t="s">
        <v>1553</v>
      </c>
      <c r="C6554" s="23"/>
      <c r="D6554" s="23"/>
      <c r="E6554" s="23"/>
      <c r="F6554" s="23"/>
    </row>
    <row r="6555">
      <c r="A6555" s="5"/>
      <c r="B6555" s="16" t="s">
        <v>2269</v>
      </c>
      <c r="C6555" s="22">
        <f>(1)*(1)*(1)*(1)*(1 + (0))</f>
      </c>
      <c r="D6555" s="22" t="s">
        <v>162</v>
      </c>
      <c r="E6555" s="22"/>
      <c r="F6555" s="22">
        <f>C6555*E6555</f>
      </c>
    </row>
    <row r="6556">
      <c r="A6556" s="5"/>
      <c r="B6556" s="7"/>
      <c r="C6556" s="22"/>
      <c r="D6556" s="22"/>
      <c r="E6556" s="22"/>
      <c r="F6556" s="22">
        <f>C6556*E6556</f>
      </c>
    </row>
    <row r="6557">
      <c r="A6557" s="5"/>
      <c r="B6557" s="7"/>
      <c r="C6557" s="22"/>
      <c r="D6557" s="22"/>
      <c r="E6557" s="22"/>
      <c r="F6557" s="22">
        <f>C6557*E6557</f>
      </c>
    </row>
    <row r="6558">
      <c r="A6558" s="5"/>
      <c r="B6558" s="7" t="s">
        <v>33</v>
      </c>
      <c r="C6558" s="22"/>
      <c r="D6558" s="22"/>
      <c r="E6558" s="22"/>
      <c r="F6558" s="22">
        <f>C6558*E6558</f>
      </c>
    </row>
    <row r="6559">
      <c r="A6559" s="2"/>
      <c r="B6559" s="10" t="s">
        <v>2290</v>
      </c>
      <c r="C6559" s="19"/>
      <c r="D6559" s="19"/>
      <c r="E6559" s="19"/>
      <c r="F6559" s="19"/>
    </row>
    <row r="6560">
      <c r="A6560" s="3"/>
      <c r="B6560" s="11" t="s">
        <v>37</v>
      </c>
      <c r="C6560" s="20"/>
      <c r="D6560" s="20"/>
      <c r="E6560" s="20"/>
      <c r="F6560" s="20"/>
    </row>
    <row r="6561">
      <c r="A6561" s="5"/>
      <c r="B6561" s="14" t="s">
        <v>39</v>
      </c>
      <c r="C6561" s="22"/>
      <c r="D6561" s="22" t="s">
        <v>10</v>
      </c>
      <c r="E6561" s="22"/>
      <c r="F6561" s="22">
        <f>C6561*E6561</f>
      </c>
    </row>
    <row r="6562">
      <c r="A6562" s="5"/>
      <c r="B6562" s="14" t="s">
        <v>41</v>
      </c>
      <c r="C6562" s="22"/>
      <c r="D6562" s="22" t="s">
        <v>10</v>
      </c>
      <c r="E6562" s="22"/>
      <c r="F6562" s="22">
        <f>C6562*E6562</f>
      </c>
    </row>
    <row r="6563">
      <c r="A6563" s="5"/>
      <c r="B6563" s="14" t="s">
        <v>2291</v>
      </c>
      <c r="C6563" s="22"/>
      <c r="D6563" s="22" t="s">
        <v>10</v>
      </c>
      <c r="E6563" s="22"/>
      <c r="F6563" s="22">
        <f>C6563*E6563</f>
      </c>
    </row>
    <row r="6564">
      <c r="A6564" s="3"/>
      <c r="B6564" s="11" t="s">
        <v>42</v>
      </c>
      <c r="C6564" s="20"/>
      <c r="D6564" s="20"/>
      <c r="E6564" s="20"/>
      <c r="F6564" s="20"/>
    </row>
    <row r="6565">
      <c r="A6565" s="5"/>
      <c r="B6565" s="14" t="s">
        <v>2292</v>
      </c>
      <c r="C6565" s="22"/>
      <c r="D6565" s="22" t="s">
        <v>10</v>
      </c>
      <c r="E6565" s="22"/>
      <c r="F6565" s="22">
        <f>C6565*E6565</f>
      </c>
    </row>
    <row r="6566">
      <c r="A6566" s="5"/>
      <c r="B6566" s="14" t="s">
        <v>2293</v>
      </c>
      <c r="C6566" s="22"/>
      <c r="D6566" s="22" t="s">
        <v>10</v>
      </c>
      <c r="E6566" s="22"/>
      <c r="F6566" s="22">
        <f>C6566*E6566</f>
      </c>
    </row>
    <row r="6567">
      <c r="A6567" s="3"/>
      <c r="B6567" s="11" t="s">
        <v>44</v>
      </c>
      <c r="C6567" s="20"/>
      <c r="D6567" s="20"/>
      <c r="E6567" s="20"/>
      <c r="F6567" s="20"/>
    </row>
    <row r="6568">
      <c r="A6568" s="4"/>
      <c r="B6568" s="12" t="s">
        <v>45</v>
      </c>
      <c r="C6568" s="21"/>
      <c r="D6568" s="21"/>
      <c r="E6568" s="21"/>
      <c r="F6568" s="21"/>
    </row>
    <row r="6569">
      <c r="A6569" s="5"/>
      <c r="B6569" s="13" t="s">
        <v>2294</v>
      </c>
      <c r="C6569" s="22"/>
      <c r="D6569" s="22" t="s">
        <v>10</v>
      </c>
      <c r="E6569" s="22"/>
      <c r="F6569" s="22">
        <f>C6569*E6569</f>
      </c>
    </row>
    <row r="6570">
      <c r="A6570" s="5"/>
      <c r="B6570" s="13" t="s">
        <v>2295</v>
      </c>
      <c r="C6570" s="22"/>
      <c r="D6570" s="22" t="s">
        <v>10</v>
      </c>
      <c r="E6570" s="22"/>
      <c r="F6570" s="22">
        <f>C6570*E6570</f>
      </c>
    </row>
    <row r="6571">
      <c r="A6571" s="5"/>
      <c r="B6571" s="13" t="s">
        <v>2296</v>
      </c>
      <c r="C6571" s="22"/>
      <c r="D6571" s="22" t="s">
        <v>10</v>
      </c>
      <c r="E6571" s="22"/>
      <c r="F6571" s="22">
        <f>C6571*E6571</f>
      </c>
    </row>
    <row r="6572">
      <c r="A6572" s="5"/>
      <c r="B6572" s="13" t="s">
        <v>2297</v>
      </c>
      <c r="C6572" s="22"/>
      <c r="D6572" s="22" t="s">
        <v>10</v>
      </c>
      <c r="E6572" s="22"/>
      <c r="F6572" s="22">
        <f>C6572*E6572</f>
      </c>
    </row>
    <row r="6573">
      <c r="A6573" s="5"/>
      <c r="B6573" s="13" t="s">
        <v>2298</v>
      </c>
      <c r="C6573" s="22"/>
      <c r="D6573" s="22" t="s">
        <v>10</v>
      </c>
      <c r="E6573" s="22"/>
      <c r="F6573" s="22">
        <f>C6573*E6573</f>
      </c>
    </row>
    <row r="6574">
      <c r="A6574" s="5"/>
      <c r="B6574" s="13" t="s">
        <v>2299</v>
      </c>
      <c r="C6574" s="22"/>
      <c r="D6574" s="22" t="s">
        <v>10</v>
      </c>
      <c r="E6574" s="22"/>
      <c r="F6574" s="22">
        <f>C6574*E6574</f>
      </c>
    </row>
    <row r="6575">
      <c r="A6575" s="5"/>
      <c r="B6575" s="13" t="s">
        <v>65</v>
      </c>
      <c r="C6575" s="22"/>
      <c r="D6575" s="22" t="s">
        <v>10</v>
      </c>
      <c r="E6575" s="22"/>
      <c r="F6575" s="22">
        <f>C6575*E6575</f>
      </c>
    </row>
    <row r="6576">
      <c r="A6576" s="5"/>
      <c r="B6576" s="13" t="s">
        <v>654</v>
      </c>
      <c r="C6576" s="22"/>
      <c r="D6576" s="22" t="s">
        <v>10</v>
      </c>
      <c r="E6576" s="22"/>
      <c r="F6576" s="22">
        <f>C6576*E6576</f>
      </c>
    </row>
    <row r="6577">
      <c r="A6577" s="3"/>
      <c r="B6577" s="11" t="s">
        <v>68</v>
      </c>
      <c r="C6577" s="20"/>
      <c r="D6577" s="20"/>
      <c r="E6577" s="20"/>
      <c r="F6577" s="20"/>
    </row>
    <row r="6578">
      <c r="A6578" s="5"/>
      <c r="B6578" s="14" t="s">
        <v>2300</v>
      </c>
      <c r="C6578" s="22">
        <f>(1)*(1)*(1)*(1)*(1 + (0))</f>
      </c>
      <c r="D6578" s="22" t="s">
        <v>71</v>
      </c>
      <c r="E6578" s="22"/>
      <c r="F6578" s="22">
        <f>C6578*E6578</f>
      </c>
    </row>
    <row r="6579">
      <c r="A6579" s="5"/>
      <c r="B6579" s="14" t="s">
        <v>2301</v>
      </c>
      <c r="C6579" s="22">
        <f>(1)*(1)*(1)*(1)*(1 + (0))</f>
      </c>
      <c r="D6579" s="22" t="s">
        <v>71</v>
      </c>
      <c r="E6579" s="22"/>
      <c r="F6579" s="22">
        <f>C6579*E6579</f>
      </c>
    </row>
    <row r="6580">
      <c r="A6580" s="5"/>
      <c r="B6580" s="14" t="s">
        <v>2302</v>
      </c>
      <c r="C6580" s="22">
        <f>(1)*(1)*(1)*(1)*(1 + (0))</f>
      </c>
      <c r="D6580" s="22" t="s">
        <v>71</v>
      </c>
      <c r="E6580" s="22"/>
      <c r="F6580" s="22">
        <f>C6580*E6580</f>
      </c>
    </row>
    <row r="6581">
      <c r="A6581" s="5"/>
      <c r="B6581" s="14" t="s">
        <v>2303</v>
      </c>
      <c r="C6581" s="22">
        <f>(1)*(1)*(1)*(1)*(1 + (0))</f>
      </c>
      <c r="D6581" s="22" t="s">
        <v>71</v>
      </c>
      <c r="E6581" s="22"/>
      <c r="F6581" s="22">
        <f>C6581*E6581</f>
      </c>
    </row>
    <row r="6582">
      <c r="A6582" s="5"/>
      <c r="B6582" s="14" t="s">
        <v>2304</v>
      </c>
      <c r="C6582" s="22">
        <f>(1)*(1)*(1)*(1)*(1 + (0))</f>
      </c>
      <c r="D6582" s="22" t="s">
        <v>71</v>
      </c>
      <c r="E6582" s="22"/>
      <c r="F6582" s="22">
        <f>C6582*E6582</f>
      </c>
    </row>
    <row r="6583">
      <c r="A6583" s="5"/>
      <c r="B6583" s="14" t="s">
        <v>2305</v>
      </c>
      <c r="C6583" s="22">
        <f>(1)*(1)*(1)*(1)*(1 + (0))</f>
      </c>
      <c r="D6583" s="22" t="s">
        <v>71</v>
      </c>
      <c r="E6583" s="22"/>
      <c r="F6583" s="22">
        <f>C6583*E6583</f>
      </c>
    </row>
    <row r="6584">
      <c r="A6584" s="5"/>
      <c r="B6584" s="14" t="s">
        <v>2306</v>
      </c>
      <c r="C6584" s="22">
        <f>(1)*(1)*(1)*(1)*(1 + (0))</f>
      </c>
      <c r="D6584" s="22" t="s">
        <v>71</v>
      </c>
      <c r="E6584" s="22"/>
      <c r="F6584" s="22">
        <f>C6584*E6584</f>
      </c>
    </row>
    <row r="6585">
      <c r="A6585" s="5"/>
      <c r="B6585" s="14" t="s">
        <v>70</v>
      </c>
      <c r="C6585" s="22">
        <f>(1)*(1)*(1)*(1)*(1 + (0))</f>
      </c>
      <c r="D6585" s="22" t="s">
        <v>71</v>
      </c>
      <c r="E6585" s="22"/>
      <c r="F6585" s="22">
        <f>C6585*E6585</f>
      </c>
    </row>
    <row r="6586">
      <c r="A6586" s="5"/>
      <c r="B6586" s="14" t="s">
        <v>73</v>
      </c>
      <c r="C6586" s="22">
        <f>(1)*(1)*(1)*(1)*(1 + (0))</f>
      </c>
      <c r="D6586" s="22" t="s">
        <v>71</v>
      </c>
      <c r="E6586" s="22"/>
      <c r="F6586" s="22">
        <f>C6586*E6586</f>
      </c>
    </row>
    <row r="6587">
      <c r="A6587" s="5"/>
      <c r="B6587" s="14" t="s">
        <v>2307</v>
      </c>
      <c r="C6587" s="22">
        <f>(1)*(1)*(1)*(1)*(1 + (0))</f>
      </c>
      <c r="D6587" s="22" t="s">
        <v>71</v>
      </c>
      <c r="E6587" s="22"/>
      <c r="F6587" s="22">
        <f>C6587*E6587</f>
      </c>
    </row>
    <row r="6588">
      <c r="A6588" s="5"/>
      <c r="B6588" s="14" t="s">
        <v>95</v>
      </c>
      <c r="C6588" s="22">
        <f>(1)*(1)*(1)*(1)*(1 + (0))</f>
      </c>
      <c r="D6588" s="22" t="s">
        <v>71</v>
      </c>
      <c r="E6588" s="22"/>
      <c r="F6588" s="22">
        <f>C6588*E6588</f>
      </c>
    </row>
    <row r="6589">
      <c r="A6589" s="5"/>
      <c r="B6589" s="14" t="s">
        <v>85</v>
      </c>
      <c r="C6589" s="22">
        <f>(1)*(1)*(1)*(1)*(1 + (0))</f>
      </c>
      <c r="D6589" s="22" t="s">
        <v>71</v>
      </c>
      <c r="E6589" s="22"/>
      <c r="F6589" s="22">
        <f>C6589*E6589</f>
      </c>
    </row>
    <row r="6590">
      <c r="A6590" s="5"/>
      <c r="B6590" s="14" t="s">
        <v>2308</v>
      </c>
      <c r="C6590" s="22">
        <f>(1)*(1)*(1)*(1)*(1 + (0))</f>
      </c>
      <c r="D6590" s="22" t="s">
        <v>71</v>
      </c>
      <c r="E6590" s="22"/>
      <c r="F6590" s="22">
        <f>C6590*E6590</f>
      </c>
    </row>
    <row r="6591">
      <c r="A6591" s="5"/>
      <c r="B6591" s="14" t="s">
        <v>2309</v>
      </c>
      <c r="C6591" s="22">
        <f>(1)*(1)*(1)*(1)*(1 + (0))</f>
      </c>
      <c r="D6591" s="22" t="s">
        <v>71</v>
      </c>
      <c r="E6591" s="22"/>
      <c r="F6591" s="22">
        <f>C6591*E6591</f>
      </c>
    </row>
    <row r="6592">
      <c r="A6592" s="5"/>
      <c r="B6592" s="14" t="s">
        <v>2310</v>
      </c>
      <c r="C6592" s="22">
        <f>(1)*(1)*(1)*(1)*(1 + (0))</f>
      </c>
      <c r="D6592" s="22" t="s">
        <v>71</v>
      </c>
      <c r="E6592" s="22"/>
      <c r="F6592" s="22">
        <f>C6592*E6592</f>
      </c>
    </row>
    <row r="6593">
      <c r="A6593" s="5"/>
      <c r="B6593" s="14" t="s">
        <v>2311</v>
      </c>
      <c r="C6593" s="22">
        <f>(1)*(1)*(1)*(1)*(1 + (0))</f>
      </c>
      <c r="D6593" s="22" t="s">
        <v>71</v>
      </c>
      <c r="E6593" s="22"/>
      <c r="F6593" s="22">
        <f>C6593*E6593</f>
      </c>
    </row>
    <row r="6594">
      <c r="A6594" s="5"/>
      <c r="B6594" s="14" t="s">
        <v>2312</v>
      </c>
      <c r="C6594" s="22">
        <f>(1)*(1)*(1)*(1)*(1 + (0))</f>
      </c>
      <c r="D6594" s="22" t="s">
        <v>71</v>
      </c>
      <c r="E6594" s="22"/>
      <c r="F6594" s="22">
        <f>C6594*E6594</f>
      </c>
    </row>
    <row r="6595">
      <c r="A6595" s="5"/>
      <c r="B6595" s="14" t="s">
        <v>2313</v>
      </c>
      <c r="C6595" s="22">
        <f>(1)*(1)*(1)*(1)*(1 + (0))</f>
      </c>
      <c r="D6595" s="22" t="s">
        <v>71</v>
      </c>
      <c r="E6595" s="22"/>
      <c r="F6595" s="22">
        <f>C6595*E6595</f>
      </c>
    </row>
    <row r="6596">
      <c r="A6596" s="5"/>
      <c r="B6596" s="14" t="s">
        <v>2314</v>
      </c>
      <c r="C6596" s="22">
        <f>(1)*(1)*(1)*(1)*(1 + (0))</f>
      </c>
      <c r="D6596" s="22" t="s">
        <v>71</v>
      </c>
      <c r="E6596" s="22"/>
      <c r="F6596" s="22">
        <f>C6596*E6596</f>
      </c>
    </row>
    <row r="6597">
      <c r="A6597" s="3"/>
      <c r="B6597" s="11" t="s">
        <v>106</v>
      </c>
      <c r="C6597" s="20"/>
      <c r="D6597" s="20"/>
      <c r="E6597" s="20"/>
      <c r="F6597" s="20"/>
    </row>
    <row r="6598">
      <c r="A6598" s="5"/>
      <c r="B6598" s="14" t="s">
        <v>2315</v>
      </c>
      <c r="C6598" s="22"/>
      <c r="D6598" s="22" t="s">
        <v>10</v>
      </c>
      <c r="E6598" s="22"/>
      <c r="F6598" s="22">
        <f>C6598*E6598</f>
      </c>
    </row>
    <row r="6599">
      <c r="A6599" s="3"/>
      <c r="B6599" s="11" t="s">
        <v>2316</v>
      </c>
      <c r="C6599" s="20"/>
      <c r="D6599" s="20"/>
      <c r="E6599" s="20"/>
      <c r="F6599" s="20"/>
    </row>
    <row r="6600">
      <c r="A6600" s="5"/>
      <c r="B6600" s="14" t="s">
        <v>2317</v>
      </c>
      <c r="C6600" s="22">
        <f>(11)*(1)*(1)*(1)*(1 + (0))</f>
      </c>
      <c r="D6600" s="22" t="s">
        <v>153</v>
      </c>
      <c r="E6600" s="22"/>
      <c r="F6600" s="22">
        <f>C6600*E6600</f>
      </c>
    </row>
    <row r="6601">
      <c r="A6601" s="5"/>
      <c r="B6601" s="14" t="s">
        <v>2318</v>
      </c>
      <c r="C6601" s="22">
        <f>(7)*(1)*(1)*(1)*(1 + (0))</f>
      </c>
      <c r="D6601" s="22" t="s">
        <v>153</v>
      </c>
      <c r="E6601" s="22"/>
      <c r="F6601" s="22">
        <f>C6601*E6601</f>
      </c>
    </row>
    <row r="6602">
      <c r="A6602" s="2"/>
      <c r="B6602" s="10" t="s">
        <v>2319</v>
      </c>
      <c r="C6602" s="19"/>
      <c r="D6602" s="19"/>
      <c r="E6602" s="19"/>
      <c r="F6602" s="19"/>
    </row>
    <row r="6603">
      <c r="A6603" s="3"/>
      <c r="B6603" s="11" t="s">
        <v>37</v>
      </c>
      <c r="C6603" s="20"/>
      <c r="D6603" s="20"/>
      <c r="E6603" s="20"/>
      <c r="F6603" s="20"/>
    </row>
    <row r="6604">
      <c r="A6604" s="5" t="s">
        <v>38</v>
      </c>
      <c r="B6604" s="14" t="s">
        <v>39</v>
      </c>
      <c r="C6604" s="22"/>
      <c r="D6604" s="22" t="s">
        <v>10</v>
      </c>
      <c r="E6604" s="22"/>
      <c r="F6604" s="22">
        <f>C6604*E6604</f>
      </c>
    </row>
    <row r="6605">
      <c r="A6605" s="5" t="s">
        <v>40</v>
      </c>
      <c r="B6605" s="14" t="s">
        <v>41</v>
      </c>
      <c r="C6605" s="22"/>
      <c r="D6605" s="22" t="s">
        <v>10</v>
      </c>
      <c r="E6605" s="22"/>
      <c r="F6605" s="22">
        <f>C6605*E6605</f>
      </c>
    </row>
    <row r="6606">
      <c r="A6606" s="3"/>
      <c r="B6606" s="11" t="s">
        <v>42</v>
      </c>
      <c r="C6606" s="20"/>
      <c r="D6606" s="20"/>
      <c r="E6606" s="20"/>
      <c r="F6606" s="20"/>
    </row>
    <row r="6607">
      <c r="A6607" s="5"/>
      <c r="B6607" s="14" t="s">
        <v>2292</v>
      </c>
      <c r="C6607" s="22"/>
      <c r="D6607" s="22" t="s">
        <v>10</v>
      </c>
      <c r="E6607" s="22"/>
      <c r="F6607" s="22">
        <f>C6607*E6607</f>
      </c>
    </row>
    <row r="6608">
      <c r="A6608" s="5"/>
      <c r="B6608" s="14" t="s">
        <v>2320</v>
      </c>
      <c r="C6608" s="22"/>
      <c r="D6608" s="22" t="s">
        <v>10</v>
      </c>
      <c r="E6608" s="22"/>
      <c r="F6608" s="22">
        <f>C6608*E6608</f>
      </c>
    </row>
    <row r="6609">
      <c r="A6609" s="3"/>
      <c r="B6609" s="11" t="s">
        <v>44</v>
      </c>
      <c r="C6609" s="20"/>
      <c r="D6609" s="20"/>
      <c r="E6609" s="20"/>
      <c r="F6609" s="20"/>
    </row>
    <row r="6610">
      <c r="A6610" s="4"/>
      <c r="B6610" s="12" t="s">
        <v>45</v>
      </c>
      <c r="C6610" s="21"/>
      <c r="D6610" s="21"/>
      <c r="E6610" s="21"/>
      <c r="F6610" s="21"/>
    </row>
    <row r="6611">
      <c r="A6611" s="5" t="s">
        <v>46</v>
      </c>
      <c r="B6611" s="13" t="s">
        <v>47</v>
      </c>
      <c r="C6611" s="22"/>
      <c r="D6611" s="22" t="s">
        <v>10</v>
      </c>
      <c r="E6611" s="22"/>
      <c r="F6611" s="22">
        <f>C6611*E6611</f>
      </c>
    </row>
    <row r="6612">
      <c r="A6612" s="5" t="s">
        <v>48</v>
      </c>
      <c r="B6612" s="13" t="s">
        <v>49</v>
      </c>
      <c r="C6612" s="22"/>
      <c r="D6612" s="22" t="s">
        <v>10</v>
      </c>
      <c r="E6612" s="22"/>
      <c r="F6612" s="22">
        <f>C6612*E6612</f>
      </c>
    </row>
    <row r="6613">
      <c r="A6613" s="5" t="s">
        <v>50</v>
      </c>
      <c r="B6613" s="13" t="s">
        <v>51</v>
      </c>
      <c r="C6613" s="22"/>
      <c r="D6613" s="22" t="s">
        <v>10</v>
      </c>
      <c r="E6613" s="22"/>
      <c r="F6613" s="22">
        <f>C6613*E6613</f>
      </c>
    </row>
    <row r="6614">
      <c r="A6614" s="5" t="s">
        <v>52</v>
      </c>
      <c r="B6614" s="13" t="s">
        <v>53</v>
      </c>
      <c r="C6614" s="22"/>
      <c r="D6614" s="22" t="s">
        <v>10</v>
      </c>
      <c r="E6614" s="22"/>
      <c r="F6614" s="22">
        <f>C6614*E6614</f>
      </c>
    </row>
    <row r="6615">
      <c r="A6615" s="5" t="s">
        <v>54</v>
      </c>
      <c r="B6615" s="13" t="s">
        <v>55</v>
      </c>
      <c r="C6615" s="22"/>
      <c r="D6615" s="22" t="s">
        <v>10</v>
      </c>
      <c r="E6615" s="22"/>
      <c r="F6615" s="22">
        <f>C6615*E6615</f>
      </c>
    </row>
    <row r="6616">
      <c r="A6616" s="5" t="s">
        <v>56</v>
      </c>
      <c r="B6616" s="13" t="s">
        <v>57</v>
      </c>
      <c r="C6616" s="22"/>
      <c r="D6616" s="22" t="s">
        <v>10</v>
      </c>
      <c r="E6616" s="22"/>
      <c r="F6616" s="22">
        <f>C6616*E6616</f>
      </c>
    </row>
    <row r="6617">
      <c r="A6617" s="5" t="s">
        <v>58</v>
      </c>
      <c r="B6617" s="13" t="s">
        <v>59</v>
      </c>
      <c r="C6617" s="22"/>
      <c r="D6617" s="22" t="s">
        <v>10</v>
      </c>
      <c r="E6617" s="22"/>
      <c r="F6617" s="22">
        <f>C6617*E6617</f>
      </c>
    </row>
    <row r="6618">
      <c r="A6618" s="5" t="s">
        <v>60</v>
      </c>
      <c r="B6618" s="13" t="s">
        <v>61</v>
      </c>
      <c r="C6618" s="22"/>
      <c r="D6618" s="22" t="s">
        <v>10</v>
      </c>
      <c r="E6618" s="22"/>
      <c r="F6618" s="22">
        <f>C6618*E6618</f>
      </c>
    </row>
    <row r="6619">
      <c r="A6619" s="5" t="s">
        <v>62</v>
      </c>
      <c r="B6619" s="13" t="s">
        <v>63</v>
      </c>
      <c r="C6619" s="22"/>
      <c r="D6619" s="22" t="s">
        <v>10</v>
      </c>
      <c r="E6619" s="22"/>
      <c r="F6619" s="22">
        <f>C6619*E6619</f>
      </c>
    </row>
    <row r="6620">
      <c r="A6620" s="5" t="s">
        <v>64</v>
      </c>
      <c r="B6620" s="13" t="s">
        <v>65</v>
      </c>
      <c r="C6620" s="22"/>
      <c r="D6620" s="22" t="s">
        <v>10</v>
      </c>
      <c r="E6620" s="22"/>
      <c r="F6620" s="22">
        <f>C6620*E6620</f>
      </c>
    </row>
    <row r="6621">
      <c r="A6621" s="5" t="s">
        <v>66</v>
      </c>
      <c r="B6621" s="13" t="s">
        <v>67</v>
      </c>
      <c r="C6621" s="22"/>
      <c r="D6621" s="22" t="s">
        <v>10</v>
      </c>
      <c r="E6621" s="22"/>
      <c r="F6621" s="22">
        <f>C6621*E6621</f>
      </c>
    </row>
    <row r="6622">
      <c r="A6622" s="3"/>
      <c r="B6622" s="11" t="s">
        <v>68</v>
      </c>
      <c r="C6622" s="20"/>
      <c r="D6622" s="20"/>
      <c r="E6622" s="20"/>
      <c r="F6622" s="20"/>
    </row>
    <row r="6623">
      <c r="A6623" s="5" t="s">
        <v>69</v>
      </c>
      <c r="B6623" s="14" t="s">
        <v>70</v>
      </c>
      <c r="C6623" s="22">
        <f>(1)*(1)*(1)*(1)*(1 + (0))</f>
      </c>
      <c r="D6623" s="22" t="s">
        <v>71</v>
      </c>
      <c r="E6623" s="22"/>
      <c r="F6623" s="22">
        <f>C6623*E6623</f>
      </c>
    </row>
    <row r="6624">
      <c r="A6624" s="5" t="s">
        <v>72</v>
      </c>
      <c r="B6624" s="14" t="s">
        <v>73</v>
      </c>
      <c r="C6624" s="22">
        <f>(1)*(1)*(1)*(1)*(1 + (0))</f>
      </c>
      <c r="D6624" s="22" t="s">
        <v>71</v>
      </c>
      <c r="E6624" s="22"/>
      <c r="F6624" s="22">
        <f>C6624*E6624</f>
      </c>
    </row>
    <row r="6625">
      <c r="A6625" s="5" t="s">
        <v>74</v>
      </c>
      <c r="B6625" s="14" t="s">
        <v>75</v>
      </c>
      <c r="C6625" s="22">
        <f>(1)*(1)*(1)*(1)*(1 + (0))</f>
      </c>
      <c r="D6625" s="22" t="s">
        <v>71</v>
      </c>
      <c r="E6625" s="22"/>
      <c r="F6625" s="22">
        <f>C6625*E6625</f>
      </c>
    </row>
    <row r="6626">
      <c r="A6626" s="5" t="s">
        <v>76</v>
      </c>
      <c r="B6626" s="14" t="s">
        <v>77</v>
      </c>
      <c r="C6626" s="22">
        <f>(1)*(1)*(1)*(1)*(1 + (0))</f>
      </c>
      <c r="D6626" s="22" t="s">
        <v>71</v>
      </c>
      <c r="E6626" s="22"/>
      <c r="F6626" s="22">
        <f>C6626*E6626</f>
      </c>
    </row>
    <row r="6627">
      <c r="A6627" s="5" t="s">
        <v>78</v>
      </c>
      <c r="B6627" s="14" t="s">
        <v>79</v>
      </c>
      <c r="C6627" s="22">
        <f>(1)*(1)*(1)*(1)*(1 + (0))</f>
      </c>
      <c r="D6627" s="22" t="s">
        <v>71</v>
      </c>
      <c r="E6627" s="22"/>
      <c r="F6627" s="22">
        <f>C6627*E6627</f>
      </c>
    </row>
    <row r="6628">
      <c r="A6628" s="5" t="s">
        <v>80</v>
      </c>
      <c r="B6628" s="14" t="s">
        <v>81</v>
      </c>
      <c r="C6628" s="22">
        <f>(1)*(1)*(1)*(1)*(1 + (0))</f>
      </c>
      <c r="D6628" s="22" t="s">
        <v>71</v>
      </c>
      <c r="E6628" s="22"/>
      <c r="F6628" s="22">
        <f>C6628*E6628</f>
      </c>
    </row>
    <row r="6629">
      <c r="A6629" s="5" t="s">
        <v>82</v>
      </c>
      <c r="B6629" s="14" t="s">
        <v>83</v>
      </c>
      <c r="C6629" s="22">
        <f>(1)*(1)*(1)*(1)*(1 + (0))</f>
      </c>
      <c r="D6629" s="22" t="s">
        <v>71</v>
      </c>
      <c r="E6629" s="22"/>
      <c r="F6629" s="22">
        <f>C6629*E6629</f>
      </c>
    </row>
    <row r="6630">
      <c r="A6630" s="5" t="s">
        <v>84</v>
      </c>
      <c r="B6630" s="14" t="s">
        <v>85</v>
      </c>
      <c r="C6630" s="22">
        <f>(1)*(1)*(1)*(1)*(1 + (0))</f>
      </c>
      <c r="D6630" s="22" t="s">
        <v>71</v>
      </c>
      <c r="E6630" s="22"/>
      <c r="F6630" s="22">
        <f>C6630*E6630</f>
      </c>
    </row>
    <row r="6631">
      <c r="A6631" s="5" t="s">
        <v>86</v>
      </c>
      <c r="B6631" s="14" t="s">
        <v>87</v>
      </c>
      <c r="C6631" s="22">
        <f>(1)*(1)*(1)*(1)*(1 + (0))</f>
      </c>
      <c r="D6631" s="22" t="s">
        <v>71</v>
      </c>
      <c r="E6631" s="22"/>
      <c r="F6631" s="22">
        <f>C6631*E6631</f>
      </c>
    </row>
    <row r="6632">
      <c r="A6632" s="5" t="s">
        <v>88</v>
      </c>
      <c r="B6632" s="14" t="s">
        <v>89</v>
      </c>
      <c r="C6632" s="22">
        <f>(1)*(1)*(1)*(1)*(1 + (0))</f>
      </c>
      <c r="D6632" s="22" t="s">
        <v>71</v>
      </c>
      <c r="E6632" s="22"/>
      <c r="F6632" s="22">
        <f>C6632*E6632</f>
      </c>
    </row>
    <row r="6633">
      <c r="A6633" s="5" t="s">
        <v>90</v>
      </c>
      <c r="B6633" s="14" t="s">
        <v>91</v>
      </c>
      <c r="C6633" s="22">
        <f>(1)*(1)*(1)*(1)*(1 + (0))</f>
      </c>
      <c r="D6633" s="22" t="s">
        <v>71</v>
      </c>
      <c r="E6633" s="22"/>
      <c r="F6633" s="22">
        <f>C6633*E6633</f>
      </c>
    </row>
    <row r="6634">
      <c r="A6634" s="5" t="s">
        <v>92</v>
      </c>
      <c r="B6634" s="14" t="s">
        <v>93</v>
      </c>
      <c r="C6634" s="22">
        <f>(1)*(1)*(1)*(1)*(1 + (0))</f>
      </c>
      <c r="D6634" s="22" t="s">
        <v>71</v>
      </c>
      <c r="E6634" s="22"/>
      <c r="F6634" s="22">
        <f>C6634*E6634</f>
      </c>
    </row>
    <row r="6635">
      <c r="A6635" s="5" t="s">
        <v>94</v>
      </c>
      <c r="B6635" s="14" t="s">
        <v>95</v>
      </c>
      <c r="C6635" s="22">
        <f>(1)*(1)*(1)*(1)*(1 + (0))</f>
      </c>
      <c r="D6635" s="22" t="s">
        <v>71</v>
      </c>
      <c r="E6635" s="22"/>
      <c r="F6635" s="22">
        <f>C6635*E6635</f>
      </c>
    </row>
    <row r="6636">
      <c r="A6636" s="5" t="s">
        <v>96</v>
      </c>
      <c r="B6636" s="14" t="s">
        <v>97</v>
      </c>
      <c r="C6636" s="22">
        <f>(1)*(1)*(1)*(1)*(1 + (0))</f>
      </c>
      <c r="D6636" s="22" t="s">
        <v>71</v>
      </c>
      <c r="E6636" s="22"/>
      <c r="F6636" s="22">
        <f>C6636*E6636</f>
      </c>
    </row>
    <row r="6637">
      <c r="A6637" s="5" t="s">
        <v>98</v>
      </c>
      <c r="B6637" s="14" t="s">
        <v>2321</v>
      </c>
      <c r="C6637" s="22">
        <f>(1)*(1)*(1)*(1)*(1 + (0))</f>
      </c>
      <c r="D6637" s="22" t="s">
        <v>71</v>
      </c>
      <c r="E6637" s="22"/>
      <c r="F6637" s="22">
        <f>C6637*E6637</f>
      </c>
    </row>
    <row r="6638">
      <c r="A6638" s="5" t="s">
        <v>100</v>
      </c>
      <c r="B6638" s="14" t="s">
        <v>101</v>
      </c>
      <c r="C6638" s="22">
        <f>(1)*(1)*(1)*(1)*(1 + (0))</f>
      </c>
      <c r="D6638" s="22" t="s">
        <v>71</v>
      </c>
      <c r="E6638" s="22"/>
      <c r="F6638" s="22">
        <f>C6638*E6638</f>
      </c>
    </row>
    <row r="6639">
      <c r="A6639" s="5" t="s">
        <v>102</v>
      </c>
      <c r="B6639" s="14" t="s">
        <v>103</v>
      </c>
      <c r="C6639" s="22">
        <f>(1)*(1)*(1)*(1)*(1 + (0))</f>
      </c>
      <c r="D6639" s="22" t="s">
        <v>71</v>
      </c>
      <c r="E6639" s="22"/>
      <c r="F6639" s="22">
        <f>C6639*E6639</f>
      </c>
    </row>
    <row r="6640">
      <c r="A6640" s="5" t="s">
        <v>104</v>
      </c>
      <c r="B6640" s="14" t="s">
        <v>105</v>
      </c>
      <c r="C6640" s="22">
        <f>(1)*(1)*(1)*(1)*(1 + (0))</f>
      </c>
      <c r="D6640" s="22" t="s">
        <v>71</v>
      </c>
      <c r="E6640" s="22"/>
      <c r="F6640" s="22">
        <f>C6640*E6640</f>
      </c>
    </row>
    <row r="6641">
      <c r="A6641" s="3"/>
      <c r="B6641" s="11" t="s">
        <v>106</v>
      </c>
      <c r="C6641" s="20"/>
      <c r="D6641" s="20"/>
      <c r="E6641" s="20"/>
      <c r="F6641" s="20"/>
    </row>
    <row r="6642">
      <c r="A6642" s="5"/>
      <c r="B6642" s="14" t="s">
        <v>2322</v>
      </c>
      <c r="C6642" s="22"/>
      <c r="D6642" s="22" t="s">
        <v>10</v>
      </c>
      <c r="E6642" s="22"/>
      <c r="F6642" s="22">
        <f>C6642*E6642</f>
      </c>
    </row>
    <row r="6643">
      <c r="A6643" s="5"/>
      <c r="B6643" s="14" t="s">
        <v>2323</v>
      </c>
      <c r="C6643" s="22"/>
      <c r="D6643" s="22" t="s">
        <v>10</v>
      </c>
      <c r="E6643" s="22"/>
      <c r="F6643" s="22">
        <f>C6643*E6643</f>
      </c>
    </row>
    <row r="6644">
      <c r="A6644" s="5"/>
      <c r="B6644" s="14" t="s">
        <v>2324</v>
      </c>
      <c r="C6644" s="22"/>
      <c r="D6644" s="22" t="s">
        <v>10</v>
      </c>
      <c r="E6644" s="22"/>
      <c r="F6644" s="22">
        <f>C6644*E6644</f>
      </c>
    </row>
    <row r="6645">
      <c r="A6645" s="5"/>
      <c r="B6645" s="14" t="s">
        <v>2325</v>
      </c>
      <c r="C6645" s="22"/>
      <c r="D6645" s="22" t="s">
        <v>10</v>
      </c>
      <c r="E6645" s="22"/>
      <c r="F6645" s="22">
        <f>C6645*E6645</f>
      </c>
    </row>
    <row r="6646">
      <c r="A6646" s="3"/>
      <c r="B6646" s="11" t="s">
        <v>2326</v>
      </c>
      <c r="C6646" s="20"/>
      <c r="D6646" s="20"/>
      <c r="E6646" s="20"/>
      <c r="F6646" s="20"/>
    </row>
    <row r="6647">
      <c r="A6647" s="5"/>
      <c r="B6647" s="14" t="s">
        <v>2327</v>
      </c>
      <c r="C6647" s="22">
        <f>(1)*(1)*(1)*(1)*(1 + (0))</f>
      </c>
      <c r="D6647" s="22" t="s">
        <v>71</v>
      </c>
      <c r="E6647" s="22"/>
      <c r="F6647" s="22">
        <f>C6647*E6647</f>
      </c>
    </row>
    <row r="6648">
      <c r="A6648" s="5"/>
      <c r="B6648" s="14" t="s">
        <v>2328</v>
      </c>
      <c r="C6648" s="22">
        <f>(1)*(1)*(1)*(1)*(1 + (0))</f>
      </c>
      <c r="D6648" s="22" t="s">
        <v>71</v>
      </c>
      <c r="E6648" s="22"/>
      <c r="F6648" s="22">
        <f>C6648*E6648</f>
      </c>
    </row>
    <row r="6649">
      <c r="A6649" s="3"/>
      <c r="B6649" s="11" t="s">
        <v>2329</v>
      </c>
      <c r="C6649" s="20"/>
      <c r="D6649" s="20"/>
      <c r="E6649" s="20"/>
      <c r="F6649" s="20"/>
    </row>
    <row r="6650">
      <c r="A6650" s="5"/>
      <c r="B6650" s="14" t="s">
        <v>2330</v>
      </c>
      <c r="C6650" s="22">
        <f>(464)*(1)*(1)*(1)*(1 + (0))</f>
      </c>
      <c r="D6650" s="22" t="s">
        <v>153</v>
      </c>
      <c r="E6650" s="22"/>
      <c r="F6650" s="22">
        <f>C6650*E6650</f>
      </c>
    </row>
    <row r="6651">
      <c r="A6651" s="5"/>
      <c r="B6651" s="14" t="s">
        <v>2331</v>
      </c>
      <c r="C6651" s="22">
        <f>(708)*(1)*(1)*(1)*(1 + (0))</f>
      </c>
      <c r="D6651" s="22" t="s">
        <v>153</v>
      </c>
      <c r="E6651" s="22"/>
      <c r="F6651" s="22">
        <f>C6651*E6651</f>
      </c>
    </row>
    <row r="6652">
      <c r="A6652" s="5"/>
      <c r="B6652" s="14" t="s">
        <v>2332</v>
      </c>
      <c r="C6652" s="22">
        <f>(34)*(1)*(1)*(1)*(1 + (0))</f>
      </c>
      <c r="D6652" s="22" t="s">
        <v>162</v>
      </c>
      <c r="E6652" s="22"/>
      <c r="F6652" s="22">
        <f>C6652*E6652</f>
      </c>
    </row>
    <row r="6653">
      <c r="A6653" s="5"/>
      <c r="B6653" s="14" t="s">
        <v>2333</v>
      </c>
      <c r="C6653" s="22">
        <f>(1)*(1)*(1)*(1)*(1 + (0))</f>
      </c>
      <c r="D6653" s="22" t="s">
        <v>162</v>
      </c>
      <c r="E6653" s="22"/>
      <c r="F6653" s="22">
        <f>C6653*E6653</f>
      </c>
    </row>
    <row r="6654">
      <c r="A6654" s="5"/>
      <c r="B6654" s="14" t="s">
        <v>2334</v>
      </c>
      <c r="C6654" s="22">
        <f>(1)*(1)*(1)*(1)*(1 + (0))</f>
      </c>
      <c r="D6654" s="22" t="s">
        <v>162</v>
      </c>
      <c r="E6654" s="22"/>
      <c r="F6654" s="22">
        <f>C6654*E6654</f>
      </c>
    </row>
    <row r="6655">
      <c r="A6655" s="5"/>
      <c r="B6655" s="14" t="s">
        <v>2335</v>
      </c>
      <c r="C6655" s="22">
        <f>(1)*(1)*(1)*(1)*(1 + (0))</f>
      </c>
      <c r="D6655" s="22" t="s">
        <v>162</v>
      </c>
      <c r="E6655" s="22"/>
      <c r="F6655" s="22">
        <f>C6655*E6655</f>
      </c>
    </row>
    <row r="6656">
      <c r="A6656" s="5"/>
      <c r="B6656" s="14" t="s">
        <v>2336</v>
      </c>
      <c r="C6656" s="22">
        <f>(10)*(1)*(1)*(1)*(1 + (0))</f>
      </c>
      <c r="D6656" s="22" t="s">
        <v>162</v>
      </c>
      <c r="E6656" s="22"/>
      <c r="F6656" s="22">
        <f>C6656*E6656</f>
      </c>
    </row>
    <row r="6657">
      <c r="A6657" s="5"/>
      <c r="B6657" s="14" t="s">
        <v>2337</v>
      </c>
      <c r="C6657" s="22">
        <f>(23)*(1)*(1)*(1)*(1 + (0))</f>
      </c>
      <c r="D6657" s="22" t="s">
        <v>153</v>
      </c>
      <c r="E6657" s="22"/>
      <c r="F6657" s="22">
        <f>C6657*E6657</f>
      </c>
    </row>
    <row r="6658">
      <c r="A6658" s="3"/>
      <c r="B6658" s="11" t="s">
        <v>2338</v>
      </c>
      <c r="C6658" s="20"/>
      <c r="D6658" s="20"/>
      <c r="E6658" s="20"/>
      <c r="F6658" s="20"/>
    </row>
    <row r="6659">
      <c r="A6659" s="5"/>
      <c r="B6659" s="14" t="s">
        <v>2339</v>
      </c>
      <c r="C6659" s="22">
        <f>(1201)*(1)*(1)*(1)*(1 + (0))</f>
      </c>
      <c r="D6659" s="22" t="s">
        <v>111</v>
      </c>
      <c r="E6659" s="22"/>
      <c r="F6659" s="22">
        <f>C6659*E6659</f>
      </c>
    </row>
    <row r="6660">
      <c r="A6660" s="5"/>
      <c r="B6660" s="14" t="s">
        <v>2340</v>
      </c>
      <c r="C6660" s="22">
        <f>(1201)*(1)*(1)*(1)*(1 + (0))</f>
      </c>
      <c r="D6660" s="22" t="s">
        <v>111</v>
      </c>
      <c r="E6660" s="22"/>
      <c r="F6660" s="22">
        <f>C6660*E6660</f>
      </c>
    </row>
    <row r="6661">
      <c r="A6661" s="5"/>
      <c r="B6661" s="14" t="s">
        <v>2341</v>
      </c>
      <c r="C6661" s="22">
        <f>(5873)*(1)*(1)*(1)*(1 + (0))</f>
      </c>
      <c r="D6661" s="22" t="s">
        <v>111</v>
      </c>
      <c r="E6661" s="22"/>
      <c r="F6661" s="22">
        <f>C6661*E6661</f>
      </c>
    </row>
    <row r="6662">
      <c r="A6662" s="3"/>
      <c r="B6662" s="11" t="s">
        <v>2342</v>
      </c>
      <c r="C6662" s="20"/>
      <c r="D6662" s="20"/>
      <c r="E6662" s="20"/>
      <c r="F6662" s="20"/>
    </row>
    <row r="6663">
      <c r="A6663" s="4"/>
      <c r="B6663" s="12" t="s">
        <v>2343</v>
      </c>
      <c r="C6663" s="21"/>
      <c r="D6663" s="21"/>
      <c r="E6663" s="21"/>
      <c r="F6663" s="21"/>
    </row>
    <row r="6664">
      <c r="A6664" s="5"/>
      <c r="B6664" s="13" t="s">
        <v>2344</v>
      </c>
      <c r="C6664" s="22">
        <f>(12844)*(1)*(1)*(1)*(1 + (0))</f>
      </c>
      <c r="D6664" s="22" t="s">
        <v>24</v>
      </c>
      <c r="E6664" s="22"/>
      <c r="F6664" s="22">
        <f>C6664*E6664</f>
      </c>
    </row>
    <row r="6665">
      <c r="A6665" s="5"/>
      <c r="B6665" s="7" t="s">
        <v>2345</v>
      </c>
      <c r="C6665" s="22"/>
      <c r="D6665" s="22"/>
      <c r="E6665" s="22"/>
      <c r="F6665" s="22">
        <f>C6665*E6665</f>
      </c>
    </row>
    <row r="6666">
      <c r="A6666" s="2"/>
      <c r="B6666" s="10" t="s">
        <v>36</v>
      </c>
      <c r="C6666" s="19"/>
      <c r="D6666" s="19"/>
      <c r="E6666" s="19"/>
      <c r="F6666" s="19"/>
    </row>
    <row r="6667">
      <c r="A6667" s="3"/>
      <c r="B6667" s="11" t="s">
        <v>37</v>
      </c>
      <c r="C6667" s="20"/>
      <c r="D6667" s="20"/>
      <c r="E6667" s="20"/>
      <c r="F6667" s="20"/>
    </row>
    <row r="6668">
      <c r="A6668" s="5" t="s">
        <v>38</v>
      </c>
      <c r="B6668" s="14" t="s">
        <v>39</v>
      </c>
      <c r="C6668" s="22"/>
      <c r="D6668" s="22" t="s">
        <v>10</v>
      </c>
      <c r="E6668" s="22"/>
      <c r="F6668" s="22">
        <f>C6668*E6668</f>
      </c>
    </row>
    <row r="6669">
      <c r="A6669" s="5" t="s">
        <v>40</v>
      </c>
      <c r="B6669" s="14" t="s">
        <v>41</v>
      </c>
      <c r="C6669" s="22"/>
      <c r="D6669" s="22" t="s">
        <v>10</v>
      </c>
      <c r="E6669" s="22"/>
      <c r="F6669" s="22">
        <f>C6669*E6669</f>
      </c>
    </row>
    <row r="6670">
      <c r="A6670" s="3"/>
      <c r="B6670" s="11" t="s">
        <v>42</v>
      </c>
      <c r="C6670" s="20"/>
      <c r="D6670" s="20"/>
      <c r="E6670" s="20"/>
      <c r="F6670" s="20"/>
    </row>
    <row r="6671">
      <c r="A6671" s="5"/>
      <c r="B6671" s="14" t="s">
        <v>119</v>
      </c>
      <c r="C6671" s="22"/>
      <c r="D6671" s="22" t="s">
        <v>10</v>
      </c>
      <c r="E6671" s="22"/>
      <c r="F6671" s="22">
        <f>C6671*E6671</f>
      </c>
    </row>
    <row r="6672">
      <c r="A6672" s="3"/>
      <c r="B6672" s="11" t="s">
        <v>44</v>
      </c>
      <c r="C6672" s="20"/>
      <c r="D6672" s="20"/>
      <c r="E6672" s="20"/>
      <c r="F6672" s="20"/>
    </row>
    <row r="6673">
      <c r="A6673" s="4"/>
      <c r="B6673" s="12" t="s">
        <v>45</v>
      </c>
      <c r="C6673" s="21"/>
      <c r="D6673" s="21"/>
      <c r="E6673" s="21"/>
      <c r="F6673" s="21"/>
    </row>
    <row r="6674">
      <c r="A6674" s="5" t="s">
        <v>46</v>
      </c>
      <c r="B6674" s="13" t="s">
        <v>47</v>
      </c>
      <c r="C6674" s="22"/>
      <c r="D6674" s="22" t="s">
        <v>10</v>
      </c>
      <c r="E6674" s="22"/>
      <c r="F6674" s="22">
        <f>C6674*E6674</f>
      </c>
    </row>
    <row r="6675">
      <c r="A6675" s="5" t="s">
        <v>48</v>
      </c>
      <c r="B6675" s="13" t="s">
        <v>49</v>
      </c>
      <c r="C6675" s="22"/>
      <c r="D6675" s="22" t="s">
        <v>10</v>
      </c>
      <c r="E6675" s="22"/>
      <c r="F6675" s="22">
        <f>C6675*E6675</f>
      </c>
    </row>
    <row r="6676">
      <c r="A6676" s="5" t="s">
        <v>50</v>
      </c>
      <c r="B6676" s="13" t="s">
        <v>51</v>
      </c>
      <c r="C6676" s="22"/>
      <c r="D6676" s="22" t="s">
        <v>10</v>
      </c>
      <c r="E6676" s="22"/>
      <c r="F6676" s="22">
        <f>C6676*E6676</f>
      </c>
    </row>
    <row r="6677">
      <c r="A6677" s="5" t="s">
        <v>52</v>
      </c>
      <c r="B6677" s="13" t="s">
        <v>53</v>
      </c>
      <c r="C6677" s="22"/>
      <c r="D6677" s="22" t="s">
        <v>10</v>
      </c>
      <c r="E6677" s="22"/>
      <c r="F6677" s="22">
        <f>C6677*E6677</f>
      </c>
    </row>
    <row r="6678">
      <c r="A6678" s="5" t="s">
        <v>54</v>
      </c>
      <c r="B6678" s="13" t="s">
        <v>55</v>
      </c>
      <c r="C6678" s="22"/>
      <c r="D6678" s="22" t="s">
        <v>10</v>
      </c>
      <c r="E6678" s="22"/>
      <c r="F6678" s="22">
        <f>C6678*E6678</f>
      </c>
    </row>
    <row r="6679">
      <c r="A6679" s="5" t="s">
        <v>56</v>
      </c>
      <c r="B6679" s="13" t="s">
        <v>57</v>
      </c>
      <c r="C6679" s="22"/>
      <c r="D6679" s="22" t="s">
        <v>10</v>
      </c>
      <c r="E6679" s="22"/>
      <c r="F6679" s="22">
        <f>C6679*E6679</f>
      </c>
    </row>
    <row r="6680">
      <c r="A6680" s="5" t="s">
        <v>58</v>
      </c>
      <c r="B6680" s="13" t="s">
        <v>59</v>
      </c>
      <c r="C6680" s="22"/>
      <c r="D6680" s="22" t="s">
        <v>10</v>
      </c>
      <c r="E6680" s="22"/>
      <c r="F6680" s="22">
        <f>C6680*E6680</f>
      </c>
    </row>
    <row r="6681">
      <c r="A6681" s="5" t="s">
        <v>60</v>
      </c>
      <c r="B6681" s="13" t="s">
        <v>61</v>
      </c>
      <c r="C6681" s="22"/>
      <c r="D6681" s="22" t="s">
        <v>10</v>
      </c>
      <c r="E6681" s="22"/>
      <c r="F6681" s="22">
        <f>C6681*E6681</f>
      </c>
    </row>
    <row r="6682">
      <c r="A6682" s="5" t="s">
        <v>62</v>
      </c>
      <c r="B6682" s="13" t="s">
        <v>63</v>
      </c>
      <c r="C6682" s="22"/>
      <c r="D6682" s="22" t="s">
        <v>10</v>
      </c>
      <c r="E6682" s="22"/>
      <c r="F6682" s="22">
        <f>C6682*E6682</f>
      </c>
    </row>
    <row r="6683">
      <c r="A6683" s="5" t="s">
        <v>64</v>
      </c>
      <c r="B6683" s="13" t="s">
        <v>65</v>
      </c>
      <c r="C6683" s="22"/>
      <c r="D6683" s="22" t="s">
        <v>10</v>
      </c>
      <c r="E6683" s="22"/>
      <c r="F6683" s="22">
        <f>C6683*E6683</f>
      </c>
    </row>
    <row r="6684">
      <c r="A6684" s="5" t="s">
        <v>66</v>
      </c>
      <c r="B6684" s="13" t="s">
        <v>67</v>
      </c>
      <c r="C6684" s="22"/>
      <c r="D6684" s="22" t="s">
        <v>10</v>
      </c>
      <c r="E6684" s="22"/>
      <c r="F6684" s="22">
        <f>C6684*E6684</f>
      </c>
    </row>
    <row r="6685">
      <c r="A6685" s="3"/>
      <c r="B6685" s="11" t="s">
        <v>68</v>
      </c>
      <c r="C6685" s="20"/>
      <c r="D6685" s="20"/>
      <c r="E6685" s="20"/>
      <c r="F6685" s="20"/>
    </row>
    <row r="6686">
      <c r="A6686" s="5" t="s">
        <v>69</v>
      </c>
      <c r="B6686" s="14" t="s">
        <v>70</v>
      </c>
      <c r="C6686" s="22">
        <f>(1)*(1)*(1)*(1)*(1 + (0))</f>
      </c>
      <c r="D6686" s="22" t="s">
        <v>71</v>
      </c>
      <c r="E6686" s="22"/>
      <c r="F6686" s="22">
        <f>C6686*E6686</f>
      </c>
    </row>
    <row r="6687">
      <c r="A6687" s="5" t="s">
        <v>72</v>
      </c>
      <c r="B6687" s="14" t="s">
        <v>73</v>
      </c>
      <c r="C6687" s="22">
        <f>(1)*(1)*(1)*(1)*(1 + (0))</f>
      </c>
      <c r="D6687" s="22" t="s">
        <v>71</v>
      </c>
      <c r="E6687" s="22"/>
      <c r="F6687" s="22">
        <f>C6687*E6687</f>
      </c>
    </row>
    <row r="6688">
      <c r="A6688" s="5" t="s">
        <v>74</v>
      </c>
      <c r="B6688" s="14" t="s">
        <v>75</v>
      </c>
      <c r="C6688" s="22">
        <f>(1)*(1)*(1)*(1)*(1 + (0))</f>
      </c>
      <c r="D6688" s="22" t="s">
        <v>71</v>
      </c>
      <c r="E6688" s="22"/>
      <c r="F6688" s="22">
        <f>C6688*E6688</f>
      </c>
    </row>
    <row r="6689">
      <c r="A6689" s="5" t="s">
        <v>76</v>
      </c>
      <c r="B6689" s="14" t="s">
        <v>77</v>
      </c>
      <c r="C6689" s="22">
        <f>(1)*(1)*(1)*(1)*(1 + (0))</f>
      </c>
      <c r="D6689" s="22" t="s">
        <v>71</v>
      </c>
      <c r="E6689" s="22"/>
      <c r="F6689" s="22">
        <f>C6689*E6689</f>
      </c>
    </row>
    <row r="6690">
      <c r="A6690" s="5" t="s">
        <v>78</v>
      </c>
      <c r="B6690" s="14" t="s">
        <v>79</v>
      </c>
      <c r="C6690" s="22">
        <f>(1)*(1)*(1)*(1)*(1 + (0))</f>
      </c>
      <c r="D6690" s="22" t="s">
        <v>71</v>
      </c>
      <c r="E6690" s="22"/>
      <c r="F6690" s="22">
        <f>C6690*E6690</f>
      </c>
    </row>
    <row r="6691">
      <c r="A6691" s="5" t="s">
        <v>80</v>
      </c>
      <c r="B6691" s="14" t="s">
        <v>81</v>
      </c>
      <c r="C6691" s="22">
        <f>(1)*(1)*(1)*(1)*(1 + (0))</f>
      </c>
      <c r="D6691" s="22" t="s">
        <v>71</v>
      </c>
      <c r="E6691" s="22"/>
      <c r="F6691" s="22">
        <f>C6691*E6691</f>
      </c>
    </row>
    <row r="6692">
      <c r="A6692" s="5" t="s">
        <v>82</v>
      </c>
      <c r="B6692" s="14" t="s">
        <v>83</v>
      </c>
      <c r="C6692" s="22">
        <f>(1)*(1)*(1)*(1)*(1 + (0))</f>
      </c>
      <c r="D6692" s="22" t="s">
        <v>71</v>
      </c>
      <c r="E6692" s="22"/>
      <c r="F6692" s="22">
        <f>C6692*E6692</f>
      </c>
    </row>
    <row r="6693">
      <c r="A6693" s="5" t="s">
        <v>84</v>
      </c>
      <c r="B6693" s="14" t="s">
        <v>85</v>
      </c>
      <c r="C6693" s="22">
        <f>(1)*(1)*(1)*(1)*(1 + (0))</f>
      </c>
      <c r="D6693" s="22" t="s">
        <v>71</v>
      </c>
      <c r="E6693" s="22"/>
      <c r="F6693" s="22">
        <f>C6693*E6693</f>
      </c>
    </row>
    <row r="6694">
      <c r="A6694" s="5" t="s">
        <v>86</v>
      </c>
      <c r="B6694" s="14" t="s">
        <v>87</v>
      </c>
      <c r="C6694" s="22">
        <f>(1)*(1)*(1)*(1)*(1 + (0))</f>
      </c>
      <c r="D6694" s="22" t="s">
        <v>71</v>
      </c>
      <c r="E6694" s="22"/>
      <c r="F6694" s="22">
        <f>C6694*E6694</f>
      </c>
    </row>
    <row r="6695">
      <c r="A6695" s="5" t="s">
        <v>88</v>
      </c>
      <c r="B6695" s="14" t="s">
        <v>89</v>
      </c>
      <c r="C6695" s="22">
        <f>(1)*(1)*(1)*(1)*(1 + (0))</f>
      </c>
      <c r="D6695" s="22" t="s">
        <v>71</v>
      </c>
      <c r="E6695" s="22"/>
      <c r="F6695" s="22">
        <f>C6695*E6695</f>
      </c>
    </row>
    <row r="6696">
      <c r="A6696" s="5" t="s">
        <v>90</v>
      </c>
      <c r="B6696" s="14" t="s">
        <v>91</v>
      </c>
      <c r="C6696" s="22">
        <f>(1)*(1)*(1)*(1)*(1 + (0))</f>
      </c>
      <c r="D6696" s="22" t="s">
        <v>71</v>
      </c>
      <c r="E6696" s="22"/>
      <c r="F6696" s="22">
        <f>C6696*E6696</f>
      </c>
    </row>
    <row r="6697">
      <c r="A6697" s="5" t="s">
        <v>92</v>
      </c>
      <c r="B6697" s="14" t="s">
        <v>93</v>
      </c>
      <c r="C6697" s="22">
        <f>(1)*(1)*(1)*(1)*(1 + (0))</f>
      </c>
      <c r="D6697" s="22" t="s">
        <v>71</v>
      </c>
      <c r="E6697" s="22"/>
      <c r="F6697" s="22">
        <f>C6697*E6697</f>
      </c>
    </row>
    <row r="6698">
      <c r="A6698" s="5" t="s">
        <v>94</v>
      </c>
      <c r="B6698" s="14" t="s">
        <v>95</v>
      </c>
      <c r="C6698" s="22">
        <f>(1)*(1)*(1)*(1)*(1 + (0))</f>
      </c>
      <c r="D6698" s="22" t="s">
        <v>71</v>
      </c>
      <c r="E6698" s="22"/>
      <c r="F6698" s="22">
        <f>C6698*E6698</f>
      </c>
    </row>
    <row r="6699">
      <c r="A6699" s="5" t="s">
        <v>96</v>
      </c>
      <c r="B6699" s="14" t="s">
        <v>97</v>
      </c>
      <c r="C6699" s="22">
        <f>(1)*(1)*(1)*(1)*(1 + (0))</f>
      </c>
      <c r="D6699" s="22" t="s">
        <v>71</v>
      </c>
      <c r="E6699" s="22"/>
      <c r="F6699" s="22">
        <f>C6699*E6699</f>
      </c>
    </row>
    <row r="6700">
      <c r="A6700" s="5" t="s">
        <v>98</v>
      </c>
      <c r="B6700" s="14" t="s">
        <v>99</v>
      </c>
      <c r="C6700" s="22">
        <f>(1)*(1)*(1)*(1)*(1 + (0))</f>
      </c>
      <c r="D6700" s="22" t="s">
        <v>71</v>
      </c>
      <c r="E6700" s="22"/>
      <c r="F6700" s="22">
        <f>C6700*E6700</f>
      </c>
    </row>
    <row r="6701">
      <c r="A6701" s="5" t="s">
        <v>100</v>
      </c>
      <c r="B6701" s="14" t="s">
        <v>101</v>
      </c>
      <c r="C6701" s="22">
        <f>(1)*(1)*(1)*(1)*(1 + (0))</f>
      </c>
      <c r="D6701" s="22" t="s">
        <v>71</v>
      </c>
      <c r="E6701" s="22"/>
      <c r="F6701" s="22">
        <f>C6701*E6701</f>
      </c>
    </row>
    <row r="6702">
      <c r="A6702" s="5" t="s">
        <v>102</v>
      </c>
      <c r="B6702" s="14" t="s">
        <v>103</v>
      </c>
      <c r="C6702" s="22">
        <f>(1)*(1)*(1)*(1)*(1 + (0))</f>
      </c>
      <c r="D6702" s="22" t="s">
        <v>71</v>
      </c>
      <c r="E6702" s="22"/>
      <c r="F6702" s="22">
        <f>C6702*E6702</f>
      </c>
    </row>
    <row r="6703">
      <c r="A6703" s="5" t="s">
        <v>104</v>
      </c>
      <c r="B6703" s="14" t="s">
        <v>105</v>
      </c>
      <c r="C6703" s="22">
        <f>(1)*(1)*(1)*(1)*(1 + (0))</f>
      </c>
      <c r="D6703" s="22" t="s">
        <v>71</v>
      </c>
      <c r="E6703" s="22"/>
      <c r="F6703" s="22">
        <f>C6703*E6703</f>
      </c>
    </row>
    <row r="6704">
      <c r="A6704" s="3"/>
      <c r="B6704" s="11" t="s">
        <v>106</v>
      </c>
      <c r="C6704" s="20"/>
      <c r="D6704" s="20"/>
      <c r="E6704" s="20"/>
      <c r="F6704" s="20"/>
    </row>
    <row r="6705">
      <c r="A6705" s="5"/>
      <c r="B6705" s="14" t="s">
        <v>107</v>
      </c>
      <c r="C6705" s="22"/>
      <c r="D6705" s="22" t="s">
        <v>10</v>
      </c>
      <c r="E6705" s="22"/>
      <c r="F6705" s="22">
        <f>C6705*E6705</f>
      </c>
    </row>
    <row r="6706">
      <c r="A6706" s="3"/>
      <c r="B6706" s="11" t="s">
        <v>108</v>
      </c>
      <c r="C6706" s="20"/>
      <c r="D6706" s="20"/>
      <c r="E6706" s="20"/>
      <c r="F6706" s="20"/>
    </row>
    <row r="6707">
      <c r="A6707" s="4"/>
      <c r="B6707" s="12" t="s">
        <v>109</v>
      </c>
      <c r="C6707" s="21"/>
      <c r="D6707" s="21"/>
      <c r="E6707" s="21"/>
      <c r="F6707" s="21"/>
    </row>
    <row r="6708">
      <c r="A6708" s="5"/>
      <c r="B6708" s="13" t="s">
        <v>110</v>
      </c>
      <c r="C6708" s="22">
        <f>(2)*(1)*(1)*(1)*(1 + (0))</f>
      </c>
      <c r="D6708" s="22" t="s">
        <v>111</v>
      </c>
      <c r="E6708" s="22"/>
      <c r="F6708" s="22">
        <f>C6708*E6708</f>
      </c>
    </row>
    <row r="6709">
      <c r="A6709" s="5"/>
      <c r="B6709" s="13" t="s">
        <v>1843</v>
      </c>
      <c r="C6709" s="22">
        <f>(7)*(1)*(1)*(1)*(1 + (0))</f>
      </c>
      <c r="D6709" s="22" t="s">
        <v>111</v>
      </c>
      <c r="E6709" s="22"/>
      <c r="F6709" s="22">
        <f>C6709*E6709</f>
      </c>
    </row>
    <row r="6710">
      <c r="A6710" s="5"/>
      <c r="B6710" s="13" t="s">
        <v>114</v>
      </c>
      <c r="C6710" s="22">
        <f>(7)*(1)*(1)*(1)*(1 + (0))</f>
      </c>
      <c r="D6710" s="22" t="s">
        <v>111</v>
      </c>
      <c r="E6710" s="22"/>
      <c r="F6710" s="22">
        <f>C6710*E6710</f>
      </c>
    </row>
    <row r="6711">
      <c r="A6711" s="2"/>
      <c r="B6711" s="10" t="s">
        <v>115</v>
      </c>
      <c r="C6711" s="19"/>
      <c r="D6711" s="19"/>
      <c r="E6711" s="19"/>
      <c r="F6711" s="19"/>
    </row>
    <row r="6712">
      <c r="A6712" s="3"/>
      <c r="B6712" s="11" t="s">
        <v>37</v>
      </c>
      <c r="C6712" s="20"/>
      <c r="D6712" s="20"/>
      <c r="E6712" s="20"/>
      <c r="F6712" s="20"/>
    </row>
    <row r="6713">
      <c r="A6713" s="5" t="s">
        <v>116</v>
      </c>
      <c r="B6713" s="14" t="s">
        <v>39</v>
      </c>
      <c r="C6713" s="22"/>
      <c r="D6713" s="22" t="s">
        <v>10</v>
      </c>
      <c r="E6713" s="22"/>
      <c r="F6713" s="22">
        <f>C6713*E6713</f>
      </c>
    </row>
    <row r="6714">
      <c r="A6714" s="5" t="s">
        <v>117</v>
      </c>
      <c r="B6714" s="14" t="s">
        <v>41</v>
      </c>
      <c r="C6714" s="22"/>
      <c r="D6714" s="22" t="s">
        <v>10</v>
      </c>
      <c r="E6714" s="22"/>
      <c r="F6714" s="22">
        <f>C6714*E6714</f>
      </c>
    </row>
    <row r="6715">
      <c r="A6715" s="3"/>
      <c r="B6715" s="11" t="s">
        <v>42</v>
      </c>
      <c r="C6715" s="20"/>
      <c r="D6715" s="20"/>
      <c r="E6715" s="20"/>
      <c r="F6715" s="20"/>
    </row>
    <row r="6716">
      <c r="A6716" s="5"/>
      <c r="B6716" s="14" t="s">
        <v>118</v>
      </c>
      <c r="C6716" s="22"/>
      <c r="D6716" s="22" t="s">
        <v>10</v>
      </c>
      <c r="E6716" s="22"/>
      <c r="F6716" s="22">
        <f>C6716*E6716</f>
      </c>
    </row>
    <row r="6717">
      <c r="A6717" s="5"/>
      <c r="B6717" s="14" t="s">
        <v>119</v>
      </c>
      <c r="C6717" s="22"/>
      <c r="D6717" s="22" t="s">
        <v>10</v>
      </c>
      <c r="E6717" s="22"/>
      <c r="F6717" s="22">
        <f>C6717*E6717</f>
      </c>
    </row>
    <row r="6718">
      <c r="A6718" s="3"/>
      <c r="B6718" s="11" t="s">
        <v>44</v>
      </c>
      <c r="C6718" s="20"/>
      <c r="D6718" s="20"/>
      <c r="E6718" s="20"/>
      <c r="F6718" s="20"/>
    </row>
    <row r="6719">
      <c r="A6719" s="4"/>
      <c r="B6719" s="12" t="s">
        <v>45</v>
      </c>
      <c r="C6719" s="21"/>
      <c r="D6719" s="21"/>
      <c r="E6719" s="21"/>
      <c r="F6719" s="21"/>
    </row>
    <row r="6720">
      <c r="A6720" s="5" t="s">
        <v>120</v>
      </c>
      <c r="B6720" s="13" t="s">
        <v>121</v>
      </c>
      <c r="C6720" s="22"/>
      <c r="D6720" s="22" t="s">
        <v>10</v>
      </c>
      <c r="E6720" s="22"/>
      <c r="F6720" s="22">
        <f>C6720*E6720</f>
      </c>
    </row>
    <row r="6721">
      <c r="A6721" s="5" t="s">
        <v>122</v>
      </c>
      <c r="B6721" s="13" t="s">
        <v>123</v>
      </c>
      <c r="C6721" s="22"/>
      <c r="D6721" s="22" t="s">
        <v>10</v>
      </c>
      <c r="E6721" s="22"/>
      <c r="F6721" s="22">
        <f>C6721*E6721</f>
      </c>
    </row>
    <row r="6722">
      <c r="A6722" s="5" t="s">
        <v>124</v>
      </c>
      <c r="B6722" s="13" t="s">
        <v>125</v>
      </c>
      <c r="C6722" s="22"/>
      <c r="D6722" s="22" t="s">
        <v>10</v>
      </c>
      <c r="E6722" s="22"/>
      <c r="F6722" s="22">
        <f>C6722*E6722</f>
      </c>
    </row>
    <row r="6723">
      <c r="A6723" s="5" t="s">
        <v>126</v>
      </c>
      <c r="B6723" s="13" t="s">
        <v>127</v>
      </c>
      <c r="C6723" s="22"/>
      <c r="D6723" s="22" t="s">
        <v>10</v>
      </c>
      <c r="E6723" s="22"/>
      <c r="F6723" s="22">
        <f>C6723*E6723</f>
      </c>
    </row>
    <row r="6724">
      <c r="A6724" s="3"/>
      <c r="B6724" s="11" t="s">
        <v>68</v>
      </c>
      <c r="C6724" s="20"/>
      <c r="D6724" s="20"/>
      <c r="E6724" s="20"/>
      <c r="F6724" s="20"/>
    </row>
    <row r="6725">
      <c r="A6725" s="5" t="s">
        <v>128</v>
      </c>
      <c r="B6725" s="14" t="s">
        <v>129</v>
      </c>
      <c r="C6725" s="22">
        <f>(1)*(1)*(1)*(1)*(1 + (0))</f>
      </c>
      <c r="D6725" s="22" t="s">
        <v>71</v>
      </c>
      <c r="E6725" s="22"/>
      <c r="F6725" s="22">
        <f>C6725*E6725</f>
      </c>
    </row>
    <row r="6726">
      <c r="A6726" s="5" t="s">
        <v>130</v>
      </c>
      <c r="B6726" s="14" t="s">
        <v>131</v>
      </c>
      <c r="C6726" s="22">
        <f>(1)*(1)*(1)*(1)*(1 + (0))</f>
      </c>
      <c r="D6726" s="22" t="s">
        <v>71</v>
      </c>
      <c r="E6726" s="22"/>
      <c r="F6726" s="22">
        <f>C6726*E6726</f>
      </c>
    </row>
    <row r="6727">
      <c r="A6727" s="5" t="s">
        <v>132</v>
      </c>
      <c r="B6727" s="14" t="s">
        <v>73</v>
      </c>
      <c r="C6727" s="22">
        <f>(1)*(1)*(1)*(1)*(1 + (0))</f>
      </c>
      <c r="D6727" s="22" t="s">
        <v>71</v>
      </c>
      <c r="E6727" s="22"/>
      <c r="F6727" s="22">
        <f>C6727*E6727</f>
      </c>
    </row>
    <row r="6728">
      <c r="A6728" s="5" t="s">
        <v>133</v>
      </c>
      <c r="B6728" s="14" t="s">
        <v>134</v>
      </c>
      <c r="C6728" s="22">
        <f>(1)*(1)*(1)*(1)*(1 + (0))</f>
      </c>
      <c r="D6728" s="22" t="s">
        <v>71</v>
      </c>
      <c r="E6728" s="22"/>
      <c r="F6728" s="22">
        <f>C6728*E6728</f>
      </c>
    </row>
    <row r="6729">
      <c r="A6729" s="5" t="s">
        <v>135</v>
      </c>
      <c r="B6729" s="14" t="s">
        <v>136</v>
      </c>
      <c r="C6729" s="22">
        <f>(1)*(1)*(1)*(1)*(1 + (0))</f>
      </c>
      <c r="D6729" s="22" t="s">
        <v>71</v>
      </c>
      <c r="E6729" s="22"/>
      <c r="F6729" s="22">
        <f>C6729*E6729</f>
      </c>
    </row>
    <row r="6730">
      <c r="A6730" s="5" t="s">
        <v>137</v>
      </c>
      <c r="B6730" s="14" t="s">
        <v>138</v>
      </c>
      <c r="C6730" s="22">
        <f>(1)*(1)*(1)*(1)*(1 + (0))</f>
      </c>
      <c r="D6730" s="22" t="s">
        <v>71</v>
      </c>
      <c r="E6730" s="22"/>
      <c r="F6730" s="22">
        <f>C6730*E6730</f>
      </c>
    </row>
    <row r="6731">
      <c r="A6731" s="5" t="s">
        <v>139</v>
      </c>
      <c r="B6731" s="14" t="s">
        <v>140</v>
      </c>
      <c r="C6731" s="22">
        <f>(1)*(1)*(1)*(1)*(1 + (0))</f>
      </c>
      <c r="D6731" s="22" t="s">
        <v>71</v>
      </c>
      <c r="E6731" s="22"/>
      <c r="F6731" s="22">
        <f>C6731*E6731</f>
      </c>
    </row>
    <row r="6732">
      <c r="A6732" s="5" t="s">
        <v>141</v>
      </c>
      <c r="B6732" s="14" t="s">
        <v>142</v>
      </c>
      <c r="C6732" s="22">
        <f>(1)*(1)*(1)*(1)*(1 + (0))</f>
      </c>
      <c r="D6732" s="22" t="s">
        <v>71</v>
      </c>
      <c r="E6732" s="22"/>
      <c r="F6732" s="22">
        <f>C6732*E6732</f>
      </c>
    </row>
    <row r="6733">
      <c r="A6733" s="5" t="s">
        <v>143</v>
      </c>
      <c r="B6733" s="14" t="s">
        <v>144</v>
      </c>
      <c r="C6733" s="22">
        <f>(1)*(1)*(1)*(1)*(1 + (0))</f>
      </c>
      <c r="D6733" s="22" t="s">
        <v>71</v>
      </c>
      <c r="E6733" s="22"/>
      <c r="F6733" s="22">
        <f>C6733*E6733</f>
      </c>
    </row>
    <row r="6734">
      <c r="A6734" s="5" t="s">
        <v>145</v>
      </c>
      <c r="B6734" s="14" t="s">
        <v>146</v>
      </c>
      <c r="C6734" s="22">
        <f>(1)*(1)*(1)*(1)*(1 + (0))</f>
      </c>
      <c r="D6734" s="22" t="s">
        <v>71</v>
      </c>
      <c r="E6734" s="22"/>
      <c r="F6734" s="22">
        <f>C6734*E6734</f>
      </c>
    </row>
    <row r="6735">
      <c r="A6735" s="5" t="s">
        <v>147</v>
      </c>
      <c r="B6735" s="14" t="s">
        <v>148</v>
      </c>
      <c r="C6735" s="22">
        <f>(1)*(1)*(1)*(1)*(1 + (0))</f>
      </c>
      <c r="D6735" s="22" t="s">
        <v>71</v>
      </c>
      <c r="E6735" s="22"/>
      <c r="F6735" s="22">
        <f>C6735*E6735</f>
      </c>
    </row>
    <row r="6736">
      <c r="A6736" s="5"/>
      <c r="B6736" s="14" t="s">
        <v>149</v>
      </c>
      <c r="C6736" s="22">
        <f>(1)*(1)*(1)*(1)*(1 + (0))</f>
      </c>
      <c r="D6736" s="22" t="s">
        <v>71</v>
      </c>
      <c r="E6736" s="22"/>
      <c r="F6736" s="22">
        <f>C6736*E6736</f>
      </c>
    </row>
    <row r="6737">
      <c r="A6737" s="3"/>
      <c r="B6737" s="11" t="s">
        <v>150</v>
      </c>
      <c r="C6737" s="20"/>
      <c r="D6737" s="20"/>
      <c r="E6737" s="20"/>
      <c r="F6737" s="20"/>
    </row>
    <row r="6738">
      <c r="A6738" s="4"/>
      <c r="B6738" s="12" t="s">
        <v>151</v>
      </c>
      <c r="C6738" s="21"/>
      <c r="D6738" s="21"/>
      <c r="E6738" s="21"/>
      <c r="F6738" s="21"/>
    </row>
    <row r="6739">
      <c r="A6739" s="5"/>
      <c r="B6739" s="13" t="s">
        <v>152</v>
      </c>
      <c r="C6739" s="22">
        <f>(33)*(1)*(1)*(1)*(1 + (0))</f>
      </c>
      <c r="D6739" s="22" t="s">
        <v>153</v>
      </c>
      <c r="E6739" s="22"/>
      <c r="F6739" s="22">
        <f>C6739*E6739</f>
      </c>
    </row>
    <row r="6740">
      <c r="A6740" s="5"/>
      <c r="B6740" s="13" t="s">
        <v>154</v>
      </c>
      <c r="C6740" s="22">
        <f>(83)*(1)*(1)*(1)*(1 + (0))</f>
      </c>
      <c r="D6740" s="22" t="s">
        <v>153</v>
      </c>
      <c r="E6740" s="22"/>
      <c r="F6740" s="22">
        <f>C6740*E6740</f>
      </c>
    </row>
    <row r="6741">
      <c r="A6741" s="5"/>
      <c r="B6741" s="13" t="s">
        <v>155</v>
      </c>
      <c r="C6741" s="22">
        <f>(17)*(1)*(1)*(1)*(1 + (0))</f>
      </c>
      <c r="D6741" s="22" t="s">
        <v>153</v>
      </c>
      <c r="E6741" s="22"/>
      <c r="F6741" s="22">
        <f>C6741*E6741</f>
      </c>
    </row>
    <row r="6742">
      <c r="A6742" s="4"/>
      <c r="B6742" s="12" t="s">
        <v>160</v>
      </c>
      <c r="C6742" s="21"/>
      <c r="D6742" s="21"/>
      <c r="E6742" s="21"/>
      <c r="F6742" s="21"/>
    </row>
    <row r="6743">
      <c r="A6743" s="5"/>
      <c r="B6743" s="13" t="s">
        <v>161</v>
      </c>
      <c r="C6743" s="22">
        <f>(2)*(1)*(1)*(1)*(1 + (0))</f>
      </c>
      <c r="D6743" s="22" t="s">
        <v>162</v>
      </c>
      <c r="E6743" s="22"/>
      <c r="F6743" s="22">
        <f>C6743*E6743</f>
      </c>
    </row>
    <row r="6744">
      <c r="A6744" s="5"/>
      <c r="B6744" s="13" t="s">
        <v>163</v>
      </c>
      <c r="C6744" s="22">
        <f>(5)*(1)*(1)*(1)*(1 + (0))</f>
      </c>
      <c r="D6744" s="22" t="s">
        <v>162</v>
      </c>
      <c r="E6744" s="22"/>
      <c r="F6744" s="22">
        <f>C6744*E6744</f>
      </c>
    </row>
    <row r="6745">
      <c r="A6745" s="5"/>
      <c r="B6745" s="13" t="s">
        <v>164</v>
      </c>
      <c r="C6745" s="22">
        <f>(1)*(1)*(1)*(1)*(1 + (0))</f>
      </c>
      <c r="D6745" s="22" t="s">
        <v>162</v>
      </c>
      <c r="E6745" s="22"/>
      <c r="F6745" s="22">
        <f>C6745*E6745</f>
      </c>
    </row>
    <row r="6746">
      <c r="A6746" s="4"/>
      <c r="B6746" s="12" t="s">
        <v>169</v>
      </c>
      <c r="C6746" s="21"/>
      <c r="D6746" s="21"/>
      <c r="E6746" s="21"/>
      <c r="F6746" s="21"/>
    </row>
    <row r="6747">
      <c r="A6747" s="6"/>
      <c r="B6747" s="15" t="s">
        <v>170</v>
      </c>
      <c r="C6747" s="23"/>
      <c r="D6747" s="23"/>
      <c r="E6747" s="23"/>
      <c r="F6747" s="23"/>
    </row>
    <row r="6748">
      <c r="A6748" s="5"/>
      <c r="B6748" s="16" t="s">
        <v>2346</v>
      </c>
      <c r="C6748" s="22">
        <f>(10)*(1)*(1)*(1)*(1 + (0))</f>
      </c>
      <c r="D6748" s="22" t="s">
        <v>111</v>
      </c>
      <c r="E6748" s="22"/>
      <c r="F6748" s="22">
        <f>C6748*E6748</f>
      </c>
    </row>
    <row r="6749">
      <c r="A6749" s="5"/>
      <c r="B6749" s="16" t="s">
        <v>2347</v>
      </c>
      <c r="C6749" s="22">
        <f>(24)*(1)*(1)*(1)*(1 + (0))</f>
      </c>
      <c r="D6749" s="22" t="s">
        <v>111</v>
      </c>
      <c r="E6749" s="22"/>
      <c r="F6749" s="22">
        <f>C6749*E6749</f>
      </c>
    </row>
    <row r="6750">
      <c r="A6750" s="5"/>
      <c r="B6750" s="16" t="s">
        <v>2348</v>
      </c>
      <c r="C6750" s="22">
        <f>(11)*(1)*(1)*(1)*(1 + (0))</f>
      </c>
      <c r="D6750" s="22" t="s">
        <v>111</v>
      </c>
      <c r="E6750" s="22"/>
      <c r="F6750" s="22">
        <f>C6750*E6750</f>
      </c>
    </row>
    <row r="6751">
      <c r="A6751" s="4"/>
      <c r="B6751" s="12" t="s">
        <v>178</v>
      </c>
      <c r="C6751" s="21"/>
      <c r="D6751" s="21"/>
      <c r="E6751" s="21"/>
      <c r="F6751" s="21"/>
    </row>
    <row r="6752">
      <c r="A6752" s="6"/>
      <c r="B6752" s="15" t="s">
        <v>179</v>
      </c>
      <c r="C6752" s="23"/>
      <c r="D6752" s="23"/>
      <c r="E6752" s="23"/>
      <c r="F6752" s="23"/>
    </row>
    <row r="6753">
      <c r="A6753" s="5"/>
      <c r="B6753" s="16" t="s">
        <v>180</v>
      </c>
      <c r="C6753" s="22"/>
      <c r="D6753" s="22"/>
      <c r="E6753" s="22"/>
      <c r="F6753" s="22"/>
    </row>
    <row r="6754">
      <c r="A6754" s="5"/>
      <c r="B6754" s="17" t="s">
        <v>181</v>
      </c>
      <c r="C6754" s="22">
        <f>(0.93258)*(1)*(1)*(1)*(1 + (0))</f>
      </c>
      <c r="D6754" s="22" t="s">
        <v>182</v>
      </c>
      <c r="E6754" s="22"/>
      <c r="F6754" s="22">
        <f>C6754*E6754</f>
      </c>
    </row>
    <row r="6755">
      <c r="A6755" s="5"/>
      <c r="B6755" s="17" t="s">
        <v>183</v>
      </c>
      <c r="C6755" s="22">
        <f>(2.33145)*(1)*(1)*(1)*(1 + (0))</f>
      </c>
      <c r="D6755" s="22" t="s">
        <v>182</v>
      </c>
      <c r="E6755" s="22"/>
      <c r="F6755" s="22">
        <f>C6755*E6755</f>
      </c>
    </row>
    <row r="6756">
      <c r="A6756" s="5"/>
      <c r="B6756" s="17" t="s">
        <v>184</v>
      </c>
      <c r="C6756" s="22">
        <f>(1.0491525)*(1)*(1)*(1)*(1 + (0))</f>
      </c>
      <c r="D6756" s="22" t="s">
        <v>182</v>
      </c>
      <c r="E6756" s="22"/>
      <c r="F6756" s="22">
        <f>C6756*E6756</f>
      </c>
    </row>
    <row r="6757">
      <c r="A6757" s="4"/>
      <c r="B6757" s="12" t="s">
        <v>189</v>
      </c>
      <c r="C6757" s="21"/>
      <c r="D6757" s="21"/>
      <c r="E6757" s="21"/>
      <c r="F6757" s="21"/>
    </row>
    <row r="6758">
      <c r="A6758" s="5"/>
      <c r="B6758" s="13" t="s">
        <v>190</v>
      </c>
      <c r="C6758" s="22">
        <f>(10)*(1)*(1)*(1)*(1 + (0))</f>
      </c>
      <c r="D6758" s="22" t="s">
        <v>111</v>
      </c>
      <c r="E6758" s="22"/>
      <c r="F6758" s="22">
        <f>C6758*E6758</f>
      </c>
    </row>
    <row r="6759">
      <c r="A6759" s="5"/>
      <c r="B6759" s="13" t="s">
        <v>191</v>
      </c>
      <c r="C6759" s="22">
        <f>(24)*(1)*(1)*(1)*(1 + (0))</f>
      </c>
      <c r="D6759" s="22" t="s">
        <v>111</v>
      </c>
      <c r="E6759" s="22"/>
      <c r="F6759" s="22">
        <f>C6759*E6759</f>
      </c>
    </row>
    <row r="6760">
      <c r="A6760" s="5"/>
      <c r="B6760" s="13" t="s">
        <v>192</v>
      </c>
      <c r="C6760" s="22">
        <f>(11)*(1)*(1)*(1)*(1 + (0))</f>
      </c>
      <c r="D6760" s="22" t="s">
        <v>111</v>
      </c>
      <c r="E6760" s="22"/>
      <c r="F6760" s="22">
        <f>C6760*E6760</f>
      </c>
    </row>
    <row r="6761">
      <c r="A6761" s="4"/>
      <c r="B6761" s="12" t="s">
        <v>197</v>
      </c>
      <c r="C6761" s="21"/>
      <c r="D6761" s="21"/>
      <c r="E6761" s="21"/>
      <c r="F6761" s="21"/>
    </row>
    <row r="6762">
      <c r="A6762" s="6"/>
      <c r="B6762" s="15" t="s">
        <v>198</v>
      </c>
      <c r="C6762" s="23"/>
      <c r="D6762" s="23"/>
      <c r="E6762" s="23"/>
      <c r="F6762" s="23"/>
    </row>
    <row r="6763">
      <c r="A6763" s="5"/>
      <c r="B6763" s="16" t="s">
        <v>199</v>
      </c>
      <c r="C6763" s="22">
        <f>(2)*(1)*(1)*(1)*(1 + (0))</f>
      </c>
      <c r="D6763" s="22" t="s">
        <v>162</v>
      </c>
      <c r="E6763" s="22"/>
      <c r="F6763" s="22">
        <f>C6763*E6763</f>
      </c>
    </row>
    <row r="6764">
      <c r="A6764" s="5"/>
      <c r="B6764" s="16" t="s">
        <v>200</v>
      </c>
      <c r="C6764" s="22">
        <f>(5)*(1)*(1)*(1)*(1 + (0))</f>
      </c>
      <c r="D6764" s="22" t="s">
        <v>162</v>
      </c>
      <c r="E6764" s="22"/>
      <c r="F6764" s="22">
        <f>C6764*E6764</f>
      </c>
    </row>
    <row r="6765">
      <c r="A6765" s="5"/>
      <c r="B6765" s="16" t="s">
        <v>201</v>
      </c>
      <c r="C6765" s="22">
        <f>(1)*(1)*(1)*(1)*(1 + (0))</f>
      </c>
      <c r="D6765" s="22" t="s">
        <v>162</v>
      </c>
      <c r="E6765" s="22"/>
      <c r="F6765" s="22">
        <f>C6765*E6765</f>
      </c>
    </row>
    <row r="6766">
      <c r="A6766" s="6"/>
      <c r="B6766" s="15" t="s">
        <v>206</v>
      </c>
      <c r="C6766" s="23"/>
      <c r="D6766" s="23"/>
      <c r="E6766" s="23"/>
      <c r="F6766" s="23"/>
    </row>
    <row r="6767">
      <c r="A6767" s="5"/>
      <c r="B6767" s="16" t="s">
        <v>199</v>
      </c>
      <c r="C6767" s="22">
        <f>(2)*(1)*(1)*(1)*(1 + (0))</f>
      </c>
      <c r="D6767" s="22" t="s">
        <v>162</v>
      </c>
      <c r="E6767" s="22"/>
      <c r="F6767" s="22">
        <f>C6767*E6767</f>
      </c>
    </row>
    <row r="6768">
      <c r="A6768" s="5"/>
      <c r="B6768" s="16" t="s">
        <v>200</v>
      </c>
      <c r="C6768" s="22">
        <f>(5)*(1)*(1)*(1)*(1 + (0))</f>
      </c>
      <c r="D6768" s="22" t="s">
        <v>162</v>
      </c>
      <c r="E6768" s="22"/>
      <c r="F6768" s="22">
        <f>C6768*E6768</f>
      </c>
    </row>
    <row r="6769">
      <c r="A6769" s="5"/>
      <c r="B6769" s="16" t="s">
        <v>201</v>
      </c>
      <c r="C6769" s="22">
        <f>(1)*(1)*(1)*(1)*(1 + (0))</f>
      </c>
      <c r="D6769" s="22" t="s">
        <v>162</v>
      </c>
      <c r="E6769" s="22"/>
      <c r="F6769" s="22">
        <f>C6769*E6769</f>
      </c>
    </row>
    <row r="6770">
      <c r="A6770" s="2"/>
      <c r="B6770" s="10" t="s">
        <v>207</v>
      </c>
      <c r="C6770" s="19"/>
      <c r="D6770" s="19"/>
      <c r="E6770" s="19"/>
      <c r="F6770" s="19"/>
    </row>
    <row r="6771">
      <c r="A6771" s="3"/>
      <c r="B6771" s="11" t="s">
        <v>37</v>
      </c>
      <c r="C6771" s="20"/>
      <c r="D6771" s="20"/>
      <c r="E6771" s="20"/>
      <c r="F6771" s="20"/>
    </row>
    <row r="6772">
      <c r="A6772" s="5" t="s">
        <v>208</v>
      </c>
      <c r="B6772" s="14" t="s">
        <v>39</v>
      </c>
      <c r="C6772" s="22"/>
      <c r="D6772" s="22" t="s">
        <v>10</v>
      </c>
      <c r="E6772" s="22"/>
      <c r="F6772" s="22">
        <f>C6772*E6772</f>
      </c>
    </row>
    <row r="6773">
      <c r="A6773" s="5" t="s">
        <v>209</v>
      </c>
      <c r="B6773" s="14" t="s">
        <v>41</v>
      </c>
      <c r="C6773" s="22"/>
      <c r="D6773" s="22" t="s">
        <v>10</v>
      </c>
      <c r="E6773" s="22"/>
      <c r="F6773" s="22">
        <f>C6773*E6773</f>
      </c>
    </row>
    <row r="6774">
      <c r="A6774" s="3"/>
      <c r="B6774" s="11" t="s">
        <v>42</v>
      </c>
      <c r="C6774" s="20"/>
      <c r="D6774" s="20"/>
      <c r="E6774" s="20"/>
      <c r="F6774" s="20"/>
    </row>
    <row r="6775">
      <c r="A6775" s="5"/>
      <c r="B6775" s="14" t="s">
        <v>118</v>
      </c>
      <c r="C6775" s="22"/>
      <c r="D6775" s="22" t="s">
        <v>10</v>
      </c>
      <c r="E6775" s="22"/>
      <c r="F6775" s="22">
        <f>C6775*E6775</f>
      </c>
    </row>
    <row r="6776">
      <c r="A6776" s="5"/>
      <c r="B6776" s="14" t="s">
        <v>2349</v>
      </c>
      <c r="C6776" s="22"/>
      <c r="D6776" s="22" t="s">
        <v>10</v>
      </c>
      <c r="E6776" s="22"/>
      <c r="F6776" s="22">
        <f>C6776*E6776</f>
      </c>
    </row>
    <row r="6777">
      <c r="A6777" s="3"/>
      <c r="B6777" s="11" t="s">
        <v>44</v>
      </c>
      <c r="C6777" s="20"/>
      <c r="D6777" s="20"/>
      <c r="E6777" s="20"/>
      <c r="F6777" s="20"/>
    </row>
    <row r="6778">
      <c r="A6778" s="4"/>
      <c r="B6778" s="12" t="s">
        <v>45</v>
      </c>
      <c r="C6778" s="21"/>
      <c r="D6778" s="21"/>
      <c r="E6778" s="21"/>
      <c r="F6778" s="21"/>
    </row>
    <row r="6779">
      <c r="A6779" s="5" t="s">
        <v>211</v>
      </c>
      <c r="B6779" s="13" t="s">
        <v>212</v>
      </c>
      <c r="C6779" s="22"/>
      <c r="D6779" s="22" t="s">
        <v>10</v>
      </c>
      <c r="E6779" s="22"/>
      <c r="F6779" s="22">
        <f>C6779*E6779</f>
      </c>
    </row>
    <row r="6780">
      <c r="A6780" s="5" t="s">
        <v>213</v>
      </c>
      <c r="B6780" s="13" t="s">
        <v>214</v>
      </c>
      <c r="C6780" s="22"/>
      <c r="D6780" s="22" t="s">
        <v>10</v>
      </c>
      <c r="E6780" s="22"/>
      <c r="F6780" s="22">
        <f>C6780*E6780</f>
      </c>
    </row>
    <row r="6781">
      <c r="A6781" s="5" t="s">
        <v>215</v>
      </c>
      <c r="B6781" s="13" t="s">
        <v>216</v>
      </c>
      <c r="C6781" s="22"/>
      <c r="D6781" s="22" t="s">
        <v>10</v>
      </c>
      <c r="E6781" s="22"/>
      <c r="F6781" s="22">
        <f>C6781*E6781</f>
      </c>
    </row>
    <row r="6782">
      <c r="A6782" s="5" t="s">
        <v>217</v>
      </c>
      <c r="B6782" s="13" t="s">
        <v>218</v>
      </c>
      <c r="C6782" s="22"/>
      <c r="D6782" s="22" t="s">
        <v>10</v>
      </c>
      <c r="E6782" s="22"/>
      <c r="F6782" s="22">
        <f>C6782*E6782</f>
      </c>
    </row>
    <row r="6783">
      <c r="A6783" s="5" t="s">
        <v>219</v>
      </c>
      <c r="B6783" s="13" t="s">
        <v>220</v>
      </c>
      <c r="C6783" s="22"/>
      <c r="D6783" s="22" t="s">
        <v>10</v>
      </c>
      <c r="E6783" s="22"/>
      <c r="F6783" s="22">
        <f>C6783*E6783</f>
      </c>
    </row>
    <row r="6784">
      <c r="A6784" s="5" t="s">
        <v>221</v>
      </c>
      <c r="B6784" s="13" t="s">
        <v>123</v>
      </c>
      <c r="C6784" s="22"/>
      <c r="D6784" s="22" t="s">
        <v>10</v>
      </c>
      <c r="E6784" s="22"/>
      <c r="F6784" s="22">
        <f>C6784*E6784</f>
      </c>
    </row>
    <row r="6785">
      <c r="A6785" s="3"/>
      <c r="B6785" s="11" t="s">
        <v>68</v>
      </c>
      <c r="C6785" s="20"/>
      <c r="D6785" s="20"/>
      <c r="E6785" s="20"/>
      <c r="F6785" s="20"/>
    </row>
    <row r="6786">
      <c r="A6786" s="5" t="s">
        <v>222</v>
      </c>
      <c r="B6786" s="14" t="s">
        <v>223</v>
      </c>
      <c r="C6786" s="22">
        <f>(1)*(1)*(1)*(1)*(1 + (0))</f>
      </c>
      <c r="D6786" s="22" t="s">
        <v>71</v>
      </c>
      <c r="E6786" s="22"/>
      <c r="F6786" s="22">
        <f>C6786*E6786</f>
      </c>
    </row>
    <row r="6787">
      <c r="A6787" s="5" t="s">
        <v>224</v>
      </c>
      <c r="B6787" s="14" t="s">
        <v>70</v>
      </c>
      <c r="C6787" s="22">
        <f>(1)*(1)*(1)*(1)*(1 + (0))</f>
      </c>
      <c r="D6787" s="22" t="s">
        <v>71</v>
      </c>
      <c r="E6787" s="22"/>
      <c r="F6787" s="22">
        <f>C6787*E6787</f>
      </c>
    </row>
    <row r="6788">
      <c r="A6788" s="5" t="s">
        <v>225</v>
      </c>
      <c r="B6788" s="14" t="s">
        <v>73</v>
      </c>
      <c r="C6788" s="22">
        <f>(1)*(1)*(1)*(1)*(1 + (0))</f>
      </c>
      <c r="D6788" s="22" t="s">
        <v>71</v>
      </c>
      <c r="E6788" s="22"/>
      <c r="F6788" s="22">
        <f>C6788*E6788</f>
      </c>
    </row>
    <row r="6789">
      <c r="A6789" s="5" t="s">
        <v>226</v>
      </c>
      <c r="B6789" s="14" t="s">
        <v>134</v>
      </c>
      <c r="C6789" s="22">
        <f>(1)*(1)*(1)*(1)*(1 + (0))</f>
      </c>
      <c r="D6789" s="22" t="s">
        <v>71</v>
      </c>
      <c r="E6789" s="22"/>
      <c r="F6789" s="22">
        <f>C6789*E6789</f>
      </c>
    </row>
    <row r="6790">
      <c r="A6790" s="5" t="s">
        <v>227</v>
      </c>
      <c r="B6790" s="14" t="s">
        <v>228</v>
      </c>
      <c r="C6790" s="22">
        <f>(1)*(1)*(1)*(1)*(1 + (0))</f>
      </c>
      <c r="D6790" s="22" t="s">
        <v>71</v>
      </c>
      <c r="E6790" s="22"/>
      <c r="F6790" s="22">
        <f>C6790*E6790</f>
      </c>
    </row>
    <row r="6791">
      <c r="A6791" s="5" t="s">
        <v>229</v>
      </c>
      <c r="B6791" s="14" t="s">
        <v>230</v>
      </c>
      <c r="C6791" s="22">
        <f>(1)*(1)*(1)*(1)*(1 + (0))</f>
      </c>
      <c r="D6791" s="22" t="s">
        <v>71</v>
      </c>
      <c r="E6791" s="22"/>
      <c r="F6791" s="22">
        <f>C6791*E6791</f>
      </c>
    </row>
    <row r="6792">
      <c r="A6792" s="5" t="s">
        <v>231</v>
      </c>
      <c r="B6792" s="14" t="s">
        <v>232</v>
      </c>
      <c r="C6792" s="22">
        <f>(1)*(1)*(1)*(1)*(1 + (0))</f>
      </c>
      <c r="D6792" s="22" t="s">
        <v>71</v>
      </c>
      <c r="E6792" s="22"/>
      <c r="F6792" s="22">
        <f>C6792*E6792</f>
      </c>
    </row>
    <row r="6793">
      <c r="A6793" s="5" t="s">
        <v>233</v>
      </c>
      <c r="B6793" s="14" t="s">
        <v>234</v>
      </c>
      <c r="C6793" s="22">
        <f>(1)*(1)*(1)*(1)*(1 + (0))</f>
      </c>
      <c r="D6793" s="22" t="s">
        <v>71</v>
      </c>
      <c r="E6793" s="22"/>
      <c r="F6793" s="22">
        <f>C6793*E6793</f>
      </c>
    </row>
    <row r="6794">
      <c r="A6794" s="5" t="s">
        <v>235</v>
      </c>
      <c r="B6794" s="14" t="s">
        <v>236</v>
      </c>
      <c r="C6794" s="22">
        <f>(1)*(1)*(1)*(1)*(1 + (0))</f>
      </c>
      <c r="D6794" s="22" t="s">
        <v>71</v>
      </c>
      <c r="E6794" s="22"/>
      <c r="F6794" s="22">
        <f>C6794*E6794</f>
      </c>
    </row>
    <row r="6795">
      <c r="A6795" s="5" t="s">
        <v>237</v>
      </c>
      <c r="B6795" s="14" t="s">
        <v>238</v>
      </c>
      <c r="C6795" s="22">
        <f>(1)*(1)*(1)*(1)*(1 + (0))</f>
      </c>
      <c r="D6795" s="22" t="s">
        <v>71</v>
      </c>
      <c r="E6795" s="22"/>
      <c r="F6795" s="22">
        <f>C6795*E6795</f>
      </c>
    </row>
    <row r="6796">
      <c r="A6796" s="5" t="s">
        <v>239</v>
      </c>
      <c r="B6796" s="14" t="s">
        <v>240</v>
      </c>
      <c r="C6796" s="22">
        <f>(1)*(1)*(1)*(1)*(1 + (0))</f>
      </c>
      <c r="D6796" s="22" t="s">
        <v>71</v>
      </c>
      <c r="E6796" s="22"/>
      <c r="F6796" s="22">
        <f>C6796*E6796</f>
      </c>
    </row>
    <row r="6797">
      <c r="A6797" s="3"/>
      <c r="B6797" s="11" t="s">
        <v>106</v>
      </c>
      <c r="C6797" s="20"/>
      <c r="D6797" s="20"/>
      <c r="E6797" s="20"/>
      <c r="F6797" s="20"/>
    </row>
    <row r="6798">
      <c r="A6798" s="5"/>
      <c r="B6798" s="14" t="s">
        <v>241</v>
      </c>
      <c r="C6798" s="22"/>
      <c r="D6798" s="22" t="s">
        <v>10</v>
      </c>
      <c r="E6798" s="22"/>
      <c r="F6798" s="22">
        <f>C6798*E6798</f>
      </c>
    </row>
    <row r="6799">
      <c r="A6799" s="3"/>
      <c r="B6799" s="11" t="s">
        <v>242</v>
      </c>
      <c r="C6799" s="20"/>
      <c r="D6799" s="20"/>
      <c r="E6799" s="20"/>
      <c r="F6799" s="20"/>
    </row>
    <row r="6800">
      <c r="A6800" s="5"/>
      <c r="B6800" s="14" t="s">
        <v>1623</v>
      </c>
      <c r="C6800" s="22">
        <f>(16)*(1)*(1)*(1)*(1 + (0))</f>
      </c>
      <c r="D6800" s="22" t="s">
        <v>111</v>
      </c>
      <c r="E6800" s="22"/>
      <c r="F6800" s="22">
        <f>C6800*E6800</f>
      </c>
    </row>
    <row r="6801">
      <c r="A6801" s="5"/>
      <c r="B6801" s="14" t="s">
        <v>2350</v>
      </c>
      <c r="C6801" s="22">
        <f>(13)*(1)*(1)*(1)*(1 + (0))</f>
      </c>
      <c r="D6801" s="22" t="s">
        <v>111</v>
      </c>
      <c r="E6801" s="22"/>
      <c r="F6801" s="22">
        <f>C6801*E6801</f>
      </c>
    </row>
    <row r="6802">
      <c r="A6802" s="5"/>
      <c r="B6802" s="14" t="s">
        <v>244</v>
      </c>
      <c r="C6802" s="22">
        <f>(7)*(1)*(1)*(1)*(1 + (0))</f>
      </c>
      <c r="D6802" s="22" t="s">
        <v>111</v>
      </c>
      <c r="E6802" s="22"/>
      <c r="F6802" s="22">
        <f>C6802*E6802</f>
      </c>
    </row>
    <row r="6803">
      <c r="A6803" s="3"/>
      <c r="B6803" s="11" t="s">
        <v>245</v>
      </c>
      <c r="C6803" s="20"/>
      <c r="D6803" s="20"/>
      <c r="E6803" s="20"/>
      <c r="F6803" s="20"/>
    </row>
    <row r="6804">
      <c r="A6804" s="4"/>
      <c r="B6804" s="12" t="s">
        <v>246</v>
      </c>
      <c r="C6804" s="21"/>
      <c r="D6804" s="21"/>
      <c r="E6804" s="21"/>
      <c r="F6804" s="21"/>
    </row>
    <row r="6805">
      <c r="A6805" s="6"/>
      <c r="B6805" s="15" t="s">
        <v>2351</v>
      </c>
      <c r="C6805" s="23"/>
      <c r="D6805" s="23"/>
      <c r="E6805" s="23"/>
      <c r="F6805" s="23"/>
    </row>
    <row r="6806">
      <c r="A6806" s="5"/>
      <c r="B6806" s="16" t="s">
        <v>2352</v>
      </c>
      <c r="C6806" s="22">
        <f>(2)*(1)*(1)*(1)*(1 + (0))</f>
      </c>
      <c r="D6806" s="22" t="s">
        <v>111</v>
      </c>
      <c r="E6806" s="22"/>
      <c r="F6806" s="22">
        <f>C6806*E6806</f>
      </c>
    </row>
    <row r="6807">
      <c r="A6807" s="4"/>
      <c r="B6807" s="12" t="s">
        <v>1844</v>
      </c>
      <c r="C6807" s="21"/>
      <c r="D6807" s="21"/>
      <c r="E6807" s="21"/>
      <c r="F6807" s="21"/>
    </row>
    <row r="6808">
      <c r="A6808" s="6"/>
      <c r="B6808" s="15" t="s">
        <v>2353</v>
      </c>
      <c r="C6808" s="23"/>
      <c r="D6808" s="23"/>
      <c r="E6808" s="23"/>
      <c r="F6808" s="23"/>
    </row>
    <row r="6809">
      <c r="A6809" s="5"/>
      <c r="B6809" s="16" t="s">
        <v>2354</v>
      </c>
      <c r="C6809" s="22">
        <f>(7)*(1)*(1)*(1)*(1 + (0))</f>
      </c>
      <c r="D6809" s="22" t="s">
        <v>111</v>
      </c>
      <c r="E6809" s="22"/>
      <c r="F6809" s="22">
        <f>C6809*E6809</f>
      </c>
    </row>
    <row r="6810">
      <c r="A6810" s="4"/>
      <c r="B6810" s="12" t="s">
        <v>256</v>
      </c>
      <c r="C6810" s="21"/>
      <c r="D6810" s="21"/>
      <c r="E6810" s="21"/>
      <c r="F6810" s="21"/>
    </row>
    <row r="6811">
      <c r="A6811" s="6"/>
      <c r="B6811" s="15" t="s">
        <v>2351</v>
      </c>
      <c r="C6811" s="23"/>
      <c r="D6811" s="23"/>
      <c r="E6811" s="23"/>
      <c r="F6811" s="23"/>
    </row>
    <row r="6812">
      <c r="A6812" s="5"/>
      <c r="B6812" s="16" t="s">
        <v>2355</v>
      </c>
      <c r="C6812" s="22">
        <f>(7)*(1)*(1)*(1)*(1 + (0))</f>
      </c>
      <c r="D6812" s="22" t="s">
        <v>111</v>
      </c>
      <c r="E6812" s="22"/>
      <c r="F6812" s="22">
        <f>C6812*E6812</f>
      </c>
    </row>
    <row r="6813">
      <c r="A6813" s="4"/>
      <c r="B6813" s="12" t="s">
        <v>271</v>
      </c>
      <c r="C6813" s="21"/>
      <c r="D6813" s="21"/>
      <c r="E6813" s="21"/>
      <c r="F6813" s="21"/>
    </row>
    <row r="6814">
      <c r="A6814" s="6"/>
      <c r="B6814" s="15" t="s">
        <v>2356</v>
      </c>
      <c r="C6814" s="23"/>
      <c r="D6814" s="23"/>
      <c r="E6814" s="23"/>
      <c r="F6814" s="23"/>
    </row>
    <row r="6815">
      <c r="A6815" s="5"/>
      <c r="B6815" s="16" t="s">
        <v>2357</v>
      </c>
      <c r="C6815" s="22">
        <f>(10)*(1)*(1)*(1)*(1 + (0))</f>
      </c>
      <c r="D6815" s="22" t="s">
        <v>111</v>
      </c>
      <c r="E6815" s="22"/>
      <c r="F6815" s="22">
        <f>C6815*E6815</f>
      </c>
    </row>
    <row r="6816">
      <c r="A6816" s="4"/>
      <c r="B6816" s="12" t="s">
        <v>290</v>
      </c>
      <c r="C6816" s="21"/>
      <c r="D6816" s="21"/>
      <c r="E6816" s="21"/>
      <c r="F6816" s="21"/>
    </row>
    <row r="6817">
      <c r="A6817" s="6"/>
      <c r="B6817" s="15" t="s">
        <v>2356</v>
      </c>
      <c r="C6817" s="23"/>
      <c r="D6817" s="23"/>
      <c r="E6817" s="23"/>
      <c r="F6817" s="23"/>
    </row>
    <row r="6818">
      <c r="A6818" s="5"/>
      <c r="B6818" s="16" t="s">
        <v>2358</v>
      </c>
      <c r="C6818" s="22">
        <f>(3)*(1)*(1)*(1)*(1 + (0))</f>
      </c>
      <c r="D6818" s="22" t="s">
        <v>111</v>
      </c>
      <c r="E6818" s="22"/>
      <c r="F6818" s="22">
        <f>C6818*E6818</f>
      </c>
    </row>
    <row r="6819">
      <c r="A6819" s="4"/>
      <c r="B6819" s="12" t="s">
        <v>292</v>
      </c>
      <c r="C6819" s="21"/>
      <c r="D6819" s="21"/>
      <c r="E6819" s="21"/>
      <c r="F6819" s="21"/>
    </row>
    <row r="6820">
      <c r="A6820" s="6"/>
      <c r="B6820" s="15" t="s">
        <v>2359</v>
      </c>
      <c r="C6820" s="23"/>
      <c r="D6820" s="23"/>
      <c r="E6820" s="23"/>
      <c r="F6820" s="23"/>
    </row>
    <row r="6821">
      <c r="A6821" s="5"/>
      <c r="B6821" s="16" t="s">
        <v>2360</v>
      </c>
      <c r="C6821" s="22">
        <f>(4)*(1)*(1)*(1)*(1 + (0))</f>
      </c>
      <c r="D6821" s="22" t="s">
        <v>111</v>
      </c>
      <c r="E6821" s="22"/>
      <c r="F6821" s="22">
        <f>C6821*E6821</f>
      </c>
    </row>
    <row r="6822">
      <c r="A6822" s="6"/>
      <c r="B6822" s="15" t="s">
        <v>2356</v>
      </c>
      <c r="C6822" s="23"/>
      <c r="D6822" s="23"/>
      <c r="E6822" s="23"/>
      <c r="F6822" s="23"/>
    </row>
    <row r="6823">
      <c r="A6823" s="5"/>
      <c r="B6823" s="16" t="s">
        <v>2360</v>
      </c>
      <c r="C6823" s="22">
        <f>(3)*(1)*(1)*(1)*(1 + (0))</f>
      </c>
      <c r="D6823" s="22" t="s">
        <v>111</v>
      </c>
      <c r="E6823" s="22"/>
      <c r="F6823" s="22">
        <f>C6823*E6823</f>
      </c>
    </row>
    <row r="6824">
      <c r="A6824" s="3"/>
      <c r="B6824" s="11" t="s">
        <v>325</v>
      </c>
      <c r="C6824" s="20"/>
      <c r="D6824" s="20"/>
      <c r="E6824" s="20"/>
      <c r="F6824" s="20"/>
    </row>
    <row r="6825">
      <c r="A6825" s="4"/>
      <c r="B6825" s="12" t="s">
        <v>326</v>
      </c>
      <c r="C6825" s="21"/>
      <c r="D6825" s="21"/>
      <c r="E6825" s="21"/>
      <c r="F6825" s="21"/>
    </row>
    <row r="6826">
      <c r="A6826" s="5"/>
      <c r="B6826" s="13" t="s">
        <v>328</v>
      </c>
      <c r="C6826" s="22">
        <f>(49)*(1)*(1)*(1)*(1 + (0))</f>
      </c>
      <c r="D6826" s="22" t="s">
        <v>24</v>
      </c>
      <c r="E6826" s="22"/>
      <c r="F6826" s="22">
        <f>C6826*E6826</f>
      </c>
    </row>
    <row r="6827">
      <c r="A6827" s="4"/>
      <c r="B6827" s="12" t="s">
        <v>330</v>
      </c>
      <c r="C6827" s="21"/>
      <c r="D6827" s="21"/>
      <c r="E6827" s="21"/>
      <c r="F6827" s="21"/>
    </row>
    <row r="6828">
      <c r="A6828" s="5"/>
      <c r="B6828" s="13" t="s">
        <v>332</v>
      </c>
      <c r="C6828" s="22">
        <f>(49)*(1)*(1)*(1)*(1 + (0))</f>
      </c>
      <c r="D6828" s="22" t="s">
        <v>24</v>
      </c>
      <c r="E6828" s="22"/>
      <c r="F6828" s="22">
        <f>C6828*E6828</f>
      </c>
    </row>
    <row r="6829">
      <c r="A6829" s="3"/>
      <c r="B6829" s="11" t="s">
        <v>347</v>
      </c>
      <c r="C6829" s="20"/>
      <c r="D6829" s="20"/>
      <c r="E6829" s="20"/>
      <c r="F6829" s="20"/>
    </row>
    <row r="6830">
      <c r="A6830" s="5"/>
      <c r="B6830" s="14" t="s">
        <v>2361</v>
      </c>
      <c r="C6830" s="22">
        <f>(51)*(1)*(1)*(1)*(1 + (0))</f>
      </c>
      <c r="D6830" s="22" t="s">
        <v>24</v>
      </c>
      <c r="E6830" s="22"/>
      <c r="F6830" s="22">
        <f>C6830*E6830</f>
      </c>
    </row>
    <row r="6831">
      <c r="A6831" s="2"/>
      <c r="B6831" s="10" t="s">
        <v>350</v>
      </c>
      <c r="C6831" s="19"/>
      <c r="D6831" s="19"/>
      <c r="E6831" s="19"/>
      <c r="F6831" s="19"/>
    </row>
    <row r="6832">
      <c r="A6832" s="3"/>
      <c r="B6832" s="11" t="s">
        <v>37</v>
      </c>
      <c r="C6832" s="20"/>
      <c r="D6832" s="20"/>
      <c r="E6832" s="20"/>
      <c r="F6832" s="20"/>
    </row>
    <row r="6833">
      <c r="A6833" s="5" t="s">
        <v>351</v>
      </c>
      <c r="B6833" s="14" t="s">
        <v>39</v>
      </c>
      <c r="C6833" s="22"/>
      <c r="D6833" s="22" t="s">
        <v>10</v>
      </c>
      <c r="E6833" s="22"/>
      <c r="F6833" s="22">
        <f>C6833*E6833</f>
      </c>
    </row>
    <row r="6834">
      <c r="A6834" s="5" t="s">
        <v>352</v>
      </c>
      <c r="B6834" s="14" t="s">
        <v>41</v>
      </c>
      <c r="C6834" s="22"/>
      <c r="D6834" s="22" t="s">
        <v>10</v>
      </c>
      <c r="E6834" s="22"/>
      <c r="F6834" s="22">
        <f>C6834*E6834</f>
      </c>
    </row>
    <row r="6835">
      <c r="A6835" s="3"/>
      <c r="B6835" s="11" t="s">
        <v>42</v>
      </c>
      <c r="C6835" s="20"/>
      <c r="D6835" s="20"/>
      <c r="E6835" s="20"/>
      <c r="F6835" s="20"/>
    </row>
    <row r="6836">
      <c r="A6836" s="5"/>
      <c r="B6836" s="14" t="s">
        <v>118</v>
      </c>
      <c r="C6836" s="22"/>
      <c r="D6836" s="22" t="s">
        <v>10</v>
      </c>
      <c r="E6836" s="22"/>
      <c r="F6836" s="22">
        <f>C6836*E6836</f>
      </c>
    </row>
    <row r="6837">
      <c r="A6837" s="5"/>
      <c r="B6837" s="14" t="s">
        <v>2349</v>
      </c>
      <c r="C6837" s="22"/>
      <c r="D6837" s="22" t="s">
        <v>10</v>
      </c>
      <c r="E6837" s="22"/>
      <c r="F6837" s="22">
        <f>C6837*E6837</f>
      </c>
    </row>
    <row r="6838">
      <c r="A6838" s="3"/>
      <c r="B6838" s="11" t="s">
        <v>44</v>
      </c>
      <c r="C6838" s="20"/>
      <c r="D6838" s="20"/>
      <c r="E6838" s="20"/>
      <c r="F6838" s="20"/>
    </row>
    <row r="6839">
      <c r="A6839" s="4"/>
      <c r="B6839" s="12" t="s">
        <v>45</v>
      </c>
      <c r="C6839" s="21"/>
      <c r="D6839" s="21"/>
      <c r="E6839" s="21"/>
      <c r="F6839" s="21"/>
    </row>
    <row r="6840">
      <c r="A6840" s="5" t="s">
        <v>353</v>
      </c>
      <c r="B6840" s="13" t="s">
        <v>354</v>
      </c>
      <c r="C6840" s="22"/>
      <c r="D6840" s="22" t="s">
        <v>10</v>
      </c>
      <c r="E6840" s="22"/>
      <c r="F6840" s="22">
        <f>C6840*E6840</f>
      </c>
    </row>
    <row r="6841">
      <c r="A6841" s="5" t="s">
        <v>355</v>
      </c>
      <c r="B6841" s="13" t="s">
        <v>356</v>
      </c>
      <c r="C6841" s="22"/>
      <c r="D6841" s="22" t="s">
        <v>10</v>
      </c>
      <c r="E6841" s="22"/>
      <c r="F6841" s="22">
        <f>C6841*E6841</f>
      </c>
    </row>
    <row r="6842">
      <c r="A6842" s="5" t="s">
        <v>357</v>
      </c>
      <c r="B6842" s="13" t="s">
        <v>358</v>
      </c>
      <c r="C6842" s="22"/>
      <c r="D6842" s="22" t="s">
        <v>10</v>
      </c>
      <c r="E6842" s="22"/>
      <c r="F6842" s="22">
        <f>C6842*E6842</f>
      </c>
    </row>
    <row r="6843">
      <c r="A6843" s="5" t="s">
        <v>359</v>
      </c>
      <c r="B6843" s="13" t="s">
        <v>360</v>
      </c>
      <c r="C6843" s="22"/>
      <c r="D6843" s="22" t="s">
        <v>10</v>
      </c>
      <c r="E6843" s="22"/>
      <c r="F6843" s="22">
        <f>C6843*E6843</f>
      </c>
    </row>
    <row r="6844">
      <c r="A6844" s="5" t="s">
        <v>361</v>
      </c>
      <c r="B6844" s="13" t="s">
        <v>362</v>
      </c>
      <c r="C6844" s="22"/>
      <c r="D6844" s="22" t="s">
        <v>10</v>
      </c>
      <c r="E6844" s="22"/>
      <c r="F6844" s="22">
        <f>C6844*E6844</f>
      </c>
    </row>
    <row r="6845">
      <c r="A6845" s="5" t="s">
        <v>363</v>
      </c>
      <c r="B6845" s="13" t="s">
        <v>364</v>
      </c>
      <c r="C6845" s="22"/>
      <c r="D6845" s="22" t="s">
        <v>10</v>
      </c>
      <c r="E6845" s="22"/>
      <c r="F6845" s="22">
        <f>C6845*E6845</f>
      </c>
    </row>
    <row r="6846">
      <c r="A6846" s="5" t="s">
        <v>365</v>
      </c>
      <c r="B6846" s="13" t="s">
        <v>366</v>
      </c>
      <c r="C6846" s="22"/>
      <c r="D6846" s="22" t="s">
        <v>10</v>
      </c>
      <c r="E6846" s="22"/>
      <c r="F6846" s="22">
        <f>C6846*E6846</f>
      </c>
    </row>
    <row r="6847">
      <c r="A6847" s="5" t="s">
        <v>367</v>
      </c>
      <c r="B6847" s="13" t="s">
        <v>368</v>
      </c>
      <c r="C6847" s="22"/>
      <c r="D6847" s="22" t="s">
        <v>10</v>
      </c>
      <c r="E6847" s="22"/>
      <c r="F6847" s="22">
        <f>C6847*E6847</f>
      </c>
    </row>
    <row r="6848">
      <c r="A6848" s="5" t="s">
        <v>369</v>
      </c>
      <c r="B6848" s="13" t="s">
        <v>370</v>
      </c>
      <c r="C6848" s="22"/>
      <c r="D6848" s="22" t="s">
        <v>10</v>
      </c>
      <c r="E6848" s="22"/>
      <c r="F6848" s="22">
        <f>C6848*E6848</f>
      </c>
    </row>
    <row r="6849">
      <c r="A6849" s="5" t="s">
        <v>371</v>
      </c>
      <c r="B6849" s="13" t="s">
        <v>123</v>
      </c>
      <c r="C6849" s="22"/>
      <c r="D6849" s="22" t="s">
        <v>10</v>
      </c>
      <c r="E6849" s="22"/>
      <c r="F6849" s="22">
        <f>C6849*E6849</f>
      </c>
    </row>
    <row r="6850">
      <c r="A6850" s="3"/>
      <c r="B6850" s="11" t="s">
        <v>68</v>
      </c>
      <c r="C6850" s="20"/>
      <c r="D6850" s="20"/>
      <c r="E6850" s="20"/>
      <c r="F6850" s="20"/>
    </row>
    <row r="6851">
      <c r="A6851" s="5" t="s">
        <v>372</v>
      </c>
      <c r="B6851" s="14" t="s">
        <v>70</v>
      </c>
      <c r="C6851" s="22">
        <f>(1)*(1)*(1)*(1)*(1 + (0))</f>
      </c>
      <c r="D6851" s="22" t="s">
        <v>71</v>
      </c>
      <c r="E6851" s="22"/>
      <c r="F6851" s="22">
        <f>C6851*E6851</f>
      </c>
    </row>
    <row r="6852">
      <c r="A6852" s="5" t="s">
        <v>373</v>
      </c>
      <c r="B6852" s="14" t="s">
        <v>73</v>
      </c>
      <c r="C6852" s="22">
        <f>(1)*(1)*(1)*(1)*(1 + (0))</f>
      </c>
      <c r="D6852" s="22" t="s">
        <v>71</v>
      </c>
      <c r="E6852" s="22"/>
      <c r="F6852" s="22">
        <f>C6852*E6852</f>
      </c>
    </row>
    <row r="6853">
      <c r="A6853" s="5" t="s">
        <v>374</v>
      </c>
      <c r="B6853" s="14" t="s">
        <v>79</v>
      </c>
      <c r="C6853" s="22">
        <f>(1)*(1)*(1)*(1)*(1 + (0))</f>
      </c>
      <c r="D6853" s="22" t="s">
        <v>71</v>
      </c>
      <c r="E6853" s="22"/>
      <c r="F6853" s="22">
        <f>C6853*E6853</f>
      </c>
    </row>
    <row r="6854">
      <c r="A6854" s="5" t="s">
        <v>375</v>
      </c>
      <c r="B6854" s="14" t="s">
        <v>376</v>
      </c>
      <c r="C6854" s="22">
        <f>(1)*(1)*(1)*(1)*(1 + (0))</f>
      </c>
      <c r="D6854" s="22" t="s">
        <v>71</v>
      </c>
      <c r="E6854" s="22"/>
      <c r="F6854" s="22">
        <f>C6854*E6854</f>
      </c>
    </row>
    <row r="6855">
      <c r="A6855" s="5" t="s">
        <v>377</v>
      </c>
      <c r="B6855" s="14" t="s">
        <v>378</v>
      </c>
      <c r="C6855" s="22">
        <f>(1)*(1)*(1)*(1)*(1 + (0))</f>
      </c>
      <c r="D6855" s="22" t="s">
        <v>71</v>
      </c>
      <c r="E6855" s="22"/>
      <c r="F6855" s="22">
        <f>C6855*E6855</f>
      </c>
    </row>
    <row r="6856">
      <c r="A6856" s="3"/>
      <c r="B6856" s="11" t="s">
        <v>106</v>
      </c>
      <c r="C6856" s="20"/>
      <c r="D6856" s="20"/>
      <c r="E6856" s="20"/>
      <c r="F6856" s="20"/>
    </row>
    <row r="6857">
      <c r="A6857" s="5"/>
      <c r="B6857" s="14" t="s">
        <v>379</v>
      </c>
      <c r="C6857" s="22"/>
      <c r="D6857" s="22" t="s">
        <v>10</v>
      </c>
      <c r="E6857" s="22"/>
      <c r="F6857" s="22">
        <f>C6857*E6857</f>
      </c>
    </row>
    <row r="6858">
      <c r="A6858" s="5"/>
      <c r="B6858" s="14" t="s">
        <v>380</v>
      </c>
      <c r="C6858" s="22"/>
      <c r="D6858" s="22" t="s">
        <v>10</v>
      </c>
      <c r="E6858" s="22"/>
      <c r="F6858" s="22">
        <f>C6858*E6858</f>
      </c>
    </row>
    <row r="6859">
      <c r="A6859" s="3"/>
      <c r="B6859" s="11" t="s">
        <v>381</v>
      </c>
      <c r="C6859" s="20"/>
      <c r="D6859" s="20"/>
      <c r="E6859" s="20"/>
      <c r="F6859" s="20"/>
    </row>
    <row r="6860">
      <c r="A6860" s="4"/>
      <c r="B6860" s="12" t="s">
        <v>382</v>
      </c>
      <c r="C6860" s="21"/>
      <c r="D6860" s="21"/>
      <c r="E6860" s="21"/>
      <c r="F6860" s="21"/>
    </row>
    <row r="6861">
      <c r="A6861" s="6"/>
      <c r="B6861" s="15" t="s">
        <v>2356</v>
      </c>
      <c r="C6861" s="23"/>
      <c r="D6861" s="23"/>
      <c r="E6861" s="23"/>
      <c r="F6861" s="23"/>
    </row>
    <row r="6862">
      <c r="A6862" s="5"/>
      <c r="B6862" s="16" t="s">
        <v>2362</v>
      </c>
      <c r="C6862" s="22">
        <f>(49)*(1)*(1)*(1)*(1 + (0))</f>
      </c>
      <c r="D6862" s="22" t="s">
        <v>24</v>
      </c>
      <c r="E6862" s="22"/>
      <c r="F6862" s="22">
        <f>C6862*E6862</f>
      </c>
    </row>
    <row r="6863">
      <c r="A6863" s="5"/>
      <c r="B6863" s="16" t="s">
        <v>384</v>
      </c>
      <c r="C6863" s="22">
        <f>(39)*(1)*(1)*(1)*(1 + (0))</f>
      </c>
      <c r="D6863" s="22" t="s">
        <v>153</v>
      </c>
      <c r="E6863" s="22"/>
      <c r="F6863" s="22">
        <f>C6863*E6863</f>
      </c>
    </row>
    <row r="6864">
      <c r="A6864" s="4"/>
      <c r="B6864" s="12" t="s">
        <v>389</v>
      </c>
      <c r="C6864" s="21"/>
      <c r="D6864" s="21"/>
      <c r="E6864" s="21"/>
      <c r="F6864" s="21"/>
    </row>
    <row r="6865">
      <c r="A6865" s="6"/>
      <c r="B6865" s="15" t="s">
        <v>2356</v>
      </c>
      <c r="C6865" s="23"/>
      <c r="D6865" s="23"/>
      <c r="E6865" s="23"/>
      <c r="F6865" s="23"/>
    </row>
    <row r="6866">
      <c r="A6866" s="5"/>
      <c r="B6866" s="16" t="s">
        <v>390</v>
      </c>
      <c r="C6866" s="22">
        <f>(78)*(1)*(1)*(1)*(1 + (0))</f>
      </c>
      <c r="D6866" s="22" t="s">
        <v>153</v>
      </c>
      <c r="E6866" s="22"/>
      <c r="F6866" s="22">
        <f>C6866*E6866</f>
      </c>
    </row>
    <row r="6867">
      <c r="A6867" s="3"/>
      <c r="B6867" s="11" t="s">
        <v>399</v>
      </c>
      <c r="C6867" s="20"/>
      <c r="D6867" s="20"/>
      <c r="E6867" s="20"/>
      <c r="F6867" s="20"/>
    </row>
    <row r="6868">
      <c r="A6868" s="4"/>
      <c r="B6868" s="12" t="s">
        <v>400</v>
      </c>
      <c r="C6868" s="21"/>
      <c r="D6868" s="21"/>
      <c r="E6868" s="21"/>
      <c r="F6868" s="21"/>
    </row>
    <row r="6869">
      <c r="A6869" s="6"/>
      <c r="B6869" s="15" t="s">
        <v>2351</v>
      </c>
      <c r="C6869" s="23"/>
      <c r="D6869" s="23"/>
      <c r="E6869" s="23"/>
      <c r="F6869" s="23"/>
    </row>
    <row r="6870">
      <c r="A6870" s="5"/>
      <c r="B6870" s="16" t="s">
        <v>401</v>
      </c>
      <c r="C6870" s="22">
        <f>(9)*(1)*(1)*(1)*(1 + (0))</f>
      </c>
      <c r="D6870" s="22" t="s">
        <v>24</v>
      </c>
      <c r="E6870" s="22"/>
      <c r="F6870" s="22">
        <f>C6870*E6870</f>
      </c>
    </row>
    <row r="6871">
      <c r="A6871" s="4"/>
      <c r="B6871" s="12" t="s">
        <v>1867</v>
      </c>
      <c r="C6871" s="21"/>
      <c r="D6871" s="21"/>
      <c r="E6871" s="21"/>
      <c r="F6871" s="21"/>
    </row>
    <row r="6872">
      <c r="A6872" s="6"/>
      <c r="B6872" s="15" t="s">
        <v>2353</v>
      </c>
      <c r="C6872" s="23"/>
      <c r="D6872" s="23"/>
      <c r="E6872" s="23"/>
      <c r="F6872" s="23"/>
    </row>
    <row r="6873">
      <c r="A6873" s="5"/>
      <c r="B6873" s="16" t="s">
        <v>2363</v>
      </c>
      <c r="C6873" s="22">
        <f>(26)*(1)*(1)*(1)*(1 + (0))</f>
      </c>
      <c r="D6873" s="22" t="s">
        <v>24</v>
      </c>
      <c r="E6873" s="22"/>
      <c r="F6873" s="22">
        <f>C6873*E6873</f>
      </c>
    </row>
    <row r="6874">
      <c r="A6874" s="4"/>
      <c r="B6874" s="12" t="s">
        <v>408</v>
      </c>
      <c r="C6874" s="21"/>
      <c r="D6874" s="21"/>
      <c r="E6874" s="21"/>
      <c r="F6874" s="21"/>
    </row>
    <row r="6875">
      <c r="A6875" s="6"/>
      <c r="B6875" s="15" t="s">
        <v>2351</v>
      </c>
      <c r="C6875" s="23"/>
      <c r="D6875" s="23"/>
      <c r="E6875" s="23"/>
      <c r="F6875" s="23"/>
    </row>
    <row r="6876">
      <c r="A6876" s="5"/>
      <c r="B6876" s="16" t="s">
        <v>1671</v>
      </c>
      <c r="C6876" s="22">
        <f>(16)*(1)*(1)*(1)*(1 + (0))</f>
      </c>
      <c r="D6876" s="22" t="s">
        <v>24</v>
      </c>
      <c r="E6876" s="22"/>
      <c r="F6876" s="22">
        <f>C6876*E6876</f>
      </c>
    </row>
    <row r="6877">
      <c r="A6877" s="4"/>
      <c r="B6877" s="12" t="s">
        <v>392</v>
      </c>
      <c r="C6877" s="21"/>
      <c r="D6877" s="21"/>
      <c r="E6877" s="21"/>
      <c r="F6877" s="21"/>
    </row>
    <row r="6878">
      <c r="A6878" s="6"/>
      <c r="B6878" s="15" t="s">
        <v>2359</v>
      </c>
      <c r="C6878" s="23"/>
      <c r="D6878" s="23"/>
      <c r="E6878" s="23"/>
      <c r="F6878" s="23"/>
    </row>
    <row r="6879">
      <c r="A6879" s="5"/>
      <c r="B6879" s="16" t="s">
        <v>417</v>
      </c>
      <c r="C6879" s="22">
        <f>(45)*(1)*(1)*(1)*(1 + (0))</f>
      </c>
      <c r="D6879" s="22" t="s">
        <v>24</v>
      </c>
      <c r="E6879" s="22"/>
      <c r="F6879" s="22">
        <f>C6879*E6879</f>
      </c>
    </row>
    <row r="6880">
      <c r="A6880" s="6"/>
      <c r="B6880" s="15" t="s">
        <v>2356</v>
      </c>
      <c r="C6880" s="23"/>
      <c r="D6880" s="23"/>
      <c r="E6880" s="23"/>
      <c r="F6880" s="23"/>
    </row>
    <row r="6881">
      <c r="A6881" s="5"/>
      <c r="B6881" s="16" t="s">
        <v>417</v>
      </c>
      <c r="C6881" s="22">
        <f>(34)*(1)*(1)*(1)*(1 + (0))</f>
      </c>
      <c r="D6881" s="22" t="s">
        <v>24</v>
      </c>
      <c r="E6881" s="22"/>
      <c r="F6881" s="22">
        <f>C6881*E6881</f>
      </c>
    </row>
    <row r="6882">
      <c r="A6882" s="2"/>
      <c r="B6882" s="10" t="s">
        <v>178</v>
      </c>
      <c r="C6882" s="19"/>
      <c r="D6882" s="19"/>
      <c r="E6882" s="19"/>
      <c r="F6882" s="19"/>
    </row>
    <row r="6883">
      <c r="A6883" s="3"/>
      <c r="B6883" s="11" t="s">
        <v>37</v>
      </c>
      <c r="C6883" s="20"/>
      <c r="D6883" s="20"/>
      <c r="E6883" s="20"/>
      <c r="F6883" s="20"/>
    </row>
    <row r="6884">
      <c r="A6884" s="5" t="s">
        <v>431</v>
      </c>
      <c r="B6884" s="14" t="s">
        <v>39</v>
      </c>
      <c r="C6884" s="22"/>
      <c r="D6884" s="22" t="s">
        <v>10</v>
      </c>
      <c r="E6884" s="22"/>
      <c r="F6884" s="22">
        <f>C6884*E6884</f>
      </c>
    </row>
    <row r="6885">
      <c r="A6885" s="5" t="s">
        <v>432</v>
      </c>
      <c r="B6885" s="14" t="s">
        <v>41</v>
      </c>
      <c r="C6885" s="22"/>
      <c r="D6885" s="22" t="s">
        <v>10</v>
      </c>
      <c r="E6885" s="22"/>
      <c r="F6885" s="22">
        <f>C6885*E6885</f>
      </c>
    </row>
    <row r="6886">
      <c r="A6886" s="3"/>
      <c r="B6886" s="11" t="s">
        <v>42</v>
      </c>
      <c r="C6886" s="20"/>
      <c r="D6886" s="20"/>
      <c r="E6886" s="20"/>
      <c r="F6886" s="20"/>
    </row>
    <row r="6887">
      <c r="A6887" s="5"/>
      <c r="B6887" s="14" t="s">
        <v>118</v>
      </c>
      <c r="C6887" s="22"/>
      <c r="D6887" s="22" t="s">
        <v>10</v>
      </c>
      <c r="E6887" s="22"/>
      <c r="F6887" s="22">
        <f>C6887*E6887</f>
      </c>
    </row>
    <row r="6888">
      <c r="A6888" s="5"/>
      <c r="B6888" s="14" t="s">
        <v>2349</v>
      </c>
      <c r="C6888" s="22"/>
      <c r="D6888" s="22" t="s">
        <v>10</v>
      </c>
      <c r="E6888" s="22"/>
      <c r="F6888" s="22">
        <f>C6888*E6888</f>
      </c>
    </row>
    <row r="6889">
      <c r="A6889" s="3"/>
      <c r="B6889" s="11" t="s">
        <v>44</v>
      </c>
      <c r="C6889" s="20"/>
      <c r="D6889" s="20"/>
      <c r="E6889" s="20"/>
      <c r="F6889" s="20"/>
    </row>
    <row r="6890">
      <c r="A6890" s="4"/>
      <c r="B6890" s="12" t="s">
        <v>45</v>
      </c>
      <c r="C6890" s="21"/>
      <c r="D6890" s="21"/>
      <c r="E6890" s="21"/>
      <c r="F6890" s="21"/>
    </row>
    <row r="6891">
      <c r="A6891" s="5" t="s">
        <v>433</v>
      </c>
      <c r="B6891" s="13" t="s">
        <v>434</v>
      </c>
      <c r="C6891" s="22"/>
      <c r="D6891" s="22" t="s">
        <v>10</v>
      </c>
      <c r="E6891" s="22"/>
      <c r="F6891" s="22">
        <f>C6891*E6891</f>
      </c>
    </row>
    <row r="6892">
      <c r="A6892" s="5" t="s">
        <v>435</v>
      </c>
      <c r="B6892" s="13" t="s">
        <v>436</v>
      </c>
      <c r="C6892" s="22"/>
      <c r="D6892" s="22" t="s">
        <v>10</v>
      </c>
      <c r="E6892" s="22"/>
      <c r="F6892" s="22">
        <f>C6892*E6892</f>
      </c>
    </row>
    <row r="6893">
      <c r="A6893" s="5" t="s">
        <v>437</v>
      </c>
      <c r="B6893" s="13" t="s">
        <v>438</v>
      </c>
      <c r="C6893" s="22"/>
      <c r="D6893" s="22" t="s">
        <v>10</v>
      </c>
      <c r="E6893" s="22"/>
      <c r="F6893" s="22">
        <f>C6893*E6893</f>
      </c>
    </row>
    <row r="6894">
      <c r="A6894" s="5" t="s">
        <v>439</v>
      </c>
      <c r="B6894" s="13" t="s">
        <v>440</v>
      </c>
      <c r="C6894" s="22"/>
      <c r="D6894" s="22" t="s">
        <v>10</v>
      </c>
      <c r="E6894" s="22"/>
      <c r="F6894" s="22">
        <f>C6894*E6894</f>
      </c>
    </row>
    <row r="6895">
      <c r="A6895" s="5" t="s">
        <v>441</v>
      </c>
      <c r="B6895" s="13" t="s">
        <v>123</v>
      </c>
      <c r="C6895" s="22"/>
      <c r="D6895" s="22" t="s">
        <v>10</v>
      </c>
      <c r="E6895" s="22"/>
      <c r="F6895" s="22">
        <f>C6895*E6895</f>
      </c>
    </row>
    <row r="6896">
      <c r="A6896" s="3"/>
      <c r="B6896" s="11" t="s">
        <v>68</v>
      </c>
      <c r="C6896" s="20"/>
      <c r="D6896" s="20"/>
      <c r="E6896" s="20"/>
      <c r="F6896" s="20"/>
    </row>
    <row r="6897">
      <c r="A6897" s="5" t="s">
        <v>442</v>
      </c>
      <c r="B6897" s="14" t="s">
        <v>70</v>
      </c>
      <c r="C6897" s="22">
        <f>(1)*(1)*(1)*(1)*(1 + (0))</f>
      </c>
      <c r="D6897" s="22" t="s">
        <v>71</v>
      </c>
      <c r="E6897" s="22"/>
      <c r="F6897" s="22">
        <f>C6897*E6897</f>
      </c>
    </row>
    <row r="6898">
      <c r="A6898" s="5" t="s">
        <v>443</v>
      </c>
      <c r="B6898" s="14" t="s">
        <v>73</v>
      </c>
      <c r="C6898" s="22">
        <f>(1)*(1)*(1)*(1)*(1 + (0))</f>
      </c>
      <c r="D6898" s="22" t="s">
        <v>71</v>
      </c>
      <c r="E6898" s="22"/>
      <c r="F6898" s="22">
        <f>C6898*E6898</f>
      </c>
    </row>
    <row r="6899">
      <c r="A6899" s="5" t="s">
        <v>444</v>
      </c>
      <c r="B6899" s="14" t="s">
        <v>445</v>
      </c>
      <c r="C6899" s="22">
        <f>(1)*(1)*(1)*(1)*(1 + (0))</f>
      </c>
      <c r="D6899" s="22" t="s">
        <v>71</v>
      </c>
      <c r="E6899" s="22"/>
      <c r="F6899" s="22">
        <f>C6899*E6899</f>
      </c>
    </row>
    <row r="6900">
      <c r="A6900" s="5" t="s">
        <v>446</v>
      </c>
      <c r="B6900" s="14" t="s">
        <v>447</v>
      </c>
      <c r="C6900" s="22">
        <f>(1)*(1)*(1)*(1)*(1 + (0))</f>
      </c>
      <c r="D6900" s="22" t="s">
        <v>71</v>
      </c>
      <c r="E6900" s="22"/>
      <c r="F6900" s="22">
        <f>C6900*E6900</f>
      </c>
    </row>
    <row r="6901">
      <c r="A6901" s="5" t="s">
        <v>448</v>
      </c>
      <c r="B6901" s="14" t="s">
        <v>449</v>
      </c>
      <c r="C6901" s="22">
        <f>(1)*(1)*(1)*(1)*(1 + (0))</f>
      </c>
      <c r="D6901" s="22" t="s">
        <v>71</v>
      </c>
      <c r="E6901" s="22"/>
      <c r="F6901" s="22">
        <f>C6901*E6901</f>
      </c>
    </row>
    <row r="6902">
      <c r="A6902" s="5" t="s">
        <v>450</v>
      </c>
      <c r="B6902" s="14" t="s">
        <v>451</v>
      </c>
      <c r="C6902" s="22">
        <f>(1)*(1)*(1)*(1)*(1 + (0))</f>
      </c>
      <c r="D6902" s="22" t="s">
        <v>71</v>
      </c>
      <c r="E6902" s="22"/>
      <c r="F6902" s="22">
        <f>C6902*E6902</f>
      </c>
    </row>
    <row r="6903">
      <c r="A6903" s="3"/>
      <c r="B6903" s="11" t="s">
        <v>106</v>
      </c>
      <c r="C6903" s="20"/>
      <c r="D6903" s="20"/>
      <c r="E6903" s="20"/>
      <c r="F6903" s="20"/>
    </row>
    <row r="6904">
      <c r="A6904" s="5"/>
      <c r="B6904" s="14" t="s">
        <v>452</v>
      </c>
      <c r="C6904" s="22"/>
      <c r="D6904" s="22" t="s">
        <v>10</v>
      </c>
      <c r="E6904" s="22"/>
      <c r="F6904" s="22">
        <f>C6904*E6904</f>
      </c>
    </row>
    <row r="6905">
      <c r="A6905" s="3"/>
      <c r="B6905" s="11" t="s">
        <v>453</v>
      </c>
      <c r="C6905" s="20"/>
      <c r="D6905" s="20"/>
      <c r="E6905" s="20"/>
      <c r="F6905" s="20"/>
    </row>
    <row r="6906">
      <c r="A6906" s="5"/>
      <c r="B6906" s="14" t="s">
        <v>455</v>
      </c>
      <c r="C6906" s="22">
        <f>(4.72)*(1)*(1)*(1)*(1 + (0))</f>
      </c>
      <c r="D6906" s="22" t="s">
        <v>182</v>
      </c>
      <c r="E6906" s="22"/>
      <c r="F6906" s="22">
        <f>C6906*E6906</f>
      </c>
    </row>
    <row r="6907">
      <c r="A6907" s="3"/>
      <c r="B6907" s="11" t="s">
        <v>459</v>
      </c>
      <c r="C6907" s="20"/>
      <c r="D6907" s="20"/>
      <c r="E6907" s="20"/>
      <c r="F6907" s="20"/>
    </row>
    <row r="6908">
      <c r="A6908" s="4"/>
      <c r="B6908" s="12" t="s">
        <v>400</v>
      </c>
      <c r="C6908" s="21"/>
      <c r="D6908" s="21"/>
      <c r="E6908" s="21"/>
      <c r="F6908" s="21"/>
    </row>
    <row r="6909">
      <c r="A6909" s="6"/>
      <c r="B6909" s="15" t="s">
        <v>2351</v>
      </c>
      <c r="C6909" s="23"/>
      <c r="D6909" s="23"/>
      <c r="E6909" s="23"/>
      <c r="F6909" s="23"/>
    </row>
    <row r="6910">
      <c r="A6910" s="5"/>
      <c r="B6910" s="16" t="s">
        <v>460</v>
      </c>
      <c r="C6910" s="22">
        <f>(0.2916)*(1)*(1)*(1)*(1 + (0))</f>
      </c>
      <c r="D6910" s="22" t="s">
        <v>182</v>
      </c>
      <c r="E6910" s="22"/>
      <c r="F6910" s="22">
        <f>C6910*E6910</f>
      </c>
    </row>
    <row r="6911">
      <c r="A6911" s="4"/>
      <c r="B6911" s="12" t="s">
        <v>1867</v>
      </c>
      <c r="C6911" s="21"/>
      <c r="D6911" s="21"/>
      <c r="E6911" s="21"/>
      <c r="F6911" s="21"/>
    </row>
    <row r="6912">
      <c r="A6912" s="6"/>
      <c r="B6912" s="15" t="s">
        <v>2353</v>
      </c>
      <c r="C6912" s="23"/>
      <c r="D6912" s="23"/>
      <c r="E6912" s="23"/>
      <c r="F6912" s="23"/>
    </row>
    <row r="6913">
      <c r="A6913" s="5"/>
      <c r="B6913" s="16" t="s">
        <v>1876</v>
      </c>
      <c r="C6913" s="22">
        <f>(0.585)*(1)*(1)*(1)*(1 + (0))</f>
      </c>
      <c r="D6913" s="22" t="s">
        <v>182</v>
      </c>
      <c r="E6913" s="22"/>
      <c r="F6913" s="22">
        <f>C6913*E6913</f>
      </c>
    </row>
    <row r="6914">
      <c r="A6914" s="4"/>
      <c r="B6914" s="12" t="s">
        <v>408</v>
      </c>
      <c r="C6914" s="21"/>
      <c r="D6914" s="21"/>
      <c r="E6914" s="21"/>
      <c r="F6914" s="21"/>
    </row>
    <row r="6915">
      <c r="A6915" s="6"/>
      <c r="B6915" s="15" t="s">
        <v>2351</v>
      </c>
      <c r="C6915" s="23"/>
      <c r="D6915" s="23"/>
      <c r="E6915" s="23"/>
      <c r="F6915" s="23"/>
    </row>
    <row r="6916">
      <c r="A6916" s="5"/>
      <c r="B6916" s="16" t="s">
        <v>463</v>
      </c>
      <c r="C6916" s="22">
        <f>(1.38457904214883)*(1)*(1)*(1)*(1 + (0))</f>
      </c>
      <c r="D6916" s="22" t="s">
        <v>182</v>
      </c>
      <c r="E6916" s="22"/>
      <c r="F6916" s="22">
        <f>C6916*E6916</f>
      </c>
    </row>
    <row r="6917">
      <c r="A6917" s="4"/>
      <c r="B6917" s="12" t="s">
        <v>382</v>
      </c>
      <c r="C6917" s="21"/>
      <c r="D6917" s="21"/>
      <c r="E6917" s="21"/>
      <c r="F6917" s="21"/>
    </row>
    <row r="6918">
      <c r="A6918" s="6"/>
      <c r="B6918" s="15" t="s">
        <v>2356</v>
      </c>
      <c r="C6918" s="23"/>
      <c r="D6918" s="23"/>
      <c r="E6918" s="23"/>
      <c r="F6918" s="23"/>
    </row>
    <row r="6919">
      <c r="A6919" s="5"/>
      <c r="B6919" s="16" t="s">
        <v>2364</v>
      </c>
      <c r="C6919" s="22">
        <f>(0.388270806011834)*(1)*(1)*(1)*(1 + (0))</f>
      </c>
      <c r="D6919" s="22" t="s">
        <v>182</v>
      </c>
      <c r="E6919" s="22"/>
      <c r="F6919" s="22">
        <f>C6919*E6919</f>
      </c>
    </row>
    <row r="6920">
      <c r="A6920" s="4"/>
      <c r="B6920" s="12" t="s">
        <v>389</v>
      </c>
      <c r="C6920" s="21"/>
      <c r="D6920" s="21"/>
      <c r="E6920" s="21"/>
      <c r="F6920" s="21"/>
    </row>
    <row r="6921">
      <c r="A6921" s="6"/>
      <c r="B6921" s="15" t="s">
        <v>2356</v>
      </c>
      <c r="C6921" s="23"/>
      <c r="D6921" s="23"/>
      <c r="E6921" s="23"/>
      <c r="F6921" s="23"/>
    </row>
    <row r="6922">
      <c r="A6922" s="5"/>
      <c r="B6922" s="16" t="s">
        <v>2365</v>
      </c>
      <c r="C6922" s="22">
        <f>(0.350861526105041)*(1)*(1)*(1)*(1 + (0))</f>
      </c>
      <c r="D6922" s="22" t="s">
        <v>182</v>
      </c>
      <c r="E6922" s="22"/>
      <c r="F6922" s="22">
        <f>C6922*E6922</f>
      </c>
    </row>
    <row r="6923">
      <c r="A6923" s="4"/>
      <c r="B6923" s="12" t="s">
        <v>392</v>
      </c>
      <c r="C6923" s="21"/>
      <c r="D6923" s="21"/>
      <c r="E6923" s="21"/>
      <c r="F6923" s="21"/>
    </row>
    <row r="6924">
      <c r="A6924" s="6"/>
      <c r="B6924" s="15" t="s">
        <v>2359</v>
      </c>
      <c r="C6924" s="23"/>
      <c r="D6924" s="23"/>
      <c r="E6924" s="23"/>
      <c r="F6924" s="23"/>
    </row>
    <row r="6925">
      <c r="A6925" s="5"/>
      <c r="B6925" s="16" t="s">
        <v>471</v>
      </c>
      <c r="C6925" s="22">
        <f>(0.98)*(1)*(1)*(1)*(1 + (0))</f>
      </c>
      <c r="D6925" s="22" t="s">
        <v>182</v>
      </c>
      <c r="E6925" s="22"/>
      <c r="F6925" s="22">
        <f>C6925*E6925</f>
      </c>
    </row>
    <row r="6926">
      <c r="A6926" s="6"/>
      <c r="B6926" s="15" t="s">
        <v>2356</v>
      </c>
      <c r="C6926" s="23"/>
      <c r="D6926" s="23"/>
      <c r="E6926" s="23"/>
      <c r="F6926" s="23"/>
    </row>
    <row r="6927">
      <c r="A6927" s="5"/>
      <c r="B6927" s="16" t="s">
        <v>471</v>
      </c>
      <c r="C6927" s="22">
        <f>(0.735)*(1)*(1)*(1)*(1 + (0))</f>
      </c>
      <c r="D6927" s="22" t="s">
        <v>182</v>
      </c>
      <c r="E6927" s="22"/>
      <c r="F6927" s="22">
        <f>C6927*E6927</f>
      </c>
    </row>
    <row r="6928">
      <c r="A6928" s="2"/>
      <c r="B6928" s="10" t="s">
        <v>484</v>
      </c>
      <c r="C6928" s="19"/>
      <c r="D6928" s="19"/>
      <c r="E6928" s="19"/>
      <c r="F6928" s="19"/>
    </row>
    <row r="6929">
      <c r="A6929" s="3"/>
      <c r="B6929" s="11" t="s">
        <v>37</v>
      </c>
      <c r="C6929" s="20"/>
      <c r="D6929" s="20"/>
      <c r="E6929" s="20"/>
      <c r="F6929" s="20"/>
    </row>
    <row r="6930">
      <c r="A6930" s="5" t="s">
        <v>485</v>
      </c>
      <c r="B6930" s="14" t="s">
        <v>39</v>
      </c>
      <c r="C6930" s="22"/>
      <c r="D6930" s="22" t="s">
        <v>10</v>
      </c>
      <c r="E6930" s="22"/>
      <c r="F6930" s="22">
        <f>C6930*E6930</f>
      </c>
    </row>
    <row r="6931">
      <c r="A6931" s="5" t="s">
        <v>486</v>
      </c>
      <c r="B6931" s="14" t="s">
        <v>41</v>
      </c>
      <c r="C6931" s="22"/>
      <c r="D6931" s="22" t="s">
        <v>10</v>
      </c>
      <c r="E6931" s="22"/>
      <c r="F6931" s="22">
        <f>C6931*E6931</f>
      </c>
    </row>
    <row r="6932">
      <c r="A6932" s="3"/>
      <c r="B6932" s="11" t="s">
        <v>42</v>
      </c>
      <c r="C6932" s="20"/>
      <c r="D6932" s="20"/>
      <c r="E6932" s="20"/>
      <c r="F6932" s="20"/>
    </row>
    <row r="6933">
      <c r="A6933" s="5"/>
      <c r="B6933" s="14" t="s">
        <v>118</v>
      </c>
      <c r="C6933" s="22"/>
      <c r="D6933" s="22" t="s">
        <v>10</v>
      </c>
      <c r="E6933" s="22"/>
      <c r="F6933" s="22">
        <f>C6933*E6933</f>
      </c>
    </row>
    <row r="6934">
      <c r="A6934" s="5"/>
      <c r="B6934" s="14" t="s">
        <v>2349</v>
      </c>
      <c r="C6934" s="22"/>
      <c r="D6934" s="22" t="s">
        <v>10</v>
      </c>
      <c r="E6934" s="22"/>
      <c r="F6934" s="22">
        <f>C6934*E6934</f>
      </c>
    </row>
    <row r="6935">
      <c r="A6935" s="3"/>
      <c r="B6935" s="11" t="s">
        <v>44</v>
      </c>
      <c r="C6935" s="20"/>
      <c r="D6935" s="20"/>
      <c r="E6935" s="20"/>
      <c r="F6935" s="20"/>
    </row>
    <row r="6936">
      <c r="A6936" s="4"/>
      <c r="B6936" s="12" t="s">
        <v>45</v>
      </c>
      <c r="C6936" s="21"/>
      <c r="D6936" s="21"/>
      <c r="E6936" s="21"/>
      <c r="F6936" s="21"/>
    </row>
    <row r="6937">
      <c r="A6937" s="5" t="s">
        <v>487</v>
      </c>
      <c r="B6937" s="13" t="s">
        <v>488</v>
      </c>
      <c r="C6937" s="22"/>
      <c r="D6937" s="22" t="s">
        <v>10</v>
      </c>
      <c r="E6937" s="22"/>
      <c r="F6937" s="22">
        <f>C6937*E6937</f>
      </c>
    </row>
    <row r="6938">
      <c r="A6938" s="5" t="s">
        <v>489</v>
      </c>
      <c r="B6938" s="13" t="s">
        <v>123</v>
      </c>
      <c r="C6938" s="22"/>
      <c r="D6938" s="22" t="s">
        <v>10</v>
      </c>
      <c r="E6938" s="22"/>
      <c r="F6938" s="22">
        <f>C6938*E6938</f>
      </c>
    </row>
    <row r="6939">
      <c r="A6939" s="3"/>
      <c r="B6939" s="11" t="s">
        <v>68</v>
      </c>
      <c r="C6939" s="20"/>
      <c r="D6939" s="20"/>
      <c r="E6939" s="20"/>
      <c r="F6939" s="20"/>
    </row>
    <row r="6940">
      <c r="A6940" s="5" t="s">
        <v>490</v>
      </c>
      <c r="B6940" s="14" t="s">
        <v>70</v>
      </c>
      <c r="C6940" s="22">
        <f>(1)*(1)*(1)*(1)*(1 + (0))</f>
      </c>
      <c r="D6940" s="22" t="s">
        <v>71</v>
      </c>
      <c r="E6940" s="22"/>
      <c r="F6940" s="22">
        <f>C6940*E6940</f>
      </c>
    </row>
    <row r="6941">
      <c r="A6941" s="5" t="s">
        <v>491</v>
      </c>
      <c r="B6941" s="14" t="s">
        <v>492</v>
      </c>
      <c r="C6941" s="22">
        <f>(1)*(1)*(1)*(1)*(1 + (0))</f>
      </c>
      <c r="D6941" s="22" t="s">
        <v>71</v>
      </c>
      <c r="E6941" s="22"/>
      <c r="F6941" s="22">
        <f>C6941*E6941</f>
      </c>
    </row>
    <row r="6942">
      <c r="A6942" s="5" t="s">
        <v>493</v>
      </c>
      <c r="B6942" s="14" t="s">
        <v>73</v>
      </c>
      <c r="C6942" s="22">
        <f>(1)*(1)*(1)*(1)*(1 + (0))</f>
      </c>
      <c r="D6942" s="22" t="s">
        <v>71</v>
      </c>
      <c r="E6942" s="22"/>
      <c r="F6942" s="22">
        <f>C6942*E6942</f>
      </c>
    </row>
    <row r="6943">
      <c r="A6943" s="5" t="s">
        <v>494</v>
      </c>
      <c r="B6943" s="14" t="s">
        <v>495</v>
      </c>
      <c r="C6943" s="22">
        <f>(1)*(1)*(1)*(1)*(1 + (0))</f>
      </c>
      <c r="D6943" s="22" t="s">
        <v>71</v>
      </c>
      <c r="E6943" s="22"/>
      <c r="F6943" s="22">
        <f>C6943*E6943</f>
      </c>
    </row>
    <row r="6944">
      <c r="A6944" s="5" t="s">
        <v>496</v>
      </c>
      <c r="B6944" s="14" t="s">
        <v>497</v>
      </c>
      <c r="C6944" s="22">
        <f>(1)*(1)*(1)*(1)*(1 + (0))</f>
      </c>
      <c r="D6944" s="22" t="s">
        <v>71</v>
      </c>
      <c r="E6944" s="22"/>
      <c r="F6944" s="22">
        <f>C6944*E6944</f>
      </c>
    </row>
    <row r="6945">
      <c r="A6945" s="5" t="s">
        <v>498</v>
      </c>
      <c r="B6945" s="14" t="s">
        <v>499</v>
      </c>
      <c r="C6945" s="22">
        <f>(1)*(1)*(1)*(1)*(1 + (0))</f>
      </c>
      <c r="D6945" s="22" t="s">
        <v>71</v>
      </c>
      <c r="E6945" s="22"/>
      <c r="F6945" s="22">
        <f>C6945*E6945</f>
      </c>
    </row>
    <row r="6946">
      <c r="A6946" s="5" t="s">
        <v>500</v>
      </c>
      <c r="B6946" s="14" t="s">
        <v>501</v>
      </c>
      <c r="C6946" s="22">
        <f>(1)*(1)*(1)*(1)*(1 + (0))</f>
      </c>
      <c r="D6946" s="22" t="s">
        <v>71</v>
      </c>
      <c r="E6946" s="22"/>
      <c r="F6946" s="22">
        <f>C6946*E6946</f>
      </c>
    </row>
    <row r="6947">
      <c r="A6947" s="5" t="s">
        <v>502</v>
      </c>
      <c r="B6947" s="14" t="s">
        <v>503</v>
      </c>
      <c r="C6947" s="22">
        <f>(1)*(1)*(1)*(1)*(1 + (0))</f>
      </c>
      <c r="D6947" s="22" t="s">
        <v>71</v>
      </c>
      <c r="E6947" s="22"/>
      <c r="F6947" s="22">
        <f>C6947*E6947</f>
      </c>
    </row>
    <row r="6948">
      <c r="A6948" s="5" t="s">
        <v>504</v>
      </c>
      <c r="B6948" s="14" t="s">
        <v>505</v>
      </c>
      <c r="C6948" s="22">
        <f>(1)*(1)*(1)*(1)*(1 + (0))</f>
      </c>
      <c r="D6948" s="22" t="s">
        <v>71</v>
      </c>
      <c r="E6948" s="22"/>
      <c r="F6948" s="22">
        <f>C6948*E6948</f>
      </c>
    </row>
    <row r="6949">
      <c r="A6949" s="5" t="s">
        <v>506</v>
      </c>
      <c r="B6949" s="14" t="s">
        <v>507</v>
      </c>
      <c r="C6949" s="22">
        <f>(1)*(1)*(1)*(1)*(1 + (0))</f>
      </c>
      <c r="D6949" s="22" t="s">
        <v>71</v>
      </c>
      <c r="E6949" s="22"/>
      <c r="F6949" s="22">
        <f>C6949*E6949</f>
      </c>
    </row>
    <row r="6950">
      <c r="A6950" s="5" t="s">
        <v>508</v>
      </c>
      <c r="B6950" s="14" t="s">
        <v>509</v>
      </c>
      <c r="C6950" s="22">
        <f>(1)*(1)*(1)*(1)*(1 + (0))</f>
      </c>
      <c r="D6950" s="22" t="s">
        <v>71</v>
      </c>
      <c r="E6950" s="22"/>
      <c r="F6950" s="22">
        <f>C6950*E6950</f>
      </c>
    </row>
    <row r="6951">
      <c r="A6951" s="5" t="s">
        <v>510</v>
      </c>
      <c r="B6951" s="14" t="s">
        <v>511</v>
      </c>
      <c r="C6951" s="22">
        <f>(1)*(1)*(1)*(1)*(1 + (0))</f>
      </c>
      <c r="D6951" s="22" t="s">
        <v>71</v>
      </c>
      <c r="E6951" s="22"/>
      <c r="F6951" s="22">
        <f>C6951*E6951</f>
      </c>
    </row>
    <row r="6952">
      <c r="A6952" s="5" t="s">
        <v>512</v>
      </c>
      <c r="B6952" s="14" t="s">
        <v>513</v>
      </c>
      <c r="C6952" s="22">
        <f>(1)*(1)*(1)*(1)*(1 + (0))</f>
      </c>
      <c r="D6952" s="22" t="s">
        <v>71</v>
      </c>
      <c r="E6952" s="22"/>
      <c r="F6952" s="22">
        <f>C6952*E6952</f>
      </c>
    </row>
    <row r="6953">
      <c r="A6953" s="3"/>
      <c r="B6953" s="11" t="s">
        <v>514</v>
      </c>
      <c r="C6953" s="20"/>
      <c r="D6953" s="20"/>
      <c r="E6953" s="20"/>
      <c r="F6953" s="20"/>
    </row>
    <row r="6954">
      <c r="A6954" s="5"/>
      <c r="B6954" s="14" t="s">
        <v>515</v>
      </c>
      <c r="C6954" s="22">
        <f>(0.29)*(1)*(1)*(1)*(1 + (0))</f>
      </c>
      <c r="D6954" s="22" t="s">
        <v>182</v>
      </c>
      <c r="E6954" s="22"/>
      <c r="F6954" s="22">
        <f>C6954*E6954</f>
      </c>
    </row>
    <row r="6955">
      <c r="A6955" s="3"/>
      <c r="B6955" s="11" t="s">
        <v>516</v>
      </c>
      <c r="C6955" s="20"/>
      <c r="D6955" s="20"/>
      <c r="E6955" s="20"/>
      <c r="F6955" s="20"/>
    </row>
    <row r="6956">
      <c r="A6956" s="4"/>
      <c r="B6956" s="12" t="s">
        <v>382</v>
      </c>
      <c r="C6956" s="21"/>
      <c r="D6956" s="21"/>
      <c r="E6956" s="21"/>
      <c r="F6956" s="21"/>
    </row>
    <row r="6957">
      <c r="A6957" s="6"/>
      <c r="B6957" s="15" t="s">
        <v>2356</v>
      </c>
      <c r="C6957" s="23"/>
      <c r="D6957" s="23"/>
      <c r="E6957" s="23"/>
      <c r="F6957" s="23"/>
    </row>
    <row r="6958">
      <c r="A6958" s="5"/>
      <c r="B6958" s="16" t="s">
        <v>2366</v>
      </c>
      <c r="C6958" s="22">
        <f>(0.155308322404734)*(1)*(1)*(1)*(1 + (0))</f>
      </c>
      <c r="D6958" s="22" t="s">
        <v>182</v>
      </c>
      <c r="E6958" s="22"/>
      <c r="F6958" s="22">
        <f>C6958*E6958</f>
      </c>
    </row>
    <row r="6959">
      <c r="A6959" s="4"/>
      <c r="B6959" s="12" t="s">
        <v>389</v>
      </c>
      <c r="C6959" s="21"/>
      <c r="D6959" s="21"/>
      <c r="E6959" s="21"/>
      <c r="F6959" s="21"/>
    </row>
    <row r="6960">
      <c r="A6960" s="6"/>
      <c r="B6960" s="15" t="s">
        <v>2356</v>
      </c>
      <c r="C6960" s="23"/>
      <c r="D6960" s="23"/>
      <c r="E6960" s="23"/>
      <c r="F6960" s="23"/>
    </row>
    <row r="6961">
      <c r="A6961" s="5"/>
      <c r="B6961" s="16" t="s">
        <v>2367</v>
      </c>
      <c r="C6961" s="22">
        <f>(0.126310149397815)*(1)*(1)*(1)*(1 + (0))</f>
      </c>
      <c r="D6961" s="22" t="s">
        <v>182</v>
      </c>
      <c r="E6961" s="22"/>
      <c r="F6961" s="22">
        <f>C6961*E6961</f>
      </c>
    </row>
    <row r="6962">
      <c r="A6962" s="2"/>
      <c r="B6962" s="10" t="s">
        <v>520</v>
      </c>
      <c r="C6962" s="19"/>
      <c r="D6962" s="19"/>
      <c r="E6962" s="19"/>
      <c r="F6962" s="19"/>
    </row>
    <row r="6963">
      <c r="A6963" s="3"/>
      <c r="B6963" s="11" t="s">
        <v>37</v>
      </c>
      <c r="C6963" s="20"/>
      <c r="D6963" s="20"/>
      <c r="E6963" s="20"/>
      <c r="F6963" s="20"/>
    </row>
    <row r="6964">
      <c r="A6964" s="5" t="s">
        <v>521</v>
      </c>
      <c r="B6964" s="14" t="s">
        <v>39</v>
      </c>
      <c r="C6964" s="22"/>
      <c r="D6964" s="22" t="s">
        <v>10</v>
      </c>
      <c r="E6964" s="22"/>
      <c r="F6964" s="22">
        <f>C6964*E6964</f>
      </c>
    </row>
    <row r="6965">
      <c r="A6965" s="5" t="s">
        <v>522</v>
      </c>
      <c r="B6965" s="14" t="s">
        <v>41</v>
      </c>
      <c r="C6965" s="22"/>
      <c r="D6965" s="22" t="s">
        <v>10</v>
      </c>
      <c r="E6965" s="22"/>
      <c r="F6965" s="22">
        <f>C6965*E6965</f>
      </c>
    </row>
    <row r="6966">
      <c r="A6966" s="3"/>
      <c r="B6966" s="11" t="s">
        <v>523</v>
      </c>
      <c r="C6966" s="20"/>
      <c r="D6966" s="20"/>
      <c r="E6966" s="20"/>
      <c r="F6966" s="20"/>
    </row>
    <row r="6967">
      <c r="A6967" s="5"/>
      <c r="B6967" s="14" t="s">
        <v>524</v>
      </c>
      <c r="C6967" s="22"/>
      <c r="D6967" s="22" t="s">
        <v>10</v>
      </c>
      <c r="E6967" s="22"/>
      <c r="F6967" s="22">
        <f>C6967*E6967</f>
      </c>
    </row>
    <row r="6968">
      <c r="A6968" s="5"/>
      <c r="B6968" s="14" t="s">
        <v>2368</v>
      </c>
      <c r="C6968" s="22"/>
      <c r="D6968" s="22" t="s">
        <v>10</v>
      </c>
      <c r="E6968" s="22"/>
      <c r="F6968" s="22">
        <f>C6968*E6968</f>
      </c>
    </row>
    <row r="6969">
      <c r="A6969" s="3"/>
      <c r="B6969" s="11" t="s">
        <v>44</v>
      </c>
      <c r="C6969" s="20"/>
      <c r="D6969" s="20"/>
      <c r="E6969" s="20"/>
      <c r="F6969" s="20"/>
    </row>
    <row r="6970">
      <c r="A6970" s="4"/>
      <c r="B6970" s="12" t="s">
        <v>45</v>
      </c>
      <c r="C6970" s="21"/>
      <c r="D6970" s="21"/>
      <c r="E6970" s="21"/>
      <c r="F6970" s="21"/>
    </row>
    <row r="6971">
      <c r="A6971" s="5" t="s">
        <v>527</v>
      </c>
      <c r="B6971" s="13" t="s">
        <v>528</v>
      </c>
      <c r="C6971" s="22"/>
      <c r="D6971" s="22" t="s">
        <v>10</v>
      </c>
      <c r="E6971" s="22"/>
      <c r="F6971" s="22">
        <f>C6971*E6971</f>
      </c>
    </row>
    <row r="6972">
      <c r="A6972" s="5" t="s">
        <v>529</v>
      </c>
      <c r="B6972" s="13" t="s">
        <v>530</v>
      </c>
      <c r="C6972" s="22"/>
      <c r="D6972" s="22" t="s">
        <v>10</v>
      </c>
      <c r="E6972" s="22"/>
      <c r="F6972" s="22">
        <f>C6972*E6972</f>
      </c>
    </row>
    <row r="6973">
      <c r="A6973" s="5" t="s">
        <v>531</v>
      </c>
      <c r="B6973" s="13" t="s">
        <v>532</v>
      </c>
      <c r="C6973" s="22"/>
      <c r="D6973" s="22" t="s">
        <v>10</v>
      </c>
      <c r="E6973" s="22"/>
      <c r="F6973" s="22">
        <f>C6973*E6973</f>
      </c>
    </row>
    <row r="6974">
      <c r="A6974" s="5" t="s">
        <v>533</v>
      </c>
      <c r="B6974" s="13" t="s">
        <v>534</v>
      </c>
      <c r="C6974" s="22"/>
      <c r="D6974" s="22" t="s">
        <v>10</v>
      </c>
      <c r="E6974" s="22"/>
      <c r="F6974" s="22">
        <f>C6974*E6974</f>
      </c>
    </row>
    <row r="6975">
      <c r="A6975" s="5" t="s">
        <v>535</v>
      </c>
      <c r="B6975" s="13" t="s">
        <v>536</v>
      </c>
      <c r="C6975" s="22"/>
      <c r="D6975" s="22" t="s">
        <v>10</v>
      </c>
      <c r="E6975" s="22"/>
      <c r="F6975" s="22">
        <f>C6975*E6975</f>
      </c>
    </row>
    <row r="6976">
      <c r="A6976" s="5" t="s">
        <v>537</v>
      </c>
      <c r="B6976" s="13" t="s">
        <v>538</v>
      </c>
      <c r="C6976" s="22"/>
      <c r="D6976" s="22" t="s">
        <v>10</v>
      </c>
      <c r="E6976" s="22"/>
      <c r="F6976" s="22">
        <f>C6976*E6976</f>
      </c>
    </row>
    <row r="6977">
      <c r="A6977" s="5" t="s">
        <v>539</v>
      </c>
      <c r="B6977" s="13" t="s">
        <v>123</v>
      </c>
      <c r="C6977" s="22"/>
      <c r="D6977" s="22" t="s">
        <v>10</v>
      </c>
      <c r="E6977" s="22"/>
      <c r="F6977" s="22">
        <f>C6977*E6977</f>
      </c>
    </row>
    <row r="6978">
      <c r="A6978" s="3"/>
      <c r="B6978" s="11" t="s">
        <v>68</v>
      </c>
      <c r="C6978" s="20"/>
      <c r="D6978" s="20"/>
      <c r="E6978" s="20"/>
      <c r="F6978" s="20"/>
    </row>
    <row r="6979">
      <c r="A6979" s="5" t="s">
        <v>540</v>
      </c>
      <c r="B6979" s="14" t="s">
        <v>70</v>
      </c>
      <c r="C6979" s="22">
        <f>(1)*(1)*(1)*(1)*(1 + (0))</f>
      </c>
      <c r="D6979" s="22" t="s">
        <v>71</v>
      </c>
      <c r="E6979" s="22"/>
      <c r="F6979" s="22">
        <f>C6979*E6979</f>
      </c>
    </row>
    <row r="6980">
      <c r="A6980" s="5" t="s">
        <v>541</v>
      </c>
      <c r="B6980" s="14" t="s">
        <v>73</v>
      </c>
      <c r="C6980" s="22">
        <f>(1)*(1)*(1)*(1)*(1 + (0))</f>
      </c>
      <c r="D6980" s="22" t="s">
        <v>71</v>
      </c>
      <c r="E6980" s="22"/>
      <c r="F6980" s="22">
        <f>C6980*E6980</f>
      </c>
    </row>
    <row r="6981">
      <c r="A6981" s="5" t="s">
        <v>542</v>
      </c>
      <c r="B6981" s="14" t="s">
        <v>543</v>
      </c>
      <c r="C6981" s="22">
        <f>(1)*(1)*(1)*(1)*(1 + (0))</f>
      </c>
      <c r="D6981" s="22" t="s">
        <v>71</v>
      </c>
      <c r="E6981" s="22"/>
      <c r="F6981" s="22">
        <f>C6981*E6981</f>
      </c>
    </row>
    <row r="6982">
      <c r="A6982" s="5" t="s">
        <v>544</v>
      </c>
      <c r="B6982" s="14" t="s">
        <v>545</v>
      </c>
      <c r="C6982" s="22">
        <f>(1)*(1)*(1)*(1)*(1 + (0))</f>
      </c>
      <c r="D6982" s="22" t="s">
        <v>71</v>
      </c>
      <c r="E6982" s="22"/>
      <c r="F6982" s="22">
        <f>C6982*E6982</f>
      </c>
    </row>
    <row r="6983">
      <c r="A6983" s="5" t="s">
        <v>546</v>
      </c>
      <c r="B6983" s="14" t="s">
        <v>547</v>
      </c>
      <c r="C6983" s="22">
        <f>(1)*(1)*(1)*(1)*(1 + (0))</f>
      </c>
      <c r="D6983" s="22" t="s">
        <v>71</v>
      </c>
      <c r="E6983" s="22"/>
      <c r="F6983" s="22">
        <f>C6983*E6983</f>
      </c>
    </row>
    <row r="6984">
      <c r="A6984" s="5" t="s">
        <v>548</v>
      </c>
      <c r="B6984" s="14" t="s">
        <v>549</v>
      </c>
      <c r="C6984" s="22">
        <f>(1)*(1)*(1)*(1)*(1 + (0))</f>
      </c>
      <c r="D6984" s="22" t="s">
        <v>71</v>
      </c>
      <c r="E6984" s="22"/>
      <c r="F6984" s="22">
        <f>C6984*E6984</f>
      </c>
    </row>
    <row r="6985">
      <c r="A6985" s="5" t="s">
        <v>550</v>
      </c>
      <c r="B6985" s="14" t="s">
        <v>551</v>
      </c>
      <c r="C6985" s="22">
        <f>(1)*(1)*(1)*(1)*(1 + (0))</f>
      </c>
      <c r="D6985" s="22" t="s">
        <v>71</v>
      </c>
      <c r="E6985" s="22"/>
      <c r="F6985" s="22">
        <f>C6985*E6985</f>
      </c>
    </row>
    <row r="6986">
      <c r="A6986" s="5" t="s">
        <v>552</v>
      </c>
      <c r="B6986" s="14" t="s">
        <v>553</v>
      </c>
      <c r="C6986" s="22">
        <f>(1)*(1)*(1)*(1)*(1 + (0))</f>
      </c>
      <c r="D6986" s="22" t="s">
        <v>71</v>
      </c>
      <c r="E6986" s="22"/>
      <c r="F6986" s="22">
        <f>C6986*E6986</f>
      </c>
    </row>
    <row r="6987">
      <c r="A6987" s="5" t="s">
        <v>554</v>
      </c>
      <c r="B6987" s="14" t="s">
        <v>555</v>
      </c>
      <c r="C6987" s="22">
        <f>(1)*(1)*(1)*(1)*(1 + (0))</f>
      </c>
      <c r="D6987" s="22" t="s">
        <v>71</v>
      </c>
      <c r="E6987" s="22"/>
      <c r="F6987" s="22">
        <f>C6987*E6987</f>
      </c>
    </row>
    <row r="6988">
      <c r="A6988" s="5" t="s">
        <v>556</v>
      </c>
      <c r="B6988" s="14" t="s">
        <v>447</v>
      </c>
      <c r="C6988" s="22">
        <f>(1)*(1)*(1)*(1)*(1 + (0))</f>
      </c>
      <c r="D6988" s="22" t="s">
        <v>71</v>
      </c>
      <c r="E6988" s="22"/>
      <c r="F6988" s="22">
        <f>C6988*E6988</f>
      </c>
    </row>
    <row r="6989">
      <c r="A6989" s="5" t="s">
        <v>557</v>
      </c>
      <c r="B6989" s="14" t="s">
        <v>558</v>
      </c>
      <c r="C6989" s="22">
        <f>(1)*(1)*(1)*(1)*(1 + (0))</f>
      </c>
      <c r="D6989" s="22" t="s">
        <v>71</v>
      </c>
      <c r="E6989" s="22"/>
      <c r="F6989" s="22">
        <f>C6989*E6989</f>
      </c>
    </row>
    <row r="6990">
      <c r="A6990" s="3"/>
      <c r="B6990" s="11" t="s">
        <v>106</v>
      </c>
      <c r="C6990" s="20"/>
      <c r="D6990" s="20"/>
      <c r="E6990" s="20"/>
      <c r="F6990" s="20"/>
    </row>
    <row r="6991">
      <c r="A6991" s="5"/>
      <c r="B6991" s="14" t="s">
        <v>2369</v>
      </c>
      <c r="C6991" s="22"/>
      <c r="D6991" s="22" t="s">
        <v>10</v>
      </c>
      <c r="E6991" s="22"/>
      <c r="F6991" s="22">
        <f>C6991*E6991</f>
      </c>
    </row>
    <row r="6992">
      <c r="A6992" s="5"/>
      <c r="B6992" s="14" t="s">
        <v>2370</v>
      </c>
      <c r="C6992" s="22"/>
      <c r="D6992" s="22" t="s">
        <v>10</v>
      </c>
      <c r="E6992" s="22"/>
      <c r="F6992" s="22">
        <f>C6992*E6992</f>
      </c>
    </row>
    <row r="6993">
      <c r="A6993" s="3"/>
      <c r="B6993" s="11" t="s">
        <v>560</v>
      </c>
      <c r="C6993" s="20"/>
      <c r="D6993" s="20"/>
      <c r="E6993" s="20"/>
      <c r="F6993" s="20"/>
    </row>
    <row r="6994">
      <c r="A6994" s="4"/>
      <c r="B6994" s="12" t="s">
        <v>392</v>
      </c>
      <c r="C6994" s="21"/>
      <c r="D6994" s="21"/>
      <c r="E6994" s="21"/>
      <c r="F6994" s="21"/>
    </row>
    <row r="6995">
      <c r="A6995" s="6"/>
      <c r="B6995" s="15" t="s">
        <v>2371</v>
      </c>
      <c r="C6995" s="23"/>
      <c r="D6995" s="23"/>
      <c r="E6995" s="23"/>
      <c r="F6995" s="23"/>
    </row>
    <row r="6996">
      <c r="A6996" s="5"/>
      <c r="B6996" s="16" t="s">
        <v>1947</v>
      </c>
      <c r="C6996" s="22">
        <f>(1.28928)*(1)*(1)*(1)*(1 + (0))</f>
      </c>
      <c r="D6996" s="22" t="s">
        <v>182</v>
      </c>
      <c r="E6996" s="22"/>
      <c r="F6996" s="22">
        <f>C6996*E6996</f>
      </c>
    </row>
    <row r="6997">
      <c r="A6997" s="5"/>
      <c r="B6997" s="16" t="s">
        <v>563</v>
      </c>
      <c r="C6997" s="22">
        <f>(0.1935)*(1)*(1)*(1)*(1 + (0))</f>
      </c>
      <c r="D6997" s="22" t="s">
        <v>182</v>
      </c>
      <c r="E6997" s="22"/>
      <c r="F6997" s="22">
        <f>C6997*E6997</f>
      </c>
    </row>
    <row r="6998">
      <c r="A6998" s="5"/>
      <c r="B6998" s="16" t="s">
        <v>1953</v>
      </c>
      <c r="C6998" s="22">
        <f>(16)*(1)*(1)*(1)*(1 + (0))</f>
      </c>
      <c r="D6998" s="22" t="s">
        <v>162</v>
      </c>
      <c r="E6998" s="22"/>
      <c r="F6998" s="22">
        <f>C6998*E6998</f>
      </c>
    </row>
    <row r="6999">
      <c r="A6999" s="4"/>
      <c r="B6999" s="12" t="s">
        <v>2372</v>
      </c>
      <c r="C6999" s="21"/>
      <c r="D6999" s="21"/>
      <c r="E6999" s="21"/>
      <c r="F6999" s="21"/>
    </row>
    <row r="7000">
      <c r="A7000" s="6"/>
      <c r="B7000" s="15" t="s">
        <v>2373</v>
      </c>
      <c r="C7000" s="23"/>
      <c r="D7000" s="23"/>
      <c r="E7000" s="23"/>
      <c r="F7000" s="23"/>
    </row>
    <row r="7001">
      <c r="A7001" s="5"/>
      <c r="B7001" s="16" t="s">
        <v>1960</v>
      </c>
      <c r="C7001" s="22">
        <f>(0.534623258590001)*(1)*(1)*(1)*(1 + (0))</f>
      </c>
      <c r="D7001" s="22" t="s">
        <v>182</v>
      </c>
      <c r="E7001" s="22"/>
      <c r="F7001" s="22">
        <f>C7001*E7001</f>
      </c>
    </row>
    <row r="7002">
      <c r="A7002" s="5"/>
      <c r="B7002" s="16" t="s">
        <v>570</v>
      </c>
      <c r="C7002" s="22">
        <f>(1.22551571144809)*(1)*(1)*(1)*(1 + (0))</f>
      </c>
      <c r="D7002" s="22" t="s">
        <v>182</v>
      </c>
      <c r="E7002" s="22"/>
      <c r="F7002" s="22">
        <f>C7002*E7002</f>
      </c>
    </row>
    <row r="7003">
      <c r="A7003" s="5"/>
      <c r="B7003" s="16" t="s">
        <v>563</v>
      </c>
      <c r="C7003" s="22">
        <f>(0.264)*(1)*(1)*(1)*(1 + (0))</f>
      </c>
      <c r="D7003" s="22" t="s">
        <v>182</v>
      </c>
      <c r="E7003" s="22"/>
      <c r="F7003" s="22">
        <f>C7003*E7003</f>
      </c>
    </row>
    <row r="7004">
      <c r="A7004" s="6"/>
      <c r="B7004" s="15" t="s">
        <v>2371</v>
      </c>
      <c r="C7004" s="23"/>
      <c r="D7004" s="23"/>
      <c r="E7004" s="23"/>
      <c r="F7004" s="23"/>
    </row>
    <row r="7005">
      <c r="A7005" s="5"/>
      <c r="B7005" s="16" t="s">
        <v>2374</v>
      </c>
      <c r="C7005" s="22">
        <f>(0.581759163106786)*(1)*(1)*(1)*(1 + (0))</f>
      </c>
      <c r="D7005" s="22" t="s">
        <v>182</v>
      </c>
      <c r="E7005" s="22"/>
      <c r="F7005" s="22">
        <f>C7005*E7005</f>
      </c>
    </row>
    <row r="7006">
      <c r="A7006" s="5"/>
      <c r="B7006" s="16" t="s">
        <v>563</v>
      </c>
      <c r="C7006" s="22">
        <f>(0.087)*(1)*(1)*(1)*(1 + (0))</f>
      </c>
      <c r="D7006" s="22" t="s">
        <v>182</v>
      </c>
      <c r="E7006" s="22"/>
      <c r="F7006" s="22">
        <f>C7006*E7006</f>
      </c>
    </row>
    <row r="7007">
      <c r="A7007" s="4"/>
      <c r="B7007" s="12" t="s">
        <v>583</v>
      </c>
      <c r="C7007" s="21"/>
      <c r="D7007" s="21"/>
      <c r="E7007" s="21"/>
      <c r="F7007" s="21"/>
    </row>
    <row r="7008">
      <c r="A7008" s="6"/>
      <c r="B7008" s="15" t="s">
        <v>2373</v>
      </c>
      <c r="C7008" s="23"/>
      <c r="D7008" s="23"/>
      <c r="E7008" s="23"/>
      <c r="F7008" s="23"/>
    </row>
    <row r="7009">
      <c r="A7009" s="5"/>
      <c r="B7009" s="16" t="s">
        <v>584</v>
      </c>
      <c r="C7009" s="22">
        <f>(0.0559286575028447)*(1)*(1)*(1)*(1 + (0))</f>
      </c>
      <c r="D7009" s="22" t="s">
        <v>182</v>
      </c>
      <c r="E7009" s="22"/>
      <c r="F7009" s="22">
        <f>C7009*E7009</f>
      </c>
    </row>
    <row r="7010">
      <c r="A7010" s="5"/>
      <c r="B7010" s="16" t="s">
        <v>563</v>
      </c>
      <c r="C7010" s="22">
        <f>(0.009)*(1)*(1)*(1)*(1 + (0))</f>
      </c>
      <c r="D7010" s="22" t="s">
        <v>182</v>
      </c>
      <c r="E7010" s="22"/>
      <c r="F7010" s="22">
        <f>C7010*E7010</f>
      </c>
    </row>
    <row r="7011">
      <c r="A7011" s="6"/>
      <c r="B7011" s="15" t="s">
        <v>2371</v>
      </c>
      <c r="C7011" s="23"/>
      <c r="D7011" s="23"/>
      <c r="E7011" s="23"/>
      <c r="F7011" s="23"/>
    </row>
    <row r="7012">
      <c r="A7012" s="5"/>
      <c r="B7012" s="16" t="s">
        <v>1968</v>
      </c>
      <c r="C7012" s="22">
        <f>(0.0340039232268276)*(1)*(1)*(1)*(1 + (0))</f>
      </c>
      <c r="D7012" s="22" t="s">
        <v>182</v>
      </c>
      <c r="E7012" s="22"/>
      <c r="F7012" s="22">
        <f>C7012*E7012</f>
      </c>
    </row>
    <row r="7013">
      <c r="A7013" s="5"/>
      <c r="B7013" s="16" t="s">
        <v>563</v>
      </c>
      <c r="C7013" s="22">
        <f>(0.0045)*(1)*(1)*(1)*(1 + (0))</f>
      </c>
      <c r="D7013" s="22" t="s">
        <v>182</v>
      </c>
      <c r="E7013" s="22"/>
      <c r="F7013" s="22">
        <f>C7013*E7013</f>
      </c>
    </row>
    <row r="7014">
      <c r="A7014" s="4"/>
      <c r="B7014" s="12" t="s">
        <v>586</v>
      </c>
      <c r="C7014" s="21"/>
      <c r="D7014" s="21"/>
      <c r="E7014" s="21"/>
      <c r="F7014" s="21"/>
    </row>
    <row r="7015">
      <c r="A7015" s="6"/>
      <c r="B7015" s="15" t="s">
        <v>2373</v>
      </c>
      <c r="C7015" s="23"/>
      <c r="D7015" s="23"/>
      <c r="E7015" s="23"/>
      <c r="F7015" s="23"/>
    </row>
    <row r="7016">
      <c r="A7016" s="5"/>
      <c r="B7016" s="16" t="s">
        <v>587</v>
      </c>
      <c r="C7016" s="22">
        <f>(50)*(1)*(1)*(1)*(1 + (0))</f>
      </c>
      <c r="D7016" s="22" t="s">
        <v>153</v>
      </c>
      <c r="E7016" s="22"/>
      <c r="F7016" s="22">
        <f>C7016*E7016</f>
      </c>
    </row>
    <row r="7017">
      <c r="A7017" s="5"/>
      <c r="B7017" s="16" t="s">
        <v>1683</v>
      </c>
      <c r="C7017" s="22">
        <f>(10)*(1)*(1)*(1)*(1 + (0))</f>
      </c>
      <c r="D7017" s="22" t="s">
        <v>153</v>
      </c>
      <c r="E7017" s="22"/>
      <c r="F7017" s="22">
        <f>C7017*E7017</f>
      </c>
    </row>
    <row r="7018">
      <c r="A7018" s="6"/>
      <c r="B7018" s="15" t="s">
        <v>2371</v>
      </c>
      <c r="C7018" s="23"/>
      <c r="D7018" s="23"/>
      <c r="E7018" s="23"/>
      <c r="F7018" s="23"/>
    </row>
    <row r="7019">
      <c r="A7019" s="5"/>
      <c r="B7019" s="16" t="s">
        <v>2375</v>
      </c>
      <c r="C7019" s="22">
        <f>(109)*(1)*(1)*(1)*(1 + (0))</f>
      </c>
      <c r="D7019" s="22" t="s">
        <v>153</v>
      </c>
      <c r="E7019" s="22"/>
      <c r="F7019" s="22">
        <f>C7019*E7019</f>
      </c>
    </row>
    <row r="7020">
      <c r="A7020" s="5"/>
      <c r="B7020" s="16" t="s">
        <v>2376</v>
      </c>
      <c r="C7020" s="22">
        <f>(21)*(1)*(1)*(1)*(1 + (0))</f>
      </c>
      <c r="D7020" s="22" t="s">
        <v>153</v>
      </c>
      <c r="E7020" s="22"/>
      <c r="F7020" s="22">
        <f>C7020*E7020</f>
      </c>
    </row>
    <row r="7021">
      <c r="A7021" s="5"/>
      <c r="B7021" s="16" t="s">
        <v>2377</v>
      </c>
      <c r="C7021" s="22">
        <f>(16)*(1)*(1)*(1)*(1 + (0))</f>
      </c>
      <c r="D7021" s="22" t="s">
        <v>153</v>
      </c>
      <c r="E7021" s="22"/>
      <c r="F7021" s="22">
        <f>C7021*E7021</f>
      </c>
    </row>
    <row r="7022">
      <c r="A7022" s="3"/>
      <c r="B7022" s="11" t="s">
        <v>619</v>
      </c>
      <c r="C7022" s="20"/>
      <c r="D7022" s="20"/>
      <c r="E7022" s="20"/>
      <c r="F7022" s="20"/>
    </row>
    <row r="7023">
      <c r="A7023" s="4"/>
      <c r="B7023" s="12" t="s">
        <v>620</v>
      </c>
      <c r="C7023" s="21"/>
      <c r="D7023" s="21"/>
      <c r="E7023" s="21"/>
      <c r="F7023" s="21"/>
    </row>
    <row r="7024">
      <c r="A7024" s="5"/>
      <c r="B7024" s="13" t="s">
        <v>621</v>
      </c>
      <c r="C7024" s="22">
        <f>(1.48)*(1)*(1)*(1)*(1 + (0))</f>
      </c>
      <c r="D7024" s="22" t="s">
        <v>182</v>
      </c>
      <c r="E7024" s="22"/>
      <c r="F7024" s="22">
        <f>C7024*E7024</f>
      </c>
    </row>
    <row r="7025">
      <c r="A7025" s="5"/>
      <c r="B7025" s="13" t="s">
        <v>623</v>
      </c>
      <c r="C7025" s="22">
        <f>(2.69)*(1)*(1)*(1)*(1 + (0))</f>
      </c>
      <c r="D7025" s="22" t="s">
        <v>182</v>
      </c>
      <c r="E7025" s="22"/>
      <c r="F7025" s="22">
        <f>C7025*E7025</f>
      </c>
    </row>
    <row r="7026">
      <c r="A7026" s="5"/>
      <c r="B7026" s="13" t="s">
        <v>1702</v>
      </c>
      <c r="C7026" s="22">
        <f>(0.1)*(1)*(1)*(1)*(1 + (0))</f>
      </c>
      <c r="D7026" s="22" t="s">
        <v>182</v>
      </c>
      <c r="E7026" s="22"/>
      <c r="F7026" s="22">
        <f>C7026*E7026</f>
      </c>
    </row>
    <row r="7027">
      <c r="A7027" s="4"/>
      <c r="B7027" s="12" t="s">
        <v>625</v>
      </c>
      <c r="C7027" s="21"/>
      <c r="D7027" s="21"/>
      <c r="E7027" s="21"/>
      <c r="F7027" s="21"/>
    </row>
    <row r="7028">
      <c r="A7028" s="5"/>
      <c r="B7028" s="13" t="s">
        <v>1703</v>
      </c>
      <c r="C7028" s="22">
        <f>(1.48)*(1)*(1)*(1)*(1 + (0))</f>
      </c>
      <c r="D7028" s="22" t="s">
        <v>182</v>
      </c>
      <c r="E7028" s="22"/>
      <c r="F7028" s="22">
        <f>C7028*E7028</f>
      </c>
    </row>
    <row r="7029">
      <c r="A7029" s="5"/>
      <c r="B7029" s="13" t="s">
        <v>628</v>
      </c>
      <c r="C7029" s="22">
        <f>(2.69)*(1)*(1)*(1)*(1 + (0))</f>
      </c>
      <c r="D7029" s="22" t="s">
        <v>182</v>
      </c>
      <c r="E7029" s="22"/>
      <c r="F7029" s="22">
        <f>C7029*E7029</f>
      </c>
    </row>
    <row r="7030">
      <c r="A7030" s="5"/>
      <c r="B7030" s="13" t="s">
        <v>1704</v>
      </c>
      <c r="C7030" s="22">
        <f>(0.1)*(1)*(1)*(1)*(1 + (0))</f>
      </c>
      <c r="D7030" s="22" t="s">
        <v>182</v>
      </c>
      <c r="E7030" s="22"/>
      <c r="F7030" s="22">
        <f>C7030*E7030</f>
      </c>
    </row>
    <row r="7031">
      <c r="A7031" s="5"/>
      <c r="B7031" s="7" t="s">
        <v>631</v>
      </c>
      <c r="C7031" s="22"/>
      <c r="D7031" s="22"/>
      <c r="E7031" s="22"/>
      <c r="F7031" s="22">
        <f>C7031*E7031</f>
      </c>
    </row>
    <row r="7032">
      <c r="A7032" s="2"/>
      <c r="B7032" s="10" t="s">
        <v>757</v>
      </c>
      <c r="C7032" s="19"/>
      <c r="D7032" s="19"/>
      <c r="E7032" s="19"/>
      <c r="F7032" s="19"/>
    </row>
    <row r="7033">
      <c r="A7033" s="3"/>
      <c r="B7033" s="11" t="s">
        <v>37</v>
      </c>
      <c r="C7033" s="20"/>
      <c r="D7033" s="20"/>
      <c r="E7033" s="20"/>
      <c r="F7033" s="20"/>
    </row>
    <row r="7034">
      <c r="A7034" s="5" t="s">
        <v>758</v>
      </c>
      <c r="B7034" s="14" t="s">
        <v>759</v>
      </c>
      <c r="C7034" s="22"/>
      <c r="D7034" s="22" t="s">
        <v>10</v>
      </c>
      <c r="E7034" s="22"/>
      <c r="F7034" s="22">
        <f>C7034*E7034</f>
      </c>
    </row>
    <row r="7035">
      <c r="A7035" s="5" t="s">
        <v>760</v>
      </c>
      <c r="B7035" s="14" t="s">
        <v>41</v>
      </c>
      <c r="C7035" s="22"/>
      <c r="D7035" s="22" t="s">
        <v>10</v>
      </c>
      <c r="E7035" s="22"/>
      <c r="F7035" s="22">
        <f>C7035*E7035</f>
      </c>
    </row>
    <row r="7036">
      <c r="A7036" s="3"/>
      <c r="B7036" s="11" t="s">
        <v>42</v>
      </c>
      <c r="C7036" s="20"/>
      <c r="D7036" s="20"/>
      <c r="E7036" s="20"/>
      <c r="F7036" s="20"/>
    </row>
    <row r="7037">
      <c r="A7037" s="5"/>
      <c r="B7037" s="14" t="s">
        <v>761</v>
      </c>
      <c r="C7037" s="22"/>
      <c r="D7037" s="22" t="s">
        <v>10</v>
      </c>
      <c r="E7037" s="22"/>
      <c r="F7037" s="22">
        <f>C7037*E7037</f>
      </c>
    </row>
    <row r="7038">
      <c r="A7038" s="5"/>
      <c r="B7038" s="14" t="s">
        <v>762</v>
      </c>
      <c r="C7038" s="22"/>
      <c r="D7038" s="22" t="s">
        <v>10</v>
      </c>
      <c r="E7038" s="22"/>
      <c r="F7038" s="22">
        <f>C7038*E7038</f>
      </c>
    </row>
    <row r="7039">
      <c r="A7039" s="5"/>
      <c r="B7039" s="14" t="s">
        <v>763</v>
      </c>
      <c r="C7039" s="22"/>
      <c r="D7039" s="22" t="s">
        <v>10</v>
      </c>
      <c r="E7039" s="22"/>
      <c r="F7039" s="22">
        <f>C7039*E7039</f>
      </c>
    </row>
    <row r="7040">
      <c r="A7040" s="5"/>
      <c r="B7040" s="14" t="s">
        <v>764</v>
      </c>
      <c r="C7040" s="22"/>
      <c r="D7040" s="22" t="s">
        <v>10</v>
      </c>
      <c r="E7040" s="22"/>
      <c r="F7040" s="22">
        <f>C7040*E7040</f>
      </c>
    </row>
    <row r="7041">
      <c r="A7041" s="3"/>
      <c r="B7041" s="11" t="s">
        <v>44</v>
      </c>
      <c r="C7041" s="20"/>
      <c r="D7041" s="20"/>
      <c r="E7041" s="20"/>
      <c r="F7041" s="20"/>
    </row>
    <row r="7042">
      <c r="A7042" s="4"/>
      <c r="B7042" s="12" t="s">
        <v>45</v>
      </c>
      <c r="C7042" s="21"/>
      <c r="D7042" s="21"/>
      <c r="E7042" s="21"/>
      <c r="F7042" s="21"/>
    </row>
    <row r="7043">
      <c r="A7043" s="5" t="s">
        <v>765</v>
      </c>
      <c r="B7043" s="13" t="s">
        <v>696</v>
      </c>
      <c r="C7043" s="22"/>
      <c r="D7043" s="22" t="s">
        <v>10</v>
      </c>
      <c r="E7043" s="22"/>
      <c r="F7043" s="22">
        <f>C7043*E7043</f>
      </c>
    </row>
    <row r="7044">
      <c r="A7044" s="5" t="s">
        <v>766</v>
      </c>
      <c r="B7044" s="13" t="s">
        <v>767</v>
      </c>
      <c r="C7044" s="22"/>
      <c r="D7044" s="22" t="s">
        <v>10</v>
      </c>
      <c r="E7044" s="22"/>
      <c r="F7044" s="22">
        <f>C7044*E7044</f>
      </c>
    </row>
    <row r="7045">
      <c r="A7045" s="5" t="s">
        <v>768</v>
      </c>
      <c r="B7045" s="13" t="s">
        <v>769</v>
      </c>
      <c r="C7045" s="22"/>
      <c r="D7045" s="22" t="s">
        <v>10</v>
      </c>
      <c r="E7045" s="22"/>
      <c r="F7045" s="22">
        <f>C7045*E7045</f>
      </c>
    </row>
    <row r="7046">
      <c r="A7046" s="5" t="s">
        <v>770</v>
      </c>
      <c r="B7046" s="13" t="s">
        <v>654</v>
      </c>
      <c r="C7046" s="22"/>
      <c r="D7046" s="22" t="s">
        <v>10</v>
      </c>
      <c r="E7046" s="22"/>
      <c r="F7046" s="22">
        <f>C7046*E7046</f>
      </c>
    </row>
    <row r="7047">
      <c r="A7047" s="6"/>
      <c r="B7047" s="15" t="s">
        <v>771</v>
      </c>
      <c r="C7047" s="23"/>
      <c r="D7047" s="23"/>
      <c r="E7047" s="23"/>
      <c r="F7047" s="23"/>
    </row>
    <row r="7048">
      <c r="A7048" s="5" t="s">
        <v>772</v>
      </c>
      <c r="B7048" s="16" t="s">
        <v>528</v>
      </c>
      <c r="C7048" s="22"/>
      <c r="D7048" s="22" t="s">
        <v>10</v>
      </c>
      <c r="E7048" s="22"/>
      <c r="F7048" s="22">
        <f>C7048*E7048</f>
      </c>
    </row>
    <row r="7049">
      <c r="A7049" s="5" t="s">
        <v>773</v>
      </c>
      <c r="B7049" s="16" t="s">
        <v>530</v>
      </c>
      <c r="C7049" s="22"/>
      <c r="D7049" s="22" t="s">
        <v>10</v>
      </c>
      <c r="E7049" s="22"/>
      <c r="F7049" s="22">
        <f>C7049*E7049</f>
      </c>
    </row>
    <row r="7050">
      <c r="A7050" s="5" t="s">
        <v>774</v>
      </c>
      <c r="B7050" s="16" t="s">
        <v>532</v>
      </c>
      <c r="C7050" s="22"/>
      <c r="D7050" s="22" t="s">
        <v>10</v>
      </c>
      <c r="E7050" s="22"/>
      <c r="F7050" s="22">
        <f>C7050*E7050</f>
      </c>
    </row>
    <row r="7051">
      <c r="A7051" s="5" t="s">
        <v>775</v>
      </c>
      <c r="B7051" s="16" t="s">
        <v>536</v>
      </c>
      <c r="C7051" s="22"/>
      <c r="D7051" s="22" t="s">
        <v>10</v>
      </c>
      <c r="E7051" s="22"/>
      <c r="F7051" s="22">
        <f>C7051*E7051</f>
      </c>
    </row>
    <row r="7052">
      <c r="A7052" s="5" t="s">
        <v>776</v>
      </c>
      <c r="B7052" s="16" t="s">
        <v>777</v>
      </c>
      <c r="C7052" s="22"/>
      <c r="D7052" s="22" t="s">
        <v>10</v>
      </c>
      <c r="E7052" s="22"/>
      <c r="F7052" s="22">
        <f>C7052*E7052</f>
      </c>
    </row>
    <row r="7053">
      <c r="A7053" s="6"/>
      <c r="B7053" s="15" t="s">
        <v>778</v>
      </c>
      <c r="C7053" s="23"/>
      <c r="D7053" s="23"/>
      <c r="E7053" s="23"/>
      <c r="F7053" s="23"/>
    </row>
    <row r="7054">
      <c r="A7054" s="5" t="s">
        <v>779</v>
      </c>
      <c r="B7054" s="16" t="s">
        <v>780</v>
      </c>
      <c r="C7054" s="22"/>
      <c r="D7054" s="22" t="s">
        <v>10</v>
      </c>
      <c r="E7054" s="22"/>
      <c r="F7054" s="22">
        <f>C7054*E7054</f>
      </c>
    </row>
    <row r="7055">
      <c r="A7055" s="5" t="s">
        <v>781</v>
      </c>
      <c r="B7055" s="16" t="s">
        <v>782</v>
      </c>
      <c r="C7055" s="22"/>
      <c r="D7055" s="22" t="s">
        <v>10</v>
      </c>
      <c r="E7055" s="22"/>
      <c r="F7055" s="22">
        <f>C7055*E7055</f>
      </c>
    </row>
    <row r="7056">
      <c r="A7056" s="5" t="s">
        <v>783</v>
      </c>
      <c r="B7056" s="16" t="s">
        <v>784</v>
      </c>
      <c r="C7056" s="22"/>
      <c r="D7056" s="22" t="s">
        <v>10</v>
      </c>
      <c r="E7056" s="22"/>
      <c r="F7056" s="22">
        <f>C7056*E7056</f>
      </c>
    </row>
    <row r="7057">
      <c r="A7057" s="5" t="s">
        <v>785</v>
      </c>
      <c r="B7057" s="16" t="s">
        <v>786</v>
      </c>
      <c r="C7057" s="22"/>
      <c r="D7057" s="22" t="s">
        <v>10</v>
      </c>
      <c r="E7057" s="22"/>
      <c r="F7057" s="22">
        <f>C7057*E7057</f>
      </c>
    </row>
    <row r="7058">
      <c r="A7058" s="5" t="s">
        <v>787</v>
      </c>
      <c r="B7058" s="16" t="s">
        <v>788</v>
      </c>
      <c r="C7058" s="22"/>
      <c r="D7058" s="22" t="s">
        <v>10</v>
      </c>
      <c r="E7058" s="22"/>
      <c r="F7058" s="22">
        <f>C7058*E7058</f>
      </c>
    </row>
    <row r="7059">
      <c r="A7059" s="5" t="s">
        <v>789</v>
      </c>
      <c r="B7059" s="16" t="s">
        <v>769</v>
      </c>
      <c r="C7059" s="22"/>
      <c r="D7059" s="22" t="s">
        <v>10</v>
      </c>
      <c r="E7059" s="22"/>
      <c r="F7059" s="22">
        <f>C7059*E7059</f>
      </c>
    </row>
    <row r="7060">
      <c r="A7060" s="6"/>
      <c r="B7060" s="15" t="s">
        <v>790</v>
      </c>
      <c r="C7060" s="23"/>
      <c r="D7060" s="23"/>
      <c r="E7060" s="23"/>
      <c r="F7060" s="23"/>
    </row>
    <row r="7061">
      <c r="A7061" s="5" t="s">
        <v>791</v>
      </c>
      <c r="B7061" s="16" t="s">
        <v>652</v>
      </c>
      <c r="C7061" s="22"/>
      <c r="D7061" s="22" t="s">
        <v>10</v>
      </c>
      <c r="E7061" s="22"/>
      <c r="F7061" s="22">
        <f>C7061*E7061</f>
      </c>
    </row>
    <row r="7062">
      <c r="A7062" s="5" t="s">
        <v>792</v>
      </c>
      <c r="B7062" s="16" t="s">
        <v>700</v>
      </c>
      <c r="C7062" s="22"/>
      <c r="D7062" s="22" t="s">
        <v>10</v>
      </c>
      <c r="E7062" s="22"/>
      <c r="F7062" s="22">
        <f>C7062*E7062</f>
      </c>
    </row>
    <row r="7063">
      <c r="A7063" s="5" t="s">
        <v>793</v>
      </c>
      <c r="B7063" s="16" t="s">
        <v>650</v>
      </c>
      <c r="C7063" s="22"/>
      <c r="D7063" s="22" t="s">
        <v>10</v>
      </c>
      <c r="E7063" s="22"/>
      <c r="F7063" s="22">
        <f>C7063*E7063</f>
      </c>
    </row>
    <row r="7064">
      <c r="A7064" s="3"/>
      <c r="B7064" s="11" t="s">
        <v>68</v>
      </c>
      <c r="C7064" s="20"/>
      <c r="D7064" s="20"/>
      <c r="E7064" s="20"/>
      <c r="F7064" s="20"/>
    </row>
    <row r="7065">
      <c r="A7065" s="5" t="s">
        <v>794</v>
      </c>
      <c r="B7065" s="14" t="s">
        <v>70</v>
      </c>
      <c r="C7065" s="22">
        <f>(1)*(1)*(1)*(1)*(1 + (0))</f>
      </c>
      <c r="D7065" s="22" t="s">
        <v>71</v>
      </c>
      <c r="E7065" s="22"/>
      <c r="F7065" s="22">
        <f>C7065*E7065</f>
      </c>
    </row>
    <row r="7066">
      <c r="A7066" s="5" t="s">
        <v>795</v>
      </c>
      <c r="B7066" s="14" t="s">
        <v>796</v>
      </c>
      <c r="C7066" s="22">
        <f>(1)*(1)*(1)*(1)*(1 + (0))</f>
      </c>
      <c r="D7066" s="22" t="s">
        <v>71</v>
      </c>
      <c r="E7066" s="22"/>
      <c r="F7066" s="22">
        <f>C7066*E7066</f>
      </c>
    </row>
    <row r="7067">
      <c r="A7067" s="5" t="s">
        <v>797</v>
      </c>
      <c r="B7067" s="14" t="s">
        <v>798</v>
      </c>
      <c r="C7067" s="22">
        <f>(1)*(1)*(1)*(1)*(1 + (0))</f>
      </c>
      <c r="D7067" s="22" t="s">
        <v>71</v>
      </c>
      <c r="E7067" s="22"/>
      <c r="F7067" s="22">
        <f>C7067*E7067</f>
      </c>
    </row>
    <row r="7068">
      <c r="A7068" s="5" t="s">
        <v>799</v>
      </c>
      <c r="B7068" s="14" t="s">
        <v>800</v>
      </c>
      <c r="C7068" s="22">
        <f>(1)*(1)*(1)*(1)*(1 + (0))</f>
      </c>
      <c r="D7068" s="22" t="s">
        <v>71</v>
      </c>
      <c r="E7068" s="22"/>
      <c r="F7068" s="22">
        <f>C7068*E7068</f>
      </c>
    </row>
    <row r="7069">
      <c r="A7069" s="5" t="s">
        <v>801</v>
      </c>
      <c r="B7069" s="14" t="s">
        <v>73</v>
      </c>
      <c r="C7069" s="22">
        <f>(1)*(1)*(1)*(1)*(1 + (0))</f>
      </c>
      <c r="D7069" s="22" t="s">
        <v>71</v>
      </c>
      <c r="E7069" s="22"/>
      <c r="F7069" s="22">
        <f>C7069*E7069</f>
      </c>
    </row>
    <row r="7070">
      <c r="A7070" s="5" t="s">
        <v>802</v>
      </c>
      <c r="B7070" s="14" t="s">
        <v>803</v>
      </c>
      <c r="C7070" s="22">
        <f>(1)*(1)*(1)*(1)*(1 + (0))</f>
      </c>
      <c r="D7070" s="22" t="s">
        <v>71</v>
      </c>
      <c r="E7070" s="22"/>
      <c r="F7070" s="22">
        <f>C7070*E7070</f>
      </c>
    </row>
    <row r="7071">
      <c r="A7071" s="5" t="s">
        <v>804</v>
      </c>
      <c r="B7071" s="14" t="s">
        <v>805</v>
      </c>
      <c r="C7071" s="22">
        <f>(1)*(1)*(1)*(1)*(1 + (0))</f>
      </c>
      <c r="D7071" s="22" t="s">
        <v>71</v>
      </c>
      <c r="E7071" s="22"/>
      <c r="F7071" s="22">
        <f>C7071*E7071</f>
      </c>
    </row>
    <row r="7072">
      <c r="A7072" s="5" t="s">
        <v>806</v>
      </c>
      <c r="B7072" s="14" t="s">
        <v>230</v>
      </c>
      <c r="C7072" s="22">
        <f>(1)*(1)*(1)*(1)*(1 + (0))</f>
      </c>
      <c r="D7072" s="22" t="s">
        <v>71</v>
      </c>
      <c r="E7072" s="22"/>
      <c r="F7072" s="22">
        <f>C7072*E7072</f>
      </c>
    </row>
    <row r="7073">
      <c r="A7073" s="5" t="s">
        <v>807</v>
      </c>
      <c r="B7073" s="14" t="s">
        <v>808</v>
      </c>
      <c r="C7073" s="22">
        <f>(1)*(1)*(1)*(1)*(1 + (0))</f>
      </c>
      <c r="D7073" s="22" t="s">
        <v>71</v>
      </c>
      <c r="E7073" s="22"/>
      <c r="F7073" s="22">
        <f>C7073*E7073</f>
      </c>
    </row>
    <row r="7074">
      <c r="A7074" s="5" t="s">
        <v>809</v>
      </c>
      <c r="B7074" s="14" t="s">
        <v>810</v>
      </c>
      <c r="C7074" s="22">
        <f>(1)*(1)*(1)*(1)*(1 + (0))</f>
      </c>
      <c r="D7074" s="22" t="s">
        <v>71</v>
      </c>
      <c r="E7074" s="22"/>
      <c r="F7074" s="22">
        <f>C7074*E7074</f>
      </c>
    </row>
    <row r="7075">
      <c r="A7075" s="5" t="s">
        <v>811</v>
      </c>
      <c r="B7075" s="14" t="s">
        <v>812</v>
      </c>
      <c r="C7075" s="22">
        <f>(1)*(1)*(1)*(1)*(1 + (0))</f>
      </c>
      <c r="D7075" s="22" t="s">
        <v>71</v>
      </c>
      <c r="E7075" s="22"/>
      <c r="F7075" s="22">
        <f>C7075*E7075</f>
      </c>
    </row>
    <row r="7076">
      <c r="A7076" s="5" t="s">
        <v>813</v>
      </c>
      <c r="B7076" s="14" t="s">
        <v>814</v>
      </c>
      <c r="C7076" s="22">
        <f>(1)*(1)*(1)*(1)*(1 + (0))</f>
      </c>
      <c r="D7076" s="22" t="s">
        <v>71</v>
      </c>
      <c r="E7076" s="22"/>
      <c r="F7076" s="22">
        <f>C7076*E7076</f>
      </c>
    </row>
    <row r="7077">
      <c r="A7077" s="5" t="s">
        <v>815</v>
      </c>
      <c r="B7077" s="14" t="s">
        <v>816</v>
      </c>
      <c r="C7077" s="22">
        <f>(1)*(1)*(1)*(1)*(1 + (0))</f>
      </c>
      <c r="D7077" s="22" t="s">
        <v>71</v>
      </c>
      <c r="E7077" s="22"/>
      <c r="F7077" s="22">
        <f>C7077*E7077</f>
      </c>
    </row>
    <row r="7078">
      <c r="A7078" s="5" t="s">
        <v>817</v>
      </c>
      <c r="B7078" s="14" t="s">
        <v>667</v>
      </c>
      <c r="C7078" s="22">
        <f>(1)*(1)*(1)*(1)*(1 + (0))</f>
      </c>
      <c r="D7078" s="22" t="s">
        <v>71</v>
      </c>
      <c r="E7078" s="22"/>
      <c r="F7078" s="22">
        <f>C7078*E7078</f>
      </c>
    </row>
    <row r="7079">
      <c r="A7079" s="3"/>
      <c r="B7079" s="11" t="s">
        <v>819</v>
      </c>
      <c r="C7079" s="20"/>
      <c r="D7079" s="20"/>
      <c r="E7079" s="20"/>
      <c r="F7079" s="20"/>
    </row>
    <row r="7080">
      <c r="A7080" s="4"/>
      <c r="B7080" s="12" t="s">
        <v>2378</v>
      </c>
      <c r="C7080" s="21"/>
      <c r="D7080" s="21"/>
      <c r="E7080" s="21"/>
      <c r="F7080" s="21"/>
    </row>
    <row r="7081">
      <c r="A7081" s="5"/>
      <c r="B7081" s="13" t="s">
        <v>2151</v>
      </c>
      <c r="C7081" s="22">
        <f>(138)*(1)*(1)*(1)*(1 + (0))</f>
      </c>
      <c r="D7081" s="22" t="s">
        <v>24</v>
      </c>
      <c r="E7081" s="22"/>
      <c r="F7081" s="22">
        <f>C7081*E7081</f>
      </c>
    </row>
    <row r="7082">
      <c r="A7082" s="2"/>
      <c r="B7082" s="10" t="s">
        <v>689</v>
      </c>
      <c r="C7082" s="19"/>
      <c r="D7082" s="19"/>
      <c r="E7082" s="19"/>
      <c r="F7082" s="19"/>
    </row>
    <row r="7083">
      <c r="A7083" s="3"/>
      <c r="B7083" s="11" t="s">
        <v>37</v>
      </c>
      <c r="C7083" s="20"/>
      <c r="D7083" s="20"/>
      <c r="E7083" s="20"/>
      <c r="F7083" s="20"/>
    </row>
    <row r="7084">
      <c r="A7084" s="5" t="s">
        <v>690</v>
      </c>
      <c r="B7084" s="14" t="s">
        <v>39</v>
      </c>
      <c r="C7084" s="22"/>
      <c r="D7084" s="22" t="s">
        <v>10</v>
      </c>
      <c r="E7084" s="22"/>
      <c r="F7084" s="22">
        <f>C7084*E7084</f>
      </c>
    </row>
    <row r="7085">
      <c r="A7085" s="5" t="s">
        <v>691</v>
      </c>
      <c r="B7085" s="14" t="s">
        <v>41</v>
      </c>
      <c r="C7085" s="22"/>
      <c r="D7085" s="22" t="s">
        <v>10</v>
      </c>
      <c r="E7085" s="22"/>
      <c r="F7085" s="22">
        <f>C7085*E7085</f>
      </c>
    </row>
    <row r="7086">
      <c r="A7086" s="3"/>
      <c r="B7086" s="11" t="s">
        <v>42</v>
      </c>
      <c r="C7086" s="20"/>
      <c r="D7086" s="20"/>
      <c r="E7086" s="20"/>
      <c r="F7086" s="20"/>
    </row>
    <row r="7087">
      <c r="A7087" s="5"/>
      <c r="B7087" s="14" t="s">
        <v>692</v>
      </c>
      <c r="C7087" s="22"/>
      <c r="D7087" s="22" t="s">
        <v>10</v>
      </c>
      <c r="E7087" s="22"/>
      <c r="F7087" s="22">
        <f>C7087*E7087</f>
      </c>
    </row>
    <row r="7088">
      <c r="A7088" s="5"/>
      <c r="B7088" s="14" t="s">
        <v>693</v>
      </c>
      <c r="C7088" s="22"/>
      <c r="D7088" s="22" t="s">
        <v>10</v>
      </c>
      <c r="E7088" s="22"/>
      <c r="F7088" s="22">
        <f>C7088*E7088</f>
      </c>
    </row>
    <row r="7089">
      <c r="A7089" s="5"/>
      <c r="B7089" s="14" t="s">
        <v>694</v>
      </c>
      <c r="C7089" s="22"/>
      <c r="D7089" s="22" t="s">
        <v>10</v>
      </c>
      <c r="E7089" s="22"/>
      <c r="F7089" s="22">
        <f>C7089*E7089</f>
      </c>
    </row>
    <row r="7090">
      <c r="A7090" s="3"/>
      <c r="B7090" s="11" t="s">
        <v>44</v>
      </c>
      <c r="C7090" s="20"/>
      <c r="D7090" s="20"/>
      <c r="E7090" s="20"/>
      <c r="F7090" s="20"/>
    </row>
    <row r="7091">
      <c r="A7091" s="4"/>
      <c r="B7091" s="12" t="s">
        <v>45</v>
      </c>
      <c r="C7091" s="21"/>
      <c r="D7091" s="21"/>
      <c r="E7091" s="21"/>
      <c r="F7091" s="21"/>
    </row>
    <row r="7092">
      <c r="A7092" s="5" t="s">
        <v>695</v>
      </c>
      <c r="B7092" s="13" t="s">
        <v>696</v>
      </c>
      <c r="C7092" s="22"/>
      <c r="D7092" s="22" t="s">
        <v>10</v>
      </c>
      <c r="E7092" s="22"/>
      <c r="F7092" s="22">
        <f>C7092*E7092</f>
      </c>
    </row>
    <row r="7093">
      <c r="A7093" s="5" t="s">
        <v>697</v>
      </c>
      <c r="B7093" s="13" t="s">
        <v>698</v>
      </c>
      <c r="C7093" s="22"/>
      <c r="D7093" s="22" t="s">
        <v>10</v>
      </c>
      <c r="E7093" s="22"/>
      <c r="F7093" s="22">
        <f>C7093*E7093</f>
      </c>
    </row>
    <row r="7094">
      <c r="A7094" s="5" t="s">
        <v>699</v>
      </c>
      <c r="B7094" s="13" t="s">
        <v>700</v>
      </c>
      <c r="C7094" s="22"/>
      <c r="D7094" s="22" t="s">
        <v>10</v>
      </c>
      <c r="E7094" s="22"/>
      <c r="F7094" s="22">
        <f>C7094*E7094</f>
      </c>
    </row>
    <row r="7095">
      <c r="A7095" s="5" t="s">
        <v>701</v>
      </c>
      <c r="B7095" s="13" t="s">
        <v>646</v>
      </c>
      <c r="C7095" s="22"/>
      <c r="D7095" s="22" t="s">
        <v>10</v>
      </c>
      <c r="E7095" s="22"/>
      <c r="F7095" s="22">
        <f>C7095*E7095</f>
      </c>
    </row>
    <row r="7096">
      <c r="A7096" s="5" t="s">
        <v>702</v>
      </c>
      <c r="B7096" s="13" t="s">
        <v>648</v>
      </c>
      <c r="C7096" s="22"/>
      <c r="D7096" s="22" t="s">
        <v>10</v>
      </c>
      <c r="E7096" s="22"/>
      <c r="F7096" s="22">
        <f>C7096*E7096</f>
      </c>
    </row>
    <row r="7097">
      <c r="A7097" s="5" t="s">
        <v>703</v>
      </c>
      <c r="B7097" s="13" t="s">
        <v>704</v>
      </c>
      <c r="C7097" s="22"/>
      <c r="D7097" s="22" t="s">
        <v>10</v>
      </c>
      <c r="E7097" s="22"/>
      <c r="F7097" s="22">
        <f>C7097*E7097</f>
      </c>
    </row>
    <row r="7098">
      <c r="A7098" s="5" t="s">
        <v>705</v>
      </c>
      <c r="B7098" s="13" t="s">
        <v>123</v>
      </c>
      <c r="C7098" s="22"/>
      <c r="D7098" s="22" t="s">
        <v>10</v>
      </c>
      <c r="E7098" s="22"/>
      <c r="F7098" s="22">
        <f>C7098*E7098</f>
      </c>
    </row>
    <row r="7099">
      <c r="A7099" s="3"/>
      <c r="B7099" s="11" t="s">
        <v>68</v>
      </c>
      <c r="C7099" s="20"/>
      <c r="D7099" s="20"/>
      <c r="E7099" s="20"/>
      <c r="F7099" s="20"/>
    </row>
    <row r="7100">
      <c r="A7100" s="5" t="s">
        <v>706</v>
      </c>
      <c r="B7100" s="14" t="s">
        <v>707</v>
      </c>
      <c r="C7100" s="22">
        <f>(1)*(1)*(1)*(1)*(1 + (0))</f>
      </c>
      <c r="D7100" s="22" t="s">
        <v>71</v>
      </c>
      <c r="E7100" s="22"/>
      <c r="F7100" s="22">
        <f>C7100*E7100</f>
      </c>
    </row>
    <row r="7101">
      <c r="A7101" s="5" t="s">
        <v>708</v>
      </c>
      <c r="B7101" s="14" t="s">
        <v>709</v>
      </c>
      <c r="C7101" s="22">
        <f>(1)*(1)*(1)*(1)*(1 + (0))</f>
      </c>
      <c r="D7101" s="22" t="s">
        <v>71</v>
      </c>
      <c r="E7101" s="22"/>
      <c r="F7101" s="22">
        <f>C7101*E7101</f>
      </c>
    </row>
    <row r="7102">
      <c r="A7102" s="5" t="s">
        <v>710</v>
      </c>
      <c r="B7102" s="14" t="s">
        <v>711</v>
      </c>
      <c r="C7102" s="22">
        <f>(1)*(1)*(1)*(1)*(1 + (0))</f>
      </c>
      <c r="D7102" s="22" t="s">
        <v>71</v>
      </c>
      <c r="E7102" s="22"/>
      <c r="F7102" s="22">
        <f>C7102*E7102</f>
      </c>
    </row>
    <row r="7103">
      <c r="A7103" s="5" t="s">
        <v>712</v>
      </c>
      <c r="B7103" s="14" t="s">
        <v>79</v>
      </c>
      <c r="C7103" s="22">
        <f>(1)*(1)*(1)*(1)*(1 + (0))</f>
      </c>
      <c r="D7103" s="22" t="s">
        <v>71</v>
      </c>
      <c r="E7103" s="22"/>
      <c r="F7103" s="22">
        <f>C7103*E7103</f>
      </c>
    </row>
    <row r="7104">
      <c r="A7104" s="5" t="s">
        <v>713</v>
      </c>
      <c r="B7104" s="14" t="s">
        <v>714</v>
      </c>
      <c r="C7104" s="22">
        <f>(1)*(1)*(1)*(1)*(1 + (0))</f>
      </c>
      <c r="D7104" s="22" t="s">
        <v>71</v>
      </c>
      <c r="E7104" s="22"/>
      <c r="F7104" s="22">
        <f>C7104*E7104</f>
      </c>
    </row>
    <row r="7105">
      <c r="A7105" s="5" t="s">
        <v>715</v>
      </c>
      <c r="B7105" s="14" t="s">
        <v>716</v>
      </c>
      <c r="C7105" s="22">
        <f>(1)*(1)*(1)*(1)*(1 + (0))</f>
      </c>
      <c r="D7105" s="22" t="s">
        <v>71</v>
      </c>
      <c r="E7105" s="22"/>
      <c r="F7105" s="22">
        <f>C7105*E7105</f>
      </c>
    </row>
    <row r="7106">
      <c r="A7106" s="5" t="s">
        <v>717</v>
      </c>
      <c r="B7106" s="14" t="s">
        <v>718</v>
      </c>
      <c r="C7106" s="22">
        <f>(1)*(1)*(1)*(1)*(1 + (0))</f>
      </c>
      <c r="D7106" s="22" t="s">
        <v>71</v>
      </c>
      <c r="E7106" s="22"/>
      <c r="F7106" s="22">
        <f>C7106*E7106</f>
      </c>
    </row>
    <row r="7107">
      <c r="A7107" s="5" t="s">
        <v>719</v>
      </c>
      <c r="B7107" s="14" t="s">
        <v>720</v>
      </c>
      <c r="C7107" s="22">
        <f>(1)*(1)*(1)*(1)*(1 + (0))</f>
      </c>
      <c r="D7107" s="22" t="s">
        <v>71</v>
      </c>
      <c r="E7107" s="22"/>
      <c r="F7107" s="22">
        <f>C7107*E7107</f>
      </c>
    </row>
    <row r="7108">
      <c r="A7108" s="3"/>
      <c r="B7108" s="11" t="s">
        <v>721</v>
      </c>
      <c r="C7108" s="20"/>
      <c r="D7108" s="20"/>
      <c r="E7108" s="20"/>
      <c r="F7108" s="20"/>
    </row>
    <row r="7109">
      <c r="A7109" s="5"/>
      <c r="B7109" s="14" t="s">
        <v>2147</v>
      </c>
      <c r="C7109" s="22">
        <f>(45)*(1)*(1)*(1)*(1 + (0))</f>
      </c>
      <c r="D7109" s="22" t="s">
        <v>24</v>
      </c>
      <c r="E7109" s="22"/>
      <c r="F7109" s="22">
        <f>C7109*E7109</f>
      </c>
    </row>
    <row r="7110">
      <c r="A7110" s="3"/>
      <c r="B7110" s="11" t="s">
        <v>723</v>
      </c>
      <c r="C7110" s="20"/>
      <c r="D7110" s="20"/>
      <c r="E7110" s="20"/>
      <c r="F7110" s="20"/>
    </row>
    <row r="7111">
      <c r="A7111" s="5"/>
      <c r="B7111" s="14" t="s">
        <v>727</v>
      </c>
      <c r="C7111" s="22">
        <f>(45)*(1)*(1)*(1)*(1 + (0))</f>
      </c>
      <c r="D7111" s="22" t="s">
        <v>24</v>
      </c>
      <c r="E7111" s="22"/>
      <c r="F7111" s="22">
        <f>C7111*E7111</f>
      </c>
    </row>
    <row r="7112">
      <c r="A7112" s="3"/>
      <c r="B7112" s="11" t="s">
        <v>728</v>
      </c>
      <c r="C7112" s="20"/>
      <c r="D7112" s="20"/>
      <c r="E7112" s="20"/>
      <c r="F7112" s="20"/>
    </row>
    <row r="7113">
      <c r="A7113" s="5"/>
      <c r="B7113" s="14" t="s">
        <v>729</v>
      </c>
      <c r="C7113" s="22">
        <f>(45)*(1)*(1)*(1)*(1 + (0))</f>
      </c>
      <c r="D7113" s="22" t="s">
        <v>24</v>
      </c>
      <c r="E7113" s="22"/>
      <c r="F7113" s="22">
        <f>C7113*E7113</f>
      </c>
    </row>
    <row r="7114">
      <c r="A7114" s="3"/>
      <c r="B7114" s="11" t="s">
        <v>730</v>
      </c>
      <c r="C7114" s="20"/>
      <c r="D7114" s="20"/>
      <c r="E7114" s="20"/>
      <c r="F7114" s="20"/>
    </row>
    <row r="7115">
      <c r="A7115" s="4"/>
      <c r="B7115" s="12" t="s">
        <v>731</v>
      </c>
      <c r="C7115" s="21"/>
      <c r="D7115" s="21"/>
      <c r="E7115" s="21"/>
      <c r="F7115" s="21"/>
    </row>
    <row r="7116">
      <c r="A7116" s="5"/>
      <c r="B7116" s="13" t="s">
        <v>733</v>
      </c>
      <c r="C7116" s="22">
        <f>(9)*(1)*(1)*(1)*(1 + (0))</f>
      </c>
      <c r="D7116" s="22" t="s">
        <v>153</v>
      </c>
      <c r="E7116" s="22"/>
      <c r="F7116" s="22">
        <f>C7116*E7116</f>
      </c>
    </row>
    <row r="7117">
      <c r="A7117" s="3"/>
      <c r="B7117" s="11" t="s">
        <v>740</v>
      </c>
      <c r="C7117" s="20"/>
      <c r="D7117" s="20"/>
      <c r="E7117" s="20"/>
      <c r="F7117" s="20"/>
    </row>
    <row r="7118">
      <c r="A7118" s="5"/>
      <c r="B7118" s="14" t="s">
        <v>741</v>
      </c>
      <c r="C7118" s="22">
        <f>(9)*(1)*(1)*(1)*(1 + (0))</f>
      </c>
      <c r="D7118" s="22" t="s">
        <v>153</v>
      </c>
      <c r="E7118" s="22"/>
      <c r="F7118" s="22">
        <f>C7118*E7118</f>
      </c>
    </row>
    <row r="7119">
      <c r="A7119" s="5"/>
      <c r="B7119" s="14" t="s">
        <v>2379</v>
      </c>
      <c r="C7119" s="22">
        <f>(1)*(1)*(1)*(1)*(1 + (0))</f>
      </c>
      <c r="D7119" s="22" t="s">
        <v>162</v>
      </c>
      <c r="E7119" s="22"/>
      <c r="F7119" s="22">
        <f>C7119*E7119</f>
      </c>
    </row>
    <row r="7120">
      <c r="A7120" s="5"/>
      <c r="B7120" s="14" t="s">
        <v>748</v>
      </c>
      <c r="C7120" s="22">
        <f>(1)*(1)*(1)*(1)*(1 + (0))</f>
      </c>
      <c r="D7120" s="22" t="s">
        <v>162</v>
      </c>
      <c r="E7120" s="22"/>
      <c r="F7120" s="22">
        <f>C7120*E7120</f>
      </c>
    </row>
    <row r="7121">
      <c r="A7121" s="5"/>
      <c r="B7121" s="14" t="s">
        <v>749</v>
      </c>
      <c r="C7121" s="22">
        <f>(9)*(1)*(1)*(1)*(1 + (0))</f>
      </c>
      <c r="D7121" s="22" t="s">
        <v>153</v>
      </c>
      <c r="E7121" s="22"/>
      <c r="F7121" s="22">
        <f>C7121*E7121</f>
      </c>
    </row>
    <row r="7122">
      <c r="A7122" s="5"/>
      <c r="B7122" s="14" t="s">
        <v>751</v>
      </c>
      <c r="C7122" s="22">
        <f>(1)*(1)*(1)*(1)*(1 + (0))</f>
      </c>
      <c r="D7122" s="22" t="s">
        <v>162</v>
      </c>
      <c r="E7122" s="22"/>
      <c r="F7122" s="22">
        <f>C7122*E7122</f>
      </c>
    </row>
    <row r="7123">
      <c r="A7123" s="3"/>
      <c r="B7123" s="11" t="s">
        <v>1995</v>
      </c>
      <c r="C7123" s="20"/>
      <c r="D7123" s="20"/>
      <c r="E7123" s="20"/>
      <c r="F7123" s="20"/>
    </row>
    <row r="7124">
      <c r="A7124" s="5"/>
      <c r="B7124" s="14" t="s">
        <v>1996</v>
      </c>
      <c r="C7124" s="22">
        <f>(1)*(1)*(1)*(1)*(1 + (0))</f>
      </c>
      <c r="D7124" s="22" t="s">
        <v>162</v>
      </c>
      <c r="E7124" s="22"/>
      <c r="F7124" s="22">
        <f>C7124*E7124</f>
      </c>
    </row>
    <row r="7125">
      <c r="A7125" s="3"/>
      <c r="B7125" s="11" t="s">
        <v>753</v>
      </c>
      <c r="C7125" s="20"/>
      <c r="D7125" s="20"/>
      <c r="E7125" s="20"/>
      <c r="F7125" s="20"/>
    </row>
    <row r="7126">
      <c r="A7126" s="5"/>
      <c r="B7126" s="14" t="s">
        <v>2380</v>
      </c>
      <c r="C7126" s="22">
        <f>(1)*(1)*(1)*(1)*(1 + (0))</f>
      </c>
      <c r="D7126" s="22" t="s">
        <v>162</v>
      </c>
      <c r="E7126" s="22"/>
      <c r="F7126" s="22">
        <f>C7126*E7126</f>
      </c>
    </row>
    <row r="7127">
      <c r="A7127" s="2"/>
      <c r="B7127" s="10" t="s">
        <v>2381</v>
      </c>
      <c r="C7127" s="19"/>
      <c r="D7127" s="19"/>
      <c r="E7127" s="19"/>
      <c r="F7127" s="19"/>
    </row>
    <row r="7128">
      <c r="A7128" s="3"/>
      <c r="B7128" s="11" t="s">
        <v>37</v>
      </c>
      <c r="C7128" s="20"/>
      <c r="D7128" s="20"/>
      <c r="E7128" s="20"/>
      <c r="F7128" s="20"/>
    </row>
    <row r="7129">
      <c r="A7129" s="5" t="s">
        <v>936</v>
      </c>
      <c r="B7129" s="14" t="s">
        <v>39</v>
      </c>
      <c r="C7129" s="22"/>
      <c r="D7129" s="22" t="s">
        <v>10</v>
      </c>
      <c r="E7129" s="22"/>
      <c r="F7129" s="22">
        <f>C7129*E7129</f>
      </c>
    </row>
    <row r="7130">
      <c r="A7130" s="5" t="s">
        <v>937</v>
      </c>
      <c r="B7130" s="14" t="s">
        <v>41</v>
      </c>
      <c r="C7130" s="22"/>
      <c r="D7130" s="22" t="s">
        <v>10</v>
      </c>
      <c r="E7130" s="22"/>
      <c r="F7130" s="22">
        <f>C7130*E7130</f>
      </c>
    </row>
    <row r="7131">
      <c r="A7131" s="3"/>
      <c r="B7131" s="11" t="s">
        <v>42</v>
      </c>
      <c r="C7131" s="20"/>
      <c r="D7131" s="20"/>
      <c r="E7131" s="20"/>
      <c r="F7131" s="20"/>
    </row>
    <row r="7132">
      <c r="A7132" s="5"/>
      <c r="B7132" s="14" t="s">
        <v>938</v>
      </c>
      <c r="C7132" s="22"/>
      <c r="D7132" s="22" t="s">
        <v>10</v>
      </c>
      <c r="E7132" s="22"/>
      <c r="F7132" s="22">
        <f>C7132*E7132</f>
      </c>
    </row>
    <row r="7133">
      <c r="A7133" s="5"/>
      <c r="B7133" s="14" t="s">
        <v>762</v>
      </c>
      <c r="C7133" s="22"/>
      <c r="D7133" s="22" t="s">
        <v>10</v>
      </c>
      <c r="E7133" s="22"/>
      <c r="F7133" s="22">
        <f>C7133*E7133</f>
      </c>
    </row>
    <row r="7134">
      <c r="A7134" s="5"/>
      <c r="B7134" s="14" t="s">
        <v>763</v>
      </c>
      <c r="C7134" s="22"/>
      <c r="D7134" s="22" t="s">
        <v>10</v>
      </c>
      <c r="E7134" s="22"/>
      <c r="F7134" s="22">
        <f>C7134*E7134</f>
      </c>
    </row>
    <row r="7135">
      <c r="A7135" s="5"/>
      <c r="B7135" s="14" t="s">
        <v>939</v>
      </c>
      <c r="C7135" s="22"/>
      <c r="D7135" s="22" t="s">
        <v>10</v>
      </c>
      <c r="E7135" s="22"/>
      <c r="F7135" s="22">
        <f>C7135*E7135</f>
      </c>
    </row>
    <row r="7136">
      <c r="A7136" s="3"/>
      <c r="B7136" s="11" t="s">
        <v>44</v>
      </c>
      <c r="C7136" s="20"/>
      <c r="D7136" s="20"/>
      <c r="E7136" s="20"/>
      <c r="F7136" s="20"/>
    </row>
    <row r="7137">
      <c r="A7137" s="4"/>
      <c r="B7137" s="12" t="s">
        <v>45</v>
      </c>
      <c r="C7137" s="21"/>
      <c r="D7137" s="21"/>
      <c r="E7137" s="21"/>
      <c r="F7137" s="21"/>
    </row>
    <row r="7138">
      <c r="A7138" s="5" t="s">
        <v>940</v>
      </c>
      <c r="B7138" s="13" t="s">
        <v>123</v>
      </c>
      <c r="C7138" s="22"/>
      <c r="D7138" s="22" t="s">
        <v>10</v>
      </c>
      <c r="E7138" s="22"/>
      <c r="F7138" s="22">
        <f>C7138*E7138</f>
      </c>
    </row>
    <row r="7139">
      <c r="A7139" s="6"/>
      <c r="B7139" s="15" t="s">
        <v>771</v>
      </c>
      <c r="C7139" s="23"/>
      <c r="D7139" s="23"/>
      <c r="E7139" s="23"/>
      <c r="F7139" s="23"/>
    </row>
    <row r="7140">
      <c r="A7140" s="5" t="s">
        <v>772</v>
      </c>
      <c r="B7140" s="16" t="s">
        <v>528</v>
      </c>
      <c r="C7140" s="22"/>
      <c r="D7140" s="22" t="s">
        <v>10</v>
      </c>
      <c r="E7140" s="22"/>
      <c r="F7140" s="22">
        <f>C7140*E7140</f>
      </c>
    </row>
    <row r="7141">
      <c r="A7141" s="5" t="s">
        <v>773</v>
      </c>
      <c r="B7141" s="16" t="s">
        <v>530</v>
      </c>
      <c r="C7141" s="22"/>
      <c r="D7141" s="22" t="s">
        <v>10</v>
      </c>
      <c r="E7141" s="22"/>
      <c r="F7141" s="22">
        <f>C7141*E7141</f>
      </c>
    </row>
    <row r="7142">
      <c r="A7142" s="5" t="s">
        <v>774</v>
      </c>
      <c r="B7142" s="16" t="s">
        <v>532</v>
      </c>
      <c r="C7142" s="22"/>
      <c r="D7142" s="22" t="s">
        <v>10</v>
      </c>
      <c r="E7142" s="22"/>
      <c r="F7142" s="22">
        <f>C7142*E7142</f>
      </c>
    </row>
    <row r="7143">
      <c r="A7143" s="5" t="s">
        <v>775</v>
      </c>
      <c r="B7143" s="16" t="s">
        <v>536</v>
      </c>
      <c r="C7143" s="22"/>
      <c r="D7143" s="22" t="s">
        <v>10</v>
      </c>
      <c r="E7143" s="22"/>
      <c r="F7143" s="22">
        <f>C7143*E7143</f>
      </c>
    </row>
    <row r="7144">
      <c r="A7144" s="5" t="s">
        <v>776</v>
      </c>
      <c r="B7144" s="16" t="s">
        <v>777</v>
      </c>
      <c r="C7144" s="22"/>
      <c r="D7144" s="22" t="s">
        <v>10</v>
      </c>
      <c r="E7144" s="22"/>
      <c r="F7144" s="22">
        <f>C7144*E7144</f>
      </c>
    </row>
    <row r="7145">
      <c r="A7145" s="6"/>
      <c r="B7145" s="15" t="s">
        <v>778</v>
      </c>
      <c r="C7145" s="23"/>
      <c r="D7145" s="23"/>
      <c r="E7145" s="23"/>
      <c r="F7145" s="23"/>
    </row>
    <row r="7146">
      <c r="A7146" s="5" t="s">
        <v>779</v>
      </c>
      <c r="B7146" s="16" t="s">
        <v>780</v>
      </c>
      <c r="C7146" s="22"/>
      <c r="D7146" s="22" t="s">
        <v>10</v>
      </c>
      <c r="E7146" s="22"/>
      <c r="F7146" s="22">
        <f>C7146*E7146</f>
      </c>
    </row>
    <row r="7147">
      <c r="A7147" s="5" t="s">
        <v>781</v>
      </c>
      <c r="B7147" s="16" t="s">
        <v>782</v>
      </c>
      <c r="C7147" s="22"/>
      <c r="D7147" s="22" t="s">
        <v>10</v>
      </c>
      <c r="E7147" s="22"/>
      <c r="F7147" s="22">
        <f>C7147*E7147</f>
      </c>
    </row>
    <row r="7148">
      <c r="A7148" s="5" t="s">
        <v>783</v>
      </c>
      <c r="B7148" s="16" t="s">
        <v>784</v>
      </c>
      <c r="C7148" s="22"/>
      <c r="D7148" s="22" t="s">
        <v>10</v>
      </c>
      <c r="E7148" s="22"/>
      <c r="F7148" s="22">
        <f>C7148*E7148</f>
      </c>
    </row>
    <row r="7149">
      <c r="A7149" s="5" t="s">
        <v>785</v>
      </c>
      <c r="B7149" s="16" t="s">
        <v>786</v>
      </c>
      <c r="C7149" s="22"/>
      <c r="D7149" s="22" t="s">
        <v>10</v>
      </c>
      <c r="E7149" s="22"/>
      <c r="F7149" s="22">
        <f>C7149*E7149</f>
      </c>
    </row>
    <row r="7150">
      <c r="A7150" s="5" t="s">
        <v>787</v>
      </c>
      <c r="B7150" s="16" t="s">
        <v>788</v>
      </c>
      <c r="C7150" s="22"/>
      <c r="D7150" s="22" t="s">
        <v>10</v>
      </c>
      <c r="E7150" s="22"/>
      <c r="F7150" s="22">
        <f>C7150*E7150</f>
      </c>
    </row>
    <row r="7151">
      <c r="A7151" s="5" t="s">
        <v>789</v>
      </c>
      <c r="B7151" s="16" t="s">
        <v>769</v>
      </c>
      <c r="C7151" s="22"/>
      <c r="D7151" s="22" t="s">
        <v>10</v>
      </c>
      <c r="E7151" s="22"/>
      <c r="F7151" s="22">
        <f>C7151*E7151</f>
      </c>
    </row>
    <row r="7152">
      <c r="A7152" s="6"/>
      <c r="B7152" s="15" t="s">
        <v>790</v>
      </c>
      <c r="C7152" s="23"/>
      <c r="D7152" s="23"/>
      <c r="E7152" s="23"/>
      <c r="F7152" s="23"/>
    </row>
    <row r="7153">
      <c r="A7153" s="5" t="s">
        <v>791</v>
      </c>
      <c r="B7153" s="16" t="s">
        <v>652</v>
      </c>
      <c r="C7153" s="22"/>
      <c r="D7153" s="22" t="s">
        <v>10</v>
      </c>
      <c r="E7153" s="22"/>
      <c r="F7153" s="22">
        <f>C7153*E7153</f>
      </c>
    </row>
    <row r="7154">
      <c r="A7154" s="5" t="s">
        <v>792</v>
      </c>
      <c r="B7154" s="16" t="s">
        <v>700</v>
      </c>
      <c r="C7154" s="22"/>
      <c r="D7154" s="22" t="s">
        <v>10</v>
      </c>
      <c r="E7154" s="22"/>
      <c r="F7154" s="22">
        <f>C7154*E7154</f>
      </c>
    </row>
    <row r="7155">
      <c r="A7155" s="5" t="s">
        <v>793</v>
      </c>
      <c r="B7155" s="16" t="s">
        <v>650</v>
      </c>
      <c r="C7155" s="22"/>
      <c r="D7155" s="22" t="s">
        <v>10</v>
      </c>
      <c r="E7155" s="22"/>
      <c r="F7155" s="22">
        <f>C7155*E7155</f>
      </c>
    </row>
    <row r="7156">
      <c r="A7156" s="3"/>
      <c r="B7156" s="11" t="s">
        <v>68</v>
      </c>
      <c r="C7156" s="20"/>
      <c r="D7156" s="20"/>
      <c r="E7156" s="20"/>
      <c r="F7156" s="20"/>
    </row>
    <row r="7157">
      <c r="A7157" s="5" t="s">
        <v>807</v>
      </c>
      <c r="B7157" s="14" t="s">
        <v>808</v>
      </c>
      <c r="C7157" s="22">
        <f>(1)*(1)*(1)*(1)*(1 + (0))</f>
      </c>
      <c r="D7157" s="22" t="s">
        <v>71</v>
      </c>
      <c r="E7157" s="22"/>
      <c r="F7157" s="22">
        <f>C7157*E7157</f>
      </c>
    </row>
    <row r="7158">
      <c r="A7158" s="5" t="s">
        <v>809</v>
      </c>
      <c r="B7158" s="14" t="s">
        <v>810</v>
      </c>
      <c r="C7158" s="22">
        <f>(1)*(1)*(1)*(1)*(1 + (0))</f>
      </c>
      <c r="D7158" s="22" t="s">
        <v>71</v>
      </c>
      <c r="E7158" s="22"/>
      <c r="F7158" s="22">
        <f>C7158*E7158</f>
      </c>
    </row>
    <row r="7159">
      <c r="A7159" s="5" t="s">
        <v>811</v>
      </c>
      <c r="B7159" s="14" t="s">
        <v>812</v>
      </c>
      <c r="C7159" s="22">
        <f>(1)*(1)*(1)*(1)*(1 + (0))</f>
      </c>
      <c r="D7159" s="22" t="s">
        <v>71</v>
      </c>
      <c r="E7159" s="22"/>
      <c r="F7159" s="22">
        <f>C7159*E7159</f>
      </c>
    </row>
    <row r="7160">
      <c r="A7160" s="5" t="s">
        <v>941</v>
      </c>
      <c r="B7160" s="14" t="s">
        <v>447</v>
      </c>
      <c r="C7160" s="22">
        <f>(1)*(1)*(1)*(1)*(1 + (0))</f>
      </c>
      <c r="D7160" s="22" t="s">
        <v>71</v>
      </c>
      <c r="E7160" s="22"/>
      <c r="F7160" s="22">
        <f>C7160*E7160</f>
      </c>
    </row>
    <row r="7161">
      <c r="A7161" s="5" t="s">
        <v>942</v>
      </c>
      <c r="B7161" s="14" t="s">
        <v>70</v>
      </c>
      <c r="C7161" s="22">
        <f>(1)*(1)*(1)*(1)*(1 + (0))</f>
      </c>
      <c r="D7161" s="22" t="s">
        <v>71</v>
      </c>
      <c r="E7161" s="22"/>
      <c r="F7161" s="22">
        <f>C7161*E7161</f>
      </c>
    </row>
    <row r="7162">
      <c r="A7162" s="5" t="s">
        <v>813</v>
      </c>
      <c r="B7162" s="14" t="s">
        <v>814</v>
      </c>
      <c r="C7162" s="22">
        <f>(1)*(1)*(1)*(1)*(1 + (0))</f>
      </c>
      <c r="D7162" s="22" t="s">
        <v>71</v>
      </c>
      <c r="E7162" s="22"/>
      <c r="F7162" s="22">
        <f>C7162*E7162</f>
      </c>
    </row>
    <row r="7163">
      <c r="A7163" s="5" t="s">
        <v>815</v>
      </c>
      <c r="B7163" s="14" t="s">
        <v>816</v>
      </c>
      <c r="C7163" s="22">
        <f>(1)*(1)*(1)*(1)*(1 + (0))</f>
      </c>
      <c r="D7163" s="22" t="s">
        <v>71</v>
      </c>
      <c r="E7163" s="22"/>
      <c r="F7163" s="22">
        <f>C7163*E7163</f>
      </c>
    </row>
    <row r="7164">
      <c r="A7164" s="5" t="s">
        <v>943</v>
      </c>
      <c r="B7164" s="14" t="s">
        <v>798</v>
      </c>
      <c r="C7164" s="22">
        <f>(1)*(1)*(1)*(1)*(1 + (0))</f>
      </c>
      <c r="D7164" s="22" t="s">
        <v>71</v>
      </c>
      <c r="E7164" s="22"/>
      <c r="F7164" s="22">
        <f>C7164*E7164</f>
      </c>
    </row>
    <row r="7165">
      <c r="A7165" s="5" t="s">
        <v>944</v>
      </c>
      <c r="B7165" s="14" t="s">
        <v>800</v>
      </c>
      <c r="C7165" s="22">
        <f>(1)*(1)*(1)*(1)*(1 + (0))</f>
      </c>
      <c r="D7165" s="22" t="s">
        <v>71</v>
      </c>
      <c r="E7165" s="22"/>
      <c r="F7165" s="22">
        <f>C7165*E7165</f>
      </c>
    </row>
    <row r="7166">
      <c r="A7166" s="5" t="s">
        <v>817</v>
      </c>
      <c r="B7166" s="14" t="s">
        <v>667</v>
      </c>
      <c r="C7166" s="22">
        <f>(1)*(1)*(1)*(1)*(1 + (0))</f>
      </c>
      <c r="D7166" s="22" t="s">
        <v>71</v>
      </c>
      <c r="E7166" s="22"/>
      <c r="F7166" s="22">
        <f>C7166*E7166</f>
      </c>
    </row>
    <row r="7167">
      <c r="A7167" s="5" t="s">
        <v>945</v>
      </c>
      <c r="B7167" s="14" t="s">
        <v>665</v>
      </c>
      <c r="C7167" s="22">
        <f>(1)*(1)*(1)*(1)*(1 + (0))</f>
      </c>
      <c r="D7167" s="22" t="s">
        <v>71</v>
      </c>
      <c r="E7167" s="22"/>
      <c r="F7167" s="22">
        <f>C7167*E7167</f>
      </c>
    </row>
    <row r="7168">
      <c r="A7168" s="3"/>
      <c r="B7168" s="11" t="s">
        <v>106</v>
      </c>
      <c r="C7168" s="20"/>
      <c r="D7168" s="20"/>
      <c r="E7168" s="20"/>
      <c r="F7168" s="20"/>
    </row>
    <row r="7169">
      <c r="A7169" s="5"/>
      <c r="B7169" s="14" t="s">
        <v>946</v>
      </c>
      <c r="C7169" s="22"/>
      <c r="D7169" s="22" t="s">
        <v>10</v>
      </c>
      <c r="E7169" s="22"/>
      <c r="F7169" s="22">
        <f>C7169*E7169</f>
      </c>
    </row>
    <row r="7170">
      <c r="A7170" s="3"/>
      <c r="B7170" s="11" t="s">
        <v>947</v>
      </c>
      <c r="C7170" s="20"/>
      <c r="D7170" s="20"/>
      <c r="E7170" s="20"/>
      <c r="F7170" s="20"/>
    </row>
    <row r="7171">
      <c r="A7171" s="4"/>
      <c r="B7171" s="12" t="s">
        <v>948</v>
      </c>
      <c r="C7171" s="21"/>
      <c r="D7171" s="21"/>
      <c r="E7171" s="21"/>
      <c r="F7171" s="21"/>
    </row>
    <row r="7172">
      <c r="A7172" s="6"/>
      <c r="B7172" s="15" t="s">
        <v>2382</v>
      </c>
      <c r="C7172" s="23"/>
      <c r="D7172" s="23"/>
      <c r="E7172" s="23"/>
      <c r="F7172" s="23"/>
    </row>
    <row r="7173">
      <c r="A7173" s="5"/>
      <c r="B7173" s="16" t="s">
        <v>2383</v>
      </c>
      <c r="C7173" s="22">
        <f>(107)*(1)*(1)*(1)*(1 + (0))</f>
      </c>
      <c r="D7173" s="22" t="s">
        <v>24</v>
      </c>
      <c r="E7173" s="22"/>
      <c r="F7173" s="22">
        <f>C7173*E7173</f>
      </c>
    </row>
    <row r="7174">
      <c r="A7174" s="2"/>
      <c r="B7174" s="10" t="s">
        <v>1006</v>
      </c>
      <c r="C7174" s="19"/>
      <c r="D7174" s="19"/>
      <c r="E7174" s="19"/>
      <c r="F7174" s="19"/>
    </row>
    <row r="7175">
      <c r="A7175" s="3"/>
      <c r="B7175" s="11" t="s">
        <v>37</v>
      </c>
      <c r="C7175" s="20"/>
      <c r="D7175" s="20"/>
      <c r="E7175" s="20"/>
      <c r="F7175" s="20"/>
    </row>
    <row r="7176">
      <c r="A7176" s="5" t="s">
        <v>1007</v>
      </c>
      <c r="B7176" s="14" t="s">
        <v>39</v>
      </c>
      <c r="C7176" s="22"/>
      <c r="D7176" s="22" t="s">
        <v>10</v>
      </c>
      <c r="E7176" s="22"/>
      <c r="F7176" s="22">
        <f>C7176*E7176</f>
      </c>
    </row>
    <row r="7177">
      <c r="A7177" s="5" t="s">
        <v>1008</v>
      </c>
      <c r="B7177" s="14" t="s">
        <v>41</v>
      </c>
      <c r="C7177" s="22"/>
      <c r="D7177" s="22" t="s">
        <v>10</v>
      </c>
      <c r="E7177" s="22"/>
      <c r="F7177" s="22">
        <f>C7177*E7177</f>
      </c>
    </row>
    <row r="7178">
      <c r="A7178" s="3"/>
      <c r="B7178" s="11" t="s">
        <v>42</v>
      </c>
      <c r="C7178" s="20"/>
      <c r="D7178" s="20"/>
      <c r="E7178" s="20"/>
      <c r="F7178" s="20"/>
    </row>
    <row r="7179">
      <c r="A7179" s="5"/>
      <c r="B7179" s="14" t="s">
        <v>1009</v>
      </c>
      <c r="C7179" s="22"/>
      <c r="D7179" s="22" t="s">
        <v>10</v>
      </c>
      <c r="E7179" s="22"/>
      <c r="F7179" s="22">
        <f>C7179*E7179</f>
      </c>
    </row>
    <row r="7180">
      <c r="A7180" s="5"/>
      <c r="B7180" s="14" t="s">
        <v>1010</v>
      </c>
      <c r="C7180" s="22"/>
      <c r="D7180" s="22" t="s">
        <v>10</v>
      </c>
      <c r="E7180" s="22"/>
      <c r="F7180" s="22">
        <f>C7180*E7180</f>
      </c>
    </row>
    <row r="7181">
      <c r="A7181" s="5"/>
      <c r="B7181" s="14" t="s">
        <v>1011</v>
      </c>
      <c r="C7181" s="22"/>
      <c r="D7181" s="22" t="s">
        <v>10</v>
      </c>
      <c r="E7181" s="22"/>
      <c r="F7181" s="22">
        <f>C7181*E7181</f>
      </c>
    </row>
    <row r="7182">
      <c r="A7182" s="3"/>
      <c r="B7182" s="11" t="s">
        <v>44</v>
      </c>
      <c r="C7182" s="20"/>
      <c r="D7182" s="20"/>
      <c r="E7182" s="20"/>
      <c r="F7182" s="20"/>
    </row>
    <row r="7183">
      <c r="A7183" s="4"/>
      <c r="B7183" s="12" t="s">
        <v>45</v>
      </c>
      <c r="C7183" s="21"/>
      <c r="D7183" s="21"/>
      <c r="E7183" s="21"/>
      <c r="F7183" s="21"/>
    </row>
    <row r="7184">
      <c r="A7184" s="5" t="s">
        <v>1012</v>
      </c>
      <c r="B7184" s="13" t="s">
        <v>1013</v>
      </c>
      <c r="C7184" s="22"/>
      <c r="D7184" s="22" t="s">
        <v>10</v>
      </c>
      <c r="E7184" s="22"/>
      <c r="F7184" s="22">
        <f>C7184*E7184</f>
      </c>
    </row>
    <row r="7185">
      <c r="A7185" s="5" t="s">
        <v>1014</v>
      </c>
      <c r="B7185" s="13" t="s">
        <v>1015</v>
      </c>
      <c r="C7185" s="22"/>
      <c r="D7185" s="22" t="s">
        <v>10</v>
      </c>
      <c r="E7185" s="22"/>
      <c r="F7185" s="22">
        <f>C7185*E7185</f>
      </c>
    </row>
    <row r="7186">
      <c r="A7186" s="5" t="s">
        <v>1016</v>
      </c>
      <c r="B7186" s="13" t="s">
        <v>1017</v>
      </c>
      <c r="C7186" s="22"/>
      <c r="D7186" s="22" t="s">
        <v>10</v>
      </c>
      <c r="E7186" s="22"/>
      <c r="F7186" s="22">
        <f>C7186*E7186</f>
      </c>
    </row>
    <row r="7187">
      <c r="A7187" s="5" t="s">
        <v>1018</v>
      </c>
      <c r="B7187" s="13" t="s">
        <v>784</v>
      </c>
      <c r="C7187" s="22"/>
      <c r="D7187" s="22" t="s">
        <v>10</v>
      </c>
      <c r="E7187" s="22"/>
      <c r="F7187" s="22">
        <f>C7187*E7187</f>
      </c>
    </row>
    <row r="7188">
      <c r="A7188" s="5" t="s">
        <v>1019</v>
      </c>
      <c r="B7188" s="13" t="s">
        <v>123</v>
      </c>
      <c r="C7188" s="22"/>
      <c r="D7188" s="22" t="s">
        <v>10</v>
      </c>
      <c r="E7188" s="22"/>
      <c r="F7188" s="22">
        <f>C7188*E7188</f>
      </c>
    </row>
    <row r="7189">
      <c r="A7189" s="3"/>
      <c r="B7189" s="11" t="s">
        <v>68</v>
      </c>
      <c r="C7189" s="20"/>
      <c r="D7189" s="20"/>
      <c r="E7189" s="20"/>
      <c r="F7189" s="20"/>
    </row>
    <row r="7190">
      <c r="A7190" s="5" t="s">
        <v>1020</v>
      </c>
      <c r="B7190" s="14" t="s">
        <v>230</v>
      </c>
      <c r="C7190" s="22">
        <f>(1)*(1)*(1)*(1)*(1 + (0))</f>
      </c>
      <c r="D7190" s="22" t="s">
        <v>71</v>
      </c>
      <c r="E7190" s="22"/>
      <c r="F7190" s="22">
        <f>C7190*E7190</f>
      </c>
    </row>
    <row r="7191">
      <c r="A7191" s="5" t="s">
        <v>1021</v>
      </c>
      <c r="B7191" s="14" t="s">
        <v>1022</v>
      </c>
      <c r="C7191" s="22">
        <f>(1)*(1)*(1)*(1)*(1 + (0))</f>
      </c>
      <c r="D7191" s="22" t="s">
        <v>71</v>
      </c>
      <c r="E7191" s="22"/>
      <c r="F7191" s="22">
        <f>C7191*E7191</f>
      </c>
    </row>
    <row r="7192">
      <c r="A7192" s="5" t="s">
        <v>1023</v>
      </c>
      <c r="B7192" s="14" t="s">
        <v>812</v>
      </c>
      <c r="C7192" s="22">
        <f>(1)*(1)*(1)*(1)*(1 + (0))</f>
      </c>
      <c r="D7192" s="22" t="s">
        <v>71</v>
      </c>
      <c r="E7192" s="22"/>
      <c r="F7192" s="22">
        <f>C7192*E7192</f>
      </c>
    </row>
    <row r="7193">
      <c r="A7193" s="5" t="s">
        <v>1024</v>
      </c>
      <c r="B7193" s="14" t="s">
        <v>814</v>
      </c>
      <c r="C7193" s="22">
        <f>(1)*(1)*(1)*(1)*(1 + (0))</f>
      </c>
      <c r="D7193" s="22" t="s">
        <v>71</v>
      </c>
      <c r="E7193" s="22"/>
      <c r="F7193" s="22">
        <f>C7193*E7193</f>
      </c>
    </row>
    <row r="7194">
      <c r="A7194" s="5" t="s">
        <v>1025</v>
      </c>
      <c r="B7194" s="14" t="s">
        <v>798</v>
      </c>
      <c r="C7194" s="22">
        <f>(1)*(1)*(1)*(1)*(1 + (0))</f>
      </c>
      <c r="D7194" s="22" t="s">
        <v>71</v>
      </c>
      <c r="E7194" s="22"/>
      <c r="F7194" s="22">
        <f>C7194*E7194</f>
      </c>
    </row>
    <row r="7195">
      <c r="A7195" s="5" t="s">
        <v>1026</v>
      </c>
      <c r="B7195" s="14" t="s">
        <v>805</v>
      </c>
      <c r="C7195" s="22">
        <f>(1)*(1)*(1)*(1)*(1 + (0))</f>
      </c>
      <c r="D7195" s="22" t="s">
        <v>71</v>
      </c>
      <c r="E7195" s="22"/>
      <c r="F7195" s="22">
        <f>C7195*E7195</f>
      </c>
    </row>
    <row r="7196">
      <c r="A7196" s="5" t="s">
        <v>1027</v>
      </c>
      <c r="B7196" s="14" t="s">
        <v>800</v>
      </c>
      <c r="C7196" s="22">
        <f>(1)*(1)*(1)*(1)*(1 + (0))</f>
      </c>
      <c r="D7196" s="22" t="s">
        <v>71</v>
      </c>
      <c r="E7196" s="22"/>
      <c r="F7196" s="22">
        <f>C7196*E7196</f>
      </c>
    </row>
    <row r="7197">
      <c r="A7197" s="5" t="s">
        <v>1028</v>
      </c>
      <c r="B7197" s="14" t="s">
        <v>1029</v>
      </c>
      <c r="C7197" s="22">
        <f>(1)*(1)*(1)*(1)*(1 + (0))</f>
      </c>
      <c r="D7197" s="22" t="s">
        <v>71</v>
      </c>
      <c r="E7197" s="22"/>
      <c r="F7197" s="22">
        <f>C7197*E7197</f>
      </c>
    </row>
    <row r="7198">
      <c r="A7198" s="5" t="s">
        <v>1030</v>
      </c>
      <c r="B7198" s="14" t="s">
        <v>1031</v>
      </c>
      <c r="C7198" s="22">
        <f>(1)*(1)*(1)*(1)*(1 + (0))</f>
      </c>
      <c r="D7198" s="22" t="s">
        <v>71</v>
      </c>
      <c r="E7198" s="22"/>
      <c r="F7198" s="22">
        <f>C7198*E7198</f>
      </c>
    </row>
    <row r="7199">
      <c r="A7199" s="3"/>
      <c r="B7199" s="11" t="s">
        <v>106</v>
      </c>
      <c r="C7199" s="20"/>
      <c r="D7199" s="20"/>
      <c r="E7199" s="20"/>
      <c r="F7199" s="20"/>
    </row>
    <row r="7200">
      <c r="A7200" s="5"/>
      <c r="B7200" s="14" t="s">
        <v>2384</v>
      </c>
      <c r="C7200" s="22"/>
      <c r="D7200" s="22" t="s">
        <v>10</v>
      </c>
      <c r="E7200" s="22"/>
      <c r="F7200" s="22">
        <f>C7200*E7200</f>
      </c>
    </row>
    <row r="7201">
      <c r="A7201" s="3"/>
      <c r="B7201" s="11" t="s">
        <v>1033</v>
      </c>
      <c r="C7201" s="20"/>
      <c r="D7201" s="20"/>
      <c r="E7201" s="20"/>
      <c r="F7201" s="20"/>
    </row>
    <row r="7202">
      <c r="A7202" s="4"/>
      <c r="B7202" s="12" t="s">
        <v>1034</v>
      </c>
      <c r="C7202" s="21"/>
      <c r="D7202" s="21"/>
      <c r="E7202" s="21"/>
      <c r="F7202" s="21"/>
    </row>
    <row r="7203">
      <c r="A7203" s="6"/>
      <c r="B7203" s="15" t="s">
        <v>2385</v>
      </c>
      <c r="C7203" s="23"/>
      <c r="D7203" s="23"/>
      <c r="E7203" s="23"/>
      <c r="F7203" s="23"/>
    </row>
    <row r="7204">
      <c r="A7204" s="5"/>
      <c r="B7204" s="16" t="s">
        <v>34</v>
      </c>
      <c r="C7204" s="22">
        <f>(39)*(1)*(1)*(1)*(1 + (0))</f>
      </c>
      <c r="D7204" s="22" t="s">
        <v>24</v>
      </c>
      <c r="E7204" s="22"/>
      <c r="F7204" s="22">
        <f>C7204*E7204</f>
      </c>
    </row>
    <row r="7205">
      <c r="A7205" s="3"/>
      <c r="B7205" s="11" t="s">
        <v>1044</v>
      </c>
      <c r="C7205" s="20"/>
      <c r="D7205" s="20"/>
      <c r="E7205" s="20"/>
      <c r="F7205" s="20"/>
    </row>
    <row r="7206">
      <c r="A7206" s="4"/>
      <c r="B7206" s="12" t="s">
        <v>1047</v>
      </c>
      <c r="C7206" s="21"/>
      <c r="D7206" s="21"/>
      <c r="E7206" s="21"/>
      <c r="F7206" s="21"/>
    </row>
    <row r="7207">
      <c r="A7207" s="6"/>
      <c r="B7207" s="15" t="s">
        <v>1049</v>
      </c>
      <c r="C7207" s="23"/>
      <c r="D7207" s="23"/>
      <c r="E7207" s="23"/>
      <c r="F7207" s="23"/>
    </row>
    <row r="7208">
      <c r="A7208" s="5"/>
      <c r="B7208" s="16" t="s">
        <v>34</v>
      </c>
      <c r="C7208" s="22">
        <f>(31)*(1)*(1)*(1)*(1 + (0))</f>
      </c>
      <c r="D7208" s="22" t="s">
        <v>153</v>
      </c>
      <c r="E7208" s="22"/>
      <c r="F7208" s="22">
        <f>C7208*E7208</f>
      </c>
    </row>
    <row r="7209">
      <c r="A7209" s="2"/>
      <c r="B7209" s="10" t="s">
        <v>1123</v>
      </c>
      <c r="C7209" s="19"/>
      <c r="D7209" s="19"/>
      <c r="E7209" s="19"/>
      <c r="F7209" s="19"/>
    </row>
    <row r="7210">
      <c r="A7210" s="3"/>
      <c r="B7210" s="11" t="s">
        <v>37</v>
      </c>
      <c r="C7210" s="20"/>
      <c r="D7210" s="20"/>
      <c r="E7210" s="20"/>
      <c r="F7210" s="20"/>
    </row>
    <row r="7211">
      <c r="A7211" s="5" t="s">
        <v>1124</v>
      </c>
      <c r="B7211" s="14" t="s">
        <v>39</v>
      </c>
      <c r="C7211" s="22"/>
      <c r="D7211" s="22" t="s">
        <v>10</v>
      </c>
      <c r="E7211" s="22"/>
      <c r="F7211" s="22">
        <f>C7211*E7211</f>
      </c>
    </row>
    <row r="7212">
      <c r="A7212" s="5" t="s">
        <v>1125</v>
      </c>
      <c r="B7212" s="14" t="s">
        <v>41</v>
      </c>
      <c r="C7212" s="22"/>
      <c r="D7212" s="22" t="s">
        <v>10</v>
      </c>
      <c r="E7212" s="22"/>
      <c r="F7212" s="22">
        <f>C7212*E7212</f>
      </c>
    </row>
    <row r="7213">
      <c r="A7213" s="3"/>
      <c r="B7213" s="11" t="s">
        <v>523</v>
      </c>
      <c r="C7213" s="20"/>
      <c r="D7213" s="20"/>
      <c r="E7213" s="20"/>
      <c r="F7213" s="20"/>
    </row>
    <row r="7214">
      <c r="A7214" s="5"/>
      <c r="B7214" s="14" t="s">
        <v>2386</v>
      </c>
      <c r="C7214" s="22"/>
      <c r="D7214" s="22" t="s">
        <v>10</v>
      </c>
      <c r="E7214" s="22"/>
      <c r="F7214" s="22">
        <f>C7214*E7214</f>
      </c>
    </row>
    <row r="7215">
      <c r="A7215" s="5"/>
      <c r="B7215" s="14" t="s">
        <v>1058</v>
      </c>
      <c r="C7215" s="22"/>
      <c r="D7215" s="22" t="s">
        <v>10</v>
      </c>
      <c r="E7215" s="22"/>
      <c r="F7215" s="22">
        <f>C7215*E7215</f>
      </c>
    </row>
    <row r="7216">
      <c r="A7216" s="5"/>
      <c r="B7216" s="14" t="s">
        <v>2387</v>
      </c>
      <c r="C7216" s="22"/>
      <c r="D7216" s="22" t="s">
        <v>10</v>
      </c>
      <c r="E7216" s="22"/>
      <c r="F7216" s="22">
        <f>C7216*E7216</f>
      </c>
    </row>
    <row r="7217">
      <c r="A7217" s="3"/>
      <c r="B7217" s="11" t="s">
        <v>44</v>
      </c>
      <c r="C7217" s="20"/>
      <c r="D7217" s="20"/>
      <c r="E7217" s="20"/>
      <c r="F7217" s="20"/>
    </row>
    <row r="7218">
      <c r="A7218" s="4"/>
      <c r="B7218" s="12" t="s">
        <v>45</v>
      </c>
      <c r="C7218" s="21"/>
      <c r="D7218" s="21"/>
      <c r="E7218" s="21"/>
      <c r="F7218" s="21"/>
    </row>
    <row r="7219">
      <c r="A7219" s="5" t="s">
        <v>1097</v>
      </c>
      <c r="B7219" s="13" t="s">
        <v>1098</v>
      </c>
      <c r="C7219" s="22"/>
      <c r="D7219" s="22" t="s">
        <v>10</v>
      </c>
      <c r="E7219" s="22"/>
      <c r="F7219" s="22">
        <f>C7219*E7219</f>
      </c>
    </row>
    <row r="7220">
      <c r="A7220" s="5" t="s">
        <v>1099</v>
      </c>
      <c r="B7220" s="13" t="s">
        <v>1100</v>
      </c>
      <c r="C7220" s="22"/>
      <c r="D7220" s="22" t="s">
        <v>10</v>
      </c>
      <c r="E7220" s="22"/>
      <c r="F7220" s="22">
        <f>C7220*E7220</f>
      </c>
    </row>
    <row r="7221">
      <c r="A7221" s="5" t="s">
        <v>1101</v>
      </c>
      <c r="B7221" s="13" t="s">
        <v>123</v>
      </c>
      <c r="C7221" s="22"/>
      <c r="D7221" s="22" t="s">
        <v>10</v>
      </c>
      <c r="E7221" s="22"/>
      <c r="F7221" s="22">
        <f>C7221*E7221</f>
      </c>
    </row>
    <row r="7222">
      <c r="A7222" s="3"/>
      <c r="B7222" s="11" t="s">
        <v>68</v>
      </c>
      <c r="C7222" s="20"/>
      <c r="D7222" s="20"/>
      <c r="E7222" s="20"/>
      <c r="F7222" s="20"/>
    </row>
    <row r="7223">
      <c r="A7223" s="5" t="s">
        <v>1127</v>
      </c>
      <c r="B7223" s="14" t="s">
        <v>1071</v>
      </c>
      <c r="C7223" s="22">
        <f>(1)*(1)*(1)*(1)*(1 + (0))</f>
      </c>
      <c r="D7223" s="22" t="s">
        <v>71</v>
      </c>
      <c r="E7223" s="22"/>
      <c r="F7223" s="22">
        <f>C7223*E7223</f>
      </c>
    </row>
    <row r="7224">
      <c r="A7224" s="5" t="s">
        <v>1128</v>
      </c>
      <c r="B7224" s="14" t="s">
        <v>798</v>
      </c>
      <c r="C7224" s="22">
        <f>(1)*(1)*(1)*(1)*(1 + (0))</f>
      </c>
      <c r="D7224" s="22" t="s">
        <v>71</v>
      </c>
      <c r="E7224" s="22"/>
      <c r="F7224" s="22">
        <f>C7224*E7224</f>
      </c>
    </row>
    <row r="7225">
      <c r="A7225" s="5" t="s">
        <v>1129</v>
      </c>
      <c r="B7225" s="14" t="s">
        <v>812</v>
      </c>
      <c r="C7225" s="22">
        <f>(1)*(1)*(1)*(1)*(1 + (0))</f>
      </c>
      <c r="D7225" s="22" t="s">
        <v>71</v>
      </c>
      <c r="E7225" s="22"/>
      <c r="F7225" s="22">
        <f>C7225*E7225</f>
      </c>
    </row>
    <row r="7226">
      <c r="A7226" s="5" t="s">
        <v>1130</v>
      </c>
      <c r="B7226" s="14" t="s">
        <v>810</v>
      </c>
      <c r="C7226" s="22">
        <f>(1)*(1)*(1)*(1)*(1 + (0))</f>
      </c>
      <c r="D7226" s="22" t="s">
        <v>71</v>
      </c>
      <c r="E7226" s="22"/>
      <c r="F7226" s="22">
        <f>C7226*E7226</f>
      </c>
    </row>
    <row r="7227">
      <c r="A7227" s="5" t="s">
        <v>1131</v>
      </c>
      <c r="B7227" s="14" t="s">
        <v>230</v>
      </c>
      <c r="C7227" s="22">
        <f>(1)*(1)*(1)*(1)*(1 + (0))</f>
      </c>
      <c r="D7227" s="22" t="s">
        <v>71</v>
      </c>
      <c r="E7227" s="22"/>
      <c r="F7227" s="22">
        <f>C7227*E7227</f>
      </c>
    </row>
    <row r="7228">
      <c r="A7228" s="5" t="s">
        <v>1132</v>
      </c>
      <c r="B7228" s="14" t="s">
        <v>800</v>
      </c>
      <c r="C7228" s="22">
        <f>(1)*(1)*(1)*(1)*(1 + (0))</f>
      </c>
      <c r="D7228" s="22" t="s">
        <v>71</v>
      </c>
      <c r="E7228" s="22"/>
      <c r="F7228" s="22">
        <f>C7228*E7228</f>
      </c>
    </row>
    <row r="7229">
      <c r="A7229" s="5" t="s">
        <v>1133</v>
      </c>
      <c r="B7229" s="14" t="s">
        <v>70</v>
      </c>
      <c r="C7229" s="22">
        <f>(1)*(1)*(1)*(1)*(1 + (0))</f>
      </c>
      <c r="D7229" s="22" t="s">
        <v>71</v>
      </c>
      <c r="E7229" s="22"/>
      <c r="F7229" s="22">
        <f>C7229*E7229</f>
      </c>
    </row>
    <row r="7230">
      <c r="A7230" s="5" t="s">
        <v>1134</v>
      </c>
      <c r="B7230" s="14" t="s">
        <v>1135</v>
      </c>
      <c r="C7230" s="22">
        <f>(1)*(1)*(1)*(1)*(1 + (0))</f>
      </c>
      <c r="D7230" s="22" t="s">
        <v>71</v>
      </c>
      <c r="E7230" s="22"/>
      <c r="F7230" s="22">
        <f>C7230*E7230</f>
      </c>
    </row>
    <row r="7231">
      <c r="A7231" s="5" t="s">
        <v>1136</v>
      </c>
      <c r="B7231" s="14" t="s">
        <v>667</v>
      </c>
      <c r="C7231" s="22">
        <f>(1)*(1)*(1)*(1)*(1 + (0))</f>
      </c>
      <c r="D7231" s="22" t="s">
        <v>71</v>
      </c>
      <c r="E7231" s="22"/>
      <c r="F7231" s="22">
        <f>C7231*E7231</f>
      </c>
    </row>
    <row r="7232">
      <c r="A7232" s="5" t="s">
        <v>1137</v>
      </c>
      <c r="B7232" s="14" t="s">
        <v>665</v>
      </c>
      <c r="C7232" s="22">
        <f>(1)*(1)*(1)*(1)*(1 + (0))</f>
      </c>
      <c r="D7232" s="22" t="s">
        <v>71</v>
      </c>
      <c r="E7232" s="22"/>
      <c r="F7232" s="22">
        <f>C7232*E7232</f>
      </c>
    </row>
    <row r="7233">
      <c r="A7233" s="3"/>
      <c r="B7233" s="11" t="s">
        <v>106</v>
      </c>
      <c r="C7233" s="20"/>
      <c r="D7233" s="20"/>
      <c r="E7233" s="20"/>
      <c r="F7233" s="20"/>
    </row>
    <row r="7234">
      <c r="A7234" s="5"/>
      <c r="B7234" s="14" t="s">
        <v>2388</v>
      </c>
      <c r="C7234" s="22"/>
      <c r="D7234" s="22" t="s">
        <v>10</v>
      </c>
      <c r="E7234" s="22"/>
      <c r="F7234" s="22">
        <f>C7234*E7234</f>
      </c>
    </row>
    <row r="7235">
      <c r="A7235" s="3"/>
      <c r="B7235" s="11" t="s">
        <v>1144</v>
      </c>
      <c r="C7235" s="20"/>
      <c r="D7235" s="20"/>
      <c r="E7235" s="20"/>
      <c r="F7235" s="20"/>
    </row>
    <row r="7236">
      <c r="A7236" s="4"/>
      <c r="B7236" s="12" t="s">
        <v>1145</v>
      </c>
      <c r="C7236" s="21"/>
      <c r="D7236" s="21"/>
      <c r="E7236" s="21"/>
      <c r="F7236" s="21"/>
    </row>
    <row r="7237">
      <c r="A7237" s="5"/>
      <c r="B7237" s="13" t="s">
        <v>2383</v>
      </c>
      <c r="C7237" s="22">
        <f>(38)*(1)*(1)*(1)*(1 + (0))</f>
      </c>
      <c r="D7237" s="22" t="s">
        <v>24</v>
      </c>
      <c r="E7237" s="22"/>
      <c r="F7237" s="22">
        <f>C7237*E7237</f>
      </c>
    </row>
    <row r="7238">
      <c r="A7238" s="4"/>
      <c r="B7238" s="12" t="s">
        <v>2389</v>
      </c>
      <c r="C7238" s="21"/>
      <c r="D7238" s="21"/>
      <c r="E7238" s="21"/>
      <c r="F7238" s="21"/>
    </row>
    <row r="7239">
      <c r="A7239" s="5"/>
      <c r="B7239" s="13" t="s">
        <v>2383</v>
      </c>
      <c r="C7239" s="22">
        <f>(67)*(1)*(1)*(1)*(1 + (0))</f>
      </c>
      <c r="D7239" s="22" t="s">
        <v>24</v>
      </c>
      <c r="E7239" s="22"/>
      <c r="F7239" s="22">
        <f>C7239*E7239</f>
      </c>
    </row>
    <row r="7240">
      <c r="A7240" s="2"/>
      <c r="B7240" s="10" t="s">
        <v>1224</v>
      </c>
      <c r="C7240" s="19"/>
      <c r="D7240" s="19"/>
      <c r="E7240" s="19"/>
      <c r="F7240" s="19"/>
    </row>
    <row r="7241">
      <c r="A7241" s="3"/>
      <c r="B7241" s="11" t="s">
        <v>37</v>
      </c>
      <c r="C7241" s="20"/>
      <c r="D7241" s="20"/>
      <c r="E7241" s="20"/>
      <c r="F7241" s="20"/>
    </row>
    <row r="7242">
      <c r="A7242" s="5" t="s">
        <v>1225</v>
      </c>
      <c r="B7242" s="14" t="s">
        <v>39</v>
      </c>
      <c r="C7242" s="22"/>
      <c r="D7242" s="22" t="s">
        <v>10</v>
      </c>
      <c r="E7242" s="22"/>
      <c r="F7242" s="22">
        <f>C7242*E7242</f>
      </c>
    </row>
    <row r="7243">
      <c r="A7243" s="5" t="s">
        <v>1226</v>
      </c>
      <c r="B7243" s="14" t="s">
        <v>41</v>
      </c>
      <c r="C7243" s="22"/>
      <c r="D7243" s="22" t="s">
        <v>10</v>
      </c>
      <c r="E7243" s="22"/>
      <c r="F7243" s="22">
        <f>C7243*E7243</f>
      </c>
    </row>
    <row r="7244">
      <c r="A7244" s="3"/>
      <c r="B7244" s="11" t="s">
        <v>523</v>
      </c>
      <c r="C7244" s="20"/>
      <c r="D7244" s="20"/>
      <c r="E7244" s="20"/>
      <c r="F7244" s="20"/>
    </row>
    <row r="7245">
      <c r="A7245" s="5"/>
      <c r="B7245" s="14" t="s">
        <v>1773</v>
      </c>
      <c r="C7245" s="22"/>
      <c r="D7245" s="22" t="s">
        <v>10</v>
      </c>
      <c r="E7245" s="22"/>
      <c r="F7245" s="22">
        <f>C7245*E7245</f>
      </c>
    </row>
    <row r="7246">
      <c r="A7246" s="5"/>
      <c r="B7246" s="14" t="s">
        <v>1058</v>
      </c>
      <c r="C7246" s="22"/>
      <c r="D7246" s="22" t="s">
        <v>10</v>
      </c>
      <c r="E7246" s="22"/>
      <c r="F7246" s="22">
        <f>C7246*E7246</f>
      </c>
    </row>
    <row r="7247">
      <c r="A7247" s="5"/>
      <c r="B7247" s="14" t="s">
        <v>1228</v>
      </c>
      <c r="C7247" s="22"/>
      <c r="D7247" s="22" t="s">
        <v>10</v>
      </c>
      <c r="E7247" s="22"/>
      <c r="F7247" s="22">
        <f>C7247*E7247</f>
      </c>
    </row>
    <row r="7248">
      <c r="A7248" s="3"/>
      <c r="B7248" s="11" t="s">
        <v>44</v>
      </c>
      <c r="C7248" s="20"/>
      <c r="D7248" s="20"/>
      <c r="E7248" s="20"/>
      <c r="F7248" s="20"/>
    </row>
    <row r="7249">
      <c r="A7249" s="4"/>
      <c r="B7249" s="12" t="s">
        <v>45</v>
      </c>
      <c r="C7249" s="21"/>
      <c r="D7249" s="21"/>
      <c r="E7249" s="21"/>
      <c r="F7249" s="21"/>
    </row>
    <row r="7250">
      <c r="A7250" s="5" t="s">
        <v>1229</v>
      </c>
      <c r="B7250" s="13" t="s">
        <v>528</v>
      </c>
      <c r="C7250" s="22"/>
      <c r="D7250" s="22" t="s">
        <v>10</v>
      </c>
      <c r="E7250" s="22"/>
      <c r="F7250" s="22">
        <f>C7250*E7250</f>
      </c>
    </row>
    <row r="7251">
      <c r="A7251" s="5" t="s">
        <v>1230</v>
      </c>
      <c r="B7251" s="13" t="s">
        <v>530</v>
      </c>
      <c r="C7251" s="22"/>
      <c r="D7251" s="22" t="s">
        <v>10</v>
      </c>
      <c r="E7251" s="22"/>
      <c r="F7251" s="22">
        <f>C7251*E7251</f>
      </c>
    </row>
    <row r="7252">
      <c r="A7252" s="5" t="s">
        <v>1231</v>
      </c>
      <c r="B7252" s="13" t="s">
        <v>1232</v>
      </c>
      <c r="C7252" s="22"/>
      <c r="D7252" s="22" t="s">
        <v>10</v>
      </c>
      <c r="E7252" s="22"/>
      <c r="F7252" s="22">
        <f>C7252*E7252</f>
      </c>
    </row>
    <row r="7253">
      <c r="A7253" s="5" t="s">
        <v>1233</v>
      </c>
      <c r="B7253" s="13" t="s">
        <v>853</v>
      </c>
      <c r="C7253" s="22"/>
      <c r="D7253" s="22" t="s">
        <v>10</v>
      </c>
      <c r="E7253" s="22"/>
      <c r="F7253" s="22">
        <f>C7253*E7253</f>
      </c>
    </row>
    <row r="7254">
      <c r="A7254" s="5" t="s">
        <v>1234</v>
      </c>
      <c r="B7254" s="13" t="s">
        <v>538</v>
      </c>
      <c r="C7254" s="22"/>
      <c r="D7254" s="22" t="s">
        <v>10</v>
      </c>
      <c r="E7254" s="22"/>
      <c r="F7254" s="22">
        <f>C7254*E7254</f>
      </c>
    </row>
    <row r="7255">
      <c r="A7255" s="5" t="s">
        <v>1235</v>
      </c>
      <c r="B7255" s="13" t="s">
        <v>123</v>
      </c>
      <c r="C7255" s="22"/>
      <c r="D7255" s="22" t="s">
        <v>10</v>
      </c>
      <c r="E7255" s="22"/>
      <c r="F7255" s="22">
        <f>C7255*E7255</f>
      </c>
    </row>
    <row r="7256">
      <c r="A7256" s="3"/>
      <c r="B7256" s="11" t="s">
        <v>68</v>
      </c>
      <c r="C7256" s="20"/>
      <c r="D7256" s="20"/>
      <c r="E7256" s="20"/>
      <c r="F7256" s="20"/>
    </row>
    <row r="7257">
      <c r="A7257" s="5" t="s">
        <v>1236</v>
      </c>
      <c r="B7257" s="14" t="s">
        <v>543</v>
      </c>
      <c r="C7257" s="22">
        <f>(1)*(1)*(1)*(1)*(1 + (0))</f>
      </c>
      <c r="D7257" s="22" t="s">
        <v>71</v>
      </c>
      <c r="E7257" s="22"/>
      <c r="F7257" s="22">
        <f>C7257*E7257</f>
      </c>
    </row>
    <row r="7258">
      <c r="A7258" s="5" t="s">
        <v>1237</v>
      </c>
      <c r="B7258" s="14" t="s">
        <v>136</v>
      </c>
      <c r="C7258" s="22">
        <f>(1)*(1)*(1)*(1)*(1 + (0))</f>
      </c>
      <c r="D7258" s="22" t="s">
        <v>71</v>
      </c>
      <c r="E7258" s="22"/>
      <c r="F7258" s="22">
        <f>C7258*E7258</f>
      </c>
    </row>
    <row r="7259">
      <c r="A7259" s="5" t="s">
        <v>1238</v>
      </c>
      <c r="B7259" s="14" t="s">
        <v>1239</v>
      </c>
      <c r="C7259" s="22">
        <f>(1)*(1)*(1)*(1)*(1 + (0))</f>
      </c>
      <c r="D7259" s="22" t="s">
        <v>71</v>
      </c>
      <c r="E7259" s="22"/>
      <c r="F7259" s="22">
        <f>C7259*E7259</f>
      </c>
    </row>
    <row r="7260">
      <c r="A7260" s="5" t="s">
        <v>1240</v>
      </c>
      <c r="B7260" s="14" t="s">
        <v>798</v>
      </c>
      <c r="C7260" s="22">
        <f>(1)*(1)*(1)*(1)*(1 + (0))</f>
      </c>
      <c r="D7260" s="22" t="s">
        <v>71</v>
      </c>
      <c r="E7260" s="22"/>
      <c r="F7260" s="22">
        <f>C7260*E7260</f>
      </c>
    </row>
    <row r="7261">
      <c r="A7261" s="5" t="s">
        <v>1241</v>
      </c>
      <c r="B7261" s="14" t="s">
        <v>70</v>
      </c>
      <c r="C7261" s="22">
        <f>(1)*(1)*(1)*(1)*(1 + (0))</f>
      </c>
      <c r="D7261" s="22" t="s">
        <v>71</v>
      </c>
      <c r="E7261" s="22"/>
      <c r="F7261" s="22">
        <f>C7261*E7261</f>
      </c>
    </row>
    <row r="7262">
      <c r="A7262" s="5" t="s">
        <v>1242</v>
      </c>
      <c r="B7262" s="14" t="s">
        <v>665</v>
      </c>
      <c r="C7262" s="22">
        <f>(1)*(1)*(1)*(1)*(1 + (0))</f>
      </c>
      <c r="D7262" s="22" t="s">
        <v>71</v>
      </c>
      <c r="E7262" s="22"/>
      <c r="F7262" s="22">
        <f>C7262*E7262</f>
      </c>
    </row>
    <row r="7263">
      <c r="A7263" s="3"/>
      <c r="B7263" s="11" t="s">
        <v>1271</v>
      </c>
      <c r="C7263" s="20"/>
      <c r="D7263" s="20"/>
      <c r="E7263" s="20"/>
      <c r="F7263" s="20"/>
    </row>
    <row r="7264">
      <c r="A7264" s="4"/>
      <c r="B7264" s="12" t="s">
        <v>2390</v>
      </c>
      <c r="C7264" s="21"/>
      <c r="D7264" s="21"/>
      <c r="E7264" s="21"/>
      <c r="F7264" s="21"/>
    </row>
    <row r="7265">
      <c r="A7265" s="5"/>
      <c r="B7265" s="13" t="s">
        <v>2391</v>
      </c>
      <c r="C7265" s="22">
        <f>(29)*(1)*(1)*(1)*(1 + (0))</f>
      </c>
      <c r="D7265" s="22" t="s">
        <v>153</v>
      </c>
      <c r="E7265" s="22"/>
      <c r="F7265" s="22">
        <f>C7265*E7265</f>
      </c>
    </row>
    <row r="7266">
      <c r="A7266" s="3"/>
      <c r="B7266" s="11" t="s">
        <v>1275</v>
      </c>
      <c r="C7266" s="20"/>
      <c r="D7266" s="20"/>
      <c r="E7266" s="20"/>
      <c r="F7266" s="20"/>
    </row>
    <row r="7267">
      <c r="A7267" s="4"/>
      <c r="B7267" s="12" t="s">
        <v>2392</v>
      </c>
      <c r="C7267" s="21"/>
      <c r="D7267" s="21"/>
      <c r="E7267" s="21"/>
      <c r="F7267" s="21"/>
    </row>
    <row r="7268">
      <c r="A7268" s="6"/>
      <c r="B7268" s="15" t="s">
        <v>2393</v>
      </c>
      <c r="C7268" s="23"/>
      <c r="D7268" s="23"/>
      <c r="E7268" s="23"/>
      <c r="F7268" s="23"/>
    </row>
    <row r="7269">
      <c r="A7269" s="5"/>
      <c r="B7269" s="16" t="s">
        <v>2394</v>
      </c>
      <c r="C7269" s="22">
        <f>(2)*(1)*(1)*(1)*(1 + (0))</f>
      </c>
      <c r="D7269" s="22" t="s">
        <v>162</v>
      </c>
      <c r="E7269" s="22"/>
      <c r="F7269" s="22">
        <f>C7269*E7269</f>
      </c>
    </row>
    <row r="7270">
      <c r="A7270" s="6"/>
      <c r="B7270" s="15" t="s">
        <v>2395</v>
      </c>
      <c r="C7270" s="23"/>
      <c r="D7270" s="23"/>
      <c r="E7270" s="23"/>
      <c r="F7270" s="23"/>
    </row>
    <row r="7271">
      <c r="A7271" s="5"/>
      <c r="B7271" s="16" t="s">
        <v>2396</v>
      </c>
      <c r="C7271" s="22">
        <f>(2)*(1)*(1)*(1)*(1 + (0))</f>
      </c>
      <c r="D7271" s="22" t="s">
        <v>162</v>
      </c>
      <c r="E7271" s="22"/>
      <c r="F7271" s="22">
        <f>C7271*E7271</f>
      </c>
    </row>
    <row r="7272">
      <c r="A7272" s="6"/>
      <c r="B7272" s="15" t="s">
        <v>2397</v>
      </c>
      <c r="C7272" s="23"/>
      <c r="D7272" s="23"/>
      <c r="E7272" s="23"/>
      <c r="F7272" s="23"/>
    </row>
    <row r="7273">
      <c r="A7273" s="5"/>
      <c r="B7273" s="16" t="s">
        <v>2394</v>
      </c>
      <c r="C7273" s="22">
        <f>(6)*(1)*(1)*(1)*(1 + (0))</f>
      </c>
      <c r="D7273" s="22" t="s">
        <v>162</v>
      </c>
      <c r="E7273" s="22"/>
      <c r="F7273" s="22">
        <f>C7273*E7273</f>
      </c>
    </row>
    <row r="7274">
      <c r="A7274" s="2"/>
      <c r="B7274" s="10" t="s">
        <v>2398</v>
      </c>
      <c r="C7274" s="19"/>
      <c r="D7274" s="19"/>
      <c r="E7274" s="19"/>
      <c r="F7274" s="19"/>
    </row>
    <row r="7275">
      <c r="A7275" s="3"/>
      <c r="B7275" s="11" t="s">
        <v>37</v>
      </c>
      <c r="C7275" s="20"/>
      <c r="D7275" s="20"/>
      <c r="E7275" s="20"/>
      <c r="F7275" s="20"/>
    </row>
    <row r="7276">
      <c r="A7276" s="5" t="s">
        <v>2399</v>
      </c>
      <c r="B7276" s="14" t="s">
        <v>2400</v>
      </c>
      <c r="C7276" s="22"/>
      <c r="D7276" s="22" t="s">
        <v>10</v>
      </c>
      <c r="E7276" s="22"/>
      <c r="F7276" s="22">
        <f>C7276*E7276</f>
      </c>
    </row>
    <row r="7277">
      <c r="A7277" s="5" t="s">
        <v>2401</v>
      </c>
      <c r="B7277" s="14" t="s">
        <v>41</v>
      </c>
      <c r="C7277" s="22"/>
      <c r="D7277" s="22" t="s">
        <v>10</v>
      </c>
      <c r="E7277" s="22"/>
      <c r="F7277" s="22">
        <f>C7277*E7277</f>
      </c>
    </row>
    <row r="7278">
      <c r="A7278" s="3"/>
      <c r="B7278" s="11" t="s">
        <v>42</v>
      </c>
      <c r="C7278" s="20"/>
      <c r="D7278" s="20"/>
      <c r="E7278" s="20"/>
      <c r="F7278" s="20"/>
    </row>
    <row r="7279">
      <c r="A7279" s="5" t="s">
        <v>2401</v>
      </c>
      <c r="B7279" s="14" t="s">
        <v>2402</v>
      </c>
      <c r="C7279" s="22"/>
      <c r="D7279" s="22" t="s">
        <v>10</v>
      </c>
      <c r="E7279" s="22"/>
      <c r="F7279" s="22">
        <f>C7279*E7279</f>
      </c>
    </row>
    <row r="7280">
      <c r="A7280" s="5" t="s">
        <v>2401</v>
      </c>
      <c r="B7280" s="14" t="s">
        <v>2403</v>
      </c>
      <c r="C7280" s="22"/>
      <c r="D7280" s="22" t="s">
        <v>10</v>
      </c>
      <c r="E7280" s="22"/>
      <c r="F7280" s="22">
        <f>C7280*E7280</f>
      </c>
    </row>
    <row r="7281">
      <c r="A7281" s="5" t="s">
        <v>2401</v>
      </c>
      <c r="B7281" s="14" t="s">
        <v>2404</v>
      </c>
      <c r="C7281" s="22"/>
      <c r="D7281" s="22" t="s">
        <v>10</v>
      </c>
      <c r="E7281" s="22"/>
      <c r="F7281" s="22">
        <f>C7281*E7281</f>
      </c>
    </row>
    <row r="7282">
      <c r="A7282" s="3"/>
      <c r="B7282" s="11" t="s">
        <v>44</v>
      </c>
      <c r="C7282" s="20"/>
      <c r="D7282" s="20"/>
      <c r="E7282" s="20"/>
      <c r="F7282" s="20"/>
    </row>
    <row r="7283">
      <c r="A7283" s="4"/>
      <c r="B7283" s="12" t="s">
        <v>2405</v>
      </c>
      <c r="C7283" s="21"/>
      <c r="D7283" s="21"/>
      <c r="E7283" s="21"/>
      <c r="F7283" s="21"/>
    </row>
    <row r="7284">
      <c r="A7284" s="5" t="s">
        <v>2406</v>
      </c>
      <c r="B7284" s="13" t="s">
        <v>528</v>
      </c>
      <c r="C7284" s="22"/>
      <c r="D7284" s="22" t="s">
        <v>10</v>
      </c>
      <c r="E7284" s="22"/>
      <c r="F7284" s="22">
        <f>C7284*E7284</f>
      </c>
    </row>
    <row r="7285">
      <c r="A7285" s="5" t="s">
        <v>2407</v>
      </c>
      <c r="B7285" s="13" t="s">
        <v>530</v>
      </c>
      <c r="C7285" s="22"/>
      <c r="D7285" s="22" t="s">
        <v>10</v>
      </c>
      <c r="E7285" s="22"/>
      <c r="F7285" s="22">
        <f>C7285*E7285</f>
      </c>
    </row>
    <row r="7286">
      <c r="A7286" s="5" t="s">
        <v>2408</v>
      </c>
      <c r="B7286" s="13" t="s">
        <v>1232</v>
      </c>
      <c r="C7286" s="22"/>
      <c r="D7286" s="22" t="s">
        <v>10</v>
      </c>
      <c r="E7286" s="22"/>
      <c r="F7286" s="22">
        <f>C7286*E7286</f>
      </c>
    </row>
    <row r="7287">
      <c r="A7287" s="5" t="s">
        <v>2409</v>
      </c>
      <c r="B7287" s="13" t="s">
        <v>853</v>
      </c>
      <c r="C7287" s="22"/>
      <c r="D7287" s="22" t="s">
        <v>10</v>
      </c>
      <c r="E7287" s="22"/>
      <c r="F7287" s="22">
        <f>C7287*E7287</f>
      </c>
    </row>
    <row r="7288">
      <c r="A7288" s="5" t="s">
        <v>2410</v>
      </c>
      <c r="B7288" s="13" t="s">
        <v>538</v>
      </c>
      <c r="C7288" s="22"/>
      <c r="D7288" s="22" t="s">
        <v>10</v>
      </c>
      <c r="E7288" s="22"/>
      <c r="F7288" s="22">
        <f>C7288*E7288</f>
      </c>
    </row>
    <row r="7289">
      <c r="A7289" s="5" t="s">
        <v>2411</v>
      </c>
      <c r="B7289" s="13" t="s">
        <v>123</v>
      </c>
      <c r="C7289" s="22"/>
      <c r="D7289" s="22" t="s">
        <v>10</v>
      </c>
      <c r="E7289" s="22"/>
      <c r="F7289" s="22">
        <f>C7289*E7289</f>
      </c>
    </row>
    <row r="7290">
      <c r="A7290" s="3"/>
      <c r="B7290" s="11" t="s">
        <v>68</v>
      </c>
      <c r="C7290" s="20"/>
      <c r="D7290" s="20"/>
      <c r="E7290" s="20"/>
      <c r="F7290" s="20"/>
    </row>
    <row r="7291">
      <c r="A7291" s="5" t="s">
        <v>2412</v>
      </c>
      <c r="B7291" s="14" t="s">
        <v>543</v>
      </c>
      <c r="C7291" s="22">
        <f>(1)*(1)*(1)*(1)*(1 + (0))</f>
      </c>
      <c r="D7291" s="22" t="s">
        <v>71</v>
      </c>
      <c r="E7291" s="22"/>
      <c r="F7291" s="22">
        <f>C7291*E7291</f>
      </c>
    </row>
    <row r="7292">
      <c r="A7292" s="5" t="s">
        <v>2413</v>
      </c>
      <c r="B7292" s="14" t="s">
        <v>2414</v>
      </c>
      <c r="C7292" s="22">
        <f>(1)*(1)*(1)*(1)*(1 + (0))</f>
      </c>
      <c r="D7292" s="22" t="s">
        <v>71</v>
      </c>
      <c r="E7292" s="22"/>
      <c r="F7292" s="22">
        <f>C7292*E7292</f>
      </c>
    </row>
    <row r="7293">
      <c r="A7293" s="5" t="s">
        <v>2415</v>
      </c>
      <c r="B7293" s="14" t="s">
        <v>136</v>
      </c>
      <c r="C7293" s="22">
        <f>(1)*(1)*(1)*(1)*(1 + (0))</f>
      </c>
      <c r="D7293" s="22" t="s">
        <v>71</v>
      </c>
      <c r="E7293" s="22"/>
      <c r="F7293" s="22">
        <f>C7293*E7293</f>
      </c>
    </row>
    <row r="7294">
      <c r="A7294" s="5" t="s">
        <v>2416</v>
      </c>
      <c r="B7294" s="14" t="s">
        <v>70</v>
      </c>
      <c r="C7294" s="22">
        <f>(1)*(1)*(1)*(1)*(1 + (0))</f>
      </c>
      <c r="D7294" s="22" t="s">
        <v>71</v>
      </c>
      <c r="E7294" s="22"/>
      <c r="F7294" s="22">
        <f>C7294*E7294</f>
      </c>
    </row>
    <row r="7295">
      <c r="A7295" s="5" t="s">
        <v>2417</v>
      </c>
      <c r="B7295" s="14" t="s">
        <v>1330</v>
      </c>
      <c r="C7295" s="22">
        <f>(1)*(1)*(1)*(1)*(1 + (0))</f>
      </c>
      <c r="D7295" s="22" t="s">
        <v>71</v>
      </c>
      <c r="E7295" s="22"/>
      <c r="F7295" s="22">
        <f>C7295*E7295</f>
      </c>
    </row>
    <row r="7296">
      <c r="A7296" s="5" t="s">
        <v>2418</v>
      </c>
      <c r="B7296" s="14" t="s">
        <v>665</v>
      </c>
      <c r="C7296" s="22">
        <f>(1)*(1)*(1)*(1)*(1 + (0))</f>
      </c>
      <c r="D7296" s="22" t="s">
        <v>71</v>
      </c>
      <c r="E7296" s="22"/>
      <c r="F7296" s="22">
        <f>C7296*E7296</f>
      </c>
    </row>
    <row r="7297">
      <c r="A7297" s="3"/>
      <c r="B7297" s="11" t="s">
        <v>106</v>
      </c>
      <c r="C7297" s="20"/>
      <c r="D7297" s="20"/>
      <c r="E7297" s="20"/>
      <c r="F7297" s="20"/>
    </row>
    <row r="7298">
      <c r="A7298" s="5"/>
      <c r="B7298" s="14" t="s">
        <v>2419</v>
      </c>
      <c r="C7298" s="22"/>
      <c r="D7298" s="22" t="s">
        <v>10</v>
      </c>
      <c r="E7298" s="22"/>
      <c r="F7298" s="22">
        <f>C7298*E7298</f>
      </c>
    </row>
    <row r="7299">
      <c r="A7299" s="3"/>
      <c r="B7299" s="11" t="s">
        <v>2420</v>
      </c>
      <c r="C7299" s="20"/>
      <c r="D7299" s="20"/>
      <c r="E7299" s="20"/>
      <c r="F7299" s="20"/>
    </row>
    <row r="7300">
      <c r="A7300" s="4"/>
      <c r="B7300" s="12" t="s">
        <v>2421</v>
      </c>
      <c r="C7300" s="21"/>
      <c r="D7300" s="21"/>
      <c r="E7300" s="21"/>
      <c r="F7300" s="21"/>
    </row>
    <row r="7301">
      <c r="A7301" s="5"/>
      <c r="B7301" s="13" t="s">
        <v>2422</v>
      </c>
      <c r="C7301" s="22">
        <f>(5)*(1)*(1)*(1)*(1 + (0))</f>
      </c>
      <c r="D7301" s="22" t="s">
        <v>162</v>
      </c>
      <c r="E7301" s="22"/>
      <c r="F7301" s="22">
        <f>C7301*E7301</f>
      </c>
    </row>
    <row r="7302">
      <c r="A7302" s="5"/>
      <c r="B7302" s="13" t="s">
        <v>2423</v>
      </c>
      <c r="C7302" s="22">
        <f>(4)*(1)*(1)*(1)*(1 + (0))</f>
      </c>
      <c r="D7302" s="22" t="s">
        <v>162</v>
      </c>
      <c r="E7302" s="22"/>
      <c r="F7302" s="22">
        <f>C7302*E7302</f>
      </c>
    </row>
    <row r="7303">
      <c r="A7303" s="5"/>
      <c r="B7303" s="13" t="s">
        <v>2424</v>
      </c>
      <c r="C7303" s="22">
        <f>(3)*(1)*(1)*(1)*(1 + (0))</f>
      </c>
      <c r="D7303" s="22" t="s">
        <v>162</v>
      </c>
      <c r="E7303" s="22"/>
      <c r="F7303" s="22">
        <f>C7303*E7303</f>
      </c>
    </row>
    <row r="7304">
      <c r="A7304" s="5"/>
      <c r="B7304" s="13" t="s">
        <v>2425</v>
      </c>
      <c r="C7304" s="22">
        <f>(1)*(1)*(1)*(1)*(1 + (0))</f>
      </c>
      <c r="D7304" s="22" t="s">
        <v>162</v>
      </c>
      <c r="E7304" s="22"/>
      <c r="F7304" s="22">
        <f>C7304*E7304</f>
      </c>
    </row>
    <row r="7305">
      <c r="A7305" s="5"/>
      <c r="B7305" s="13" t="s">
        <v>2426</v>
      </c>
      <c r="C7305" s="22">
        <f>(1)*(1)*(1)*(1)*(1 + (0))</f>
      </c>
      <c r="D7305" s="22" t="s">
        <v>162</v>
      </c>
      <c r="E7305" s="22"/>
      <c r="F7305" s="22">
        <f>C7305*E7305</f>
      </c>
    </row>
    <row r="7306">
      <c r="A7306" s="5"/>
      <c r="B7306" s="13" t="s">
        <v>2427</v>
      </c>
      <c r="C7306" s="22">
        <f>(1)*(1)*(1)*(1)*(1 + (0))</f>
      </c>
      <c r="D7306" s="22" t="s">
        <v>162</v>
      </c>
      <c r="E7306" s="22"/>
      <c r="F7306" s="22">
        <f>C7306*E7306</f>
      </c>
    </row>
    <row r="7307">
      <c r="A7307" s="5"/>
      <c r="B7307" s="13" t="s">
        <v>2428</v>
      </c>
      <c r="C7307" s="22">
        <f>(1)*(1)*(1)*(1)*(1 + (0))</f>
      </c>
      <c r="D7307" s="22" t="s">
        <v>162</v>
      </c>
      <c r="E7307" s="22"/>
      <c r="F7307" s="22">
        <f>C7307*E7307</f>
      </c>
    </row>
    <row r="7308">
      <c r="A7308" s="5"/>
      <c r="B7308" s="13" t="s">
        <v>2429</v>
      </c>
      <c r="C7308" s="22">
        <f>(1)*(1)*(1)*(1)*(1 + (0))</f>
      </c>
      <c r="D7308" s="22" t="s">
        <v>162</v>
      </c>
      <c r="E7308" s="22"/>
      <c r="F7308" s="22">
        <f>C7308*E7308</f>
      </c>
    </row>
    <row r="7309">
      <c r="A7309" s="5"/>
      <c r="B7309" s="13" t="s">
        <v>2430</v>
      </c>
      <c r="C7309" s="22">
        <f>(1)*(1)*(1)*(1)*(1 + (0))</f>
      </c>
      <c r="D7309" s="22" t="s">
        <v>162</v>
      </c>
      <c r="E7309" s="22"/>
      <c r="F7309" s="22">
        <f>C7309*E7309</f>
      </c>
    </row>
    <row r="7310">
      <c r="A7310" s="4"/>
      <c r="B7310" s="12" t="s">
        <v>2431</v>
      </c>
      <c r="C7310" s="21"/>
      <c r="D7310" s="21"/>
      <c r="E7310" s="21"/>
      <c r="F7310" s="21"/>
    </row>
    <row r="7311">
      <c r="A7311" s="5"/>
      <c r="B7311" s="13" t="s">
        <v>2239</v>
      </c>
      <c r="C7311" s="22">
        <f>(668)*(1)*(1)*(1)*(1 + (0))</f>
      </c>
      <c r="D7311" s="22" t="s">
        <v>153</v>
      </c>
      <c r="E7311" s="22"/>
      <c r="F7311" s="22">
        <f>C7311*E7311</f>
      </c>
    </row>
    <row r="7312">
      <c r="A7312" s="5"/>
      <c r="B7312" s="13" t="s">
        <v>2432</v>
      </c>
      <c r="C7312" s="22">
        <f>(138)*(1)*(1)*(1)*(1 + (0))</f>
      </c>
      <c r="D7312" s="22" t="s">
        <v>153</v>
      </c>
      <c r="E7312" s="22"/>
      <c r="F7312" s="22">
        <f>C7312*E7312</f>
      </c>
    </row>
    <row r="7313">
      <c r="A7313" s="5"/>
      <c r="B7313" s="13" t="s">
        <v>2433</v>
      </c>
      <c r="C7313" s="22">
        <f>(96)*(1)*(1)*(1)*(1 + (0))</f>
      </c>
      <c r="D7313" s="22" t="s">
        <v>153</v>
      </c>
      <c r="E7313" s="22"/>
      <c r="F7313" s="22">
        <f>C7313*E7313</f>
      </c>
    </row>
    <row r="7314">
      <c r="A7314" s="5"/>
      <c r="B7314" s="13" t="s">
        <v>2434</v>
      </c>
      <c r="C7314" s="22">
        <f>(83)*(1)*(1)*(1)*(1 + (0))</f>
      </c>
      <c r="D7314" s="22" t="s">
        <v>153</v>
      </c>
      <c r="E7314" s="22"/>
      <c r="F7314" s="22">
        <f>C7314*E7314</f>
      </c>
    </row>
    <row r="7315">
      <c r="A7315" s="5"/>
      <c r="B7315" s="13" t="s">
        <v>2435</v>
      </c>
      <c r="C7315" s="22">
        <f>(32)*(1)*(1)*(1)*(1 + (0))</f>
      </c>
      <c r="D7315" s="22" t="s">
        <v>153</v>
      </c>
      <c r="E7315" s="22"/>
      <c r="F7315" s="22">
        <f>C7315*E7315</f>
      </c>
    </row>
    <row r="7316">
      <c r="A7316" s="5"/>
      <c r="B7316" s="13" t="s">
        <v>2436</v>
      </c>
      <c r="C7316" s="22">
        <f>(18)*(1)*(1)*(1)*(1 + (0))</f>
      </c>
      <c r="D7316" s="22" t="s">
        <v>153</v>
      </c>
      <c r="E7316" s="22"/>
      <c r="F7316" s="22">
        <f>C7316*E7316</f>
      </c>
    </row>
    <row r="7317">
      <c r="A7317" s="2"/>
      <c r="B7317" s="10" t="s">
        <v>1301</v>
      </c>
      <c r="C7317" s="19"/>
      <c r="D7317" s="19"/>
      <c r="E7317" s="19"/>
      <c r="F7317" s="19"/>
    </row>
    <row r="7318">
      <c r="A7318" s="3"/>
      <c r="B7318" s="11" t="s">
        <v>37</v>
      </c>
      <c r="C7318" s="20"/>
      <c r="D7318" s="20"/>
      <c r="E7318" s="20"/>
      <c r="F7318" s="20"/>
    </row>
    <row r="7319">
      <c r="A7319" s="5" t="s">
        <v>1302</v>
      </c>
      <c r="B7319" s="14" t="s">
        <v>39</v>
      </c>
      <c r="C7319" s="22"/>
      <c r="D7319" s="22" t="s">
        <v>10</v>
      </c>
      <c r="E7319" s="22"/>
      <c r="F7319" s="22">
        <f>C7319*E7319</f>
      </c>
    </row>
    <row r="7320">
      <c r="A7320" s="5" t="s">
        <v>1303</v>
      </c>
      <c r="B7320" s="14" t="s">
        <v>41</v>
      </c>
      <c r="C7320" s="22"/>
      <c r="D7320" s="22" t="s">
        <v>10</v>
      </c>
      <c r="E7320" s="22"/>
      <c r="F7320" s="22">
        <f>C7320*E7320</f>
      </c>
    </row>
    <row r="7321">
      <c r="A7321" s="3"/>
      <c r="B7321" s="11" t="s">
        <v>42</v>
      </c>
      <c r="C7321" s="20"/>
      <c r="D7321" s="20"/>
      <c r="E7321" s="20"/>
      <c r="F7321" s="20"/>
    </row>
    <row r="7322">
      <c r="A7322" s="5"/>
      <c r="B7322" s="14" t="s">
        <v>1009</v>
      </c>
      <c r="C7322" s="22"/>
      <c r="D7322" s="22" t="s">
        <v>10</v>
      </c>
      <c r="E7322" s="22"/>
      <c r="F7322" s="22">
        <f>C7322*E7322</f>
      </c>
    </row>
    <row r="7323">
      <c r="A7323" s="5"/>
      <c r="B7323" s="14" t="s">
        <v>1010</v>
      </c>
      <c r="C7323" s="22"/>
      <c r="D7323" s="22" t="s">
        <v>10</v>
      </c>
      <c r="E7323" s="22"/>
      <c r="F7323" s="22">
        <f>C7323*E7323</f>
      </c>
    </row>
    <row r="7324">
      <c r="A7324" s="5"/>
      <c r="B7324" s="14" t="s">
        <v>1011</v>
      </c>
      <c r="C7324" s="22"/>
      <c r="D7324" s="22" t="s">
        <v>10</v>
      </c>
      <c r="E7324" s="22"/>
      <c r="F7324" s="22">
        <f>C7324*E7324</f>
      </c>
    </row>
    <row r="7325">
      <c r="A7325" s="3"/>
      <c r="B7325" s="11" t="s">
        <v>44</v>
      </c>
      <c r="C7325" s="20"/>
      <c r="D7325" s="20"/>
      <c r="E7325" s="20"/>
      <c r="F7325" s="20"/>
    </row>
    <row r="7326">
      <c r="A7326" s="4"/>
      <c r="B7326" s="12" t="s">
        <v>45</v>
      </c>
      <c r="C7326" s="21"/>
      <c r="D7326" s="21"/>
      <c r="E7326" s="21"/>
      <c r="F7326" s="21"/>
    </row>
    <row r="7327">
      <c r="A7327" s="5" t="s">
        <v>1305</v>
      </c>
      <c r="B7327" s="13" t="s">
        <v>1306</v>
      </c>
      <c r="C7327" s="22"/>
      <c r="D7327" s="22" t="s">
        <v>10</v>
      </c>
      <c r="E7327" s="22"/>
      <c r="F7327" s="22">
        <f>C7327*E7327</f>
      </c>
    </row>
    <row r="7328">
      <c r="A7328" s="5" t="s">
        <v>1307</v>
      </c>
      <c r="B7328" s="13" t="s">
        <v>1308</v>
      </c>
      <c r="C7328" s="22"/>
      <c r="D7328" s="22" t="s">
        <v>10</v>
      </c>
      <c r="E7328" s="22"/>
      <c r="F7328" s="22">
        <f>C7328*E7328</f>
      </c>
    </row>
    <row r="7329">
      <c r="A7329" s="5" t="s">
        <v>1309</v>
      </c>
      <c r="B7329" s="13" t="s">
        <v>1310</v>
      </c>
      <c r="C7329" s="22"/>
      <c r="D7329" s="22" t="s">
        <v>10</v>
      </c>
      <c r="E7329" s="22"/>
      <c r="F7329" s="22">
        <f>C7329*E7329</f>
      </c>
    </row>
    <row r="7330">
      <c r="A7330" s="5" t="s">
        <v>1311</v>
      </c>
      <c r="B7330" s="13" t="s">
        <v>1312</v>
      </c>
      <c r="C7330" s="22"/>
      <c r="D7330" s="22" t="s">
        <v>10</v>
      </c>
      <c r="E7330" s="22"/>
      <c r="F7330" s="22">
        <f>C7330*E7330</f>
      </c>
    </row>
    <row r="7331">
      <c r="A7331" s="5" t="s">
        <v>1313</v>
      </c>
      <c r="B7331" s="13" t="s">
        <v>1314</v>
      </c>
      <c r="C7331" s="22"/>
      <c r="D7331" s="22" t="s">
        <v>10</v>
      </c>
      <c r="E7331" s="22"/>
      <c r="F7331" s="22">
        <f>C7331*E7331</f>
      </c>
    </row>
    <row r="7332">
      <c r="A7332" s="5" t="s">
        <v>1315</v>
      </c>
      <c r="B7332" s="13" t="s">
        <v>1316</v>
      </c>
      <c r="C7332" s="22"/>
      <c r="D7332" s="22" t="s">
        <v>10</v>
      </c>
      <c r="E7332" s="22"/>
      <c r="F7332" s="22">
        <f>C7332*E7332</f>
      </c>
    </row>
    <row r="7333">
      <c r="A7333" s="5" t="s">
        <v>1317</v>
      </c>
      <c r="B7333" s="13" t="s">
        <v>1318</v>
      </c>
      <c r="C7333" s="22"/>
      <c r="D7333" s="22" t="s">
        <v>10</v>
      </c>
      <c r="E7333" s="22"/>
      <c r="F7333" s="22">
        <f>C7333*E7333</f>
      </c>
    </row>
    <row r="7334">
      <c r="A7334" s="5" t="s">
        <v>1319</v>
      </c>
      <c r="B7334" s="13" t="s">
        <v>123</v>
      </c>
      <c r="C7334" s="22"/>
      <c r="D7334" s="22" t="s">
        <v>10</v>
      </c>
      <c r="E7334" s="22"/>
      <c r="F7334" s="22">
        <f>C7334*E7334</f>
      </c>
    </row>
    <row r="7335">
      <c r="A7335" s="3"/>
      <c r="B7335" s="11" t="s">
        <v>68</v>
      </c>
      <c r="C7335" s="20"/>
      <c r="D7335" s="20"/>
      <c r="E7335" s="20"/>
      <c r="F7335" s="20"/>
    </row>
    <row r="7336">
      <c r="A7336" s="5" t="s">
        <v>1320</v>
      </c>
      <c r="B7336" s="14" t="s">
        <v>75</v>
      </c>
      <c r="C7336" s="22">
        <f>(1)*(1)*(1)*(1)*(1 + (0))</f>
      </c>
      <c r="D7336" s="22" t="s">
        <v>71</v>
      </c>
      <c r="E7336" s="22"/>
      <c r="F7336" s="22">
        <f>C7336*E7336</f>
      </c>
    </row>
    <row r="7337">
      <c r="A7337" s="5" t="s">
        <v>1321</v>
      </c>
      <c r="B7337" s="14" t="s">
        <v>1322</v>
      </c>
      <c r="C7337" s="22">
        <f>(1)*(1)*(1)*(1)*(1 + (0))</f>
      </c>
      <c r="D7337" s="22" t="s">
        <v>71</v>
      </c>
      <c r="E7337" s="22"/>
      <c r="F7337" s="22">
        <f>C7337*E7337</f>
      </c>
    </row>
    <row r="7338">
      <c r="A7338" s="5" t="s">
        <v>1323</v>
      </c>
      <c r="B7338" s="14" t="s">
        <v>1324</v>
      </c>
      <c r="C7338" s="22">
        <f>(1)*(1)*(1)*(1)*(1 + (0))</f>
      </c>
      <c r="D7338" s="22" t="s">
        <v>71</v>
      </c>
      <c r="E7338" s="22"/>
      <c r="F7338" s="22">
        <f>C7338*E7338</f>
      </c>
    </row>
    <row r="7339">
      <c r="A7339" s="5" t="s">
        <v>1325</v>
      </c>
      <c r="B7339" s="14" t="s">
        <v>230</v>
      </c>
      <c r="C7339" s="22">
        <f>(1)*(1)*(1)*(1)*(1 + (0))</f>
      </c>
      <c r="D7339" s="22" t="s">
        <v>71</v>
      </c>
      <c r="E7339" s="22"/>
      <c r="F7339" s="22">
        <f>C7339*E7339</f>
      </c>
    </row>
    <row r="7340">
      <c r="A7340" s="5" t="s">
        <v>1326</v>
      </c>
      <c r="B7340" s="14" t="s">
        <v>800</v>
      </c>
      <c r="C7340" s="22">
        <f>(1)*(1)*(1)*(1)*(1 + (0))</f>
      </c>
      <c r="D7340" s="22" t="s">
        <v>71</v>
      </c>
      <c r="E7340" s="22"/>
      <c r="F7340" s="22">
        <f>C7340*E7340</f>
      </c>
    </row>
    <row r="7341">
      <c r="A7341" s="5" t="s">
        <v>1327</v>
      </c>
      <c r="B7341" s="14" t="s">
        <v>73</v>
      </c>
      <c r="C7341" s="22">
        <f>(1)*(1)*(1)*(1)*(1 + (0))</f>
      </c>
      <c r="D7341" s="22" t="s">
        <v>71</v>
      </c>
      <c r="E7341" s="22"/>
      <c r="F7341" s="22">
        <f>C7341*E7341</f>
      </c>
    </row>
    <row r="7342">
      <c r="A7342" s="5" t="s">
        <v>1328</v>
      </c>
      <c r="B7342" s="14" t="s">
        <v>70</v>
      </c>
      <c r="C7342" s="22">
        <f>(1)*(1)*(1)*(1)*(1 + (0))</f>
      </c>
      <c r="D7342" s="22" t="s">
        <v>71</v>
      </c>
      <c r="E7342" s="22"/>
      <c r="F7342" s="22">
        <f>C7342*E7342</f>
      </c>
    </row>
    <row r="7343">
      <c r="A7343" s="5" t="s">
        <v>1329</v>
      </c>
      <c r="B7343" s="14" t="s">
        <v>1330</v>
      </c>
      <c r="C7343" s="22">
        <f>(1)*(1)*(1)*(1)*(1 + (0))</f>
      </c>
      <c r="D7343" s="22" t="s">
        <v>71</v>
      </c>
      <c r="E7343" s="22"/>
      <c r="F7343" s="22">
        <f>C7343*E7343</f>
      </c>
    </row>
    <row r="7344">
      <c r="A7344" s="5" t="s">
        <v>1331</v>
      </c>
      <c r="B7344" s="14" t="s">
        <v>665</v>
      </c>
      <c r="C7344" s="22">
        <f>(1)*(1)*(1)*(1)*(1 + (0))</f>
      </c>
      <c r="D7344" s="22" t="s">
        <v>71</v>
      </c>
      <c r="E7344" s="22"/>
      <c r="F7344" s="22">
        <f>C7344*E7344</f>
      </c>
    </row>
    <row r="7345">
      <c r="A7345" s="3"/>
      <c r="B7345" s="11" t="s">
        <v>106</v>
      </c>
      <c r="C7345" s="20"/>
      <c r="D7345" s="20"/>
      <c r="E7345" s="20"/>
      <c r="F7345" s="20"/>
    </row>
    <row r="7346">
      <c r="A7346" s="5"/>
      <c r="B7346" s="14" t="s">
        <v>2437</v>
      </c>
      <c r="C7346" s="22"/>
      <c r="D7346" s="22" t="s">
        <v>1333</v>
      </c>
      <c r="E7346" s="22"/>
      <c r="F7346" s="22">
        <f>C7346*E7346</f>
      </c>
    </row>
    <row r="7347">
      <c r="A7347" s="5"/>
      <c r="B7347" s="14" t="s">
        <v>2438</v>
      </c>
      <c r="C7347" s="22"/>
      <c r="D7347" s="22" t="s">
        <v>1335</v>
      </c>
      <c r="E7347" s="22"/>
      <c r="F7347" s="22">
        <f>C7347*E7347</f>
      </c>
    </row>
    <row r="7348">
      <c r="A7348" s="3"/>
      <c r="B7348" s="11" t="s">
        <v>1350</v>
      </c>
      <c r="C7348" s="20"/>
      <c r="D7348" s="20"/>
      <c r="E7348" s="20"/>
      <c r="F7348" s="20"/>
    </row>
    <row r="7349">
      <c r="A7349" s="4"/>
      <c r="B7349" s="12" t="s">
        <v>1351</v>
      </c>
      <c r="C7349" s="21"/>
      <c r="D7349" s="21"/>
      <c r="E7349" s="21"/>
      <c r="F7349" s="21"/>
    </row>
    <row r="7350">
      <c r="A7350" s="5"/>
      <c r="B7350" s="13" t="s">
        <v>2439</v>
      </c>
      <c r="C7350" s="22">
        <f>(163)*(1)*(1)*(1)*(1 + (0))</f>
      </c>
      <c r="D7350" s="22" t="s">
        <v>24</v>
      </c>
      <c r="E7350" s="22"/>
      <c r="F7350" s="22">
        <f>C7350*E7350</f>
      </c>
    </row>
    <row r="7351">
      <c r="A7351" s="3"/>
      <c r="B7351" s="11" t="s">
        <v>1336</v>
      </c>
      <c r="C7351" s="20"/>
      <c r="D7351" s="20"/>
      <c r="E7351" s="20"/>
      <c r="F7351" s="20"/>
    </row>
    <row r="7352">
      <c r="A7352" s="4"/>
      <c r="B7352" s="12" t="s">
        <v>1337</v>
      </c>
      <c r="C7352" s="21"/>
      <c r="D7352" s="21"/>
      <c r="E7352" s="21"/>
      <c r="F7352" s="21"/>
    </row>
    <row r="7353">
      <c r="A7353" s="6"/>
      <c r="B7353" s="15" t="s">
        <v>1338</v>
      </c>
      <c r="C7353" s="23"/>
      <c r="D7353" s="23"/>
      <c r="E7353" s="23"/>
      <c r="F7353" s="23"/>
    </row>
    <row r="7354">
      <c r="A7354" s="5"/>
      <c r="B7354" s="16" t="s">
        <v>1339</v>
      </c>
      <c r="C7354" s="22"/>
      <c r="D7354" s="22"/>
      <c r="E7354" s="22"/>
      <c r="F7354" s="22"/>
    </row>
    <row r="7355">
      <c r="A7355" s="5"/>
      <c r="B7355" s="17" t="s">
        <v>34</v>
      </c>
      <c r="C7355" s="22">
        <f>(39)*(1)*(1)*(1)*(1 + (0))</f>
      </c>
      <c r="D7355" s="22" t="s">
        <v>24</v>
      </c>
      <c r="E7355" s="22"/>
      <c r="F7355" s="22">
        <f>C7355*E7355</f>
      </c>
    </row>
    <row r="7356">
      <c r="A7356" s="3"/>
      <c r="B7356" s="11" t="s">
        <v>2057</v>
      </c>
      <c r="C7356" s="20"/>
      <c r="D7356" s="20"/>
      <c r="E7356" s="20"/>
      <c r="F7356" s="20"/>
    </row>
    <row r="7357">
      <c r="A7357" s="5"/>
      <c r="B7357" s="14" t="s">
        <v>2058</v>
      </c>
      <c r="C7357" s="22">
        <f>(13)*(1)*(1)*(1)*(1 + (0))</f>
      </c>
      <c r="D7357" s="22" t="s">
        <v>24</v>
      </c>
      <c r="E7357" s="22"/>
      <c r="F7357" s="22">
        <f>C7357*E7357</f>
      </c>
    </row>
    <row r="7358">
      <c r="A7358" s="2"/>
      <c r="B7358" s="10" t="s">
        <v>1366</v>
      </c>
      <c r="C7358" s="19"/>
      <c r="D7358" s="19"/>
      <c r="E7358" s="19"/>
      <c r="F7358" s="19"/>
    </row>
    <row r="7359">
      <c r="A7359" s="3"/>
      <c r="B7359" s="11" t="s">
        <v>37</v>
      </c>
      <c r="C7359" s="20"/>
      <c r="D7359" s="20"/>
      <c r="E7359" s="20"/>
      <c r="F7359" s="20"/>
    </row>
    <row r="7360">
      <c r="A7360" s="5" t="s">
        <v>1367</v>
      </c>
      <c r="B7360" s="14" t="s">
        <v>39</v>
      </c>
      <c r="C7360" s="22"/>
      <c r="D7360" s="22" t="s">
        <v>10</v>
      </c>
      <c r="E7360" s="22"/>
      <c r="F7360" s="22">
        <f>C7360*E7360</f>
      </c>
    </row>
    <row r="7361">
      <c r="A7361" s="5" t="s">
        <v>1368</v>
      </c>
      <c r="B7361" s="14" t="s">
        <v>41</v>
      </c>
      <c r="C7361" s="22"/>
      <c r="D7361" s="22" t="s">
        <v>10</v>
      </c>
      <c r="E7361" s="22"/>
      <c r="F7361" s="22">
        <f>C7361*E7361</f>
      </c>
    </row>
    <row r="7362">
      <c r="A7362" s="3"/>
      <c r="B7362" s="11" t="s">
        <v>42</v>
      </c>
      <c r="C7362" s="20"/>
      <c r="D7362" s="20"/>
      <c r="E7362" s="20"/>
      <c r="F7362" s="20"/>
    </row>
    <row r="7363">
      <c r="A7363" s="5"/>
      <c r="B7363" s="14" t="s">
        <v>1369</v>
      </c>
      <c r="C7363" s="22"/>
      <c r="D7363" s="22" t="s">
        <v>10</v>
      </c>
      <c r="E7363" s="22"/>
      <c r="F7363" s="22">
        <f>C7363*E7363</f>
      </c>
    </row>
    <row r="7364">
      <c r="A7364" s="5"/>
      <c r="B7364" s="14" t="s">
        <v>2440</v>
      </c>
      <c r="C7364" s="22"/>
      <c r="D7364" s="22" t="s">
        <v>10</v>
      </c>
      <c r="E7364" s="22"/>
      <c r="F7364" s="22">
        <f>C7364*E7364</f>
      </c>
    </row>
    <row r="7365">
      <c r="A7365" s="3"/>
      <c r="B7365" s="11" t="s">
        <v>44</v>
      </c>
      <c r="C7365" s="20"/>
      <c r="D7365" s="20"/>
      <c r="E7365" s="20"/>
      <c r="F7365" s="20"/>
    </row>
    <row r="7366">
      <c r="A7366" s="4"/>
      <c r="B7366" s="12" t="s">
        <v>45</v>
      </c>
      <c r="C7366" s="21"/>
      <c r="D7366" s="21"/>
      <c r="E7366" s="21"/>
      <c r="F7366" s="21"/>
    </row>
    <row r="7367">
      <c r="A7367" s="5" t="s">
        <v>1373</v>
      </c>
      <c r="B7367" s="13" t="s">
        <v>1374</v>
      </c>
      <c r="C7367" s="22"/>
      <c r="D7367" s="22" t="s">
        <v>10</v>
      </c>
      <c r="E7367" s="22"/>
      <c r="F7367" s="22">
        <f>C7367*E7367</f>
      </c>
    </row>
    <row r="7368">
      <c r="A7368" s="5" t="s">
        <v>1375</v>
      </c>
      <c r="B7368" s="13" t="s">
        <v>1376</v>
      </c>
      <c r="C7368" s="22"/>
      <c r="D7368" s="22" t="s">
        <v>10</v>
      </c>
      <c r="E7368" s="22"/>
      <c r="F7368" s="22">
        <f>C7368*E7368</f>
      </c>
    </row>
    <row r="7369">
      <c r="A7369" s="5" t="s">
        <v>1377</v>
      </c>
      <c r="B7369" s="13" t="s">
        <v>853</v>
      </c>
      <c r="C7369" s="22"/>
      <c r="D7369" s="22" t="s">
        <v>10</v>
      </c>
      <c r="E7369" s="22"/>
      <c r="F7369" s="22">
        <f>C7369*E7369</f>
      </c>
    </row>
    <row r="7370">
      <c r="A7370" s="5" t="s">
        <v>1378</v>
      </c>
      <c r="B7370" s="13" t="s">
        <v>123</v>
      </c>
      <c r="C7370" s="22"/>
      <c r="D7370" s="22" t="s">
        <v>10</v>
      </c>
      <c r="E7370" s="22"/>
      <c r="F7370" s="22">
        <f>C7370*E7370</f>
      </c>
    </row>
    <row r="7371">
      <c r="A7371" s="3"/>
      <c r="B7371" s="11" t="s">
        <v>68</v>
      </c>
      <c r="C7371" s="20"/>
      <c r="D7371" s="20"/>
      <c r="E7371" s="20"/>
      <c r="F7371" s="20"/>
    </row>
    <row r="7372">
      <c r="A7372" s="5" t="s">
        <v>1379</v>
      </c>
      <c r="B7372" s="14" t="s">
        <v>70</v>
      </c>
      <c r="C7372" s="22">
        <f>(1)*(1)*(1)*(1)*(1 + (0))</f>
      </c>
      <c r="D7372" s="22" t="s">
        <v>71</v>
      </c>
      <c r="E7372" s="22"/>
      <c r="F7372" s="22">
        <f>C7372*E7372</f>
      </c>
    </row>
    <row r="7373">
      <c r="A7373" s="5" t="s">
        <v>1380</v>
      </c>
      <c r="B7373" s="14" t="s">
        <v>230</v>
      </c>
      <c r="C7373" s="22">
        <f>(1)*(1)*(1)*(1)*(1 + (0))</f>
      </c>
      <c r="D7373" s="22" t="s">
        <v>71</v>
      </c>
      <c r="E7373" s="22"/>
      <c r="F7373" s="22">
        <f>C7373*E7373</f>
      </c>
    </row>
    <row r="7374">
      <c r="A7374" s="5" t="s">
        <v>1381</v>
      </c>
      <c r="B7374" s="14" t="s">
        <v>136</v>
      </c>
      <c r="C7374" s="22">
        <f>(1)*(1)*(1)*(1)*(1 + (0))</f>
      </c>
      <c r="D7374" s="22" t="s">
        <v>71</v>
      </c>
      <c r="E7374" s="22"/>
      <c r="F7374" s="22">
        <f>C7374*E7374</f>
      </c>
    </row>
    <row r="7375">
      <c r="A7375" s="5" t="s">
        <v>1382</v>
      </c>
      <c r="B7375" s="14" t="s">
        <v>816</v>
      </c>
      <c r="C7375" s="22">
        <f>(1)*(1)*(1)*(1)*(1 + (0))</f>
      </c>
      <c r="D7375" s="22" t="s">
        <v>71</v>
      </c>
      <c r="E7375" s="22"/>
      <c r="F7375" s="22">
        <f>C7375*E7375</f>
      </c>
    </row>
    <row r="7376">
      <c r="A7376" s="5" t="s">
        <v>1383</v>
      </c>
      <c r="B7376" s="14" t="s">
        <v>665</v>
      </c>
      <c r="C7376" s="22">
        <f>(1)*(1)*(1)*(1)*(1 + (0))</f>
      </c>
      <c r="D7376" s="22" t="s">
        <v>71</v>
      </c>
      <c r="E7376" s="22"/>
      <c r="F7376" s="22">
        <f>C7376*E7376</f>
      </c>
    </row>
    <row r="7377">
      <c r="A7377" s="5" t="s">
        <v>1384</v>
      </c>
      <c r="B7377" s="14" t="s">
        <v>1385</v>
      </c>
      <c r="C7377" s="22">
        <f>(1)*(1)*(1)*(1)*(1 + (0))</f>
      </c>
      <c r="D7377" s="22" t="s">
        <v>71</v>
      </c>
      <c r="E7377" s="22"/>
      <c r="F7377" s="22">
        <f>C7377*E7377</f>
      </c>
    </row>
    <row r="7378">
      <c r="A7378" s="3"/>
      <c r="B7378" s="11" t="s">
        <v>2441</v>
      </c>
      <c r="C7378" s="20"/>
      <c r="D7378" s="20"/>
      <c r="E7378" s="20"/>
      <c r="F7378" s="20"/>
    </row>
    <row r="7379">
      <c r="A7379" s="5"/>
      <c r="B7379" s="14" t="s">
        <v>2442</v>
      </c>
      <c r="C7379" s="22">
        <f>(1)*(1)*(1)*(1)*(1 + (0))</f>
      </c>
      <c r="D7379" s="22" t="s">
        <v>162</v>
      </c>
      <c r="E7379" s="22"/>
      <c r="F7379" s="22">
        <f>C7379*E7379</f>
      </c>
    </row>
    <row r="7380">
      <c r="A7380" s="5"/>
      <c r="B7380" s="14" t="s">
        <v>2443</v>
      </c>
      <c r="C7380" s="22">
        <f>(1)*(1)*(1)*(1)*(1 + (0))</f>
      </c>
      <c r="D7380" s="22" t="s">
        <v>162</v>
      </c>
      <c r="E7380" s="22"/>
      <c r="F7380" s="22">
        <f>C7380*E7380</f>
      </c>
    </row>
    <row r="7381">
      <c r="A7381" s="2"/>
      <c r="B7381" s="10" t="s">
        <v>2444</v>
      </c>
      <c r="C7381" s="19"/>
      <c r="D7381" s="19"/>
      <c r="E7381" s="19"/>
      <c r="F7381" s="19"/>
    </row>
    <row r="7382">
      <c r="A7382" s="3"/>
      <c r="B7382" s="11" t="s">
        <v>37</v>
      </c>
      <c r="C7382" s="20"/>
      <c r="D7382" s="20"/>
      <c r="E7382" s="20"/>
      <c r="F7382" s="20"/>
    </row>
    <row r="7383">
      <c r="A7383" s="5" t="s">
        <v>2399</v>
      </c>
      <c r="B7383" s="14" t="s">
        <v>2400</v>
      </c>
      <c r="C7383" s="22"/>
      <c r="D7383" s="22" t="s">
        <v>10</v>
      </c>
      <c r="E7383" s="22"/>
      <c r="F7383" s="22">
        <f>C7383*E7383</f>
      </c>
    </row>
    <row r="7384">
      <c r="A7384" s="5" t="s">
        <v>2401</v>
      </c>
      <c r="B7384" s="14" t="s">
        <v>41</v>
      </c>
      <c r="C7384" s="22"/>
      <c r="D7384" s="22" t="s">
        <v>10</v>
      </c>
      <c r="E7384" s="22"/>
      <c r="F7384" s="22">
        <f>C7384*E7384</f>
      </c>
    </row>
    <row r="7385">
      <c r="A7385" s="3"/>
      <c r="B7385" s="11" t="s">
        <v>42</v>
      </c>
      <c r="C7385" s="20"/>
      <c r="D7385" s="20"/>
      <c r="E7385" s="20"/>
      <c r="F7385" s="20"/>
    </row>
    <row r="7386">
      <c r="A7386" s="5" t="s">
        <v>2401</v>
      </c>
      <c r="B7386" s="14" t="s">
        <v>2445</v>
      </c>
      <c r="C7386" s="22"/>
      <c r="D7386" s="22" t="s">
        <v>10</v>
      </c>
      <c r="E7386" s="22"/>
      <c r="F7386" s="22">
        <f>C7386*E7386</f>
      </c>
    </row>
    <row r="7387">
      <c r="A7387" s="5" t="s">
        <v>2401</v>
      </c>
      <c r="B7387" s="14" t="s">
        <v>2404</v>
      </c>
      <c r="C7387" s="22"/>
      <c r="D7387" s="22" t="s">
        <v>10</v>
      </c>
      <c r="E7387" s="22"/>
      <c r="F7387" s="22">
        <f>C7387*E7387</f>
      </c>
    </row>
    <row r="7388">
      <c r="A7388" s="3"/>
      <c r="B7388" s="11" t="s">
        <v>44</v>
      </c>
      <c r="C7388" s="20"/>
      <c r="D7388" s="20"/>
      <c r="E7388" s="20"/>
      <c r="F7388" s="20"/>
    </row>
    <row r="7389">
      <c r="A7389" s="4"/>
      <c r="B7389" s="12" t="s">
        <v>2405</v>
      </c>
      <c r="C7389" s="21"/>
      <c r="D7389" s="21"/>
      <c r="E7389" s="21"/>
      <c r="F7389" s="21"/>
    </row>
    <row r="7390">
      <c r="A7390" s="5" t="s">
        <v>2406</v>
      </c>
      <c r="B7390" s="13" t="s">
        <v>2446</v>
      </c>
      <c r="C7390" s="22"/>
      <c r="D7390" s="22" t="s">
        <v>10</v>
      </c>
      <c r="E7390" s="22"/>
      <c r="F7390" s="22">
        <f>C7390*E7390</f>
      </c>
    </row>
    <row r="7391">
      <c r="A7391" s="5" t="s">
        <v>2407</v>
      </c>
      <c r="B7391" s="13" t="s">
        <v>49</v>
      </c>
      <c r="C7391" s="22"/>
      <c r="D7391" s="22" t="s">
        <v>10</v>
      </c>
      <c r="E7391" s="22"/>
      <c r="F7391" s="22">
        <f>C7391*E7391</f>
      </c>
    </row>
    <row r="7392">
      <c r="A7392" s="5" t="s">
        <v>2408</v>
      </c>
      <c r="B7392" s="13" t="s">
        <v>2447</v>
      </c>
      <c r="C7392" s="22"/>
      <c r="D7392" s="22" t="s">
        <v>10</v>
      </c>
      <c r="E7392" s="22"/>
      <c r="F7392" s="22">
        <f>C7392*E7392</f>
      </c>
    </row>
    <row r="7393">
      <c r="A7393" s="5" t="s">
        <v>2409</v>
      </c>
      <c r="B7393" s="13" t="s">
        <v>2448</v>
      </c>
      <c r="C7393" s="22"/>
      <c r="D7393" s="22" t="s">
        <v>10</v>
      </c>
      <c r="E7393" s="22"/>
      <c r="F7393" s="22">
        <f>C7393*E7393</f>
      </c>
    </row>
    <row r="7394">
      <c r="A7394" s="5" t="s">
        <v>2410</v>
      </c>
      <c r="B7394" s="13" t="s">
        <v>57</v>
      </c>
      <c r="C7394" s="22"/>
      <c r="D7394" s="22" t="s">
        <v>10</v>
      </c>
      <c r="E7394" s="22"/>
      <c r="F7394" s="22">
        <f>C7394*E7394</f>
      </c>
    </row>
    <row r="7395">
      <c r="A7395" s="5" t="s">
        <v>2411</v>
      </c>
      <c r="B7395" s="13" t="s">
        <v>61</v>
      </c>
      <c r="C7395" s="22"/>
      <c r="D7395" s="22" t="s">
        <v>10</v>
      </c>
      <c r="E7395" s="22"/>
      <c r="F7395" s="22">
        <f>C7395*E7395</f>
      </c>
    </row>
    <row r="7396">
      <c r="A7396" s="5" t="s">
        <v>2449</v>
      </c>
      <c r="B7396" s="13" t="s">
        <v>67</v>
      </c>
      <c r="C7396" s="22"/>
      <c r="D7396" s="22" t="s">
        <v>10</v>
      </c>
      <c r="E7396" s="22"/>
      <c r="F7396" s="22">
        <f>C7396*E7396</f>
      </c>
    </row>
    <row r="7397">
      <c r="A7397" s="5" t="s">
        <v>2450</v>
      </c>
      <c r="B7397" s="13" t="s">
        <v>123</v>
      </c>
      <c r="C7397" s="22"/>
      <c r="D7397" s="22" t="s">
        <v>10</v>
      </c>
      <c r="E7397" s="22"/>
      <c r="F7397" s="22">
        <f>C7397*E7397</f>
      </c>
    </row>
    <row r="7398">
      <c r="A7398" s="3"/>
      <c r="B7398" s="11" t="s">
        <v>68</v>
      </c>
      <c r="C7398" s="20"/>
      <c r="D7398" s="20"/>
      <c r="E7398" s="20"/>
      <c r="F7398" s="20"/>
    </row>
    <row r="7399">
      <c r="A7399" s="5" t="s">
        <v>2412</v>
      </c>
      <c r="B7399" s="14" t="s">
        <v>83</v>
      </c>
      <c r="C7399" s="22">
        <f>(1)*(1)*(1)*(1)*(1 + (0))</f>
      </c>
      <c r="D7399" s="22" t="s">
        <v>71</v>
      </c>
      <c r="E7399" s="22"/>
      <c r="F7399" s="22">
        <f>C7399*E7399</f>
      </c>
    </row>
    <row r="7400">
      <c r="A7400" s="5" t="s">
        <v>2413</v>
      </c>
      <c r="B7400" s="14" t="s">
        <v>707</v>
      </c>
      <c r="C7400" s="22">
        <f>(1)*(1)*(1)*(1)*(1 + (0))</f>
      </c>
      <c r="D7400" s="22" t="s">
        <v>71</v>
      </c>
      <c r="E7400" s="22"/>
      <c r="F7400" s="22">
        <f>C7400*E7400</f>
      </c>
    </row>
    <row r="7401">
      <c r="A7401" s="5" t="s">
        <v>2415</v>
      </c>
      <c r="B7401" s="14" t="s">
        <v>2451</v>
      </c>
      <c r="C7401" s="22">
        <f>(1)*(1)*(1)*(1)*(1 + (0))</f>
      </c>
      <c r="D7401" s="22" t="s">
        <v>71</v>
      </c>
      <c r="E7401" s="22"/>
      <c r="F7401" s="22">
        <f>C7401*E7401</f>
      </c>
    </row>
    <row r="7402">
      <c r="A7402" s="5" t="s">
        <v>2416</v>
      </c>
      <c r="B7402" s="14" t="s">
        <v>492</v>
      </c>
      <c r="C7402" s="22">
        <f>(1)*(1)*(1)*(1)*(1 + (0))</f>
      </c>
      <c r="D7402" s="22" t="s">
        <v>71</v>
      </c>
      <c r="E7402" s="22"/>
      <c r="F7402" s="22">
        <f>C7402*E7402</f>
      </c>
    </row>
    <row r="7403">
      <c r="A7403" s="5" t="s">
        <v>2417</v>
      </c>
      <c r="B7403" s="14" t="s">
        <v>665</v>
      </c>
      <c r="C7403" s="22">
        <f>(1)*(1)*(1)*(1)*(1 + (0))</f>
      </c>
      <c r="D7403" s="22" t="s">
        <v>71</v>
      </c>
      <c r="E7403" s="22"/>
      <c r="F7403" s="22">
        <f>C7403*E7403</f>
      </c>
    </row>
    <row r="7404">
      <c r="A7404" s="5" t="s">
        <v>2418</v>
      </c>
      <c r="B7404" s="14" t="s">
        <v>81</v>
      </c>
      <c r="C7404" s="22">
        <f>(1)*(1)*(1)*(1)*(1 + (0))</f>
      </c>
      <c r="D7404" s="22" t="s">
        <v>71</v>
      </c>
      <c r="E7404" s="22"/>
      <c r="F7404" s="22">
        <f>C7404*E7404</f>
      </c>
    </row>
    <row r="7405">
      <c r="A7405" s="5" t="s">
        <v>2452</v>
      </c>
      <c r="B7405" s="14" t="s">
        <v>2453</v>
      </c>
      <c r="C7405" s="22">
        <f>(1)*(1)*(1)*(1)*(1 + (0))</f>
      </c>
      <c r="D7405" s="22" t="s">
        <v>71</v>
      </c>
      <c r="E7405" s="22"/>
      <c r="F7405" s="22">
        <f>C7405*E7405</f>
      </c>
    </row>
    <row r="7406">
      <c r="A7406" s="5" t="s">
        <v>2454</v>
      </c>
      <c r="B7406" s="14" t="s">
        <v>2455</v>
      </c>
      <c r="C7406" s="22">
        <f>(1)*(1)*(1)*(1)*(1 + (0))</f>
      </c>
      <c r="D7406" s="22" t="s">
        <v>71</v>
      </c>
      <c r="E7406" s="22"/>
      <c r="F7406" s="22">
        <f>C7406*E7406</f>
      </c>
    </row>
    <row r="7407">
      <c r="A7407" s="5" t="s">
        <v>2456</v>
      </c>
      <c r="B7407" s="14" t="s">
        <v>2457</v>
      </c>
      <c r="C7407" s="22">
        <f>(1)*(1)*(1)*(1)*(1 + (0))</f>
      </c>
      <c r="D7407" s="22" t="s">
        <v>71</v>
      </c>
      <c r="E7407" s="22"/>
      <c r="F7407" s="22">
        <f>C7407*E7407</f>
      </c>
    </row>
    <row r="7408">
      <c r="A7408" s="5" t="s">
        <v>2458</v>
      </c>
      <c r="B7408" s="14" t="s">
        <v>2459</v>
      </c>
      <c r="C7408" s="22">
        <f>(1)*(1)*(1)*(1)*(1 + (0))</f>
      </c>
      <c r="D7408" s="22" t="s">
        <v>71</v>
      </c>
      <c r="E7408" s="22"/>
      <c r="F7408" s="22">
        <f>C7408*E7408</f>
      </c>
    </row>
    <row r="7409">
      <c r="A7409" s="5" t="s">
        <v>2460</v>
      </c>
      <c r="B7409" s="14" t="s">
        <v>2461</v>
      </c>
      <c r="C7409" s="22">
        <f>(1)*(1)*(1)*(1)*(1 + (0))</f>
      </c>
      <c r="D7409" s="22" t="s">
        <v>71</v>
      </c>
      <c r="E7409" s="22"/>
      <c r="F7409" s="22">
        <f>C7409*E7409</f>
      </c>
    </row>
    <row r="7410">
      <c r="A7410" s="3"/>
      <c r="B7410" s="11" t="s">
        <v>106</v>
      </c>
      <c r="C7410" s="20"/>
      <c r="D7410" s="20"/>
      <c r="E7410" s="20"/>
      <c r="F7410" s="20"/>
    </row>
    <row r="7411">
      <c r="A7411" s="5"/>
      <c r="B7411" s="14" t="s">
        <v>2462</v>
      </c>
      <c r="C7411" s="22"/>
      <c r="D7411" s="22" t="s">
        <v>10</v>
      </c>
      <c r="E7411" s="22"/>
      <c r="F7411" s="22">
        <f>C7411*E7411</f>
      </c>
    </row>
    <row r="7412">
      <c r="A7412" s="3"/>
      <c r="B7412" s="11" t="s">
        <v>2463</v>
      </c>
      <c r="C7412" s="20"/>
      <c r="D7412" s="20"/>
      <c r="E7412" s="20"/>
      <c r="F7412" s="20"/>
    </row>
    <row r="7413">
      <c r="A7413" s="4"/>
      <c r="B7413" s="12" t="s">
        <v>2464</v>
      </c>
      <c r="C7413" s="21"/>
      <c r="D7413" s="21"/>
      <c r="E7413" s="21"/>
      <c r="F7413" s="21"/>
    </row>
    <row r="7414">
      <c r="A7414" s="6"/>
      <c r="B7414" s="15" t="s">
        <v>2465</v>
      </c>
      <c r="C7414" s="23"/>
      <c r="D7414" s="23"/>
      <c r="E7414" s="23"/>
      <c r="F7414" s="23"/>
    </row>
    <row r="7415">
      <c r="A7415" s="5"/>
      <c r="B7415" s="16" t="s">
        <v>2466</v>
      </c>
      <c r="C7415" s="22">
        <f>(10)*(1)*(1)*(1)*(1 + (0))</f>
      </c>
      <c r="D7415" s="22" t="s">
        <v>162</v>
      </c>
      <c r="E7415" s="22"/>
      <c r="F7415" s="22">
        <f>C7415*E7415</f>
      </c>
    </row>
    <row r="7416">
      <c r="A7416" s="5"/>
      <c r="B7416" s="16" t="s">
        <v>2467</v>
      </c>
      <c r="C7416" s="22">
        <f>(6)*(1)*(1)*(1)*(1 + (0))</f>
      </c>
      <c r="D7416" s="22" t="s">
        <v>162</v>
      </c>
      <c r="E7416" s="22"/>
      <c r="F7416" s="22">
        <f>C7416*E7416</f>
      </c>
    </row>
    <row r="7417">
      <c r="A7417" s="5"/>
      <c r="B7417" s="16" t="s">
        <v>2468</v>
      </c>
      <c r="C7417" s="22">
        <f>(2)*(1)*(1)*(1)*(1 + (0))</f>
      </c>
      <c r="D7417" s="22" t="s">
        <v>162</v>
      </c>
      <c r="E7417" s="22"/>
      <c r="F7417" s="22">
        <f>C7417*E7417</f>
      </c>
    </row>
    <row r="7418">
      <c r="A7418" s="5"/>
      <c r="B7418" s="16" t="s">
        <v>2469</v>
      </c>
      <c r="C7418" s="22">
        <f>(3)*(1)*(1)*(1)*(1 + (0))</f>
      </c>
      <c r="D7418" s="22" t="s">
        <v>162</v>
      </c>
      <c r="E7418" s="22"/>
      <c r="F7418" s="22">
        <f>C7418*E7418</f>
      </c>
    </row>
    <row r="7419">
      <c r="A7419" s="5"/>
      <c r="B7419" s="16" t="s">
        <v>2470</v>
      </c>
      <c r="C7419" s="22">
        <f>(2)*(1)*(1)*(1)*(1 + (0))</f>
      </c>
      <c r="D7419" s="22" t="s">
        <v>162</v>
      </c>
      <c r="E7419" s="22"/>
      <c r="F7419" s="22">
        <f>C7419*E7419</f>
      </c>
    </row>
    <row r="7420">
      <c r="A7420" s="5"/>
      <c r="B7420" s="16" t="s">
        <v>2471</v>
      </c>
      <c r="C7420" s="22">
        <f>(3)*(1)*(1)*(1)*(1 + (0))</f>
      </c>
      <c r="D7420" s="22" t="s">
        <v>162</v>
      </c>
      <c r="E7420" s="22"/>
      <c r="F7420" s="22">
        <f>C7420*E7420</f>
      </c>
    </row>
    <row r="7421">
      <c r="A7421" s="5"/>
      <c r="B7421" s="16" t="s">
        <v>2472</v>
      </c>
      <c r="C7421" s="22">
        <f>(1)*(1)*(1)*(1)*(1 + (0))</f>
      </c>
      <c r="D7421" s="22" t="s">
        <v>162</v>
      </c>
      <c r="E7421" s="22"/>
      <c r="F7421" s="22">
        <f>C7421*E7421</f>
      </c>
    </row>
    <row r="7422">
      <c r="A7422" s="5"/>
      <c r="B7422" s="16" t="s">
        <v>2473</v>
      </c>
      <c r="C7422" s="22">
        <f>(1)*(1)*(1)*(1)*(1 + (0))</f>
      </c>
      <c r="D7422" s="22" t="s">
        <v>162</v>
      </c>
      <c r="E7422" s="22"/>
      <c r="F7422" s="22">
        <f>C7422*E7422</f>
      </c>
    </row>
    <row r="7423">
      <c r="A7423" s="5"/>
      <c r="B7423" s="16" t="s">
        <v>2474</v>
      </c>
      <c r="C7423" s="22">
        <f>(1)*(1)*(1)*(1)*(1 + (0))</f>
      </c>
      <c r="D7423" s="22" t="s">
        <v>162</v>
      </c>
      <c r="E7423" s="22"/>
      <c r="F7423" s="22">
        <f>C7423*E7423</f>
      </c>
    </row>
    <row r="7424">
      <c r="A7424" s="5"/>
      <c r="B7424" s="16" t="s">
        <v>2475</v>
      </c>
      <c r="C7424" s="22">
        <f>(3)*(1)*(1)*(1)*(1 + (0))</f>
      </c>
      <c r="D7424" s="22" t="s">
        <v>162</v>
      </c>
      <c r="E7424" s="22"/>
      <c r="F7424" s="22">
        <f>C7424*E7424</f>
      </c>
    </row>
    <row r="7425">
      <c r="A7425" s="5"/>
      <c r="B7425" s="16" t="s">
        <v>2476</v>
      </c>
      <c r="C7425" s="22">
        <f>(8)*(1)*(1)*(1)*(1 + (0))</f>
      </c>
      <c r="D7425" s="22" t="s">
        <v>162</v>
      </c>
      <c r="E7425" s="22"/>
      <c r="F7425" s="22">
        <f>C7425*E7425</f>
      </c>
    </row>
    <row r="7426">
      <c r="A7426" s="6"/>
      <c r="B7426" s="15" t="s">
        <v>2477</v>
      </c>
      <c r="C7426" s="23"/>
      <c r="D7426" s="23"/>
      <c r="E7426" s="23"/>
      <c r="F7426" s="23"/>
    </row>
    <row r="7427">
      <c r="A7427" s="5"/>
      <c r="B7427" s="16" t="s">
        <v>2478</v>
      </c>
      <c r="C7427" s="22">
        <f>(1)*(1)*(1)*(1)*(1 + (0))</f>
      </c>
      <c r="D7427" s="22" t="s">
        <v>162</v>
      </c>
      <c r="E7427" s="22"/>
      <c r="F7427" s="22">
        <f>C7427*E7427</f>
      </c>
    </row>
    <row r="7428">
      <c r="A7428" s="5"/>
      <c r="B7428" s="16" t="s">
        <v>2479</v>
      </c>
      <c r="C7428" s="22">
        <f>(1)*(1)*(1)*(1)*(1 + (0))</f>
      </c>
      <c r="D7428" s="22" t="s">
        <v>162</v>
      </c>
      <c r="E7428" s="22"/>
      <c r="F7428" s="22">
        <f>C7428*E7428</f>
      </c>
    </row>
    <row r="7429">
      <c r="A7429" s="5"/>
      <c r="B7429" s="16" t="s">
        <v>2480</v>
      </c>
      <c r="C7429" s="22">
        <f>(3)*(1)*(1)*(1)*(1 + (0))</f>
      </c>
      <c r="D7429" s="22" t="s">
        <v>162</v>
      </c>
      <c r="E7429" s="22"/>
      <c r="F7429" s="22">
        <f>C7429*E7429</f>
      </c>
    </row>
    <row r="7430">
      <c r="A7430" s="5"/>
      <c r="B7430" s="16" t="s">
        <v>2481</v>
      </c>
      <c r="C7430" s="22">
        <f>(4)*(1)*(1)*(1)*(1 + (0))</f>
      </c>
      <c r="D7430" s="22" t="s">
        <v>162</v>
      </c>
      <c r="E7430" s="22"/>
      <c r="F7430" s="22">
        <f>C7430*E7430</f>
      </c>
    </row>
    <row r="7431">
      <c r="A7431" s="5"/>
      <c r="B7431" s="16" t="s">
        <v>2482</v>
      </c>
      <c r="C7431" s="22">
        <f>(1)*(1)*(1)*(1)*(1 + (0))</f>
      </c>
      <c r="D7431" s="22" t="s">
        <v>162</v>
      </c>
      <c r="E7431" s="22"/>
      <c r="F7431" s="22">
        <f>C7431*E7431</f>
      </c>
    </row>
    <row r="7432">
      <c r="A7432" s="5"/>
      <c r="B7432" s="16" t="s">
        <v>2483</v>
      </c>
      <c r="C7432" s="22">
        <f>(2)*(1)*(1)*(1)*(1 + (0))</f>
      </c>
      <c r="D7432" s="22" t="s">
        <v>162</v>
      </c>
      <c r="E7432" s="22"/>
      <c r="F7432" s="22">
        <f>C7432*E7432</f>
      </c>
    </row>
    <row r="7433">
      <c r="A7433" s="5"/>
      <c r="B7433" s="16" t="s">
        <v>2484</v>
      </c>
      <c r="C7433" s="22">
        <f>(2)*(1)*(1)*(1)*(1 + (0))</f>
      </c>
      <c r="D7433" s="22" t="s">
        <v>162</v>
      </c>
      <c r="E7433" s="22"/>
      <c r="F7433" s="22">
        <f>C7433*E7433</f>
      </c>
    </row>
    <row r="7434">
      <c r="A7434" s="5"/>
      <c r="B7434" s="16" t="s">
        <v>2485</v>
      </c>
      <c r="C7434" s="22">
        <f>(3)*(1)*(1)*(1)*(1 + (0))</f>
      </c>
      <c r="D7434" s="22" t="s">
        <v>162</v>
      </c>
      <c r="E7434" s="22"/>
      <c r="F7434" s="22">
        <f>C7434*E7434</f>
      </c>
    </row>
    <row r="7435">
      <c r="A7435" s="5"/>
      <c r="B7435" s="16" t="s">
        <v>2486</v>
      </c>
      <c r="C7435" s="22">
        <f>(4)*(1)*(1)*(1)*(1 + (0))</f>
      </c>
      <c r="D7435" s="22" t="s">
        <v>162</v>
      </c>
      <c r="E7435" s="22"/>
      <c r="F7435" s="22">
        <f>C7435*E7435</f>
      </c>
    </row>
    <row r="7436">
      <c r="A7436" s="6"/>
      <c r="B7436" s="15" t="s">
        <v>2487</v>
      </c>
      <c r="C7436" s="23"/>
      <c r="D7436" s="23"/>
      <c r="E7436" s="23"/>
      <c r="F7436" s="23"/>
    </row>
    <row r="7437">
      <c r="A7437" s="5"/>
      <c r="B7437" s="16" t="s">
        <v>2468</v>
      </c>
      <c r="C7437" s="22">
        <f>(2)*(1)*(1)*(1)*(1 + (0))</f>
      </c>
      <c r="D7437" s="22" t="s">
        <v>162</v>
      </c>
      <c r="E7437" s="22"/>
      <c r="F7437" s="22">
        <f>C7437*E7437</f>
      </c>
    </row>
    <row r="7438">
      <c r="A7438" s="5"/>
      <c r="B7438" s="16" t="s">
        <v>2488</v>
      </c>
      <c r="C7438" s="22">
        <f>(4)*(1)*(1)*(1)*(1 + (0))</f>
      </c>
      <c r="D7438" s="22" t="s">
        <v>162</v>
      </c>
      <c r="E7438" s="22"/>
      <c r="F7438" s="22">
        <f>C7438*E7438</f>
      </c>
    </row>
    <row r="7439">
      <c r="A7439" s="5"/>
      <c r="B7439" s="16" t="s">
        <v>2471</v>
      </c>
      <c r="C7439" s="22">
        <f>(3)*(1)*(1)*(1)*(1 + (0))</f>
      </c>
      <c r="D7439" s="22" t="s">
        <v>162</v>
      </c>
      <c r="E7439" s="22"/>
      <c r="F7439" s="22">
        <f>C7439*E7439</f>
      </c>
    </row>
    <row r="7440">
      <c r="A7440" s="5"/>
      <c r="B7440" s="16" t="s">
        <v>2489</v>
      </c>
      <c r="C7440" s="22">
        <f>(2)*(1)*(1)*(1)*(1 + (0))</f>
      </c>
      <c r="D7440" s="22" t="s">
        <v>162</v>
      </c>
      <c r="E7440" s="22"/>
      <c r="F7440" s="22">
        <f>C7440*E7440</f>
      </c>
    </row>
    <row r="7441">
      <c r="A7441" s="5"/>
      <c r="B7441" s="16" t="s">
        <v>2490</v>
      </c>
      <c r="C7441" s="22">
        <f>(1)*(1)*(1)*(1)*(1 + (0))</f>
      </c>
      <c r="D7441" s="22" t="s">
        <v>162</v>
      </c>
      <c r="E7441" s="22"/>
      <c r="F7441" s="22">
        <f>C7441*E7441</f>
      </c>
    </row>
    <row r="7442">
      <c r="A7442" s="5"/>
      <c r="B7442" s="16" t="s">
        <v>2491</v>
      </c>
      <c r="C7442" s="22">
        <f>(8)*(1)*(1)*(1)*(1 + (0))</f>
      </c>
      <c r="D7442" s="22" t="s">
        <v>162</v>
      </c>
      <c r="E7442" s="22"/>
      <c r="F7442" s="22">
        <f>C7442*E7442</f>
      </c>
    </row>
    <row r="7443">
      <c r="A7443" s="5"/>
      <c r="B7443" s="16" t="s">
        <v>2492</v>
      </c>
      <c r="C7443" s="22">
        <f>(5)*(1)*(1)*(1)*(1 + (0))</f>
      </c>
      <c r="D7443" s="22" t="s">
        <v>162</v>
      </c>
      <c r="E7443" s="22"/>
      <c r="F7443" s="22">
        <f>C7443*E7443</f>
      </c>
    </row>
    <row r="7444">
      <c r="A7444" s="5"/>
      <c r="B7444" s="16" t="s">
        <v>2493</v>
      </c>
      <c r="C7444" s="22">
        <f>(3)*(1)*(1)*(1)*(1 + (0))</f>
      </c>
      <c r="D7444" s="22" t="s">
        <v>162</v>
      </c>
      <c r="E7444" s="22"/>
      <c r="F7444" s="22">
        <f>C7444*E7444</f>
      </c>
    </row>
    <row r="7445">
      <c r="A7445" s="6"/>
      <c r="B7445" s="15" t="s">
        <v>2494</v>
      </c>
      <c r="C7445" s="23"/>
      <c r="D7445" s="23"/>
      <c r="E7445" s="23"/>
      <c r="F7445" s="23"/>
    </row>
    <row r="7446">
      <c r="A7446" s="5"/>
      <c r="B7446" s="16" t="s">
        <v>2495</v>
      </c>
      <c r="C7446" s="22">
        <f>(5)*(1)*(1)*(1)*(1 + (0))</f>
      </c>
      <c r="D7446" s="22" t="s">
        <v>162</v>
      </c>
      <c r="E7446" s="22"/>
      <c r="F7446" s="22">
        <f>C7446*E7446</f>
      </c>
    </row>
    <row r="7447">
      <c r="A7447" s="5"/>
      <c r="B7447" s="16" t="s">
        <v>2496</v>
      </c>
      <c r="C7447" s="22">
        <f>(2)*(1)*(1)*(1)*(1 + (0))</f>
      </c>
      <c r="D7447" s="22" t="s">
        <v>162</v>
      </c>
      <c r="E7447" s="22"/>
      <c r="F7447" s="22">
        <f>C7447*E7447</f>
      </c>
    </row>
    <row r="7448">
      <c r="A7448" s="5"/>
      <c r="B7448" s="16" t="s">
        <v>2497</v>
      </c>
      <c r="C7448" s="22">
        <f>(2)*(1)*(1)*(1)*(1 + (0))</f>
      </c>
      <c r="D7448" s="22" t="s">
        <v>162</v>
      </c>
      <c r="E7448" s="22"/>
      <c r="F7448" s="22">
        <f>C7448*E7448</f>
      </c>
    </row>
    <row r="7449">
      <c r="A7449" s="5"/>
      <c r="B7449" s="16" t="s">
        <v>2498</v>
      </c>
      <c r="C7449" s="22">
        <f>(2)*(1)*(1)*(1)*(1 + (0))</f>
      </c>
      <c r="D7449" s="22" t="s">
        <v>162</v>
      </c>
      <c r="E7449" s="22"/>
      <c r="F7449" s="22">
        <f>C7449*E7449</f>
      </c>
    </row>
    <row r="7450">
      <c r="A7450" s="5"/>
      <c r="B7450" s="16" t="s">
        <v>2499</v>
      </c>
      <c r="C7450" s="22">
        <f>(1)*(1)*(1)*(1)*(1 + (0))</f>
      </c>
      <c r="D7450" s="22" t="s">
        <v>162</v>
      </c>
      <c r="E7450" s="22"/>
      <c r="F7450" s="22">
        <f>C7450*E7450</f>
      </c>
    </row>
    <row r="7451">
      <c r="A7451" s="5"/>
      <c r="B7451" s="16" t="s">
        <v>2475</v>
      </c>
      <c r="C7451" s="22">
        <f>(3)*(1)*(1)*(1)*(1 + (0))</f>
      </c>
      <c r="D7451" s="22" t="s">
        <v>162</v>
      </c>
      <c r="E7451" s="22"/>
      <c r="F7451" s="22">
        <f>C7451*E7451</f>
      </c>
    </row>
    <row r="7452">
      <c r="A7452" s="5"/>
      <c r="B7452" s="16" t="s">
        <v>2500</v>
      </c>
      <c r="C7452" s="22">
        <f>(5)*(1)*(1)*(1)*(1 + (0))</f>
      </c>
      <c r="D7452" s="22" t="s">
        <v>162</v>
      </c>
      <c r="E7452" s="22"/>
      <c r="F7452" s="22">
        <f>C7452*E7452</f>
      </c>
    </row>
    <row r="7453">
      <c r="A7453" s="5"/>
      <c r="B7453" s="16" t="s">
        <v>2501</v>
      </c>
      <c r="C7453" s="22">
        <f>(5)*(1)*(1)*(1)*(1 + (0))</f>
      </c>
      <c r="D7453" s="22" t="s">
        <v>162</v>
      </c>
      <c r="E7453" s="22"/>
      <c r="F7453" s="22">
        <f>C7453*E7453</f>
      </c>
    </row>
    <row r="7454">
      <c r="A7454" s="6"/>
      <c r="B7454" s="15" t="s">
        <v>2502</v>
      </c>
      <c r="C7454" s="23"/>
      <c r="D7454" s="23"/>
      <c r="E7454" s="23"/>
      <c r="F7454" s="23"/>
    </row>
    <row r="7455">
      <c r="A7455" s="5"/>
      <c r="B7455" s="16" t="s">
        <v>2503</v>
      </c>
      <c r="C7455" s="22">
        <f>(8)*(1)*(1)*(1)*(1 + (0))</f>
      </c>
      <c r="D7455" s="22" t="s">
        <v>162</v>
      </c>
      <c r="E7455" s="22"/>
      <c r="F7455" s="22">
        <f>C7455*E7455</f>
      </c>
    </row>
    <row r="7456">
      <c r="A7456" s="4"/>
      <c r="B7456" s="12" t="s">
        <v>2504</v>
      </c>
      <c r="C7456" s="21"/>
      <c r="D7456" s="21"/>
      <c r="E7456" s="21"/>
      <c r="F7456" s="21"/>
    </row>
    <row r="7457">
      <c r="A7457" s="6"/>
      <c r="B7457" s="15" t="s">
        <v>2505</v>
      </c>
      <c r="C7457" s="23"/>
      <c r="D7457" s="23"/>
      <c r="E7457" s="23"/>
      <c r="F7457" s="23"/>
    </row>
    <row r="7458">
      <c r="A7458" s="5"/>
      <c r="B7458" s="16" t="s">
        <v>2506</v>
      </c>
      <c r="C7458" s="22">
        <f>(2)*(1)*(1)*(1)*(1 + (0))</f>
      </c>
      <c r="D7458" s="22" t="s">
        <v>162</v>
      </c>
      <c r="E7458" s="22"/>
      <c r="F7458" s="22">
        <f>C7458*E7458</f>
      </c>
    </row>
    <row r="7459">
      <c r="A7459" s="5"/>
      <c r="B7459" s="16" t="s">
        <v>2507</v>
      </c>
      <c r="C7459" s="22">
        <f>(2)*(1)*(1)*(1)*(1 + (0))</f>
      </c>
      <c r="D7459" s="22" t="s">
        <v>162</v>
      </c>
      <c r="E7459" s="22"/>
      <c r="F7459" s="22">
        <f>C7459*E7459</f>
      </c>
    </row>
    <row r="7460">
      <c r="A7460" s="6"/>
      <c r="B7460" s="15" t="s">
        <v>2508</v>
      </c>
      <c r="C7460" s="23"/>
      <c r="D7460" s="23"/>
      <c r="E7460" s="23"/>
      <c r="F7460" s="23"/>
    </row>
    <row r="7461">
      <c r="A7461" s="5"/>
      <c r="B7461" s="16" t="s">
        <v>2509</v>
      </c>
      <c r="C7461" s="22">
        <f>(6)*(1)*(1)*(1)*(1 + (0))</f>
      </c>
      <c r="D7461" s="22" t="s">
        <v>162</v>
      </c>
      <c r="E7461" s="22"/>
      <c r="F7461" s="22">
        <f>C7461*E7461</f>
      </c>
    </row>
    <row r="7462">
      <c r="A7462" s="5"/>
      <c r="B7462" s="16" t="s">
        <v>2510</v>
      </c>
      <c r="C7462" s="22">
        <f>(4)*(1)*(1)*(1)*(1 + (0))</f>
      </c>
      <c r="D7462" s="22" t="s">
        <v>162</v>
      </c>
      <c r="E7462" s="22"/>
      <c r="F7462" s="22">
        <f>C7462*E7462</f>
      </c>
    </row>
    <row r="7463">
      <c r="A7463" s="5"/>
      <c r="B7463" s="16" t="s">
        <v>2511</v>
      </c>
      <c r="C7463" s="22">
        <f>(6)*(1)*(1)*(1)*(1 + (0))</f>
      </c>
      <c r="D7463" s="22" t="s">
        <v>162</v>
      </c>
      <c r="E7463" s="22"/>
      <c r="F7463" s="22">
        <f>C7463*E7463</f>
      </c>
    </row>
    <row r="7464">
      <c r="A7464" s="6"/>
      <c r="B7464" s="15" t="s">
        <v>2512</v>
      </c>
      <c r="C7464" s="23"/>
      <c r="D7464" s="23"/>
      <c r="E7464" s="23"/>
      <c r="F7464" s="23"/>
    </row>
    <row r="7465">
      <c r="A7465" s="5"/>
      <c r="B7465" s="16" t="s">
        <v>2513</v>
      </c>
      <c r="C7465" s="22">
        <f>(9)*(1)*(1)*(1)*(1 + (0))</f>
      </c>
      <c r="D7465" s="22" t="s">
        <v>162</v>
      </c>
      <c r="E7465" s="22"/>
      <c r="F7465" s="22">
        <f>C7465*E7465</f>
      </c>
    </row>
    <row r="7466">
      <c r="A7466" s="5"/>
      <c r="B7466" s="16" t="s">
        <v>2514</v>
      </c>
      <c r="C7466" s="22">
        <f>(4)*(1)*(1)*(1)*(1 + (0))</f>
      </c>
      <c r="D7466" s="22" t="s">
        <v>162</v>
      </c>
      <c r="E7466" s="22"/>
      <c r="F7466" s="22">
        <f>C7466*E7466</f>
      </c>
    </row>
    <row r="7467">
      <c r="A7467" s="5"/>
      <c r="B7467" s="16" t="s">
        <v>2515</v>
      </c>
      <c r="C7467" s="22">
        <f>(8)*(1)*(1)*(1)*(1 + (0))</f>
      </c>
      <c r="D7467" s="22" t="s">
        <v>162</v>
      </c>
      <c r="E7467" s="22"/>
      <c r="F7467" s="22">
        <f>C7467*E7467</f>
      </c>
    </row>
    <row r="7468">
      <c r="A7468" s="5"/>
      <c r="B7468" s="16" t="s">
        <v>2516</v>
      </c>
      <c r="C7468" s="22">
        <f>(4)*(1)*(1)*(1)*(1 + (0))</f>
      </c>
      <c r="D7468" s="22" t="s">
        <v>162</v>
      </c>
      <c r="E7468" s="22"/>
      <c r="F7468" s="22">
        <f>C7468*E7468</f>
      </c>
    </row>
    <row r="7469">
      <c r="A7469" s="6"/>
      <c r="B7469" s="15" t="s">
        <v>2517</v>
      </c>
      <c r="C7469" s="23"/>
      <c r="D7469" s="23"/>
      <c r="E7469" s="23"/>
      <c r="F7469" s="23"/>
    </row>
    <row r="7470">
      <c r="A7470" s="5"/>
      <c r="B7470" s="16" t="s">
        <v>2518</v>
      </c>
      <c r="C7470" s="22">
        <f>(10)*(1)*(1)*(1)*(1 + (0))</f>
      </c>
      <c r="D7470" s="22" t="s">
        <v>162</v>
      </c>
      <c r="E7470" s="22"/>
      <c r="F7470" s="22">
        <f>C7470*E7470</f>
      </c>
    </row>
    <row r="7471">
      <c r="A7471" s="5"/>
      <c r="B7471" s="16" t="s">
        <v>2519</v>
      </c>
      <c r="C7471" s="22">
        <f>(10)*(1)*(1)*(1)*(1 + (0))</f>
      </c>
      <c r="D7471" s="22" t="s">
        <v>162</v>
      </c>
      <c r="E7471" s="22"/>
      <c r="F7471" s="22">
        <f>C7471*E7471</f>
      </c>
    </row>
    <row r="7472">
      <c r="A7472" s="4"/>
      <c r="B7472" s="12" t="s">
        <v>2520</v>
      </c>
      <c r="C7472" s="21"/>
      <c r="D7472" s="21"/>
      <c r="E7472" s="21"/>
      <c r="F7472" s="21"/>
    </row>
    <row r="7473">
      <c r="A7473" s="6"/>
      <c r="B7473" s="15" t="s">
        <v>2521</v>
      </c>
      <c r="C7473" s="23"/>
      <c r="D7473" s="23"/>
      <c r="E7473" s="23"/>
      <c r="F7473" s="23"/>
    </row>
    <row r="7474">
      <c r="A7474" s="5"/>
      <c r="B7474" s="16" t="s">
        <v>2522</v>
      </c>
      <c r="C7474" s="22">
        <f>(30)*(1)*(1)*(1)*(1 + (0))</f>
      </c>
      <c r="D7474" s="22" t="s">
        <v>162</v>
      </c>
      <c r="E7474" s="22"/>
      <c r="F7474" s="22">
        <f>C7474*E7474</f>
      </c>
    </row>
    <row r="7475">
      <c r="A7475" s="5"/>
      <c r="B7475" s="16" t="s">
        <v>2523</v>
      </c>
      <c r="C7475" s="22">
        <f>(40)*(1)*(1)*(1)*(1 + (0))</f>
      </c>
      <c r="D7475" s="22" t="s">
        <v>162</v>
      </c>
      <c r="E7475" s="22"/>
      <c r="F7475" s="22">
        <f>C7475*E7475</f>
      </c>
    </row>
    <row r="7476">
      <c r="A7476" s="5"/>
      <c r="B7476" s="16" t="s">
        <v>2524</v>
      </c>
      <c r="C7476" s="22">
        <f>(30)*(1)*(1)*(1)*(1 + (0))</f>
      </c>
      <c r="D7476" s="22" t="s">
        <v>162</v>
      </c>
      <c r="E7476" s="22"/>
      <c r="F7476" s="22">
        <f>C7476*E7476</f>
      </c>
    </row>
    <row r="7477">
      <c r="A7477" s="5"/>
      <c r="B7477" s="16" t="s">
        <v>2525</v>
      </c>
      <c r="C7477" s="22">
        <f>(30)*(1)*(1)*(1)*(1 + (0))</f>
      </c>
      <c r="D7477" s="22" t="s">
        <v>162</v>
      </c>
      <c r="E7477" s="22"/>
      <c r="F7477" s="22">
        <f>C7477*E7477</f>
      </c>
    </row>
    <row r="7478">
      <c r="A7478" s="5"/>
      <c r="B7478" s="16" t="s">
        <v>2526</v>
      </c>
      <c r="C7478" s="22">
        <f>(40)*(1)*(1)*(1)*(1 + (0))</f>
      </c>
      <c r="D7478" s="22" t="s">
        <v>162</v>
      </c>
      <c r="E7478" s="22"/>
      <c r="F7478" s="22">
        <f>C7478*E7478</f>
      </c>
    </row>
    <row r="7479">
      <c r="A7479" s="5"/>
      <c r="B7479" s="16" t="s">
        <v>2527</v>
      </c>
      <c r="C7479" s="22">
        <f>(40)*(1)*(1)*(1)*(1 + (0))</f>
      </c>
      <c r="D7479" s="22" t="s">
        <v>162</v>
      </c>
      <c r="E7479" s="22"/>
      <c r="F7479" s="22">
        <f>C7479*E7479</f>
      </c>
    </row>
    <row r="7480">
      <c r="A7480" s="5"/>
      <c r="B7480" s="16" t="s">
        <v>2528</v>
      </c>
      <c r="C7480" s="22">
        <f>(30)*(1)*(1)*(1)*(1 + (0))</f>
      </c>
      <c r="D7480" s="22" t="s">
        <v>162</v>
      </c>
      <c r="E7480" s="22"/>
      <c r="F7480" s="22">
        <f>C7480*E7480</f>
      </c>
    </row>
    <row r="7481">
      <c r="A7481" s="5"/>
      <c r="B7481" s="16" t="s">
        <v>2529</v>
      </c>
      <c r="C7481" s="22">
        <f>(30)*(1)*(1)*(1)*(1 + (0))</f>
      </c>
      <c r="D7481" s="22" t="s">
        <v>162</v>
      </c>
      <c r="E7481" s="22"/>
      <c r="F7481" s="22">
        <f>C7481*E7481</f>
      </c>
    </row>
    <row r="7482">
      <c r="A7482" s="5"/>
      <c r="B7482" s="16" t="s">
        <v>2530</v>
      </c>
      <c r="C7482" s="22">
        <f>(40)*(1)*(1)*(1)*(1 + (0))</f>
      </c>
      <c r="D7482" s="22" t="s">
        <v>162</v>
      </c>
      <c r="E7482" s="22"/>
      <c r="F7482" s="22">
        <f>C7482*E7482</f>
      </c>
    </row>
    <row r="7483">
      <c r="A7483" s="5"/>
      <c r="B7483" s="16" t="s">
        <v>2531</v>
      </c>
      <c r="C7483" s="22">
        <f>(75)*(1)*(1)*(1)*(1 + (0))</f>
      </c>
      <c r="D7483" s="22" t="s">
        <v>162</v>
      </c>
      <c r="E7483" s="22"/>
      <c r="F7483" s="22">
        <f>C7483*E7483</f>
      </c>
    </row>
    <row r="7484">
      <c r="A7484" s="5"/>
      <c r="B7484" s="16" t="s">
        <v>2532</v>
      </c>
      <c r="C7484" s="22">
        <f>(75)*(1)*(1)*(1)*(1 + (0))</f>
      </c>
      <c r="D7484" s="22" t="s">
        <v>162</v>
      </c>
      <c r="E7484" s="22"/>
      <c r="F7484" s="22">
        <f>C7484*E7484</f>
      </c>
    </row>
    <row r="7485">
      <c r="A7485" s="5"/>
      <c r="B7485" s="16" t="s">
        <v>2533</v>
      </c>
      <c r="C7485" s="22">
        <f>(40)*(1)*(1)*(1)*(1 + (0))</f>
      </c>
      <c r="D7485" s="22" t="s">
        <v>162</v>
      </c>
      <c r="E7485" s="22"/>
      <c r="F7485" s="22">
        <f>C7485*E7485</f>
      </c>
    </row>
    <row r="7486">
      <c r="A7486" s="5"/>
      <c r="B7486" s="16" t="s">
        <v>2534</v>
      </c>
      <c r="C7486" s="22">
        <f>(30)*(1)*(1)*(1)*(1 + (0))</f>
      </c>
      <c r="D7486" s="22" t="s">
        <v>162</v>
      </c>
      <c r="E7486" s="22"/>
      <c r="F7486" s="22">
        <f>C7486*E7486</f>
      </c>
    </row>
    <row r="7487">
      <c r="A7487" s="5"/>
      <c r="B7487" s="16" t="s">
        <v>2535</v>
      </c>
      <c r="C7487" s="22">
        <f>(40)*(1)*(1)*(1)*(1 + (0))</f>
      </c>
      <c r="D7487" s="22" t="s">
        <v>162</v>
      </c>
      <c r="E7487" s="22"/>
      <c r="F7487" s="22">
        <f>C7487*E7487</f>
      </c>
    </row>
    <row r="7488">
      <c r="A7488" s="5"/>
      <c r="B7488" s="16" t="s">
        <v>2536</v>
      </c>
      <c r="C7488" s="22">
        <f>(30)*(1)*(1)*(1)*(1 + (0))</f>
      </c>
      <c r="D7488" s="22" t="s">
        <v>162</v>
      </c>
      <c r="E7488" s="22"/>
      <c r="F7488" s="22">
        <f>C7488*E7488</f>
      </c>
    </row>
    <row r="7489">
      <c r="A7489" s="5"/>
      <c r="B7489" s="16" t="s">
        <v>2537</v>
      </c>
      <c r="C7489" s="22">
        <f>(30)*(1)*(1)*(1)*(1 + (0))</f>
      </c>
      <c r="D7489" s="22" t="s">
        <v>162</v>
      </c>
      <c r="E7489" s="22"/>
      <c r="F7489" s="22">
        <f>C7489*E7489</f>
      </c>
    </row>
    <row r="7490">
      <c r="A7490" s="5"/>
      <c r="B7490" s="16" t="s">
        <v>2538</v>
      </c>
      <c r="C7490" s="22">
        <f>(30)*(1)*(1)*(1)*(1 + (0))</f>
      </c>
      <c r="D7490" s="22" t="s">
        <v>162</v>
      </c>
      <c r="E7490" s="22"/>
      <c r="F7490" s="22">
        <f>C7490*E7490</f>
      </c>
    </row>
    <row r="7491">
      <c r="A7491" s="5"/>
      <c r="B7491" s="16" t="s">
        <v>2539</v>
      </c>
      <c r="C7491" s="22">
        <f>(30)*(1)*(1)*(1)*(1 + (0))</f>
      </c>
      <c r="D7491" s="22" t="s">
        <v>162</v>
      </c>
      <c r="E7491" s="22"/>
      <c r="F7491" s="22">
        <f>C7491*E7491</f>
      </c>
    </row>
    <row r="7492">
      <c r="A7492" s="5"/>
      <c r="B7492" s="16" t="s">
        <v>2540</v>
      </c>
      <c r="C7492" s="22">
        <f>(30)*(1)*(1)*(1)*(1 + (0))</f>
      </c>
      <c r="D7492" s="22" t="s">
        <v>162</v>
      </c>
      <c r="E7492" s="22"/>
      <c r="F7492" s="22">
        <f>C7492*E7492</f>
      </c>
    </row>
    <row r="7493">
      <c r="A7493" s="5"/>
      <c r="B7493" s="16" t="s">
        <v>2541</v>
      </c>
      <c r="C7493" s="22">
        <f>(30)*(1)*(1)*(1)*(1 + (0))</f>
      </c>
      <c r="D7493" s="22" t="s">
        <v>162</v>
      </c>
      <c r="E7493" s="22"/>
      <c r="F7493" s="22">
        <f>C7493*E7493</f>
      </c>
    </row>
    <row r="7494">
      <c r="A7494" s="6"/>
      <c r="B7494" s="15" t="s">
        <v>2542</v>
      </c>
      <c r="C7494" s="23"/>
      <c r="D7494" s="23"/>
      <c r="E7494" s="23"/>
      <c r="F7494" s="23"/>
    </row>
    <row r="7495">
      <c r="A7495" s="5"/>
      <c r="B7495" s="16" t="s">
        <v>2543</v>
      </c>
      <c r="C7495" s="22">
        <f>(698)*(1)*(1)*(1)*(1 + (0))</f>
      </c>
      <c r="D7495" s="22" t="s">
        <v>162</v>
      </c>
      <c r="E7495" s="22"/>
      <c r="F7495" s="22">
        <f>C7495*E7495</f>
      </c>
    </row>
    <row r="7496">
      <c r="A7496" s="5"/>
      <c r="B7496" s="16" t="s">
        <v>2544</v>
      </c>
      <c r="C7496" s="22">
        <f>(558)*(1)*(1)*(1)*(1 + (0))</f>
      </c>
      <c r="D7496" s="22" t="s">
        <v>162</v>
      </c>
      <c r="E7496" s="22"/>
      <c r="F7496" s="22">
        <f>C7496*E7496</f>
      </c>
    </row>
    <row r="7497">
      <c r="A7497" s="5"/>
      <c r="B7497" s="16" t="s">
        <v>2545</v>
      </c>
      <c r="C7497" s="22">
        <f>(558)*(1)*(1)*(1)*(1 + (0))</f>
      </c>
      <c r="D7497" s="22" t="s">
        <v>162</v>
      </c>
      <c r="E7497" s="22"/>
      <c r="F7497" s="22">
        <f>C7497*E7497</f>
      </c>
    </row>
    <row r="7498">
      <c r="A7498" s="5"/>
      <c r="B7498" s="16" t="s">
        <v>2546</v>
      </c>
      <c r="C7498" s="22">
        <f>(558)*(1)*(1)*(1)*(1 + (0))</f>
      </c>
      <c r="D7498" s="22" t="s">
        <v>162</v>
      </c>
      <c r="E7498" s="22"/>
      <c r="F7498" s="22">
        <f>C7498*E7498</f>
      </c>
    </row>
    <row r="7499">
      <c r="A7499" s="5"/>
      <c r="B7499" s="16" t="s">
        <v>2547</v>
      </c>
      <c r="C7499" s="22">
        <f>(558)*(1)*(1)*(1)*(1 + (0))</f>
      </c>
      <c r="D7499" s="22" t="s">
        <v>162</v>
      </c>
      <c r="E7499" s="22"/>
      <c r="F7499" s="22">
        <f>C7499*E7499</f>
      </c>
    </row>
    <row r="7500">
      <c r="A7500" s="5"/>
      <c r="B7500" s="16" t="s">
        <v>2548</v>
      </c>
      <c r="C7500" s="22">
        <f>(419)*(1)*(1)*(1)*(1 + (0))</f>
      </c>
      <c r="D7500" s="22" t="s">
        <v>162</v>
      </c>
      <c r="E7500" s="22"/>
      <c r="F7500" s="22">
        <f>C7500*E7500</f>
      </c>
    </row>
    <row r="7501">
      <c r="A7501" s="5"/>
      <c r="B7501" s="16" t="s">
        <v>2549</v>
      </c>
      <c r="C7501" s="22">
        <f>(698)*(1)*(1)*(1)*(1 + (0))</f>
      </c>
      <c r="D7501" s="22" t="s">
        <v>162</v>
      </c>
      <c r="E7501" s="22"/>
      <c r="F7501" s="22">
        <f>C7501*E7501</f>
      </c>
    </row>
    <row r="7502">
      <c r="A7502" s="5"/>
      <c r="B7502" s="16" t="s">
        <v>2550</v>
      </c>
      <c r="C7502" s="22">
        <f>(1046)*(1)*(1)*(1)*(1 + (0))</f>
      </c>
      <c r="D7502" s="22" t="s">
        <v>162</v>
      </c>
      <c r="E7502" s="22"/>
      <c r="F7502" s="22">
        <f>C7502*E7502</f>
      </c>
    </row>
    <row r="7503">
      <c r="A7503" s="5"/>
      <c r="B7503" s="16" t="s">
        <v>2551</v>
      </c>
      <c r="C7503" s="22">
        <f>(419)*(1)*(1)*(1)*(1 + (0))</f>
      </c>
      <c r="D7503" s="22" t="s">
        <v>162</v>
      </c>
      <c r="E7503" s="22"/>
      <c r="F7503" s="22">
        <f>C7503*E7503</f>
      </c>
    </row>
    <row r="7504">
      <c r="A7504" s="5"/>
      <c r="B7504" s="16" t="s">
        <v>2552</v>
      </c>
      <c r="C7504" s="22">
        <f>(558)*(1)*(1)*(1)*(1 + (0))</f>
      </c>
      <c r="D7504" s="22" t="s">
        <v>162</v>
      </c>
      <c r="E7504" s="22"/>
      <c r="F7504" s="22">
        <f>C7504*E7504</f>
      </c>
    </row>
    <row r="7505">
      <c r="A7505" s="5"/>
      <c r="B7505" s="16" t="s">
        <v>2553</v>
      </c>
      <c r="C7505" s="22">
        <f>(419)*(1)*(1)*(1)*(1 + (0))</f>
      </c>
      <c r="D7505" s="22" t="s">
        <v>162</v>
      </c>
      <c r="E7505" s="22"/>
      <c r="F7505" s="22">
        <f>C7505*E7505</f>
      </c>
    </row>
    <row r="7506">
      <c r="A7506" s="5"/>
      <c r="B7506" s="16" t="s">
        <v>2554</v>
      </c>
      <c r="C7506" s="22">
        <f>(1046)*(1)*(1)*(1)*(1 + (0))</f>
      </c>
      <c r="D7506" s="22" t="s">
        <v>162</v>
      </c>
      <c r="E7506" s="22"/>
      <c r="F7506" s="22">
        <f>C7506*E7506</f>
      </c>
    </row>
    <row r="7507">
      <c r="A7507" s="5"/>
      <c r="B7507" s="16" t="s">
        <v>2555</v>
      </c>
      <c r="C7507" s="22">
        <f>(558)*(1)*(1)*(1)*(1 + (0))</f>
      </c>
      <c r="D7507" s="22" t="s">
        <v>162</v>
      </c>
      <c r="E7507" s="22"/>
      <c r="F7507" s="22">
        <f>C7507*E7507</f>
      </c>
    </row>
    <row r="7508">
      <c r="A7508" s="5"/>
      <c r="B7508" s="16" t="s">
        <v>2556</v>
      </c>
      <c r="C7508" s="22">
        <f>(837)*(1)*(1)*(1)*(1 + (0))</f>
      </c>
      <c r="D7508" s="22" t="s">
        <v>162</v>
      </c>
      <c r="E7508" s="22"/>
      <c r="F7508" s="22">
        <f>C7508*E7508</f>
      </c>
    </row>
    <row r="7509">
      <c r="A7509" s="5"/>
      <c r="B7509" s="16" t="s">
        <v>2557</v>
      </c>
      <c r="C7509" s="22">
        <f>(837)*(1)*(1)*(1)*(1 + (0))</f>
      </c>
      <c r="D7509" s="22" t="s">
        <v>162</v>
      </c>
      <c r="E7509" s="22"/>
      <c r="F7509" s="22">
        <f>C7509*E7509</f>
      </c>
    </row>
    <row r="7510">
      <c r="A7510" s="5"/>
      <c r="B7510" s="16" t="s">
        <v>2558</v>
      </c>
      <c r="C7510" s="22">
        <f>(698)*(1)*(1)*(1)*(1 + (0))</f>
      </c>
      <c r="D7510" s="22" t="s">
        <v>162</v>
      </c>
      <c r="E7510" s="22"/>
      <c r="F7510" s="22">
        <f>C7510*E7510</f>
      </c>
    </row>
    <row r="7511">
      <c r="A7511" s="6"/>
      <c r="B7511" s="15" t="s">
        <v>2559</v>
      </c>
      <c r="C7511" s="23"/>
      <c r="D7511" s="23"/>
      <c r="E7511" s="23"/>
      <c r="F7511" s="23"/>
    </row>
    <row r="7512">
      <c r="A7512" s="5"/>
      <c r="B7512" s="16" t="s">
        <v>2560</v>
      </c>
      <c r="C7512" s="22">
        <f>(10)*(1)*(1)*(1)*(1 + (0))</f>
      </c>
      <c r="D7512" s="22" t="s">
        <v>162</v>
      </c>
      <c r="E7512" s="22"/>
      <c r="F7512" s="22">
        <f>C7512*E7512</f>
      </c>
    </row>
    <row r="7513">
      <c r="A7513" s="5"/>
      <c r="B7513" s="16" t="s">
        <v>2561</v>
      </c>
      <c r="C7513" s="22">
        <f>(20)*(1)*(1)*(1)*(1 + (0))</f>
      </c>
      <c r="D7513" s="22" t="s">
        <v>162</v>
      </c>
      <c r="E7513" s="22"/>
      <c r="F7513" s="22">
        <f>C7513*E7513</f>
      </c>
    </row>
    <row r="7514">
      <c r="A7514" s="5"/>
      <c r="B7514" s="16" t="s">
        <v>2562</v>
      </c>
      <c r="C7514" s="22">
        <f>(24)*(1)*(1)*(1)*(1 + (0))</f>
      </c>
      <c r="D7514" s="22" t="s">
        <v>162</v>
      </c>
      <c r="E7514" s="22"/>
      <c r="F7514" s="22">
        <f>C7514*E7514</f>
      </c>
    </row>
    <row r="7515">
      <c r="A7515" s="5"/>
      <c r="B7515" s="16" t="s">
        <v>2563</v>
      </c>
      <c r="C7515" s="22">
        <f>(12)*(1)*(1)*(1)*(1 + (0))</f>
      </c>
      <c r="D7515" s="22" t="s">
        <v>162</v>
      </c>
      <c r="E7515" s="22"/>
      <c r="F7515" s="22">
        <f>C7515*E7515</f>
      </c>
    </row>
    <row r="7516">
      <c r="A7516" s="5"/>
      <c r="B7516" s="16" t="s">
        <v>2564</v>
      </c>
      <c r="C7516" s="22">
        <f>(12)*(1)*(1)*(1)*(1 + (0))</f>
      </c>
      <c r="D7516" s="22" t="s">
        <v>162</v>
      </c>
      <c r="E7516" s="22"/>
      <c r="F7516" s="22">
        <f>C7516*E7516</f>
      </c>
    </row>
    <row r="7517">
      <c r="A7517" s="5"/>
      <c r="B7517" s="16" t="s">
        <v>2565</v>
      </c>
      <c r="C7517" s="22">
        <f>(12)*(1)*(1)*(1)*(1 + (0))</f>
      </c>
      <c r="D7517" s="22" t="s">
        <v>162</v>
      </c>
      <c r="E7517" s="22"/>
      <c r="F7517" s="22">
        <f>C7517*E7517</f>
      </c>
    </row>
    <row r="7518">
      <c r="A7518" s="5"/>
      <c r="B7518" s="16" t="s">
        <v>2566</v>
      </c>
      <c r="C7518" s="22">
        <f>(12)*(1)*(1)*(1)*(1 + (0))</f>
      </c>
      <c r="D7518" s="22" t="s">
        <v>162</v>
      </c>
      <c r="E7518" s="22"/>
      <c r="F7518" s="22">
        <f>C7518*E7518</f>
      </c>
    </row>
    <row r="7519">
      <c r="A7519" s="5"/>
      <c r="B7519" s="16" t="s">
        <v>2567</v>
      </c>
      <c r="C7519" s="22">
        <f>(10)*(1)*(1)*(1)*(1 + (0))</f>
      </c>
      <c r="D7519" s="22" t="s">
        <v>162</v>
      </c>
      <c r="E7519" s="22"/>
      <c r="F7519" s="22">
        <f>C7519*E7519</f>
      </c>
    </row>
    <row r="7520">
      <c r="A7520" s="5"/>
      <c r="B7520" s="16" t="s">
        <v>2568</v>
      </c>
      <c r="C7520" s="22">
        <f>(26)*(1)*(1)*(1)*(1 + (0))</f>
      </c>
      <c r="D7520" s="22" t="s">
        <v>162</v>
      </c>
      <c r="E7520" s="22"/>
      <c r="F7520" s="22">
        <f>C7520*E7520</f>
      </c>
    </row>
    <row r="7521">
      <c r="A7521" s="5"/>
      <c r="B7521" s="16" t="s">
        <v>2569</v>
      </c>
      <c r="C7521" s="22">
        <f>(12)*(1)*(1)*(1)*(1 + (0))</f>
      </c>
      <c r="D7521" s="22" t="s">
        <v>162</v>
      </c>
      <c r="E7521" s="22"/>
      <c r="F7521" s="22">
        <f>C7521*E7521</f>
      </c>
    </row>
    <row r="7522">
      <c r="A7522" s="6"/>
      <c r="B7522" s="15" t="s">
        <v>2570</v>
      </c>
      <c r="C7522" s="23"/>
      <c r="D7522" s="23"/>
      <c r="E7522" s="23"/>
      <c r="F7522" s="23"/>
    </row>
    <row r="7523">
      <c r="A7523" s="5"/>
      <c r="B7523" s="16" t="s">
        <v>2571</v>
      </c>
      <c r="C7523" s="22">
        <f>(221)*(1)*(1)*(1)*(1 + (0))</f>
      </c>
      <c r="D7523" s="22" t="s">
        <v>162</v>
      </c>
      <c r="E7523" s="22"/>
      <c r="F7523" s="22">
        <f>C7523*E7523</f>
      </c>
    </row>
    <row r="7524">
      <c r="A7524" s="5"/>
      <c r="B7524" s="16" t="s">
        <v>2572</v>
      </c>
      <c r="C7524" s="22">
        <f>(221)*(1)*(1)*(1)*(1 + (0))</f>
      </c>
      <c r="D7524" s="22" t="s">
        <v>162</v>
      </c>
      <c r="E7524" s="22"/>
      <c r="F7524" s="22">
        <f>C7524*E7524</f>
      </c>
    </row>
    <row r="7525">
      <c r="A7525" s="5"/>
      <c r="B7525" s="16" t="s">
        <v>2573</v>
      </c>
      <c r="C7525" s="22">
        <f>(221)*(1)*(1)*(1)*(1 + (0))</f>
      </c>
      <c r="D7525" s="22" t="s">
        <v>162</v>
      </c>
      <c r="E7525" s="22"/>
      <c r="F7525" s="22">
        <f>C7525*E7525</f>
      </c>
    </row>
    <row r="7526">
      <c r="A7526" s="5"/>
      <c r="B7526" s="16" t="s">
        <v>2574</v>
      </c>
      <c r="C7526" s="22">
        <f>(221)*(1)*(1)*(1)*(1 + (0))</f>
      </c>
      <c r="D7526" s="22" t="s">
        <v>162</v>
      </c>
      <c r="E7526" s="22"/>
      <c r="F7526" s="22">
        <f>C7526*E7526</f>
      </c>
    </row>
    <row r="7527">
      <c r="A7527" s="5"/>
      <c r="B7527" s="16" t="s">
        <v>2575</v>
      </c>
      <c r="C7527" s="22">
        <f>(221)*(1)*(1)*(1)*(1 + (0))</f>
      </c>
      <c r="D7527" s="22" t="s">
        <v>162</v>
      </c>
      <c r="E7527" s="22"/>
      <c r="F7527" s="22">
        <f>C7527*E7527</f>
      </c>
    </row>
    <row r="7528">
      <c r="A7528" s="5"/>
      <c r="B7528" s="16" t="s">
        <v>2576</v>
      </c>
      <c r="C7528" s="22">
        <f>(221)*(1)*(1)*(1)*(1 + (0))</f>
      </c>
      <c r="D7528" s="22" t="s">
        <v>162</v>
      </c>
      <c r="E7528" s="22"/>
      <c r="F7528" s="22">
        <f>C7528*E7528</f>
      </c>
    </row>
    <row r="7529">
      <c r="A7529" s="6"/>
      <c r="B7529" s="15" t="s">
        <v>2577</v>
      </c>
      <c r="C7529" s="23"/>
      <c r="D7529" s="23"/>
      <c r="E7529" s="23"/>
      <c r="F7529" s="23"/>
    </row>
    <row r="7530">
      <c r="A7530" s="5"/>
      <c r="B7530" s="16" t="s">
        <v>2578</v>
      </c>
      <c r="C7530" s="22">
        <f>(22)*(1)*(1)*(1)*(1 + (0))</f>
      </c>
      <c r="D7530" s="22" t="s">
        <v>162</v>
      </c>
      <c r="E7530" s="22"/>
      <c r="F7530" s="22">
        <f>C7530*E7530</f>
      </c>
    </row>
    <row r="7531">
      <c r="A7531" s="5"/>
      <c r="B7531" s="16" t="s">
        <v>2579</v>
      </c>
      <c r="C7531" s="22">
        <f>(45)*(1)*(1)*(1)*(1 + (0))</f>
      </c>
      <c r="D7531" s="22" t="s">
        <v>162</v>
      </c>
      <c r="E7531" s="22"/>
      <c r="F7531" s="22">
        <f>C7531*E7531</f>
      </c>
    </row>
    <row r="7532">
      <c r="A7532" s="5"/>
      <c r="B7532" s="16" t="s">
        <v>2580</v>
      </c>
      <c r="C7532" s="22">
        <f>(45)*(1)*(1)*(1)*(1 + (0))</f>
      </c>
      <c r="D7532" s="22" t="s">
        <v>162</v>
      </c>
      <c r="E7532" s="22"/>
      <c r="F7532" s="22">
        <f>C7532*E7532</f>
      </c>
    </row>
    <row r="7533">
      <c r="A7533" s="5"/>
      <c r="B7533" s="16" t="s">
        <v>2581</v>
      </c>
      <c r="C7533" s="22">
        <f>(22)*(1)*(1)*(1)*(1 + (0))</f>
      </c>
      <c r="D7533" s="22" t="s">
        <v>162</v>
      </c>
      <c r="E7533" s="22"/>
      <c r="F7533" s="22">
        <f>C7533*E7533</f>
      </c>
    </row>
    <row r="7534">
      <c r="A7534" s="6"/>
      <c r="B7534" s="15" t="s">
        <v>2505</v>
      </c>
      <c r="C7534" s="23"/>
      <c r="D7534" s="23"/>
      <c r="E7534" s="23"/>
      <c r="F7534" s="23"/>
    </row>
    <row r="7535">
      <c r="A7535" s="5"/>
      <c r="B7535" s="16" t="s">
        <v>2582</v>
      </c>
      <c r="C7535" s="22">
        <f>(33)*(1)*(1)*(1)*(1 + (0))</f>
      </c>
      <c r="D7535" s="22" t="s">
        <v>162</v>
      </c>
      <c r="E7535" s="22"/>
      <c r="F7535" s="22">
        <f>C7535*E7535</f>
      </c>
    </row>
    <row r="7536">
      <c r="A7536" s="5"/>
      <c r="B7536" s="16" t="s">
        <v>2583</v>
      </c>
      <c r="C7536" s="22">
        <f>(36)*(1)*(1)*(1)*(1 + (0))</f>
      </c>
      <c r="D7536" s="22" t="s">
        <v>162</v>
      </c>
      <c r="E7536" s="22"/>
      <c r="F7536" s="22">
        <f>C7536*E7536</f>
      </c>
    </row>
    <row r="7537">
      <c r="A7537" s="5"/>
      <c r="B7537" s="16" t="s">
        <v>2584</v>
      </c>
      <c r="C7537" s="22">
        <f>(87)*(1)*(1)*(1)*(1 + (0))</f>
      </c>
      <c r="D7537" s="22" t="s">
        <v>162</v>
      </c>
      <c r="E7537" s="22"/>
      <c r="F7537" s="22">
        <f>C7537*E7537</f>
      </c>
    </row>
    <row r="7538">
      <c r="A7538" s="5"/>
      <c r="B7538" s="16" t="s">
        <v>2585</v>
      </c>
      <c r="C7538" s="22">
        <f>(47)*(1)*(1)*(1)*(1 + (0))</f>
      </c>
      <c r="D7538" s="22" t="s">
        <v>162</v>
      </c>
      <c r="E7538" s="22"/>
      <c r="F7538" s="22">
        <f>C7538*E7538</f>
      </c>
    </row>
    <row r="7539">
      <c r="A7539" s="5"/>
      <c r="B7539" s="16" t="s">
        <v>2586</v>
      </c>
      <c r="C7539" s="22">
        <f>(56)*(1)*(1)*(1)*(1 + (0))</f>
      </c>
      <c r="D7539" s="22" t="s">
        <v>162</v>
      </c>
      <c r="E7539" s="22"/>
      <c r="F7539" s="22">
        <f>C7539*E7539</f>
      </c>
    </row>
    <row r="7540">
      <c r="A7540" s="5"/>
      <c r="B7540" s="16" t="s">
        <v>2587</v>
      </c>
      <c r="C7540" s="22">
        <f>(25)*(1)*(1)*(1)*(1 + (0))</f>
      </c>
      <c r="D7540" s="22" t="s">
        <v>162</v>
      </c>
      <c r="E7540" s="22"/>
      <c r="F7540" s="22">
        <f>C7540*E7540</f>
      </c>
    </row>
    <row r="7541">
      <c r="A7541" s="5"/>
      <c r="B7541" s="16" t="s">
        <v>2588</v>
      </c>
      <c r="C7541" s="22">
        <f>(52)*(1)*(1)*(1)*(1 + (0))</f>
      </c>
      <c r="D7541" s="22" t="s">
        <v>162</v>
      </c>
      <c r="E7541" s="22"/>
      <c r="F7541" s="22">
        <f>C7541*E7541</f>
      </c>
    </row>
    <row r="7542">
      <c r="A7542" s="5"/>
      <c r="B7542" s="16" t="s">
        <v>2589</v>
      </c>
      <c r="C7542" s="22">
        <f>(37)*(1)*(1)*(1)*(1 + (0))</f>
      </c>
      <c r="D7542" s="22" t="s">
        <v>162</v>
      </c>
      <c r="E7542" s="22"/>
      <c r="F7542" s="22">
        <f>C7542*E7542</f>
      </c>
    </row>
    <row r="7543">
      <c r="A7543" s="5"/>
      <c r="B7543" s="16" t="s">
        <v>2590</v>
      </c>
      <c r="C7543" s="22">
        <f>(39)*(1)*(1)*(1)*(1 + (0))</f>
      </c>
      <c r="D7543" s="22" t="s">
        <v>162</v>
      </c>
      <c r="E7543" s="22"/>
      <c r="F7543" s="22">
        <f>C7543*E7543</f>
      </c>
    </row>
    <row r="7544">
      <c r="A7544" s="5"/>
      <c r="B7544" s="16" t="s">
        <v>2591</v>
      </c>
      <c r="C7544" s="22">
        <f>(17)*(1)*(1)*(1)*(1 + (0))</f>
      </c>
      <c r="D7544" s="22" t="s">
        <v>162</v>
      </c>
      <c r="E7544" s="22"/>
      <c r="F7544" s="22">
        <f>C7544*E7544</f>
      </c>
    </row>
    <row r="7545">
      <c r="A7545" s="6"/>
      <c r="B7545" s="15" t="s">
        <v>2592</v>
      </c>
      <c r="C7545" s="23"/>
      <c r="D7545" s="23"/>
      <c r="E7545" s="23"/>
      <c r="F7545" s="23"/>
    </row>
    <row r="7546">
      <c r="A7546" s="5"/>
      <c r="B7546" s="16" t="s">
        <v>2593</v>
      </c>
      <c r="C7546" s="22">
        <f>(82)*(1)*(1)*(1)*(1 + (0))</f>
      </c>
      <c r="D7546" s="22" t="s">
        <v>162</v>
      </c>
      <c r="E7546" s="22"/>
      <c r="F7546" s="22">
        <f>C7546*E7546</f>
      </c>
    </row>
    <row r="7547">
      <c r="A7547" s="5"/>
      <c r="B7547" s="16" t="s">
        <v>2594</v>
      </c>
      <c r="C7547" s="22">
        <f>(48)*(1)*(1)*(1)*(1 + (0))</f>
      </c>
      <c r="D7547" s="22" t="s">
        <v>162</v>
      </c>
      <c r="E7547" s="22"/>
      <c r="F7547" s="22">
        <f>C7547*E7547</f>
      </c>
    </row>
    <row r="7548">
      <c r="A7548" s="5"/>
      <c r="B7548" s="16" t="s">
        <v>2595</v>
      </c>
      <c r="C7548" s="22">
        <f>(26)*(1)*(1)*(1)*(1 + (0))</f>
      </c>
      <c r="D7548" s="22" t="s">
        <v>162</v>
      </c>
      <c r="E7548" s="22"/>
      <c r="F7548" s="22">
        <f>C7548*E7548</f>
      </c>
    </row>
    <row r="7549">
      <c r="A7549" s="5"/>
      <c r="B7549" s="16" t="s">
        <v>2596</v>
      </c>
      <c r="C7549" s="22">
        <f>(37)*(1)*(1)*(1)*(1 + (0))</f>
      </c>
      <c r="D7549" s="22" t="s">
        <v>162</v>
      </c>
      <c r="E7549" s="22"/>
      <c r="F7549" s="22">
        <f>C7549*E7549</f>
      </c>
    </row>
    <row r="7550">
      <c r="A7550" s="5"/>
      <c r="B7550" s="16" t="s">
        <v>2597</v>
      </c>
      <c r="C7550" s="22">
        <f>(76)*(1)*(1)*(1)*(1 + (0))</f>
      </c>
      <c r="D7550" s="22" t="s">
        <v>162</v>
      </c>
      <c r="E7550" s="22"/>
      <c r="F7550" s="22">
        <f>C7550*E7550</f>
      </c>
    </row>
    <row r="7551">
      <c r="A7551" s="5"/>
      <c r="B7551" s="16" t="s">
        <v>2598</v>
      </c>
      <c r="C7551" s="22">
        <f>(40)*(1)*(1)*(1)*(1 + (0))</f>
      </c>
      <c r="D7551" s="22" t="s">
        <v>162</v>
      </c>
      <c r="E7551" s="22"/>
      <c r="F7551" s="22">
        <f>C7551*E7551</f>
      </c>
    </row>
    <row r="7552">
      <c r="A7552" s="5"/>
      <c r="B7552" s="16" t="s">
        <v>2599</v>
      </c>
      <c r="C7552" s="22">
        <f>(73)*(1)*(1)*(1)*(1 + (0))</f>
      </c>
      <c r="D7552" s="22" t="s">
        <v>162</v>
      </c>
      <c r="E7552" s="22"/>
      <c r="F7552" s="22">
        <f>C7552*E7552</f>
      </c>
    </row>
    <row r="7553">
      <c r="A7553" s="5"/>
      <c r="B7553" s="16" t="s">
        <v>2600</v>
      </c>
      <c r="C7553" s="22">
        <f>(94)*(1)*(1)*(1)*(1 + (0))</f>
      </c>
      <c r="D7553" s="22" t="s">
        <v>162</v>
      </c>
      <c r="E7553" s="22"/>
      <c r="F7553" s="22">
        <f>C7553*E7553</f>
      </c>
    </row>
    <row r="7554">
      <c r="A7554" s="5"/>
      <c r="B7554" s="16" t="s">
        <v>2601</v>
      </c>
      <c r="C7554" s="22">
        <f>(43)*(1)*(1)*(1)*(1 + (0))</f>
      </c>
      <c r="D7554" s="22" t="s">
        <v>162</v>
      </c>
      <c r="E7554" s="22"/>
      <c r="F7554" s="22">
        <f>C7554*E7554</f>
      </c>
    </row>
    <row r="7555">
      <c r="A7555" s="6"/>
      <c r="B7555" s="15" t="s">
        <v>2512</v>
      </c>
      <c r="C7555" s="23"/>
      <c r="D7555" s="23"/>
      <c r="E7555" s="23"/>
      <c r="F7555" s="23"/>
    </row>
    <row r="7556">
      <c r="A7556" s="5"/>
      <c r="B7556" s="16" t="s">
        <v>2602</v>
      </c>
      <c r="C7556" s="22">
        <f>(64)*(1)*(1)*(1)*(1 + (0))</f>
      </c>
      <c r="D7556" s="22" t="s">
        <v>162</v>
      </c>
      <c r="E7556" s="22"/>
      <c r="F7556" s="22">
        <f>C7556*E7556</f>
      </c>
    </row>
    <row r="7557">
      <c r="A7557" s="5"/>
      <c r="B7557" s="16" t="s">
        <v>2603</v>
      </c>
      <c r="C7557" s="22">
        <f>(86)*(1)*(1)*(1)*(1 + (0))</f>
      </c>
      <c r="D7557" s="22" t="s">
        <v>162</v>
      </c>
      <c r="E7557" s="22"/>
      <c r="F7557" s="22">
        <f>C7557*E7557</f>
      </c>
    </row>
    <row r="7558">
      <c r="A7558" s="5"/>
      <c r="B7558" s="16" t="s">
        <v>2604</v>
      </c>
      <c r="C7558" s="22">
        <f>(52)*(1)*(1)*(1)*(1 + (0))</f>
      </c>
      <c r="D7558" s="22" t="s">
        <v>162</v>
      </c>
      <c r="E7558" s="22"/>
      <c r="F7558" s="22">
        <f>C7558*E7558</f>
      </c>
    </row>
    <row r="7559">
      <c r="A7559" s="5"/>
      <c r="B7559" s="16" t="s">
        <v>2605</v>
      </c>
      <c r="C7559" s="22">
        <f>(41)*(1)*(1)*(1)*(1 + (0))</f>
      </c>
      <c r="D7559" s="22" t="s">
        <v>162</v>
      </c>
      <c r="E7559" s="22"/>
      <c r="F7559" s="22">
        <f>C7559*E7559</f>
      </c>
    </row>
    <row r="7560">
      <c r="A7560" s="5"/>
      <c r="B7560" s="16" t="s">
        <v>2606</v>
      </c>
      <c r="C7560" s="22">
        <f>(8)*(1)*(1)*(1)*(1 + (0))</f>
      </c>
      <c r="D7560" s="22" t="s">
        <v>162</v>
      </c>
      <c r="E7560" s="22"/>
      <c r="F7560" s="22">
        <f>C7560*E7560</f>
      </c>
    </row>
    <row r="7561">
      <c r="A7561" s="5"/>
      <c r="B7561" s="16" t="s">
        <v>2607</v>
      </c>
      <c r="C7561" s="22">
        <f>(41)*(1)*(1)*(1)*(1 + (0))</f>
      </c>
      <c r="D7561" s="22" t="s">
        <v>162</v>
      </c>
      <c r="E7561" s="22"/>
      <c r="F7561" s="22">
        <f>C7561*E7561</f>
      </c>
    </row>
    <row r="7562">
      <c r="A7562" s="5"/>
      <c r="B7562" s="16" t="s">
        <v>2608</v>
      </c>
      <c r="C7562" s="22">
        <f>(25)*(1)*(1)*(1)*(1 + (0))</f>
      </c>
      <c r="D7562" s="22" t="s">
        <v>162</v>
      </c>
      <c r="E7562" s="22"/>
      <c r="F7562" s="22">
        <f>C7562*E7562</f>
      </c>
    </row>
    <row r="7563">
      <c r="A7563" s="5"/>
      <c r="B7563" s="16" t="s">
        <v>2609</v>
      </c>
      <c r="C7563" s="22">
        <f>(41)*(1)*(1)*(1)*(1 + (0))</f>
      </c>
      <c r="D7563" s="22" t="s">
        <v>162</v>
      </c>
      <c r="E7563" s="22"/>
      <c r="F7563" s="22">
        <f>C7563*E7563</f>
      </c>
    </row>
    <row r="7564">
      <c r="A7564" s="5"/>
      <c r="B7564" s="16" t="s">
        <v>2610</v>
      </c>
      <c r="C7564" s="22">
        <f>(106)*(1)*(1)*(1)*(1 + (0))</f>
      </c>
      <c r="D7564" s="22" t="s">
        <v>162</v>
      </c>
      <c r="E7564" s="22"/>
      <c r="F7564" s="22">
        <f>C7564*E7564</f>
      </c>
    </row>
    <row r="7565">
      <c r="A7565" s="5"/>
      <c r="B7565" s="16" t="s">
        <v>2611</v>
      </c>
      <c r="C7565" s="22">
        <f>(51)*(1)*(1)*(1)*(1 + (0))</f>
      </c>
      <c r="D7565" s="22" t="s">
        <v>162</v>
      </c>
      <c r="E7565" s="22"/>
      <c r="F7565" s="22">
        <f>C7565*E7565</f>
      </c>
    </row>
    <row r="7566">
      <c r="A7566" s="5"/>
      <c r="B7566" s="16" t="s">
        <v>2612</v>
      </c>
      <c r="C7566" s="22">
        <f>(86)*(1)*(1)*(1)*(1 + (0))</f>
      </c>
      <c r="D7566" s="22" t="s">
        <v>162</v>
      </c>
      <c r="E7566" s="22"/>
      <c r="F7566" s="22">
        <f>C7566*E7566</f>
      </c>
    </row>
    <row r="7567">
      <c r="A7567" s="6"/>
      <c r="B7567" s="15" t="s">
        <v>2517</v>
      </c>
      <c r="C7567" s="23"/>
      <c r="D7567" s="23"/>
      <c r="E7567" s="23"/>
      <c r="F7567" s="23"/>
    </row>
    <row r="7568">
      <c r="A7568" s="5"/>
      <c r="B7568" s="16" t="s">
        <v>2613</v>
      </c>
      <c r="C7568" s="22">
        <f>(13)*(1)*(1)*(1)*(1 + (0))</f>
      </c>
      <c r="D7568" s="22" t="s">
        <v>162</v>
      </c>
      <c r="E7568" s="22"/>
      <c r="F7568" s="22">
        <f>C7568*E7568</f>
      </c>
    </row>
    <row r="7569">
      <c r="A7569" s="5"/>
      <c r="B7569" s="16" t="s">
        <v>2614</v>
      </c>
      <c r="C7569" s="22">
        <f>(50)*(1)*(1)*(1)*(1 + (0))</f>
      </c>
      <c r="D7569" s="22" t="s">
        <v>162</v>
      </c>
      <c r="E7569" s="22"/>
      <c r="F7569" s="22">
        <f>C7569*E7569</f>
      </c>
    </row>
    <row r="7570">
      <c r="A7570" s="5"/>
      <c r="B7570" s="16" t="s">
        <v>2615</v>
      </c>
      <c r="C7570" s="22">
        <f>(62)*(1)*(1)*(1)*(1 + (0))</f>
      </c>
      <c r="D7570" s="22" t="s">
        <v>162</v>
      </c>
      <c r="E7570" s="22"/>
      <c r="F7570" s="22">
        <f>C7570*E7570</f>
      </c>
    </row>
    <row r="7571">
      <c r="A7571" s="5"/>
      <c r="B7571" s="16" t="s">
        <v>2616</v>
      </c>
      <c r="C7571" s="22">
        <f>(77)*(1)*(1)*(1)*(1 + (0))</f>
      </c>
      <c r="D7571" s="22" t="s">
        <v>162</v>
      </c>
      <c r="E7571" s="22"/>
      <c r="F7571" s="22">
        <f>C7571*E7571</f>
      </c>
    </row>
    <row r="7572">
      <c r="A7572" s="5"/>
      <c r="B7572" s="16" t="s">
        <v>2617</v>
      </c>
      <c r="C7572" s="22">
        <f>(220)*(1)*(1)*(1)*(1 + (0))</f>
      </c>
      <c r="D7572" s="22" t="s">
        <v>162</v>
      </c>
      <c r="E7572" s="22"/>
      <c r="F7572" s="22">
        <f>C7572*E7572</f>
      </c>
    </row>
    <row r="7573">
      <c r="A7573" s="5"/>
      <c r="B7573" s="16" t="s">
        <v>2618</v>
      </c>
      <c r="C7573" s="22">
        <f>(231)*(1)*(1)*(1)*(1 + (0))</f>
      </c>
      <c r="D7573" s="22" t="s">
        <v>162</v>
      </c>
      <c r="E7573" s="22"/>
      <c r="F7573" s="22">
        <f>C7573*E7573</f>
      </c>
    </row>
    <row r="7574">
      <c r="A7574" s="5"/>
      <c r="B7574" s="16" t="s">
        <v>2619</v>
      </c>
      <c r="C7574" s="22">
        <f>(324)*(1)*(1)*(1)*(1 + (0))</f>
      </c>
      <c r="D7574" s="22" t="s">
        <v>162</v>
      </c>
      <c r="E7574" s="22"/>
      <c r="F7574" s="22">
        <f>C7574*E7574</f>
      </c>
    </row>
    <row r="7575">
      <c r="A7575" s="5"/>
      <c r="B7575" s="16" t="s">
        <v>2620</v>
      </c>
      <c r="C7575" s="22">
        <f>(182)*(1)*(1)*(1)*(1 + (0))</f>
      </c>
      <c r="D7575" s="22" t="s">
        <v>162</v>
      </c>
      <c r="E7575" s="22"/>
      <c r="F7575" s="22">
        <f>C7575*E7575</f>
      </c>
    </row>
    <row r="7576">
      <c r="A7576" s="5"/>
      <c r="B7576" s="16" t="s">
        <v>2621</v>
      </c>
      <c r="C7576" s="22">
        <f>(123)*(1)*(1)*(1)*(1 + (0))</f>
      </c>
      <c r="D7576" s="22" t="s">
        <v>162</v>
      </c>
      <c r="E7576" s="22"/>
      <c r="F7576" s="22">
        <f>C7576*E7576</f>
      </c>
    </row>
    <row r="7577">
      <c r="A7577" s="5"/>
      <c r="B7577" s="16" t="s">
        <v>2622</v>
      </c>
      <c r="C7577" s="22">
        <f>(39)*(1)*(1)*(1)*(1 + (0))</f>
      </c>
      <c r="D7577" s="22" t="s">
        <v>162</v>
      </c>
      <c r="E7577" s="22"/>
      <c r="F7577" s="22">
        <f>C7577*E7577</f>
      </c>
    </row>
    <row r="7578">
      <c r="A7578" s="5"/>
      <c r="B7578" s="16" t="s">
        <v>2623</v>
      </c>
      <c r="C7578" s="22">
        <f>(140)*(1)*(1)*(1)*(1 + (0))</f>
      </c>
      <c r="D7578" s="22" t="s">
        <v>162</v>
      </c>
      <c r="E7578" s="22"/>
      <c r="F7578" s="22">
        <f>C7578*E7578</f>
      </c>
    </row>
    <row r="7579">
      <c r="A7579" s="5"/>
      <c r="B7579" s="16" t="s">
        <v>2624</v>
      </c>
      <c r="C7579" s="22">
        <f>(92)*(1)*(1)*(1)*(1 + (0))</f>
      </c>
      <c r="D7579" s="22" t="s">
        <v>162</v>
      </c>
      <c r="E7579" s="22"/>
      <c r="F7579" s="22">
        <f>C7579*E7579</f>
      </c>
    </row>
    <row r="7580">
      <c r="A7580" s="5"/>
      <c r="B7580" s="16" t="s">
        <v>2625</v>
      </c>
      <c r="C7580" s="22">
        <f>(42)*(1)*(1)*(1)*(1 + (0))</f>
      </c>
      <c r="D7580" s="22" t="s">
        <v>162</v>
      </c>
      <c r="E7580" s="22"/>
      <c r="F7580" s="22">
        <f>C7580*E7580</f>
      </c>
    </row>
    <row r="7581">
      <c r="A7581" s="5"/>
      <c r="B7581" s="16" t="s">
        <v>2626</v>
      </c>
      <c r="C7581" s="22">
        <f>(238)*(1)*(1)*(1)*(1 + (0))</f>
      </c>
      <c r="D7581" s="22" t="s">
        <v>162</v>
      </c>
      <c r="E7581" s="22"/>
      <c r="F7581" s="22">
        <f>C7581*E7581</f>
      </c>
    </row>
    <row r="7582">
      <c r="A7582" s="5"/>
      <c r="B7582" s="16" t="s">
        <v>2627</v>
      </c>
      <c r="C7582" s="22">
        <f>(172)*(1)*(1)*(1)*(1 + (0))</f>
      </c>
      <c r="D7582" s="22" t="s">
        <v>162</v>
      </c>
      <c r="E7582" s="22"/>
      <c r="F7582" s="22">
        <f>C7582*E7582</f>
      </c>
    </row>
    <row r="7583">
      <c r="A7583" s="5"/>
      <c r="B7583" s="16" t="s">
        <v>2628</v>
      </c>
      <c r="C7583" s="22">
        <f>(344)*(1)*(1)*(1)*(1 + (0))</f>
      </c>
      <c r="D7583" s="22" t="s">
        <v>162</v>
      </c>
      <c r="E7583" s="22"/>
      <c r="F7583" s="22">
        <f>C7583*E7583</f>
      </c>
    </row>
    <row r="7584">
      <c r="A7584" s="5"/>
      <c r="B7584" s="16" t="s">
        <v>2629</v>
      </c>
      <c r="C7584" s="22">
        <f>(238)*(1)*(1)*(1)*(1 + (0))</f>
      </c>
      <c r="D7584" s="22" t="s">
        <v>162</v>
      </c>
      <c r="E7584" s="22"/>
      <c r="F7584" s="22">
        <f>C7584*E7584</f>
      </c>
    </row>
    <row r="7585">
      <c r="A7585" s="5"/>
      <c r="B7585" s="16" t="s">
        <v>2630</v>
      </c>
      <c r="C7585" s="22">
        <f>(25)*(1)*(1)*(1)*(1 + (0))</f>
      </c>
      <c r="D7585" s="22" t="s">
        <v>162</v>
      </c>
      <c r="E7585" s="22"/>
      <c r="F7585" s="22">
        <f>C7585*E7585</f>
      </c>
    </row>
    <row r="7586">
      <c r="A7586" s="5"/>
      <c r="B7586" s="16" t="s">
        <v>2631</v>
      </c>
      <c r="C7586" s="22">
        <f>(85)*(1)*(1)*(1)*(1 + (0))</f>
      </c>
      <c r="D7586" s="22" t="s">
        <v>162</v>
      </c>
      <c r="E7586" s="22"/>
      <c r="F7586" s="22">
        <f>C7586*E7586</f>
      </c>
    </row>
    <row r="7587">
      <c r="A7587" s="5"/>
      <c r="B7587" s="16" t="s">
        <v>2632</v>
      </c>
      <c r="C7587" s="22">
        <f>(85)*(1)*(1)*(1)*(1 + (0))</f>
      </c>
      <c r="D7587" s="22" t="s">
        <v>162</v>
      </c>
      <c r="E7587" s="22"/>
      <c r="F7587" s="22">
        <f>C7587*E7587</f>
      </c>
    </row>
    <row r="7588">
      <c r="A7588" s="3"/>
      <c r="B7588" s="11" t="s">
        <v>2633</v>
      </c>
      <c r="C7588" s="20"/>
      <c r="D7588" s="20"/>
      <c r="E7588" s="20"/>
      <c r="F7588" s="20"/>
    </row>
    <row r="7589">
      <c r="A7589" s="4"/>
      <c r="B7589" s="12" t="s">
        <v>2634</v>
      </c>
      <c r="C7589" s="21"/>
      <c r="D7589" s="21"/>
      <c r="E7589" s="21"/>
      <c r="F7589" s="21"/>
    </row>
    <row r="7590">
      <c r="A7590" s="6"/>
      <c r="B7590" s="15" t="s">
        <v>2521</v>
      </c>
      <c r="C7590" s="23"/>
      <c r="D7590" s="23"/>
      <c r="E7590" s="23"/>
      <c r="F7590" s="23"/>
    </row>
    <row r="7591">
      <c r="A7591" s="5"/>
      <c r="B7591" s="16" t="s">
        <v>2635</v>
      </c>
      <c r="C7591" s="22">
        <f>(141)*(1)*(1)*(1)*(1 + (0))</f>
      </c>
      <c r="D7591" s="22" t="s">
        <v>24</v>
      </c>
      <c r="E7591" s="22"/>
      <c r="F7591" s="22">
        <f>C7591*E7591</f>
      </c>
    </row>
    <row r="7592">
      <c r="A7592" s="5"/>
      <c r="B7592" s="16" t="s">
        <v>2636</v>
      </c>
      <c r="C7592" s="22">
        <f>(141)*(1)*(1)*(1)*(1 + (0))</f>
      </c>
      <c r="D7592" s="22" t="s">
        <v>24</v>
      </c>
      <c r="E7592" s="22"/>
      <c r="F7592" s="22">
        <f>C7592*E7592</f>
      </c>
    </row>
    <row r="7593">
      <c r="A7593" s="5"/>
      <c r="B7593" s="16" t="s">
        <v>2637</v>
      </c>
      <c r="C7593" s="22">
        <f>(141)*(1)*(1)*(1)*(1 + (0))</f>
      </c>
      <c r="D7593" s="22" t="s">
        <v>24</v>
      </c>
      <c r="E7593" s="22"/>
      <c r="F7593" s="22">
        <f>C7593*E7593</f>
      </c>
    </row>
    <row r="7594">
      <c r="A7594" s="5"/>
      <c r="B7594" s="16" t="s">
        <v>2638</v>
      </c>
      <c r="C7594" s="22">
        <f>(141)*(1)*(1)*(1)*(1 + (0))</f>
      </c>
      <c r="D7594" s="22" t="s">
        <v>24</v>
      </c>
      <c r="E7594" s="22"/>
      <c r="F7594" s="22">
        <f>C7594*E7594</f>
      </c>
    </row>
    <row r="7595">
      <c r="A7595" s="5"/>
      <c r="B7595" s="16" t="s">
        <v>2639</v>
      </c>
      <c r="C7595" s="22">
        <f>(43)*(1)*(1)*(1)*(1 + (0))</f>
      </c>
      <c r="D7595" s="22" t="s">
        <v>111</v>
      </c>
      <c r="E7595" s="22"/>
      <c r="F7595" s="22">
        <f>C7595*E7595</f>
      </c>
    </row>
    <row r="7596">
      <c r="A7596" s="6"/>
      <c r="B7596" s="15" t="s">
        <v>2542</v>
      </c>
      <c r="C7596" s="23"/>
      <c r="D7596" s="23"/>
      <c r="E7596" s="23"/>
      <c r="F7596" s="23"/>
    </row>
    <row r="7597">
      <c r="A7597" s="5"/>
      <c r="B7597" s="16" t="s">
        <v>2635</v>
      </c>
      <c r="C7597" s="22">
        <f>(1432)*(1)*(1)*(1)*(1 + (0))</f>
      </c>
      <c r="D7597" s="22" t="s">
        <v>24</v>
      </c>
      <c r="E7597" s="22"/>
      <c r="F7597" s="22">
        <f>C7597*E7597</f>
      </c>
    </row>
    <row r="7598">
      <c r="A7598" s="5"/>
      <c r="B7598" s="16" t="s">
        <v>2636</v>
      </c>
      <c r="C7598" s="22">
        <f>(1432)*(1)*(1)*(1)*(1 + (0))</f>
      </c>
      <c r="D7598" s="22" t="s">
        <v>24</v>
      </c>
      <c r="E7598" s="22"/>
      <c r="F7598" s="22">
        <f>C7598*E7598</f>
      </c>
    </row>
    <row r="7599">
      <c r="A7599" s="5"/>
      <c r="B7599" s="16" t="s">
        <v>2637</v>
      </c>
      <c r="C7599" s="22">
        <f>(1432)*(1)*(1)*(1)*(1 + (0))</f>
      </c>
      <c r="D7599" s="22" t="s">
        <v>24</v>
      </c>
      <c r="E7599" s="22"/>
      <c r="F7599" s="22">
        <f>C7599*E7599</f>
      </c>
    </row>
    <row r="7600">
      <c r="A7600" s="5"/>
      <c r="B7600" s="16" t="s">
        <v>2638</v>
      </c>
      <c r="C7600" s="22">
        <f>(1432)*(1)*(1)*(1)*(1 + (0))</f>
      </c>
      <c r="D7600" s="22" t="s">
        <v>24</v>
      </c>
      <c r="E7600" s="22"/>
      <c r="F7600" s="22">
        <f>C7600*E7600</f>
      </c>
    </row>
    <row r="7601">
      <c r="A7601" s="5"/>
      <c r="B7601" s="16" t="s">
        <v>2639</v>
      </c>
      <c r="C7601" s="22">
        <f>(430)*(1)*(1)*(1)*(1 + (0))</f>
      </c>
      <c r="D7601" s="22" t="s">
        <v>111</v>
      </c>
      <c r="E7601" s="22"/>
      <c r="F7601" s="22">
        <f>C7601*E7601</f>
      </c>
    </row>
    <row r="7602">
      <c r="A7602" s="6"/>
      <c r="B7602" s="15" t="s">
        <v>2559</v>
      </c>
      <c r="C7602" s="23"/>
      <c r="D7602" s="23"/>
      <c r="E7602" s="23"/>
      <c r="F7602" s="23"/>
    </row>
    <row r="7603">
      <c r="A7603" s="5"/>
      <c r="B7603" s="16" t="s">
        <v>2635</v>
      </c>
      <c r="C7603" s="22">
        <f>(70)*(1)*(1)*(1)*(1 + (0))</f>
      </c>
      <c r="D7603" s="22" t="s">
        <v>24</v>
      </c>
      <c r="E7603" s="22"/>
      <c r="F7603" s="22">
        <f>C7603*E7603</f>
      </c>
    </row>
    <row r="7604">
      <c r="A7604" s="5"/>
      <c r="B7604" s="16" t="s">
        <v>2636</v>
      </c>
      <c r="C7604" s="22">
        <f>(70)*(1)*(1)*(1)*(1 + (0))</f>
      </c>
      <c r="D7604" s="22" t="s">
        <v>24</v>
      </c>
      <c r="E7604" s="22"/>
      <c r="F7604" s="22">
        <f>C7604*E7604</f>
      </c>
    </row>
    <row r="7605">
      <c r="A7605" s="5"/>
      <c r="B7605" s="16" t="s">
        <v>2637</v>
      </c>
      <c r="C7605" s="22">
        <f>(70)*(1)*(1)*(1)*(1 + (0))</f>
      </c>
      <c r="D7605" s="22" t="s">
        <v>24</v>
      </c>
      <c r="E7605" s="22"/>
      <c r="F7605" s="22">
        <f>C7605*E7605</f>
      </c>
    </row>
    <row r="7606">
      <c r="A7606" s="5"/>
      <c r="B7606" s="16" t="s">
        <v>2640</v>
      </c>
      <c r="C7606" s="22">
        <f>(70)*(1)*(1)*(1)*(1 + (0))</f>
      </c>
      <c r="D7606" s="22" t="s">
        <v>24</v>
      </c>
      <c r="E7606" s="22"/>
      <c r="F7606" s="22">
        <f>C7606*E7606</f>
      </c>
    </row>
    <row r="7607">
      <c r="A7607" s="5"/>
      <c r="B7607" s="16" t="s">
        <v>2639</v>
      </c>
      <c r="C7607" s="22">
        <f>(21)*(1)*(1)*(1)*(1 + (0))</f>
      </c>
      <c r="D7607" s="22" t="s">
        <v>111</v>
      </c>
      <c r="E7607" s="22"/>
      <c r="F7607" s="22">
        <f>C7607*E7607</f>
      </c>
    </row>
    <row r="7608">
      <c r="A7608" s="6"/>
      <c r="B7608" s="15" t="s">
        <v>2641</v>
      </c>
      <c r="C7608" s="23"/>
      <c r="D7608" s="23"/>
      <c r="E7608" s="23"/>
      <c r="F7608" s="23"/>
    </row>
    <row r="7609">
      <c r="A7609" s="5"/>
      <c r="B7609" s="16" t="s">
        <v>2635</v>
      </c>
      <c r="C7609" s="22">
        <f>(90)*(1)*(1)*(1)*(1 + (0))</f>
      </c>
      <c r="D7609" s="22" t="s">
        <v>24</v>
      </c>
      <c r="E7609" s="22"/>
      <c r="F7609" s="22">
        <f>C7609*E7609</f>
      </c>
    </row>
    <row r="7610">
      <c r="A7610" s="5"/>
      <c r="B7610" s="16" t="s">
        <v>2636</v>
      </c>
      <c r="C7610" s="22">
        <f>(90)*(1)*(1)*(1)*(1 + (0))</f>
      </c>
      <c r="D7610" s="22" t="s">
        <v>24</v>
      </c>
      <c r="E7610" s="22"/>
      <c r="F7610" s="22">
        <f>C7610*E7610</f>
      </c>
    </row>
    <row r="7611">
      <c r="A7611" s="5"/>
      <c r="B7611" s="16" t="s">
        <v>2637</v>
      </c>
      <c r="C7611" s="22">
        <f>(90)*(1)*(1)*(1)*(1 + (0))</f>
      </c>
      <c r="D7611" s="22" t="s">
        <v>24</v>
      </c>
      <c r="E7611" s="22"/>
      <c r="F7611" s="22">
        <f>C7611*E7611</f>
      </c>
    </row>
    <row r="7612">
      <c r="A7612" s="5"/>
      <c r="B7612" s="16" t="s">
        <v>2640</v>
      </c>
      <c r="C7612" s="22">
        <f>(90)*(1)*(1)*(1)*(1 + (0))</f>
      </c>
      <c r="D7612" s="22" t="s">
        <v>24</v>
      </c>
      <c r="E7612" s="22"/>
      <c r="F7612" s="22">
        <f>C7612*E7612</f>
      </c>
    </row>
    <row r="7613">
      <c r="A7613" s="5"/>
      <c r="B7613" s="16" t="s">
        <v>2639</v>
      </c>
      <c r="C7613" s="22">
        <f>(27)*(1)*(1)*(1)*(1 + (0))</f>
      </c>
      <c r="D7613" s="22" t="s">
        <v>111</v>
      </c>
      <c r="E7613" s="22"/>
      <c r="F7613" s="22">
        <f>C7613*E7613</f>
      </c>
    </row>
    <row r="7614">
      <c r="A7614" s="6"/>
      <c r="B7614" s="15" t="s">
        <v>2642</v>
      </c>
      <c r="C7614" s="23"/>
      <c r="D7614" s="23"/>
      <c r="E7614" s="23"/>
      <c r="F7614" s="23"/>
    </row>
    <row r="7615">
      <c r="A7615" s="5"/>
      <c r="B7615" s="16" t="s">
        <v>2635</v>
      </c>
      <c r="C7615" s="22">
        <f>(107)*(1)*(1)*(1)*(1 + (0))</f>
      </c>
      <c r="D7615" s="22" t="s">
        <v>24</v>
      </c>
      <c r="E7615" s="22"/>
      <c r="F7615" s="22">
        <f>C7615*E7615</f>
      </c>
    </row>
    <row r="7616">
      <c r="A7616" s="5"/>
      <c r="B7616" s="16" t="s">
        <v>2636</v>
      </c>
      <c r="C7616" s="22">
        <f>(107)*(1)*(1)*(1)*(1 + (0))</f>
      </c>
      <c r="D7616" s="22" t="s">
        <v>24</v>
      </c>
      <c r="E7616" s="22"/>
      <c r="F7616" s="22">
        <f>C7616*E7616</f>
      </c>
    </row>
    <row r="7617">
      <c r="A7617" s="5"/>
      <c r="B7617" s="16" t="s">
        <v>2637</v>
      </c>
      <c r="C7617" s="22">
        <f>(107)*(1)*(1)*(1)*(1 + (0))</f>
      </c>
      <c r="D7617" s="22" t="s">
        <v>24</v>
      </c>
      <c r="E7617" s="22"/>
      <c r="F7617" s="22">
        <f>C7617*E7617</f>
      </c>
    </row>
    <row r="7618">
      <c r="A7618" s="5"/>
      <c r="B7618" s="16" t="s">
        <v>2640</v>
      </c>
      <c r="C7618" s="22">
        <f>(107)*(1)*(1)*(1)*(1 + (0))</f>
      </c>
      <c r="D7618" s="22" t="s">
        <v>24</v>
      </c>
      <c r="E7618" s="22"/>
      <c r="F7618" s="22">
        <f>C7618*E7618</f>
      </c>
    </row>
    <row r="7619">
      <c r="A7619" s="5"/>
      <c r="B7619" s="16" t="s">
        <v>2639</v>
      </c>
      <c r="C7619" s="22">
        <f>(33)*(1)*(1)*(1)*(1 + (0))</f>
      </c>
      <c r="D7619" s="22" t="s">
        <v>111</v>
      </c>
      <c r="E7619" s="22"/>
      <c r="F7619" s="22">
        <f>C7619*E7619</f>
      </c>
    </row>
    <row r="7620">
      <c r="A7620" s="6"/>
      <c r="B7620" s="15" t="s">
        <v>2643</v>
      </c>
      <c r="C7620" s="23"/>
      <c r="D7620" s="23"/>
      <c r="E7620" s="23"/>
      <c r="F7620" s="23"/>
    </row>
    <row r="7621">
      <c r="A7621" s="5"/>
      <c r="B7621" s="16" t="s">
        <v>2635</v>
      </c>
      <c r="C7621" s="22">
        <f>(114)*(1)*(1)*(1)*(1 + (0))</f>
      </c>
      <c r="D7621" s="22" t="s">
        <v>24</v>
      </c>
      <c r="E7621" s="22"/>
      <c r="F7621" s="22">
        <f>C7621*E7621</f>
      </c>
    </row>
    <row r="7622">
      <c r="A7622" s="5"/>
      <c r="B7622" s="16" t="s">
        <v>2636</v>
      </c>
      <c r="C7622" s="22">
        <f>(114)*(1)*(1)*(1)*(1 + (0))</f>
      </c>
      <c r="D7622" s="22" t="s">
        <v>24</v>
      </c>
      <c r="E7622" s="22"/>
      <c r="F7622" s="22">
        <f>C7622*E7622</f>
      </c>
    </row>
    <row r="7623">
      <c r="A7623" s="5"/>
      <c r="B7623" s="16" t="s">
        <v>2637</v>
      </c>
      <c r="C7623" s="22">
        <f>(114)*(1)*(1)*(1)*(1 + (0))</f>
      </c>
      <c r="D7623" s="22" t="s">
        <v>24</v>
      </c>
      <c r="E7623" s="22"/>
      <c r="F7623" s="22">
        <f>C7623*E7623</f>
      </c>
    </row>
    <row r="7624">
      <c r="A7624" s="5"/>
      <c r="B7624" s="16" t="s">
        <v>2640</v>
      </c>
      <c r="C7624" s="22">
        <f>(114)*(1)*(1)*(1)*(1 + (0))</f>
      </c>
      <c r="D7624" s="22" t="s">
        <v>24</v>
      </c>
      <c r="E7624" s="22"/>
      <c r="F7624" s="22">
        <f>C7624*E7624</f>
      </c>
    </row>
    <row r="7625">
      <c r="A7625" s="5"/>
      <c r="B7625" s="16" t="s">
        <v>2639</v>
      </c>
      <c r="C7625" s="22">
        <f>(35)*(1)*(1)*(1)*(1 + (0))</f>
      </c>
      <c r="D7625" s="22" t="s">
        <v>111</v>
      </c>
      <c r="E7625" s="22"/>
      <c r="F7625" s="22">
        <f>C7625*E7625</f>
      </c>
    </row>
    <row r="7626">
      <c r="A7626" s="6"/>
      <c r="B7626" s="15" t="s">
        <v>2644</v>
      </c>
      <c r="C7626" s="23"/>
      <c r="D7626" s="23"/>
      <c r="E7626" s="23"/>
      <c r="F7626" s="23"/>
    </row>
    <row r="7627">
      <c r="A7627" s="5"/>
      <c r="B7627" s="16" t="s">
        <v>2635</v>
      </c>
      <c r="C7627" s="22">
        <f>(496)*(1)*(1)*(1)*(1 + (0))</f>
      </c>
      <c r="D7627" s="22" t="s">
        <v>24</v>
      </c>
      <c r="E7627" s="22"/>
      <c r="F7627" s="22">
        <f>C7627*E7627</f>
      </c>
    </row>
    <row r="7628">
      <c r="A7628" s="5"/>
      <c r="B7628" s="16" t="s">
        <v>2636</v>
      </c>
      <c r="C7628" s="22">
        <f>(496)*(1)*(1)*(1)*(1 + (0))</f>
      </c>
      <c r="D7628" s="22" t="s">
        <v>24</v>
      </c>
      <c r="E7628" s="22"/>
      <c r="F7628" s="22">
        <f>C7628*E7628</f>
      </c>
    </row>
    <row r="7629">
      <c r="A7629" s="5"/>
      <c r="B7629" s="16" t="s">
        <v>2637</v>
      </c>
      <c r="C7629" s="22">
        <f>(496)*(1)*(1)*(1)*(1 + (0))</f>
      </c>
      <c r="D7629" s="22" t="s">
        <v>24</v>
      </c>
      <c r="E7629" s="22"/>
      <c r="F7629" s="22">
        <f>C7629*E7629</f>
      </c>
    </row>
    <row r="7630">
      <c r="A7630" s="5"/>
      <c r="B7630" s="16" t="s">
        <v>2640</v>
      </c>
      <c r="C7630" s="22">
        <f>(496)*(1)*(1)*(1)*(1 + (0))</f>
      </c>
      <c r="D7630" s="22" t="s">
        <v>24</v>
      </c>
      <c r="E7630" s="22"/>
      <c r="F7630" s="22">
        <f>C7630*E7630</f>
      </c>
    </row>
    <row r="7631">
      <c r="A7631" s="5"/>
      <c r="B7631" s="16" t="s">
        <v>2639</v>
      </c>
      <c r="C7631" s="22">
        <f>(149)*(1)*(1)*(1)*(1 + (0))</f>
      </c>
      <c r="D7631" s="22" t="s">
        <v>111</v>
      </c>
      <c r="E7631" s="22"/>
      <c r="F7631" s="22">
        <f>C7631*E7631</f>
      </c>
    </row>
    <row r="7632">
      <c r="A7632" s="4"/>
      <c r="B7632" s="12" t="s">
        <v>2645</v>
      </c>
      <c r="C7632" s="21"/>
      <c r="D7632" s="21"/>
      <c r="E7632" s="21"/>
      <c r="F7632" s="21"/>
    </row>
    <row r="7633">
      <c r="A7633" s="5"/>
      <c r="B7633" s="13" t="s">
        <v>2646</v>
      </c>
      <c r="C7633" s="22">
        <f>(314)*(1)*(1)*(1)*(1 + (0))</f>
      </c>
      <c r="D7633" s="22" t="s">
        <v>24</v>
      </c>
      <c r="E7633" s="22"/>
      <c r="F7633" s="22">
        <f>C7633*E7633</f>
      </c>
    </row>
    <row r="7634">
      <c r="A7634" s="5"/>
      <c r="B7634" s="13" t="s">
        <v>2647</v>
      </c>
      <c r="C7634" s="22">
        <f>(314)*(1)*(1)*(1)*(1 + (0))</f>
      </c>
      <c r="D7634" s="22" t="s">
        <v>24</v>
      </c>
      <c r="E7634" s="22"/>
      <c r="F7634" s="22">
        <f>C7634*E7634</f>
      </c>
    </row>
    <row r="7635">
      <c r="A7635" s="5"/>
      <c r="B7635" s="13" t="s">
        <v>2640</v>
      </c>
      <c r="C7635" s="22">
        <f>(314)*(1)*(1)*(1)*(1 + (0))</f>
      </c>
      <c r="D7635" s="22" t="s">
        <v>24</v>
      </c>
      <c r="E7635" s="22"/>
      <c r="F7635" s="22">
        <f>C7635*E7635</f>
      </c>
    </row>
    <row r="7636">
      <c r="A7636" s="5"/>
      <c r="B7636" s="13" t="s">
        <v>2648</v>
      </c>
      <c r="C7636" s="22">
        <f>(63)*(1)*(1)*(1)*(1 + (0))</f>
      </c>
      <c r="D7636" s="22" t="s">
        <v>111</v>
      </c>
      <c r="E7636" s="22"/>
      <c r="F7636" s="22">
        <f>C7636*E7636</f>
      </c>
    </row>
    <row r="7637">
      <c r="A7637" s="4"/>
      <c r="B7637" s="12" t="s">
        <v>2649</v>
      </c>
      <c r="C7637" s="21"/>
      <c r="D7637" s="21"/>
      <c r="E7637" s="21"/>
      <c r="F7637" s="21"/>
    </row>
    <row r="7638">
      <c r="A7638" s="5"/>
      <c r="B7638" s="13" t="s">
        <v>2650</v>
      </c>
      <c r="C7638" s="22">
        <f>(122)*(1)*(1)*(1)*(1 + (0))</f>
      </c>
      <c r="D7638" s="22" t="s">
        <v>162</v>
      </c>
      <c r="E7638" s="22"/>
      <c r="F7638" s="22">
        <f>C7638*E7638</f>
      </c>
    </row>
    <row r="7639">
      <c r="A7639" s="5"/>
      <c r="B7639" s="13" t="s">
        <v>2651</v>
      </c>
      <c r="C7639" s="22">
        <f>(122)*(1)*(1)*(1)*(1 + (0))</f>
      </c>
      <c r="D7639" s="22" t="s">
        <v>162</v>
      </c>
      <c r="E7639" s="22"/>
      <c r="F7639" s="22">
        <f>C7639*E7639</f>
      </c>
    </row>
    <row r="7640">
      <c r="A7640" s="5"/>
      <c r="B7640" s="13" t="s">
        <v>2652</v>
      </c>
      <c r="C7640" s="22">
        <f>(122)*(1)*(1)*(1)*(1 + (0))</f>
      </c>
      <c r="D7640" s="22" t="s">
        <v>162</v>
      </c>
      <c r="E7640" s="22"/>
      <c r="F7640" s="22">
        <f>C7640*E7640</f>
      </c>
    </row>
    <row r="7641">
      <c r="A7641" s="5"/>
      <c r="B7641" s="13" t="s">
        <v>2653</v>
      </c>
      <c r="C7641" s="22">
        <f>(122)*(1)*(1)*(1)*(1 + (0))</f>
      </c>
      <c r="D7641" s="22" t="s">
        <v>162</v>
      </c>
      <c r="E7641" s="22"/>
      <c r="F7641" s="22">
        <f>C7641*E7641</f>
      </c>
    </row>
    <row r="7642">
      <c r="A7642" s="4"/>
      <c r="B7642" s="12" t="s">
        <v>2654</v>
      </c>
      <c r="C7642" s="21"/>
      <c r="D7642" s="21"/>
      <c r="E7642" s="21"/>
      <c r="F7642" s="21"/>
    </row>
    <row r="7643">
      <c r="A7643" s="5"/>
      <c r="B7643" s="13" t="s">
        <v>2655</v>
      </c>
      <c r="C7643" s="22">
        <f>(15674)*(1)*(1)*(1)*(1 + (0))</f>
      </c>
      <c r="D7643" s="22" t="s">
        <v>24</v>
      </c>
      <c r="E7643" s="22"/>
      <c r="F7643" s="22">
        <f>C7643*E7643</f>
      </c>
    </row>
    <row r="7644">
      <c r="A7644" s="5"/>
      <c r="B7644" s="13" t="s">
        <v>2656</v>
      </c>
      <c r="C7644" s="22">
        <f>(15674)*(1)*(1)*(1)*(1 + (0))</f>
      </c>
      <c r="D7644" s="22" t="s">
        <v>24</v>
      </c>
      <c r="E7644" s="22"/>
      <c r="F7644" s="22">
        <f>C7644*E7644</f>
      </c>
    </row>
    <row r="7645">
      <c r="A7645" s="5"/>
      <c r="B7645" s="13" t="s">
        <v>2640</v>
      </c>
      <c r="C7645" s="22">
        <f>(15674)*(1)*(1)*(1)*(1 + (0))</f>
      </c>
      <c r="D7645" s="22" t="s">
        <v>24</v>
      </c>
      <c r="E7645" s="22"/>
      <c r="F7645" s="22">
        <f>C7645*E7645</f>
      </c>
    </row>
    <row r="7646">
      <c r="A7646" s="4"/>
      <c r="B7646" s="12" t="s">
        <v>2657</v>
      </c>
      <c r="C7646" s="21"/>
      <c r="D7646" s="21"/>
      <c r="E7646" s="21"/>
      <c r="F7646" s="21"/>
    </row>
    <row r="7647">
      <c r="A7647" s="5"/>
      <c r="B7647" s="13" t="s">
        <v>2658</v>
      </c>
      <c r="C7647" s="22">
        <f>(2967)*(1)*(1)*(1)*(1 + (0))</f>
      </c>
      <c r="D7647" s="22" t="s">
        <v>24</v>
      </c>
      <c r="E7647" s="22"/>
      <c r="F7647" s="22">
        <f>C7647*E7647</f>
      </c>
    </row>
    <row r="7648">
      <c r="A7648" s="4"/>
      <c r="B7648" s="12" t="s">
        <v>2659</v>
      </c>
      <c r="C7648" s="21"/>
      <c r="D7648" s="21"/>
      <c r="E7648" s="21"/>
      <c r="F7648" s="21"/>
    </row>
    <row r="7649">
      <c r="A7649" s="5"/>
      <c r="B7649" s="13" t="s">
        <v>2660</v>
      </c>
      <c r="C7649" s="22">
        <f>(157)*(1)*(1)*(1)*(1 + (0))</f>
      </c>
      <c r="D7649" s="22" t="s">
        <v>153</v>
      </c>
      <c r="E7649" s="22"/>
      <c r="F7649" s="22">
        <f>C7649*E7649</f>
      </c>
    </row>
    <row r="7650">
      <c r="A7650" s="5"/>
      <c r="B7650" s="13" t="s">
        <v>2661</v>
      </c>
      <c r="C7650" s="22">
        <f>(24)*(1)*(1)*(1)*(1 + (0))</f>
      </c>
      <c r="D7650" s="22" t="s">
        <v>153</v>
      </c>
      <c r="E7650" s="22"/>
      <c r="F7650" s="22">
        <f>C7650*E7650</f>
      </c>
    </row>
    <row r="7651">
      <c r="A7651" s="2"/>
      <c r="B7651" s="10" t="s">
        <v>2662</v>
      </c>
      <c r="C7651" s="19"/>
      <c r="D7651" s="19"/>
      <c r="E7651" s="19"/>
      <c r="F7651" s="19"/>
    </row>
    <row r="7652">
      <c r="A7652" s="3"/>
      <c r="B7652" s="11" t="s">
        <v>37</v>
      </c>
      <c r="C7652" s="20"/>
      <c r="D7652" s="20"/>
      <c r="E7652" s="20"/>
      <c r="F7652" s="20"/>
    </row>
    <row r="7653">
      <c r="A7653" s="5" t="s">
        <v>2399</v>
      </c>
      <c r="B7653" s="14" t="s">
        <v>2400</v>
      </c>
      <c r="C7653" s="22"/>
      <c r="D7653" s="22" t="s">
        <v>10</v>
      </c>
      <c r="E7653" s="22"/>
      <c r="F7653" s="22">
        <f>C7653*E7653</f>
      </c>
    </row>
    <row r="7654">
      <c r="A7654" s="5" t="s">
        <v>2401</v>
      </c>
      <c r="B7654" s="14" t="s">
        <v>41</v>
      </c>
      <c r="C7654" s="22"/>
      <c r="D7654" s="22" t="s">
        <v>10</v>
      </c>
      <c r="E7654" s="22"/>
      <c r="F7654" s="22">
        <f>C7654*E7654</f>
      </c>
    </row>
    <row r="7655">
      <c r="A7655" s="3"/>
      <c r="B7655" s="11" t="s">
        <v>42</v>
      </c>
      <c r="C7655" s="20"/>
      <c r="D7655" s="20"/>
      <c r="E7655" s="20"/>
      <c r="F7655" s="20"/>
    </row>
    <row r="7656">
      <c r="A7656" s="5" t="s">
        <v>2401</v>
      </c>
      <c r="B7656" s="14" t="s">
        <v>2663</v>
      </c>
      <c r="C7656" s="22"/>
      <c r="D7656" s="22" t="s">
        <v>10</v>
      </c>
      <c r="E7656" s="22"/>
      <c r="F7656" s="22">
        <f>C7656*E7656</f>
      </c>
    </row>
    <row r="7657">
      <c r="A7657" s="5" t="s">
        <v>2401</v>
      </c>
      <c r="B7657" s="14" t="s">
        <v>2403</v>
      </c>
      <c r="C7657" s="22"/>
      <c r="D7657" s="22" t="s">
        <v>10</v>
      </c>
      <c r="E7657" s="22"/>
      <c r="F7657" s="22">
        <f>C7657*E7657</f>
      </c>
    </row>
    <row r="7658">
      <c r="A7658" s="5" t="s">
        <v>2401</v>
      </c>
      <c r="B7658" s="14" t="s">
        <v>2664</v>
      </c>
      <c r="C7658" s="22"/>
      <c r="D7658" s="22" t="s">
        <v>10</v>
      </c>
      <c r="E7658" s="22"/>
      <c r="F7658" s="22">
        <f>C7658*E7658</f>
      </c>
    </row>
    <row r="7659">
      <c r="A7659" s="5" t="s">
        <v>2401</v>
      </c>
      <c r="B7659" s="14" t="s">
        <v>2404</v>
      </c>
      <c r="C7659" s="22"/>
      <c r="D7659" s="22" t="s">
        <v>10</v>
      </c>
      <c r="E7659" s="22"/>
      <c r="F7659" s="22">
        <f>C7659*E7659</f>
      </c>
    </row>
    <row r="7660">
      <c r="A7660" s="5"/>
      <c r="B7660" s="14" t="s">
        <v>2292</v>
      </c>
      <c r="C7660" s="22"/>
      <c r="D7660" s="22" t="s">
        <v>10</v>
      </c>
      <c r="E7660" s="22"/>
      <c r="F7660" s="22">
        <f>C7660*E7660</f>
      </c>
    </row>
    <row r="7661">
      <c r="A7661" s="5"/>
      <c r="B7661" s="14" t="s">
        <v>2665</v>
      </c>
      <c r="C7661" s="22"/>
      <c r="D7661" s="22" t="s">
        <v>10</v>
      </c>
      <c r="E7661" s="22"/>
      <c r="F7661" s="22">
        <f>C7661*E7661</f>
      </c>
    </row>
    <row r="7662">
      <c r="A7662" s="5"/>
      <c r="B7662" s="14" t="s">
        <v>2666</v>
      </c>
      <c r="C7662" s="22"/>
      <c r="D7662" s="22" t="s">
        <v>10</v>
      </c>
      <c r="E7662" s="22"/>
      <c r="F7662" s="22">
        <f>C7662*E7662</f>
      </c>
    </row>
    <row r="7663">
      <c r="A7663" s="3"/>
      <c r="B7663" s="11" t="s">
        <v>44</v>
      </c>
      <c r="C7663" s="20"/>
      <c r="D7663" s="20"/>
      <c r="E7663" s="20"/>
      <c r="F7663" s="20"/>
    </row>
    <row r="7664">
      <c r="A7664" s="4"/>
      <c r="B7664" s="12" t="s">
        <v>2405</v>
      </c>
      <c r="C7664" s="21"/>
      <c r="D7664" s="21"/>
      <c r="E7664" s="21"/>
      <c r="F7664" s="21"/>
    </row>
    <row r="7665">
      <c r="A7665" s="5" t="s">
        <v>2406</v>
      </c>
      <c r="B7665" s="13" t="s">
        <v>2446</v>
      </c>
      <c r="C7665" s="22"/>
      <c r="D7665" s="22" t="s">
        <v>10</v>
      </c>
      <c r="E7665" s="22"/>
      <c r="F7665" s="22">
        <f>C7665*E7665</f>
      </c>
    </row>
    <row r="7666">
      <c r="A7666" s="5" t="s">
        <v>2407</v>
      </c>
      <c r="B7666" s="13" t="s">
        <v>49</v>
      </c>
      <c r="C7666" s="22"/>
      <c r="D7666" s="22" t="s">
        <v>10</v>
      </c>
      <c r="E7666" s="22"/>
      <c r="F7666" s="22">
        <f>C7666*E7666</f>
      </c>
    </row>
    <row r="7667">
      <c r="A7667" s="5" t="s">
        <v>2408</v>
      </c>
      <c r="B7667" s="13" t="s">
        <v>2447</v>
      </c>
      <c r="C7667" s="22"/>
      <c r="D7667" s="22" t="s">
        <v>10</v>
      </c>
      <c r="E7667" s="22"/>
      <c r="F7667" s="22">
        <f>C7667*E7667</f>
      </c>
    </row>
    <row r="7668">
      <c r="A7668" s="5" t="s">
        <v>2409</v>
      </c>
      <c r="B7668" s="13" t="s">
        <v>2448</v>
      </c>
      <c r="C7668" s="22"/>
      <c r="D7668" s="22" t="s">
        <v>10</v>
      </c>
      <c r="E7668" s="22"/>
      <c r="F7668" s="22">
        <f>C7668*E7668</f>
      </c>
    </row>
    <row r="7669">
      <c r="A7669" s="5" t="s">
        <v>2410</v>
      </c>
      <c r="B7669" s="13" t="s">
        <v>57</v>
      </c>
      <c r="C7669" s="22"/>
      <c r="D7669" s="22" t="s">
        <v>10</v>
      </c>
      <c r="E7669" s="22"/>
      <c r="F7669" s="22">
        <f>C7669*E7669</f>
      </c>
    </row>
    <row r="7670">
      <c r="A7670" s="5" t="s">
        <v>2411</v>
      </c>
      <c r="B7670" s="13" t="s">
        <v>61</v>
      </c>
      <c r="C7670" s="22"/>
      <c r="D7670" s="22" t="s">
        <v>10</v>
      </c>
      <c r="E7670" s="22"/>
      <c r="F7670" s="22">
        <f>C7670*E7670</f>
      </c>
    </row>
    <row r="7671">
      <c r="A7671" s="5" t="s">
        <v>2449</v>
      </c>
      <c r="B7671" s="13" t="s">
        <v>67</v>
      </c>
      <c r="C7671" s="22"/>
      <c r="D7671" s="22" t="s">
        <v>10</v>
      </c>
      <c r="E7671" s="22"/>
      <c r="F7671" s="22">
        <f>C7671*E7671</f>
      </c>
    </row>
    <row r="7672">
      <c r="A7672" s="5" t="s">
        <v>2450</v>
      </c>
      <c r="B7672" s="13" t="s">
        <v>123</v>
      </c>
      <c r="C7672" s="22"/>
      <c r="D7672" s="22" t="s">
        <v>10</v>
      </c>
      <c r="E7672" s="22"/>
      <c r="F7672" s="22">
        <f>C7672*E7672</f>
      </c>
    </row>
    <row r="7673">
      <c r="A7673" s="3"/>
      <c r="B7673" s="11" t="s">
        <v>68</v>
      </c>
      <c r="C7673" s="20"/>
      <c r="D7673" s="20"/>
      <c r="E7673" s="20"/>
      <c r="F7673" s="20"/>
    </row>
    <row r="7674">
      <c r="A7674" s="5" t="s">
        <v>2412</v>
      </c>
      <c r="B7674" s="14" t="s">
        <v>83</v>
      </c>
      <c r="C7674" s="22">
        <f>(1)*(1)*(1)*(1)*(1 + (0))</f>
      </c>
      <c r="D7674" s="22" t="s">
        <v>71</v>
      </c>
      <c r="E7674" s="22"/>
      <c r="F7674" s="22">
        <f>C7674*E7674</f>
      </c>
    </row>
    <row r="7675">
      <c r="A7675" s="5" t="s">
        <v>2413</v>
      </c>
      <c r="B7675" s="14" t="s">
        <v>707</v>
      </c>
      <c r="C7675" s="22">
        <f>(1)*(1)*(1)*(1)*(1 + (0))</f>
      </c>
      <c r="D7675" s="22" t="s">
        <v>71</v>
      </c>
      <c r="E7675" s="22"/>
      <c r="F7675" s="22">
        <f>C7675*E7675</f>
      </c>
    </row>
    <row r="7676">
      <c r="A7676" s="5" t="s">
        <v>2415</v>
      </c>
      <c r="B7676" s="14" t="s">
        <v>2451</v>
      </c>
      <c r="C7676" s="22">
        <f>(1)*(1)*(1)*(1)*(1 + (0))</f>
      </c>
      <c r="D7676" s="22" t="s">
        <v>71</v>
      </c>
      <c r="E7676" s="22"/>
      <c r="F7676" s="22">
        <f>C7676*E7676</f>
      </c>
    </row>
    <row r="7677">
      <c r="A7677" s="5" t="s">
        <v>2416</v>
      </c>
      <c r="B7677" s="14" t="s">
        <v>492</v>
      </c>
      <c r="C7677" s="22">
        <f>(1)*(1)*(1)*(1)*(1 + (0))</f>
      </c>
      <c r="D7677" s="22" t="s">
        <v>71</v>
      </c>
      <c r="E7677" s="22"/>
      <c r="F7677" s="22">
        <f>C7677*E7677</f>
      </c>
    </row>
    <row r="7678">
      <c r="A7678" s="5" t="s">
        <v>2417</v>
      </c>
      <c r="B7678" s="14" t="s">
        <v>665</v>
      </c>
      <c r="C7678" s="22">
        <f>(1)*(1)*(1)*(1)*(1 + (0))</f>
      </c>
      <c r="D7678" s="22" t="s">
        <v>71</v>
      </c>
      <c r="E7678" s="22"/>
      <c r="F7678" s="22">
        <f>C7678*E7678</f>
      </c>
    </row>
    <row r="7679">
      <c r="A7679" s="5" t="s">
        <v>2418</v>
      </c>
      <c r="B7679" s="14" t="s">
        <v>81</v>
      </c>
      <c r="C7679" s="22">
        <f>(1)*(1)*(1)*(1)*(1 + (0))</f>
      </c>
      <c r="D7679" s="22" t="s">
        <v>71</v>
      </c>
      <c r="E7679" s="22"/>
      <c r="F7679" s="22">
        <f>C7679*E7679</f>
      </c>
    </row>
    <row r="7680">
      <c r="A7680" s="5" t="s">
        <v>2452</v>
      </c>
      <c r="B7680" s="14" t="s">
        <v>2453</v>
      </c>
      <c r="C7680" s="22">
        <f>(1)*(1)*(1)*(1)*(1 + (0))</f>
      </c>
      <c r="D7680" s="22" t="s">
        <v>71</v>
      </c>
      <c r="E7680" s="22"/>
      <c r="F7680" s="22">
        <f>C7680*E7680</f>
      </c>
    </row>
    <row r="7681">
      <c r="A7681" s="5" t="s">
        <v>2454</v>
      </c>
      <c r="B7681" s="14" t="s">
        <v>2455</v>
      </c>
      <c r="C7681" s="22">
        <f>(1)*(1)*(1)*(1)*(1 + (0))</f>
      </c>
      <c r="D7681" s="22" t="s">
        <v>71</v>
      </c>
      <c r="E7681" s="22"/>
      <c r="F7681" s="22">
        <f>C7681*E7681</f>
      </c>
    </row>
    <row r="7682">
      <c r="A7682" s="5" t="s">
        <v>2456</v>
      </c>
      <c r="B7682" s="14" t="s">
        <v>2457</v>
      </c>
      <c r="C7682" s="22">
        <f>(1)*(1)*(1)*(1)*(1 + (0))</f>
      </c>
      <c r="D7682" s="22" t="s">
        <v>71</v>
      </c>
      <c r="E7682" s="22"/>
      <c r="F7682" s="22">
        <f>C7682*E7682</f>
      </c>
    </row>
    <row r="7683">
      <c r="A7683" s="5" t="s">
        <v>2458</v>
      </c>
      <c r="B7683" s="14" t="s">
        <v>2459</v>
      </c>
      <c r="C7683" s="22">
        <f>(1)*(1)*(1)*(1)*(1 + (0))</f>
      </c>
      <c r="D7683" s="22" t="s">
        <v>71</v>
      </c>
      <c r="E7683" s="22"/>
      <c r="F7683" s="22">
        <f>C7683*E7683</f>
      </c>
    </row>
    <row r="7684">
      <c r="A7684" s="5" t="s">
        <v>2460</v>
      </c>
      <c r="B7684" s="14" t="s">
        <v>2461</v>
      </c>
      <c r="C7684" s="22">
        <f>(1)*(1)*(1)*(1)*(1 + (0))</f>
      </c>
      <c r="D7684" s="22" t="s">
        <v>71</v>
      </c>
      <c r="E7684" s="22"/>
      <c r="F7684" s="22">
        <f>C7684*E7684</f>
      </c>
    </row>
    <row r="7685">
      <c r="A7685" s="3"/>
      <c r="B7685" s="11" t="s">
        <v>106</v>
      </c>
      <c r="C7685" s="20"/>
      <c r="D7685" s="20"/>
      <c r="E7685" s="20"/>
      <c r="F7685" s="20"/>
    </row>
    <row r="7686">
      <c r="A7686" s="5"/>
      <c r="B7686" s="14" t="s">
        <v>2419</v>
      </c>
      <c r="C7686" s="22"/>
      <c r="D7686" s="22" t="s">
        <v>10</v>
      </c>
      <c r="E7686" s="22"/>
      <c r="F7686" s="22">
        <f>C7686*E7686</f>
      </c>
    </row>
    <row r="7687">
      <c r="A7687" s="3"/>
      <c r="B7687" s="11" t="s">
        <v>2667</v>
      </c>
      <c r="C7687" s="20"/>
      <c r="D7687" s="20"/>
      <c r="E7687" s="20"/>
      <c r="F7687" s="20"/>
    </row>
    <row r="7688">
      <c r="A7688" s="4"/>
      <c r="B7688" s="12" t="s">
        <v>2668</v>
      </c>
      <c r="C7688" s="21"/>
      <c r="D7688" s="21"/>
      <c r="E7688" s="21"/>
      <c r="F7688" s="21"/>
    </row>
    <row r="7689">
      <c r="A7689" s="6"/>
      <c r="B7689" s="15" t="s">
        <v>2669</v>
      </c>
      <c r="C7689" s="23"/>
      <c r="D7689" s="23"/>
      <c r="E7689" s="23"/>
      <c r="F7689" s="23"/>
    </row>
    <row r="7690">
      <c r="A7690" s="5"/>
      <c r="B7690" s="16" t="s">
        <v>2670</v>
      </c>
      <c r="C7690" s="22">
        <f>(84)*(1)*(1)*(1)*(1 + (0))</f>
      </c>
      <c r="D7690" s="22" t="s">
        <v>24</v>
      </c>
      <c r="E7690" s="22"/>
      <c r="F7690" s="22">
        <f>C7690*E7690</f>
      </c>
    </row>
    <row r="7691">
      <c r="A7691" s="5"/>
      <c r="B7691" s="16" t="s">
        <v>2671</v>
      </c>
      <c r="C7691" s="22">
        <f>(55)*(1)*(1)*(1)*(1 + (0))</f>
      </c>
      <c r="D7691" s="22" t="s">
        <v>153</v>
      </c>
      <c r="E7691" s="22"/>
      <c r="F7691" s="22">
        <f>C7691*E7691</f>
      </c>
    </row>
    <row r="7692">
      <c r="A7692" s="5"/>
      <c r="B7692" s="16" t="s">
        <v>2672</v>
      </c>
      <c r="C7692" s="22">
        <f>(84)*(1)*(1)*(1)*(1 + (0))</f>
      </c>
      <c r="D7692" s="22" t="s">
        <v>24</v>
      </c>
      <c r="E7692" s="22"/>
      <c r="F7692" s="22">
        <f>C7692*E7692</f>
      </c>
    </row>
    <row r="7693">
      <c r="A7693" s="5"/>
      <c r="B7693" s="16" t="s">
        <v>2673</v>
      </c>
      <c r="C7693" s="22">
        <f>(84)*(1)*(1)*(1)*(1 + (0))</f>
      </c>
      <c r="D7693" s="22" t="s">
        <v>24</v>
      </c>
      <c r="E7693" s="22"/>
      <c r="F7693" s="22">
        <f>C7693*E7693</f>
      </c>
    </row>
    <row r="7694">
      <c r="A7694" s="5"/>
      <c r="B7694" s="16" t="s">
        <v>2674</v>
      </c>
      <c r="C7694" s="22">
        <f>(84)*(1)*(1)*(1)*(1 + (0))</f>
      </c>
      <c r="D7694" s="22" t="s">
        <v>24</v>
      </c>
      <c r="E7694" s="22"/>
      <c r="F7694" s="22">
        <f>C7694*E7694</f>
      </c>
    </row>
    <row r="7695">
      <c r="A7695" s="6"/>
      <c r="B7695" s="15" t="s">
        <v>2675</v>
      </c>
      <c r="C7695" s="23"/>
      <c r="D7695" s="23"/>
      <c r="E7695" s="23"/>
      <c r="F7695" s="23"/>
    </row>
    <row r="7696">
      <c r="A7696" s="5"/>
      <c r="B7696" s="16" t="s">
        <v>2676</v>
      </c>
      <c r="C7696" s="22">
        <f>(1035)*(1)*(1)*(1)*(1 + (0))</f>
      </c>
      <c r="D7696" s="22" t="s">
        <v>24</v>
      </c>
      <c r="E7696" s="22"/>
      <c r="F7696" s="22">
        <f>C7696*E7696</f>
      </c>
    </row>
    <row r="7697">
      <c r="A7697" s="5"/>
      <c r="B7697" s="16" t="s">
        <v>2677</v>
      </c>
      <c r="C7697" s="22">
        <f>(1035)*(1)*(1)*(1)*(1 + (0))</f>
      </c>
      <c r="D7697" s="22" t="s">
        <v>24</v>
      </c>
      <c r="E7697" s="22"/>
      <c r="F7697" s="22">
        <f>C7697*E7697</f>
      </c>
    </row>
    <row r="7698">
      <c r="A7698" s="5"/>
      <c r="B7698" s="16" t="s">
        <v>2678</v>
      </c>
      <c r="C7698" s="22">
        <f>(1035)*(1)*(1)*(1)*(1 + (0))</f>
      </c>
      <c r="D7698" s="22" t="s">
        <v>24</v>
      </c>
      <c r="E7698" s="22"/>
      <c r="F7698" s="22">
        <f>C7698*E7698</f>
      </c>
    </row>
    <row r="7699">
      <c r="A7699" s="5"/>
      <c r="B7699" s="16" t="s">
        <v>2679</v>
      </c>
      <c r="C7699" s="22">
        <f>(1035)*(1)*(1)*(1)*(1 + (0))</f>
      </c>
      <c r="D7699" s="22" t="s">
        <v>24</v>
      </c>
      <c r="E7699" s="22"/>
      <c r="F7699" s="22">
        <f>C7699*E7699</f>
      </c>
    </row>
    <row r="7700">
      <c r="A7700" s="6"/>
      <c r="B7700" s="15" t="s">
        <v>2680</v>
      </c>
      <c r="C7700" s="23"/>
      <c r="D7700" s="23"/>
      <c r="E7700" s="23"/>
      <c r="F7700" s="23"/>
    </row>
    <row r="7701">
      <c r="A7701" s="5"/>
      <c r="B7701" s="16" t="s">
        <v>2681</v>
      </c>
      <c r="C7701" s="22">
        <f>(143)*(1)*(1)*(1)*(1 + (0))</f>
      </c>
      <c r="D7701" s="22" t="s">
        <v>24</v>
      </c>
      <c r="E7701" s="22"/>
      <c r="F7701" s="22">
        <f>C7701*E7701</f>
      </c>
    </row>
    <row r="7702">
      <c r="A7702" s="5"/>
      <c r="B7702" s="16" t="s">
        <v>2682</v>
      </c>
      <c r="C7702" s="22">
        <f>(143)*(1)*(1)*(1)*(1 + (0))</f>
      </c>
      <c r="D7702" s="22" t="s">
        <v>24</v>
      </c>
      <c r="E7702" s="22"/>
      <c r="F7702" s="22">
        <f>C7702*E7702</f>
      </c>
    </row>
    <row r="7703">
      <c r="A7703" s="5"/>
      <c r="B7703" s="16" t="s">
        <v>2683</v>
      </c>
      <c r="C7703" s="22">
        <f>(143)*(1)*(1)*(1)*(1 + (0))</f>
      </c>
      <c r="D7703" s="22" t="s">
        <v>24</v>
      </c>
      <c r="E7703" s="22"/>
      <c r="F7703" s="22">
        <f>C7703*E7703</f>
      </c>
    </row>
    <row r="7704">
      <c r="A7704" s="5"/>
      <c r="B7704" s="16" t="s">
        <v>2684</v>
      </c>
      <c r="C7704" s="22">
        <f>(33)*(1)*(1)*(1)*(1 + (0))</f>
      </c>
      <c r="D7704" s="22" t="s">
        <v>24</v>
      </c>
      <c r="E7704" s="22"/>
      <c r="F7704" s="22">
        <f>C7704*E7704</f>
      </c>
    </row>
    <row r="7705">
      <c r="A7705" s="5"/>
      <c r="B7705" s="16" t="s">
        <v>2685</v>
      </c>
      <c r="C7705" s="22">
        <f>(81)*(1)*(1)*(1)*(1 + (0))</f>
      </c>
      <c r="D7705" s="22" t="s">
        <v>24</v>
      </c>
      <c r="E7705" s="22"/>
      <c r="F7705" s="22">
        <f>C7705*E7705</f>
      </c>
    </row>
    <row r="7706">
      <c r="A7706" s="5"/>
      <c r="B7706" s="16" t="s">
        <v>2686</v>
      </c>
      <c r="C7706" s="22">
        <f>(30)*(1)*(1)*(1)*(1 + (0))</f>
      </c>
      <c r="D7706" s="22" t="s">
        <v>24</v>
      </c>
      <c r="E7706" s="22"/>
      <c r="F7706" s="22">
        <f>C7706*E7706</f>
      </c>
    </row>
    <row r="7707">
      <c r="A7707" s="6"/>
      <c r="B7707" s="15" t="s">
        <v>2687</v>
      </c>
      <c r="C7707" s="23"/>
      <c r="D7707" s="23"/>
      <c r="E7707" s="23"/>
      <c r="F7707" s="23"/>
    </row>
    <row r="7708">
      <c r="A7708" s="5"/>
      <c r="B7708" s="16" t="s">
        <v>2688</v>
      </c>
      <c r="C7708" s="22">
        <f>(5)*(1)*(1)*(1)*(1 + (0))</f>
      </c>
      <c r="D7708" s="22" t="s">
        <v>162</v>
      </c>
      <c r="E7708" s="22"/>
      <c r="F7708" s="22">
        <f>C7708*E7708</f>
      </c>
    </row>
    <row r="7709">
      <c r="A7709" s="5"/>
      <c r="B7709" s="16" t="s">
        <v>2689</v>
      </c>
      <c r="C7709" s="22">
        <f>(69)*(1)*(1)*(1)*(1 + (0))</f>
      </c>
      <c r="D7709" s="22" t="s">
        <v>24</v>
      </c>
      <c r="E7709" s="22"/>
      <c r="F7709" s="22">
        <f>C7709*E7709</f>
      </c>
    </row>
    <row r="7710">
      <c r="A7710" s="5"/>
      <c r="B7710" s="16" t="s">
        <v>2690</v>
      </c>
      <c r="C7710" s="22">
        <f>(388)*(1)*(1)*(1)*(1 + (0))</f>
      </c>
      <c r="D7710" s="22" t="s">
        <v>153</v>
      </c>
      <c r="E7710" s="22"/>
      <c r="F7710" s="22">
        <f>C7710*E7710</f>
      </c>
    </row>
    <row r="7711">
      <c r="A7711" s="5"/>
      <c r="B7711" s="16" t="s">
        <v>2691</v>
      </c>
      <c r="C7711" s="22">
        <f>(2)*(1)*(1)*(1)*(1 + (0))</f>
      </c>
      <c r="D7711" s="22" t="s">
        <v>162</v>
      </c>
      <c r="E7711" s="22"/>
      <c r="F7711" s="22">
        <f>C7711*E7711</f>
      </c>
    </row>
    <row r="7712">
      <c r="A7712" s="5"/>
      <c r="B7712" s="16" t="s">
        <v>2692</v>
      </c>
      <c r="C7712" s="22">
        <f>(4)*(1)*(1)*(1)*(1 + (0))</f>
      </c>
      <c r="D7712" s="22" t="s">
        <v>162</v>
      </c>
      <c r="E7712" s="22"/>
      <c r="F7712" s="22">
        <f>C7712*E7712</f>
      </c>
    </row>
    <row r="7713">
      <c r="A7713" s="5"/>
      <c r="B7713" s="16" t="s">
        <v>2693</v>
      </c>
      <c r="C7713" s="22">
        <f>(32)*(1)*(1)*(1)*(1 + (0))</f>
      </c>
      <c r="D7713" s="22" t="s">
        <v>162</v>
      </c>
      <c r="E7713" s="22"/>
      <c r="F7713" s="22">
        <f>C7713*E7713</f>
      </c>
    </row>
    <row r="7714">
      <c r="A7714" s="6"/>
      <c r="B7714" s="15" t="s">
        <v>2694</v>
      </c>
      <c r="C7714" s="23"/>
      <c r="D7714" s="23"/>
      <c r="E7714" s="23"/>
      <c r="F7714" s="23"/>
    </row>
    <row r="7715">
      <c r="A7715" s="5"/>
      <c r="B7715" s="16" t="s">
        <v>2695</v>
      </c>
      <c r="C7715" s="22">
        <f>(134)*(1)*(1)*(1)*(1 + (0))</f>
      </c>
      <c r="D7715" s="22" t="s">
        <v>24</v>
      </c>
      <c r="E7715" s="22"/>
      <c r="F7715" s="22">
        <f>C7715*E7715</f>
      </c>
    </row>
    <row r="7716">
      <c r="A7716" s="6"/>
      <c r="B7716" s="15" t="s">
        <v>2696</v>
      </c>
      <c r="C7716" s="23"/>
      <c r="D7716" s="23"/>
      <c r="E7716" s="23"/>
      <c r="F7716" s="23"/>
    </row>
    <row r="7717">
      <c r="A7717" s="5"/>
      <c r="B7717" s="16" t="s">
        <v>2697</v>
      </c>
      <c r="C7717" s="22">
        <f>(40)*(1)*(1)*(1)*(1 + (0))</f>
      </c>
      <c r="D7717" s="22" t="s">
        <v>24</v>
      </c>
      <c r="E7717" s="22"/>
      <c r="F7717" s="22">
        <f>C7717*E7717</f>
      </c>
    </row>
    <row r="7718">
      <c r="A7718" s="6"/>
      <c r="B7718" s="15" t="s">
        <v>2698</v>
      </c>
      <c r="C7718" s="23"/>
      <c r="D7718" s="23"/>
      <c r="E7718" s="23"/>
      <c r="F7718" s="23"/>
    </row>
    <row r="7719">
      <c r="A7719" s="5"/>
      <c r="B7719" s="16" t="s">
        <v>2699</v>
      </c>
      <c r="C7719" s="22">
        <f>(7)*(1)*(1)*(1)*(1 + (0))</f>
      </c>
      <c r="D7719" s="22" t="s">
        <v>162</v>
      </c>
      <c r="E7719" s="22"/>
      <c r="F7719" s="22">
        <f>C7719*E7719</f>
      </c>
    </row>
    <row r="7720">
      <c r="A7720" s="4"/>
      <c r="B7720" s="12" t="s">
        <v>2700</v>
      </c>
      <c r="C7720" s="21"/>
      <c r="D7720" s="21"/>
      <c r="E7720" s="21"/>
      <c r="F7720" s="21"/>
    </row>
    <row r="7721">
      <c r="A7721" s="6"/>
      <c r="B7721" s="15" t="s">
        <v>2701</v>
      </c>
      <c r="C7721" s="23"/>
      <c r="D7721" s="23"/>
      <c r="E7721" s="23"/>
      <c r="F7721" s="23"/>
    </row>
    <row r="7722">
      <c r="A7722" s="5"/>
      <c r="B7722" s="16" t="s">
        <v>2702</v>
      </c>
      <c r="C7722" s="22">
        <f>(19)*(1)*(1)*(1)*(1 + (0))</f>
      </c>
      <c r="D7722" s="22" t="s">
        <v>111</v>
      </c>
      <c r="E7722" s="22"/>
      <c r="F7722" s="22">
        <f>C7722*E7722</f>
      </c>
    </row>
    <row r="7723">
      <c r="A7723" s="5"/>
      <c r="B7723" s="16" t="s">
        <v>2703</v>
      </c>
      <c r="C7723" s="22">
        <f>(81)*(1)*(1)*(1)*(1 + (0))</f>
      </c>
      <c r="D7723" s="22" t="s">
        <v>24</v>
      </c>
      <c r="E7723" s="22"/>
      <c r="F7723" s="22">
        <f>C7723*E7723</f>
      </c>
    </row>
    <row r="7724">
      <c r="A7724" s="5"/>
      <c r="B7724" s="16" t="s">
        <v>2704</v>
      </c>
      <c r="C7724" s="22">
        <f>(2)*(1)*(1)*(1)*(1 + (0))</f>
      </c>
      <c r="D7724" s="22" t="s">
        <v>182</v>
      </c>
      <c r="E7724" s="22"/>
      <c r="F7724" s="22">
        <f>C7724*E7724</f>
      </c>
    </row>
    <row r="7725">
      <c r="A7725" s="5"/>
      <c r="B7725" s="16" t="s">
        <v>959</v>
      </c>
      <c r="C7725" s="22">
        <f>(33)*(1)*(1)*(1)*(1 + (0))</f>
      </c>
      <c r="D7725" s="22" t="s">
        <v>153</v>
      </c>
      <c r="E7725" s="22"/>
      <c r="F7725" s="22">
        <f>C7725*E7725</f>
      </c>
    </row>
    <row r="7726">
      <c r="A7726" s="5"/>
      <c r="B7726" s="16" t="s">
        <v>2705</v>
      </c>
      <c r="C7726" s="22">
        <f>(81)*(1)*(1)*(1)*(1 + (0))</f>
      </c>
      <c r="D7726" s="22" t="s">
        <v>24</v>
      </c>
      <c r="E7726" s="22"/>
      <c r="F7726" s="22">
        <f>C7726*E7726</f>
      </c>
    </row>
    <row r="7727">
      <c r="A7727" s="5"/>
      <c r="B7727" s="16" t="s">
        <v>2706</v>
      </c>
      <c r="C7727" s="22">
        <f>(41)*(1)*(1)*(1)*(1 + (0))</f>
      </c>
      <c r="D7727" s="22" t="s">
        <v>24</v>
      </c>
      <c r="E7727" s="22"/>
      <c r="F7727" s="22">
        <f>C7727*E7727</f>
      </c>
    </row>
    <row r="7728">
      <c r="A7728" s="6"/>
      <c r="B7728" s="15" t="s">
        <v>2707</v>
      </c>
      <c r="C7728" s="23"/>
      <c r="D7728" s="23"/>
      <c r="E7728" s="23"/>
      <c r="F7728" s="23"/>
    </row>
    <row r="7729">
      <c r="A7729" s="5"/>
      <c r="B7729" s="16" t="s">
        <v>2708</v>
      </c>
      <c r="C7729" s="22">
        <f>(45)*(1)*(1)*(1)*(1 + (0))</f>
      </c>
      <c r="D7729" s="22" t="s">
        <v>153</v>
      </c>
      <c r="E7729" s="22"/>
      <c r="F7729" s="22">
        <f>C7729*E7729</f>
      </c>
    </row>
    <row r="7730">
      <c r="A7730" s="5"/>
      <c r="B7730" s="16" t="s">
        <v>2709</v>
      </c>
      <c r="C7730" s="22">
        <f>(7)*(1)*(1)*(1)*(1 + (0))</f>
      </c>
      <c r="D7730" s="22" t="s">
        <v>111</v>
      </c>
      <c r="E7730" s="22"/>
      <c r="F7730" s="22">
        <f>C7730*E7730</f>
      </c>
    </row>
    <row r="7731">
      <c r="A7731" s="5"/>
      <c r="B7731" s="16" t="s">
        <v>2710</v>
      </c>
      <c r="C7731" s="22">
        <f>(18)*(1)*(1)*(1)*(1 + (0))</f>
      </c>
      <c r="D7731" s="22" t="s">
        <v>24</v>
      </c>
      <c r="E7731" s="22"/>
      <c r="F7731" s="22">
        <f>C7731*E7731</f>
      </c>
    </row>
    <row r="7732">
      <c r="A7732" s="5"/>
      <c r="B7732" s="16" t="s">
        <v>2711</v>
      </c>
      <c r="C7732" s="22">
        <f>(1)*(1)*(1)*(1)*(1 + (0))</f>
      </c>
      <c r="D7732" s="22" t="s">
        <v>182</v>
      </c>
      <c r="E7732" s="22"/>
      <c r="F7732" s="22">
        <f>C7732*E7732</f>
      </c>
    </row>
    <row r="7733">
      <c r="A7733" s="5"/>
      <c r="B7733" s="16" t="s">
        <v>2712</v>
      </c>
      <c r="C7733" s="22">
        <f>(32)*(1)*(1)*(1)*(1 + (0))</f>
      </c>
      <c r="D7733" s="22" t="s">
        <v>24</v>
      </c>
      <c r="E7733" s="22"/>
      <c r="F7733" s="22">
        <f>C7733*E7733</f>
      </c>
    </row>
    <row r="7734">
      <c r="A7734" s="5"/>
      <c r="B7734" s="16" t="s">
        <v>959</v>
      </c>
      <c r="C7734" s="22">
        <f>(8)*(1)*(1)*(1)*(1 + (0))</f>
      </c>
      <c r="D7734" s="22" t="s">
        <v>24</v>
      </c>
      <c r="E7734" s="22"/>
      <c r="F7734" s="22">
        <f>C7734*E7734</f>
      </c>
    </row>
    <row r="7735">
      <c r="A7735" s="6"/>
      <c r="B7735" s="15" t="s">
        <v>2713</v>
      </c>
      <c r="C7735" s="23"/>
      <c r="D7735" s="23"/>
      <c r="E7735" s="23"/>
      <c r="F7735" s="23"/>
    </row>
    <row r="7736">
      <c r="A7736" s="5"/>
      <c r="B7736" s="16" t="s">
        <v>2714</v>
      </c>
      <c r="C7736" s="22">
        <f>(11)*(1)*(1)*(1)*(1 + (0))</f>
      </c>
      <c r="D7736" s="22" t="s">
        <v>111</v>
      </c>
      <c r="E7736" s="22"/>
      <c r="F7736" s="22">
        <f>C7736*E7736</f>
      </c>
    </row>
    <row r="7737">
      <c r="A7737" s="5"/>
      <c r="B7737" s="16" t="s">
        <v>2715</v>
      </c>
      <c r="C7737" s="22">
        <f>(68)*(1)*(1)*(1)*(1 + (0))</f>
      </c>
      <c r="D7737" s="22" t="s">
        <v>24</v>
      </c>
      <c r="E7737" s="22"/>
      <c r="F7737" s="22">
        <f>C7737*E7737</f>
      </c>
    </row>
    <row r="7738">
      <c r="A7738" s="5"/>
      <c r="B7738" s="16" t="s">
        <v>2716</v>
      </c>
      <c r="C7738" s="22">
        <f>(2)*(1)*(1)*(1)*(1 + (0))</f>
      </c>
      <c r="D7738" s="22" t="s">
        <v>182</v>
      </c>
      <c r="E7738" s="22"/>
      <c r="F7738" s="22">
        <f>C7738*E7738</f>
      </c>
    </row>
    <row r="7739">
      <c r="A7739" s="6"/>
      <c r="B7739" s="15" t="s">
        <v>2717</v>
      </c>
      <c r="C7739" s="23"/>
      <c r="D7739" s="23"/>
      <c r="E7739" s="23"/>
      <c r="F7739" s="23"/>
    </row>
    <row r="7740">
      <c r="A7740" s="5"/>
      <c r="B7740" s="16" t="s">
        <v>2718</v>
      </c>
      <c r="C7740" s="22">
        <f>(7)*(1)*(1)*(1)*(1 + (0))</f>
      </c>
      <c r="D7740" s="22" t="s">
        <v>111</v>
      </c>
      <c r="E7740" s="22"/>
      <c r="F7740" s="22">
        <f>C7740*E7740</f>
      </c>
    </row>
    <row r="7741">
      <c r="A7741" s="5"/>
      <c r="B7741" s="16" t="s">
        <v>2719</v>
      </c>
      <c r="C7741" s="22">
        <f>(34)*(1)*(1)*(1)*(1 + (0))</f>
      </c>
      <c r="D7741" s="22" t="s">
        <v>24</v>
      </c>
      <c r="E7741" s="22"/>
      <c r="F7741" s="22">
        <f>C7741*E7741</f>
      </c>
    </row>
    <row r="7742">
      <c r="A7742" s="5"/>
      <c r="B7742" s="16" t="s">
        <v>2720</v>
      </c>
      <c r="C7742" s="22">
        <f>(1)*(1)*(1)*(1)*(1 + (0))</f>
      </c>
      <c r="D7742" s="22" t="s">
        <v>111</v>
      </c>
      <c r="E7742" s="22"/>
      <c r="F7742" s="22">
        <f>C7742*E7742</f>
      </c>
    </row>
    <row r="7743">
      <c r="A7743" s="5"/>
      <c r="B7743" s="16" t="s">
        <v>959</v>
      </c>
      <c r="C7743" s="22">
        <f>(34)*(1)*(1)*(1)*(1 + (0))</f>
      </c>
      <c r="D7743" s="22" t="s">
        <v>24</v>
      </c>
      <c r="E7743" s="22"/>
      <c r="F7743" s="22">
        <f>C7743*E7743</f>
      </c>
    </row>
    <row r="7744">
      <c r="A7744" s="6"/>
      <c r="B7744" s="15" t="s">
        <v>2721</v>
      </c>
      <c r="C7744" s="23"/>
      <c r="D7744" s="23"/>
      <c r="E7744" s="23"/>
      <c r="F7744" s="23"/>
    </row>
    <row r="7745">
      <c r="A7745" s="5"/>
      <c r="B7745" s="16" t="s">
        <v>2722</v>
      </c>
      <c r="C7745" s="22">
        <f>(1)*(1)*(1)*(1)*(1 + (0))</f>
      </c>
      <c r="D7745" s="22" t="s">
        <v>111</v>
      </c>
      <c r="E7745" s="22"/>
      <c r="F7745" s="22">
        <f>C7745*E7745</f>
      </c>
    </row>
    <row r="7746">
      <c r="A7746" s="5"/>
      <c r="B7746" s="16" t="s">
        <v>2723</v>
      </c>
      <c r="C7746" s="22">
        <f>(6)*(1)*(1)*(1)*(1 + (0))</f>
      </c>
      <c r="D7746" s="22" t="s">
        <v>24</v>
      </c>
      <c r="E7746" s="22"/>
      <c r="F7746" s="22">
        <f>C7746*E7746</f>
      </c>
    </row>
    <row r="7747">
      <c r="A7747" s="5"/>
      <c r="B7747" s="16" t="s">
        <v>2724</v>
      </c>
      <c r="C7747" s="22">
        <f>(1)*(1)*(1)*(1)*(1 + (0))</f>
      </c>
      <c r="D7747" s="22" t="s">
        <v>111</v>
      </c>
      <c r="E7747" s="22"/>
      <c r="F7747" s="22">
        <f>C7747*E7747</f>
      </c>
    </row>
    <row r="7748">
      <c r="A7748" s="5"/>
      <c r="B7748" s="16" t="s">
        <v>959</v>
      </c>
      <c r="C7748" s="22">
        <f>(3)*(1)*(1)*(1)*(1 + (0))</f>
      </c>
      <c r="D7748" s="22" t="s">
        <v>24</v>
      </c>
      <c r="E7748" s="22"/>
      <c r="F7748" s="22">
        <f>C7748*E7748</f>
      </c>
    </row>
    <row r="7749">
      <c r="A7749" s="6"/>
      <c r="B7749" s="15" t="s">
        <v>2725</v>
      </c>
      <c r="C7749" s="23"/>
      <c r="D7749" s="23"/>
      <c r="E7749" s="23"/>
      <c r="F7749" s="23"/>
    </row>
    <row r="7750">
      <c r="A7750" s="5"/>
      <c r="B7750" s="16" t="s">
        <v>2722</v>
      </c>
      <c r="C7750" s="22">
        <f>(2)*(1)*(1)*(1)*(1 + (0))</f>
      </c>
      <c r="D7750" s="22" t="s">
        <v>111</v>
      </c>
      <c r="E7750" s="22"/>
      <c r="F7750" s="22">
        <f>C7750*E7750</f>
      </c>
    </row>
    <row r="7751">
      <c r="A7751" s="5"/>
      <c r="B7751" s="16" t="s">
        <v>2723</v>
      </c>
      <c r="C7751" s="22">
        <f>(5)*(1)*(1)*(1)*(1 + (0))</f>
      </c>
      <c r="D7751" s="22" t="s">
        <v>24</v>
      </c>
      <c r="E7751" s="22"/>
      <c r="F7751" s="22">
        <f>C7751*E7751</f>
      </c>
    </row>
    <row r="7752">
      <c r="A7752" s="5"/>
      <c r="B7752" s="16" t="s">
        <v>2724</v>
      </c>
      <c r="C7752" s="22">
        <f>(2)*(1)*(1)*(1)*(1 + (0))</f>
      </c>
      <c r="D7752" s="22" t="s">
        <v>111</v>
      </c>
      <c r="E7752" s="22"/>
      <c r="F7752" s="22">
        <f>C7752*E7752</f>
      </c>
    </row>
    <row r="7753">
      <c r="A7753" s="5"/>
      <c r="B7753" s="16" t="s">
        <v>959</v>
      </c>
      <c r="C7753" s="22">
        <f>(5)*(1)*(1)*(1)*(1 + (0))</f>
      </c>
      <c r="D7753" s="22" t="s">
        <v>24</v>
      </c>
      <c r="E7753" s="22"/>
      <c r="F7753" s="22">
        <f>C7753*E7753</f>
      </c>
    </row>
    <row r="7754">
      <c r="A7754" s="6"/>
      <c r="B7754" s="15" t="s">
        <v>2726</v>
      </c>
      <c r="C7754" s="23"/>
      <c r="D7754" s="23"/>
      <c r="E7754" s="23"/>
      <c r="F7754" s="23"/>
    </row>
    <row r="7755">
      <c r="A7755" s="5"/>
      <c r="B7755" s="16" t="s">
        <v>2727</v>
      </c>
      <c r="C7755" s="22">
        <f>(9)*(1)*(1)*(1)*(1 + (0))</f>
      </c>
      <c r="D7755" s="22" t="s">
        <v>162</v>
      </c>
      <c r="E7755" s="22"/>
      <c r="F7755" s="22">
        <f>C7755*E7755</f>
      </c>
    </row>
    <row r="7756">
      <c r="A7756" s="5"/>
      <c r="B7756" s="16" t="s">
        <v>2728</v>
      </c>
      <c r="C7756" s="22">
        <f>(2)*(1)*(1)*(1)*(1 + (0))</f>
      </c>
      <c r="D7756" s="22" t="s">
        <v>162</v>
      </c>
      <c r="E7756" s="22"/>
      <c r="F7756" s="22">
        <f>C7756*E7756</f>
      </c>
    </row>
    <row r="7757">
      <c r="A7757" s="5"/>
      <c r="B7757" s="16" t="s">
        <v>2729</v>
      </c>
      <c r="C7757" s="22">
        <f>(4)*(1)*(1)*(1)*(1 + (0))</f>
      </c>
      <c r="D7757" s="22" t="s">
        <v>162</v>
      </c>
      <c r="E7757" s="22"/>
      <c r="F7757" s="22">
        <f>C7757*E7757</f>
      </c>
    </row>
    <row r="7758">
      <c r="A7758" s="6"/>
      <c r="B7758" s="15" t="s">
        <v>2730</v>
      </c>
      <c r="C7758" s="23"/>
      <c r="D7758" s="23"/>
      <c r="E7758" s="23"/>
      <c r="F7758" s="23"/>
    </row>
    <row r="7759">
      <c r="A7759" s="5"/>
      <c r="B7759" s="16" t="s">
        <v>2731</v>
      </c>
      <c r="C7759" s="22">
        <f>(1)*(1)*(1)*(1)*(1 + (0))</f>
      </c>
      <c r="D7759" s="22" t="s">
        <v>606</v>
      </c>
      <c r="E7759" s="22"/>
      <c r="F7759" s="22">
        <f>C7759*E7759</f>
      </c>
    </row>
    <row r="7760">
      <c r="A7760" s="6"/>
      <c r="B7760" s="15" t="s">
        <v>2732</v>
      </c>
      <c r="C7760" s="23"/>
      <c r="D7760" s="23"/>
      <c r="E7760" s="23"/>
      <c r="F7760" s="23"/>
    </row>
    <row r="7761">
      <c r="A7761" s="5"/>
      <c r="B7761" s="16" t="s">
        <v>2733</v>
      </c>
      <c r="C7761" s="22">
        <f>(6)*(1)*(1)*(1)*(1 + (0))</f>
      </c>
      <c r="D7761" s="22" t="s">
        <v>162</v>
      </c>
      <c r="E7761" s="22"/>
      <c r="F7761" s="22">
        <f>C7761*E7761</f>
      </c>
    </row>
    <row r="7762">
      <c r="A7762" s="5"/>
      <c r="B7762" s="16" t="s">
        <v>2734</v>
      </c>
      <c r="C7762" s="22">
        <f>(25)*(1)*(1)*(1)*(1 + (0))</f>
      </c>
      <c r="D7762" s="22" t="s">
        <v>153</v>
      </c>
      <c r="E7762" s="22"/>
      <c r="F7762" s="22">
        <f>C7762*E7762</f>
      </c>
    </row>
    <row r="7763">
      <c r="A7763" s="5"/>
      <c r="B7763" s="16" t="s">
        <v>2735</v>
      </c>
      <c r="C7763" s="22">
        <f>(11)*(1)*(1)*(1)*(1 + (0))</f>
      </c>
      <c r="D7763" s="22" t="s">
        <v>153</v>
      </c>
      <c r="E7763" s="22"/>
      <c r="F7763" s="22">
        <f>C7763*E7763</f>
      </c>
    </row>
    <row r="7764">
      <c r="A7764" s="5"/>
      <c r="B7764" s="16" t="s">
        <v>2736</v>
      </c>
      <c r="C7764" s="22">
        <f>(105)*(1)*(1)*(1)*(1 + (0))</f>
      </c>
      <c r="D7764" s="22" t="s">
        <v>153</v>
      </c>
      <c r="E7764" s="22"/>
      <c r="F7764" s="22">
        <f>C7764*E7764</f>
      </c>
    </row>
    <row r="7765">
      <c r="A7765" s="4"/>
      <c r="B7765" s="12" t="s">
        <v>2737</v>
      </c>
      <c r="C7765" s="21"/>
      <c r="D7765" s="21"/>
      <c r="E7765" s="21"/>
      <c r="F7765" s="21"/>
    </row>
    <row r="7766">
      <c r="A7766" s="6"/>
      <c r="B7766" s="15" t="s">
        <v>2738</v>
      </c>
      <c r="C7766" s="23"/>
      <c r="D7766" s="23"/>
      <c r="E7766" s="23"/>
      <c r="F7766" s="23"/>
    </row>
    <row r="7767">
      <c r="A7767" s="5"/>
      <c r="B7767" s="16" t="s">
        <v>2739</v>
      </c>
      <c r="C7767" s="22">
        <f>(6)*(1)*(1)*(1)*(1 + (0))</f>
      </c>
      <c r="D7767" s="22" t="s">
        <v>24</v>
      </c>
      <c r="E7767" s="22"/>
      <c r="F7767" s="22">
        <f>C7767*E7767</f>
      </c>
    </row>
    <row r="7768">
      <c r="A7768" s="5"/>
      <c r="B7768" s="16" t="s">
        <v>2740</v>
      </c>
      <c r="C7768" s="22">
        <f>(7)*(1)*(1)*(1)*(1 + (0))</f>
      </c>
      <c r="D7768" s="22" t="s">
        <v>24</v>
      </c>
      <c r="E7768" s="22"/>
      <c r="F7768" s="22">
        <f>C7768*E7768</f>
      </c>
    </row>
    <row r="7769">
      <c r="A7769" s="5"/>
      <c r="B7769" s="16" t="s">
        <v>2741</v>
      </c>
      <c r="C7769" s="22">
        <f>(26)*(1)*(1)*(1)*(1 + (0))</f>
      </c>
      <c r="D7769" s="22" t="s">
        <v>24</v>
      </c>
      <c r="E7769" s="22"/>
      <c r="F7769" s="22">
        <f>C7769*E7769</f>
      </c>
    </row>
    <row r="7770">
      <c r="A7770" s="5"/>
      <c r="B7770" s="16" t="s">
        <v>2742</v>
      </c>
      <c r="C7770" s="22">
        <f>(5)*(1)*(1)*(1)*(1 + (0))</f>
      </c>
      <c r="D7770" s="22" t="s">
        <v>24</v>
      </c>
      <c r="E7770" s="22"/>
      <c r="F7770" s="22">
        <f>C7770*E7770</f>
      </c>
    </row>
    <row r="7771">
      <c r="A7771" s="6"/>
      <c r="B7771" s="15" t="s">
        <v>2743</v>
      </c>
      <c r="C7771" s="23"/>
      <c r="D7771" s="23"/>
      <c r="E7771" s="23"/>
      <c r="F7771" s="23"/>
    </row>
    <row r="7772">
      <c r="A7772" s="5"/>
      <c r="B7772" s="16" t="s">
        <v>2744</v>
      </c>
      <c r="C7772" s="22"/>
      <c r="D7772" s="22"/>
      <c r="E7772" s="22"/>
      <c r="F7772" s="22"/>
    </row>
    <row r="7773">
      <c r="A7773" s="5"/>
      <c r="B7773" s="17" t="s">
        <v>2745</v>
      </c>
      <c r="C7773" s="22">
        <f>(228)*(1)*(1)*(1)*(1 + (0))</f>
      </c>
      <c r="D7773" s="22" t="s">
        <v>24</v>
      </c>
      <c r="E7773" s="22"/>
      <c r="F7773" s="22">
        <f>C7773*E7773</f>
      </c>
    </row>
    <row r="7774">
      <c r="A7774" s="5"/>
      <c r="B7774" s="16" t="s">
        <v>2746</v>
      </c>
      <c r="C7774" s="22"/>
      <c r="D7774" s="22"/>
      <c r="E7774" s="22"/>
      <c r="F7774" s="22"/>
    </row>
    <row r="7775">
      <c r="A7775" s="5"/>
      <c r="B7775" s="17" t="s">
        <v>2745</v>
      </c>
      <c r="C7775" s="22">
        <f>(52)*(1)*(1)*(1)*(1 + (0))</f>
      </c>
      <c r="D7775" s="22" t="s">
        <v>24</v>
      </c>
      <c r="E7775" s="22"/>
      <c r="F7775" s="22">
        <f>C7775*E7775</f>
      </c>
    </row>
    <row r="7776">
      <c r="A7776" s="6"/>
      <c r="B7776" s="15" t="s">
        <v>2747</v>
      </c>
      <c r="C7776" s="23"/>
      <c r="D7776" s="23"/>
      <c r="E7776" s="23"/>
      <c r="F7776" s="23"/>
    </row>
    <row r="7777">
      <c r="A7777" s="5"/>
      <c r="B7777" s="16" t="s">
        <v>2748</v>
      </c>
      <c r="C7777" s="22">
        <f>(3)*(1)*(1)*(1)*(1 + (0))</f>
      </c>
      <c r="D7777" s="22" t="s">
        <v>162</v>
      </c>
      <c r="E7777" s="22"/>
      <c r="F7777" s="22">
        <f>C7777*E7777</f>
      </c>
    </row>
    <row r="7778">
      <c r="A7778" s="5"/>
      <c r="B7778" s="16" t="s">
        <v>2749</v>
      </c>
      <c r="C7778" s="22">
        <f>(3)*(1)*(1)*(1)*(1 + (0))</f>
      </c>
      <c r="D7778" s="22" t="s">
        <v>162</v>
      </c>
      <c r="E7778" s="22"/>
      <c r="F7778" s="22">
        <f>C7778*E7778</f>
      </c>
    </row>
    <row r="7779">
      <c r="A7779" s="6"/>
      <c r="B7779" s="15" t="s">
        <v>2750</v>
      </c>
      <c r="C7779" s="23"/>
      <c r="D7779" s="23"/>
      <c r="E7779" s="23"/>
      <c r="F7779" s="23"/>
    </row>
    <row r="7780">
      <c r="A7780" s="5"/>
      <c r="B7780" s="16" t="s">
        <v>2751</v>
      </c>
      <c r="C7780" s="22">
        <f>(2)*(1)*(1)*(1)*(1 + (0))</f>
      </c>
      <c r="D7780" s="22" t="s">
        <v>162</v>
      </c>
      <c r="E7780" s="22"/>
      <c r="F7780" s="22">
        <f>C7780*E7780</f>
      </c>
    </row>
    <row r="7781">
      <c r="A7781" s="5"/>
      <c r="B7781" s="16" t="s">
        <v>2752</v>
      </c>
      <c r="C7781" s="22">
        <f>(2)*(1)*(1)*(1)*(1 + (0))</f>
      </c>
      <c r="D7781" s="22" t="s">
        <v>162</v>
      </c>
      <c r="E7781" s="22"/>
      <c r="F7781" s="22">
        <f>C7781*E7781</f>
      </c>
    </row>
    <row r="7782">
      <c r="A7782" s="5"/>
      <c r="B7782" s="16" t="s">
        <v>2753</v>
      </c>
      <c r="C7782" s="22">
        <f>(4)*(1)*(1)*(1)*(1 + (0))</f>
      </c>
      <c r="D7782" s="22" t="s">
        <v>162</v>
      </c>
      <c r="E7782" s="22"/>
      <c r="F7782" s="22">
        <f>C7782*E7782</f>
      </c>
    </row>
    <row r="7783">
      <c r="A7783" s="6"/>
      <c r="B7783" s="15" t="s">
        <v>2754</v>
      </c>
      <c r="C7783" s="23"/>
      <c r="D7783" s="23"/>
      <c r="E7783" s="23"/>
      <c r="F7783" s="23"/>
    </row>
    <row r="7784">
      <c r="A7784" s="5"/>
      <c r="B7784" s="16" t="s">
        <v>2755</v>
      </c>
      <c r="C7784" s="22">
        <f>(3)*(1)*(1)*(1)*(1 + (0))</f>
      </c>
      <c r="D7784" s="22" t="s">
        <v>162</v>
      </c>
      <c r="E7784" s="22"/>
      <c r="F7784" s="22">
        <f>C7784*E7784</f>
      </c>
    </row>
    <row r="7785">
      <c r="A7785" s="5"/>
      <c r="B7785" s="16" t="s">
        <v>2756</v>
      </c>
      <c r="C7785" s="22">
        <f>(1)*(1)*(1)*(1)*(1 + (0))</f>
      </c>
      <c r="D7785" s="22" t="s">
        <v>162</v>
      </c>
      <c r="E7785" s="22"/>
      <c r="F7785" s="22">
        <f>C7785*E7785</f>
      </c>
    </row>
    <row r="7786">
      <c r="A7786" s="5"/>
      <c r="B7786" s="16" t="s">
        <v>2757</v>
      </c>
      <c r="C7786" s="22">
        <f>(1)*(1)*(1)*(1)*(1 + (0))</f>
      </c>
      <c r="D7786" s="22" t="s">
        <v>162</v>
      </c>
      <c r="E7786" s="22"/>
      <c r="F7786" s="22">
        <f>C7786*E7786</f>
      </c>
    </row>
    <row r="7787">
      <c r="A7787" s="5"/>
      <c r="B7787" s="16" t="s">
        <v>2758</v>
      </c>
      <c r="C7787" s="22">
        <f>(19)*(1)*(1)*(1)*(1 + (0))</f>
      </c>
      <c r="D7787" s="22" t="s">
        <v>162</v>
      </c>
      <c r="E7787" s="22"/>
      <c r="F7787" s="22">
        <f>C7787*E7787</f>
      </c>
    </row>
    <row r="7788">
      <c r="A7788" s="5"/>
      <c r="B7788" s="16" t="s">
        <v>2759</v>
      </c>
      <c r="C7788" s="22">
        <f>(5)*(1)*(1)*(1)*(1 + (0))</f>
      </c>
      <c r="D7788" s="22" t="s">
        <v>162</v>
      </c>
      <c r="E7788" s="22"/>
      <c r="F7788" s="22">
        <f>C7788*E7788</f>
      </c>
    </row>
    <row r="7789">
      <c r="A7789" s="5"/>
      <c r="B7789" s="16" t="s">
        <v>2760</v>
      </c>
      <c r="C7789" s="22">
        <f>(6)*(1)*(1)*(1)*(1 + (0))</f>
      </c>
      <c r="D7789" s="22" t="s">
        <v>162</v>
      </c>
      <c r="E7789" s="22"/>
      <c r="F7789" s="22">
        <f>C7789*E7789</f>
      </c>
    </row>
    <row r="7790">
      <c r="A7790" s="5"/>
      <c r="B7790" s="16" t="s">
        <v>2761</v>
      </c>
      <c r="C7790" s="22">
        <f>(1)*(1)*(1)*(1)*(1 + (0))</f>
      </c>
      <c r="D7790" s="22" t="s">
        <v>606</v>
      </c>
      <c r="E7790" s="22"/>
      <c r="F7790" s="22">
        <f>C7790*E7790</f>
      </c>
    </row>
    <row r="7791">
      <c r="A7791" s="4"/>
      <c r="B7791" s="12" t="s">
        <v>2762</v>
      </c>
      <c r="C7791" s="21"/>
      <c r="D7791" s="21"/>
      <c r="E7791" s="21"/>
      <c r="F7791" s="21"/>
    </row>
    <row r="7792">
      <c r="A7792" s="5"/>
      <c r="B7792" s="13" t="s">
        <v>2763</v>
      </c>
      <c r="C7792" s="22">
        <f>(1)*(1)*(1)*(1)*(1 + (0))</f>
      </c>
      <c r="D7792" s="22" t="s">
        <v>162</v>
      </c>
      <c r="E7792" s="22"/>
      <c r="F7792" s="22">
        <f>C7792*E7792</f>
      </c>
    </row>
    <row r="7793">
      <c r="A7793" s="5"/>
      <c r="B7793" s="13" t="s">
        <v>2764</v>
      </c>
      <c r="C7793" s="22">
        <f>(1)*(1)*(1)*(1)*(1 + (0))</f>
      </c>
      <c r="D7793" s="22" t="s">
        <v>162</v>
      </c>
      <c r="E7793" s="22"/>
      <c r="F7793" s="22">
        <f>C7793*E7793</f>
      </c>
    </row>
    <row r="7794">
      <c r="A7794" s="5"/>
      <c r="B7794" s="13" t="s">
        <v>2765</v>
      </c>
      <c r="C7794" s="22">
        <f>(1)*(1)*(1)*(1)*(1 + (0))</f>
      </c>
      <c r="D7794" s="22" t="s">
        <v>162</v>
      </c>
      <c r="E7794" s="22"/>
      <c r="F7794" s="22">
        <f>C7794*E7794</f>
      </c>
    </row>
    <row r="7795">
      <c r="A7795" s="5"/>
      <c r="B7795" s="13" t="s">
        <v>2766</v>
      </c>
      <c r="C7795" s="22">
        <f>(1)*(1)*(1)*(1)*(1 + (0))</f>
      </c>
      <c r="D7795" s="22" t="s">
        <v>162</v>
      </c>
      <c r="E7795" s="22"/>
      <c r="F7795" s="22">
        <f>C7795*E7795</f>
      </c>
    </row>
    <row r="7796">
      <c r="A7796" s="5"/>
      <c r="B7796" s="13" t="s">
        <v>2767</v>
      </c>
      <c r="C7796" s="22">
        <f>(1)*(1)*(1)*(1)*(1 + (0))</f>
      </c>
      <c r="D7796" s="22" t="s">
        <v>162</v>
      </c>
      <c r="E7796" s="22"/>
      <c r="F7796" s="22">
        <f>C7796*E7796</f>
      </c>
    </row>
    <row r="7797">
      <c r="A7797" s="5"/>
      <c r="B7797" s="13" t="s">
        <v>2768</v>
      </c>
      <c r="C7797" s="22">
        <f>(4)*(1)*(1)*(1)*(1 + (0))</f>
      </c>
      <c r="D7797" s="22" t="s">
        <v>162</v>
      </c>
      <c r="E7797" s="22"/>
      <c r="F7797" s="22">
        <f>C7797*E7797</f>
      </c>
    </row>
    <row r="7798">
      <c r="A7798" s="5"/>
      <c r="B7798" s="13" t="s">
        <v>2769</v>
      </c>
      <c r="C7798" s="22">
        <f>(2)*(1)*(1)*(1)*(1 + (0))</f>
      </c>
      <c r="D7798" s="22" t="s">
        <v>162</v>
      </c>
      <c r="E7798" s="22"/>
      <c r="F7798" s="22">
        <f>C7798*E7798</f>
      </c>
    </row>
    <row r="7799">
      <c r="A7799" s="5"/>
      <c r="B7799" s="13" t="s">
        <v>2770</v>
      </c>
      <c r="C7799" s="22">
        <f>(59)*(1)*(1)*(1)*(1 + (0))</f>
      </c>
      <c r="D7799" s="22" t="s">
        <v>162</v>
      </c>
      <c r="E7799" s="22"/>
      <c r="F7799" s="22">
        <f>C7799*E7799</f>
      </c>
    </row>
    <row r="7800">
      <c r="A7800" s="5"/>
      <c r="B7800" s="13" t="s">
        <v>2771</v>
      </c>
      <c r="C7800" s="22">
        <f>(1)*(1)*(1)*(1)*(1 + (0))</f>
      </c>
      <c r="D7800" s="22" t="s">
        <v>606</v>
      </c>
      <c r="E7800" s="22"/>
      <c r="F7800" s="22">
        <f>C7800*E7800</f>
      </c>
    </row>
    <row r="7801">
      <c r="A7801" s="4"/>
      <c r="B7801" s="12" t="s">
        <v>1301</v>
      </c>
      <c r="C7801" s="21"/>
      <c r="D7801" s="21"/>
      <c r="E7801" s="21"/>
      <c r="F7801" s="21"/>
    </row>
    <row r="7802">
      <c r="A7802" s="6"/>
      <c r="B7802" s="15" t="s">
        <v>2772</v>
      </c>
      <c r="C7802" s="23"/>
      <c r="D7802" s="23"/>
      <c r="E7802" s="23"/>
      <c r="F7802" s="23"/>
    </row>
    <row r="7803">
      <c r="A7803" s="5"/>
      <c r="B7803" s="16" t="s">
        <v>2773</v>
      </c>
      <c r="C7803" s="22">
        <f>(216)*(1)*(1)*(1)*(1 + (0))</f>
      </c>
      <c r="D7803" s="22" t="s">
        <v>153</v>
      </c>
      <c r="E7803" s="22"/>
      <c r="F7803" s="22">
        <f>C7803*E7803</f>
      </c>
    </row>
    <row r="7804">
      <c r="A7804" s="5"/>
      <c r="B7804" s="16" t="s">
        <v>2774</v>
      </c>
      <c r="C7804" s="22">
        <f>(1194)*(1)*(1)*(1)*(1 + (0))</f>
      </c>
      <c r="D7804" s="22" t="s">
        <v>153</v>
      </c>
      <c r="E7804" s="22"/>
      <c r="F7804" s="22">
        <f>C7804*E7804</f>
      </c>
    </row>
    <row r="7805">
      <c r="A7805" s="6"/>
      <c r="B7805" s="15" t="s">
        <v>2775</v>
      </c>
      <c r="C7805" s="23"/>
      <c r="D7805" s="23"/>
      <c r="E7805" s="23"/>
      <c r="F7805" s="23"/>
    </row>
    <row r="7806">
      <c r="A7806" s="5"/>
      <c r="B7806" s="16" t="s">
        <v>2776</v>
      </c>
      <c r="C7806" s="22">
        <f>(1)*(1)*(1)*(1)*(1 + (0))</f>
      </c>
      <c r="D7806" s="22" t="s">
        <v>606</v>
      </c>
      <c r="E7806" s="22"/>
      <c r="F7806" s="22">
        <f>C7806*E7806</f>
      </c>
    </row>
    <row r="7807">
      <c r="A7807" s="5"/>
      <c r="B7807" s="16" t="s">
        <v>2777</v>
      </c>
      <c r="C7807" s="22">
        <f>(344)*(1)*(1)*(1)*(1 + (0))</f>
      </c>
      <c r="D7807" s="22" t="s">
        <v>24</v>
      </c>
      <c r="E7807" s="22"/>
      <c r="F7807" s="22">
        <f>C7807*E7807</f>
      </c>
    </row>
    <row r="7808">
      <c r="A7808" s="5"/>
      <c r="B7808" s="16" t="s">
        <v>2778</v>
      </c>
      <c r="C7808" s="22">
        <f>(164)*(1)*(1)*(1)*(1 + (0))</f>
      </c>
      <c r="D7808" s="22" t="s">
        <v>24</v>
      </c>
      <c r="E7808" s="22"/>
      <c r="F7808" s="22">
        <f>C7808*E7808</f>
      </c>
    </row>
    <row r="7809">
      <c r="A7809" s="5"/>
      <c r="B7809" s="16" t="s">
        <v>2779</v>
      </c>
      <c r="C7809" s="22">
        <f>(167)*(1)*(1)*(1)*(1 + (0))</f>
      </c>
      <c r="D7809" s="22" t="s">
        <v>24</v>
      </c>
      <c r="E7809" s="22"/>
      <c r="F7809" s="22">
        <f>C7809*E7809</f>
      </c>
    </row>
    <row r="7810">
      <c r="A7810" s="5"/>
      <c r="B7810" s="16" t="s">
        <v>2780</v>
      </c>
      <c r="C7810" s="22">
        <f>(78)*(1)*(1)*(1)*(1 + (0))</f>
      </c>
      <c r="D7810" s="22" t="s">
        <v>24</v>
      </c>
      <c r="E7810" s="22"/>
      <c r="F7810" s="22">
        <f>C7810*E7810</f>
      </c>
    </row>
    <row r="7811">
      <c r="A7811" s="6"/>
      <c r="B7811" s="15" t="s">
        <v>2781</v>
      </c>
      <c r="C7811" s="23"/>
      <c r="D7811" s="23"/>
      <c r="E7811" s="23"/>
      <c r="F7811" s="23"/>
    </row>
    <row r="7812">
      <c r="A7812" s="5"/>
      <c r="B7812" s="16" t="s">
        <v>2782</v>
      </c>
      <c r="C7812" s="22"/>
      <c r="D7812" s="22"/>
      <c r="E7812" s="22"/>
      <c r="F7812" s="22"/>
    </row>
    <row r="7813">
      <c r="A7813" s="5"/>
      <c r="B7813" s="17" t="s">
        <v>2783</v>
      </c>
      <c r="C7813" s="22">
        <f>(29)*(1)*(1)*(1)*(1 + (0))</f>
      </c>
      <c r="D7813" s="22" t="s">
        <v>153</v>
      </c>
      <c r="E7813" s="22"/>
      <c r="F7813" s="22">
        <f>C7813*E7813</f>
      </c>
    </row>
    <row r="7814">
      <c r="A7814" s="4"/>
      <c r="B7814" s="12" t="s">
        <v>2784</v>
      </c>
      <c r="C7814" s="21"/>
      <c r="D7814" s="21"/>
      <c r="E7814" s="21"/>
      <c r="F7814" s="21"/>
    </row>
    <row r="7815">
      <c r="A7815" s="6"/>
      <c r="B7815" s="15" t="s">
        <v>2785</v>
      </c>
      <c r="C7815" s="23"/>
      <c r="D7815" s="23"/>
      <c r="E7815" s="23"/>
      <c r="F7815" s="23"/>
    </row>
    <row r="7816">
      <c r="A7816" s="5"/>
      <c r="B7816" s="16" t="s">
        <v>2786</v>
      </c>
      <c r="C7816" s="22">
        <f>(4)*(1)*(1)*(1)*(1 + (0))</f>
      </c>
      <c r="D7816" s="22" t="s">
        <v>162</v>
      </c>
      <c r="E7816" s="22"/>
      <c r="F7816" s="22">
        <f>C7816*E7816</f>
      </c>
    </row>
    <row r="7817">
      <c r="A7817" s="5"/>
      <c r="B7817" s="16" t="s">
        <v>2787</v>
      </c>
      <c r="C7817" s="22">
        <f>(1)*(1)*(1)*(1)*(1 + (0))</f>
      </c>
      <c r="D7817" s="22" t="s">
        <v>162</v>
      </c>
      <c r="E7817" s="22"/>
      <c r="F7817" s="22">
        <f>C7817*E7817</f>
      </c>
    </row>
    <row r="7818">
      <c r="A7818" s="5"/>
      <c r="B7818" s="16" t="s">
        <v>2788</v>
      </c>
      <c r="C7818" s="22">
        <f>(7)*(1)*(1)*(1)*(1 + (0))</f>
      </c>
      <c r="D7818" s="22" t="s">
        <v>24</v>
      </c>
      <c r="E7818" s="22"/>
      <c r="F7818" s="22">
        <f>C7818*E7818</f>
      </c>
    </row>
    <row r="7819">
      <c r="A7819" s="6"/>
      <c r="B7819" s="15" t="s">
        <v>2789</v>
      </c>
      <c r="C7819" s="23"/>
      <c r="D7819" s="23"/>
      <c r="E7819" s="23"/>
      <c r="F7819" s="23"/>
    </row>
    <row r="7820">
      <c r="A7820" s="5"/>
      <c r="B7820" s="16" t="s">
        <v>2670</v>
      </c>
      <c r="C7820" s="22">
        <f>(44)*(1)*(1)*(1)*(1 + (0))</f>
      </c>
      <c r="D7820" s="22" t="s">
        <v>24</v>
      </c>
      <c r="E7820" s="22"/>
      <c r="F7820" s="22">
        <f>C7820*E7820</f>
      </c>
    </row>
    <row r="7821">
      <c r="A7821" s="5"/>
      <c r="B7821" s="16" t="s">
        <v>2790</v>
      </c>
      <c r="C7821" s="22">
        <f>(44)*(1)*(1)*(1)*(1 + (0))</f>
      </c>
      <c r="D7821" s="22" t="s">
        <v>24</v>
      </c>
      <c r="E7821" s="22"/>
      <c r="F7821" s="22">
        <f>C7821*E7821</f>
      </c>
    </row>
    <row r="7822">
      <c r="A7822" s="5"/>
      <c r="B7822" s="16" t="s">
        <v>2791</v>
      </c>
      <c r="C7822" s="22">
        <f>(4)*(1)*(1)*(1)*(1 + (0))</f>
      </c>
      <c r="D7822" s="22" t="s">
        <v>111</v>
      </c>
      <c r="E7822" s="22"/>
      <c r="F7822" s="22">
        <f>C7822*E7822</f>
      </c>
    </row>
    <row r="7823">
      <c r="A7823" s="5"/>
      <c r="B7823" s="16" t="s">
        <v>2792</v>
      </c>
      <c r="C7823" s="22">
        <f>(44)*(1)*(1)*(1)*(1 + (0))</f>
      </c>
      <c r="D7823" s="22" t="s">
        <v>24</v>
      </c>
      <c r="E7823" s="22"/>
      <c r="F7823" s="22">
        <f>C7823*E7823</f>
      </c>
    </row>
    <row r="7824">
      <c r="A7824" s="5"/>
      <c r="B7824" s="16" t="s">
        <v>2793</v>
      </c>
      <c r="C7824" s="22">
        <f>(44)*(1)*(1)*(1)*(1 + (0))</f>
      </c>
      <c r="D7824" s="22" t="s">
        <v>24</v>
      </c>
      <c r="E7824" s="22"/>
      <c r="F7824" s="22">
        <f>C7824*E7824</f>
      </c>
    </row>
    <row r="7825">
      <c r="A7825" s="5"/>
      <c r="B7825" s="16" t="s">
        <v>2679</v>
      </c>
      <c r="C7825" s="22">
        <f>(44)*(1)*(1)*(1)*(1 + (0))</f>
      </c>
      <c r="D7825" s="22" t="s">
        <v>24</v>
      </c>
      <c r="E7825" s="22"/>
      <c r="F7825" s="22">
        <f>C7825*E7825</f>
      </c>
    </row>
    <row r="7826">
      <c r="A7826" s="3"/>
      <c r="B7826" s="11" t="s">
        <v>2794</v>
      </c>
      <c r="C7826" s="20"/>
      <c r="D7826" s="20"/>
      <c r="E7826" s="20"/>
      <c r="F7826" s="20"/>
    </row>
    <row r="7827">
      <c r="A7827" s="4"/>
      <c r="B7827" s="12" t="s">
        <v>2795</v>
      </c>
      <c r="C7827" s="21"/>
      <c r="D7827" s="21"/>
      <c r="E7827" s="21"/>
      <c r="F7827" s="21"/>
    </row>
    <row r="7828">
      <c r="A7828" s="5"/>
      <c r="B7828" s="13" t="s">
        <v>2795</v>
      </c>
      <c r="C7828" s="22">
        <f>(75)*(1)*(1)*(1)*(1 + (0))</f>
      </c>
      <c r="D7828" s="22" t="s">
        <v>24</v>
      </c>
      <c r="E7828" s="22"/>
      <c r="F7828" s="22">
        <f>C7828*E7828</f>
      </c>
    </row>
    <row r="7829">
      <c r="A7829" s="4"/>
      <c r="B7829" s="12" t="s">
        <v>2796</v>
      </c>
      <c r="C7829" s="21"/>
      <c r="D7829" s="21"/>
      <c r="E7829" s="21"/>
      <c r="F7829" s="21"/>
    </row>
    <row r="7830">
      <c r="A7830" s="5"/>
      <c r="B7830" s="13" t="s">
        <v>2797</v>
      </c>
      <c r="C7830" s="22">
        <f>(815)*(1)*(1)*(1)*(1 + (0))</f>
      </c>
      <c r="D7830" s="22" t="s">
        <v>24</v>
      </c>
      <c r="E7830" s="22"/>
      <c r="F7830" s="22">
        <f>C7830*E7830</f>
      </c>
    </row>
    <row r="7831">
      <c r="A7831" s="5"/>
      <c r="B7831" s="13" t="s">
        <v>2798</v>
      </c>
      <c r="C7831" s="22">
        <f>(815)*(1)*(1)*(1)*(1 + (0))</f>
      </c>
      <c r="D7831" s="22" t="s">
        <v>24</v>
      </c>
      <c r="E7831" s="22"/>
      <c r="F7831" s="22">
        <f>C7831*E7831</f>
      </c>
    </row>
    <row r="7832">
      <c r="A7832" s="5"/>
      <c r="B7832" s="13" t="s">
        <v>2799</v>
      </c>
      <c r="C7832" s="22">
        <f>(815)*(1)*(1)*(1)*(1 + (0))</f>
      </c>
      <c r="D7832" s="22" t="s">
        <v>24</v>
      </c>
      <c r="E7832" s="22"/>
      <c r="F7832" s="22">
        <f>C7832*E7832</f>
      </c>
    </row>
    <row r="7833">
      <c r="A7833" s="4"/>
      <c r="B7833" s="12" t="s">
        <v>2800</v>
      </c>
      <c r="C7833" s="21"/>
      <c r="D7833" s="21"/>
      <c r="E7833" s="21"/>
      <c r="F7833" s="21"/>
    </row>
    <row r="7834">
      <c r="A7834" s="5"/>
      <c r="B7834" s="13" t="s">
        <v>2801</v>
      </c>
      <c r="C7834" s="22">
        <f>(4343)*(1)*(1)*(1)*(1 + (0))</f>
      </c>
      <c r="D7834" s="22" t="s">
        <v>24</v>
      </c>
      <c r="E7834" s="22"/>
      <c r="F7834" s="22">
        <f>C7834*E7834</f>
      </c>
    </row>
    <row r="7835">
      <c r="A7835" s="5"/>
      <c r="B7835" s="13" t="s">
        <v>2802</v>
      </c>
      <c r="C7835" s="22">
        <f>(4343)*(1)*(1)*(1)*(1 + (0))</f>
      </c>
      <c r="D7835" s="22" t="s">
        <v>24</v>
      </c>
      <c r="E7835" s="22"/>
      <c r="F7835" s="22">
        <f>C7835*E7835</f>
      </c>
    </row>
    <row r="7836">
      <c r="A7836" s="5"/>
      <c r="B7836" s="13" t="s">
        <v>2803</v>
      </c>
      <c r="C7836" s="22">
        <f>(543)*(1)*(1)*(1)*(1 + (0))</f>
      </c>
      <c r="D7836" s="22" t="s">
        <v>111</v>
      </c>
      <c r="E7836" s="22"/>
      <c r="F7836" s="22">
        <f>C7836*E7836</f>
      </c>
    </row>
    <row r="7837">
      <c r="A7837" s="5"/>
      <c r="B7837" s="13" t="s">
        <v>2804</v>
      </c>
      <c r="C7837" s="22">
        <f>(2778)*(1)*(1)*(1)*(1 + (0))</f>
      </c>
      <c r="D7837" s="22" t="s">
        <v>153</v>
      </c>
      <c r="E7837" s="22"/>
      <c r="F7837" s="22">
        <f>C7837*E7837</f>
      </c>
    </row>
    <row r="7838">
      <c r="A7838" s="5"/>
      <c r="B7838" s="13" t="s">
        <v>2805</v>
      </c>
      <c r="C7838" s="22">
        <f>(4343)*(1)*(1)*(1)*(1 + (0))</f>
      </c>
      <c r="D7838" s="22" t="s">
        <v>24</v>
      </c>
      <c r="E7838" s="22"/>
      <c r="F7838" s="22">
        <f>C7838*E7838</f>
      </c>
    </row>
    <row r="7839">
      <c r="A7839" s="5"/>
      <c r="B7839" s="13" t="s">
        <v>2806</v>
      </c>
      <c r="C7839" s="22">
        <f>(4343)*(1)*(1)*(1)*(1 + (0))</f>
      </c>
      <c r="D7839" s="22" t="s">
        <v>24</v>
      </c>
      <c r="E7839" s="22"/>
      <c r="F7839" s="22">
        <f>C7839*E7839</f>
      </c>
    </row>
    <row r="7840">
      <c r="A7840" s="5"/>
      <c r="B7840" s="13" t="s">
        <v>2807</v>
      </c>
      <c r="C7840" s="22">
        <f>(127)*(1)*(1)*(1)*(1 + (0))</f>
      </c>
      <c r="D7840" s="22" t="s">
        <v>111</v>
      </c>
      <c r="E7840" s="22"/>
      <c r="F7840" s="22">
        <f>C7840*E7840</f>
      </c>
    </row>
    <row r="7841">
      <c r="A7841" s="5"/>
      <c r="B7841" s="13" t="s">
        <v>2808</v>
      </c>
      <c r="C7841" s="22">
        <f>(37)*(1)*(1)*(1)*(1 + (0))</f>
      </c>
      <c r="D7841" s="22" t="s">
        <v>111</v>
      </c>
      <c r="E7841" s="22"/>
      <c r="F7841" s="22">
        <f>C7841*E7841</f>
      </c>
    </row>
    <row r="7842">
      <c r="A7842" s="6"/>
      <c r="B7842" s="15" t="s">
        <v>2809</v>
      </c>
      <c r="C7842" s="23"/>
      <c r="D7842" s="23"/>
      <c r="E7842" s="23"/>
      <c r="F7842" s="23"/>
    </row>
    <row r="7843">
      <c r="A7843" s="5"/>
      <c r="B7843" s="16" t="s">
        <v>2810</v>
      </c>
      <c r="C7843" s="22">
        <f>(3036)*(1)*(1)*(1)*(1 + (0))</f>
      </c>
      <c r="D7843" s="22" t="s">
        <v>24</v>
      </c>
      <c r="E7843" s="22"/>
      <c r="F7843" s="22">
        <f>C7843*E7843</f>
      </c>
    </row>
    <row r="7844">
      <c r="A7844" s="5"/>
      <c r="B7844" s="16" t="s">
        <v>2811</v>
      </c>
      <c r="C7844" s="22">
        <f>(1013)*(1)*(1)*(1)*(1 + (0))</f>
      </c>
      <c r="D7844" s="22" t="s">
        <v>24</v>
      </c>
      <c r="E7844" s="22"/>
      <c r="F7844" s="22">
        <f>C7844*E7844</f>
      </c>
    </row>
    <row r="7845">
      <c r="A7845" s="5"/>
      <c r="B7845" s="16" t="s">
        <v>2812</v>
      </c>
      <c r="C7845" s="22">
        <f>(295)*(1)*(1)*(1)*(1 + (0))</f>
      </c>
      <c r="D7845" s="22" t="s">
        <v>24</v>
      </c>
      <c r="E7845" s="22"/>
      <c r="F7845" s="22">
        <f>C7845*E7845</f>
      </c>
    </row>
    <row r="7846">
      <c r="A7846" s="4"/>
      <c r="B7846" s="12" t="s">
        <v>2813</v>
      </c>
      <c r="C7846" s="21"/>
      <c r="D7846" s="21"/>
      <c r="E7846" s="21"/>
      <c r="F7846" s="21"/>
    </row>
    <row r="7847">
      <c r="A7847" s="5"/>
      <c r="B7847" s="13" t="s">
        <v>2801</v>
      </c>
      <c r="C7847" s="22">
        <f>(182)*(1)*(1)*(1)*(1 + (0))</f>
      </c>
      <c r="D7847" s="22" t="s">
        <v>24</v>
      </c>
      <c r="E7847" s="22"/>
      <c r="F7847" s="22">
        <f>C7847*E7847</f>
      </c>
    </row>
    <row r="7848">
      <c r="A7848" s="5"/>
      <c r="B7848" s="13" t="s">
        <v>2802</v>
      </c>
      <c r="C7848" s="22">
        <f>(182)*(1)*(1)*(1)*(1 + (0))</f>
      </c>
      <c r="D7848" s="22" t="s">
        <v>24</v>
      </c>
      <c r="E7848" s="22"/>
      <c r="F7848" s="22">
        <f>C7848*E7848</f>
      </c>
    </row>
    <row r="7849">
      <c r="A7849" s="5"/>
      <c r="B7849" s="13" t="s">
        <v>2803</v>
      </c>
      <c r="C7849" s="22">
        <f>(23)*(1)*(1)*(1)*(1 + (0))</f>
      </c>
      <c r="D7849" s="22" t="s">
        <v>111</v>
      </c>
      <c r="E7849" s="22"/>
      <c r="F7849" s="22">
        <f>C7849*E7849</f>
      </c>
    </row>
    <row r="7850">
      <c r="A7850" s="5"/>
      <c r="B7850" s="13" t="s">
        <v>2804</v>
      </c>
      <c r="C7850" s="22">
        <f>(143)*(1)*(1)*(1)*(1 + (0))</f>
      </c>
      <c r="D7850" s="22" t="s">
        <v>153</v>
      </c>
      <c r="E7850" s="22"/>
      <c r="F7850" s="22">
        <f>C7850*E7850</f>
      </c>
    </row>
    <row r="7851">
      <c r="A7851" s="5"/>
      <c r="B7851" s="13" t="s">
        <v>2805</v>
      </c>
      <c r="C7851" s="22">
        <f>(182)*(1)*(1)*(1)*(1 + (0))</f>
      </c>
      <c r="D7851" s="22" t="s">
        <v>24</v>
      </c>
      <c r="E7851" s="22"/>
      <c r="F7851" s="22">
        <f>C7851*E7851</f>
      </c>
    </row>
    <row r="7852">
      <c r="A7852" s="5"/>
      <c r="B7852" s="13" t="s">
        <v>2806</v>
      </c>
      <c r="C7852" s="22">
        <f>(182)*(1)*(1)*(1)*(1 + (0))</f>
      </c>
      <c r="D7852" s="22" t="s">
        <v>24</v>
      </c>
      <c r="E7852" s="22"/>
      <c r="F7852" s="22">
        <f>C7852*E7852</f>
      </c>
    </row>
    <row r="7853">
      <c r="A7853" s="6"/>
      <c r="B7853" s="15" t="s">
        <v>2814</v>
      </c>
      <c r="C7853" s="23"/>
      <c r="D7853" s="23"/>
      <c r="E7853" s="23"/>
      <c r="F7853" s="23"/>
    </row>
    <row r="7854">
      <c r="A7854" s="5"/>
      <c r="B7854" s="16" t="s">
        <v>2815</v>
      </c>
      <c r="C7854" s="22">
        <f>(182)*(1)*(1)*(1)*(1 + (0))</f>
      </c>
      <c r="D7854" s="22" t="s">
        <v>24</v>
      </c>
      <c r="E7854" s="22"/>
      <c r="F7854" s="22">
        <f>C7854*E7854</f>
      </c>
    </row>
    <row r="7855">
      <c r="A7855" s="4"/>
      <c r="B7855" s="12" t="s">
        <v>2816</v>
      </c>
      <c r="C7855" s="21"/>
      <c r="D7855" s="21"/>
      <c r="E7855" s="21"/>
      <c r="F7855" s="21"/>
    </row>
    <row r="7856">
      <c r="A7856" s="5"/>
      <c r="B7856" s="13" t="s">
        <v>2801</v>
      </c>
      <c r="C7856" s="22">
        <f>(20)*(1)*(1)*(1)*(1 + (0))</f>
      </c>
      <c r="D7856" s="22" t="s">
        <v>24</v>
      </c>
      <c r="E7856" s="22"/>
      <c r="F7856" s="22">
        <f>C7856*E7856</f>
      </c>
    </row>
    <row r="7857">
      <c r="A7857" s="5"/>
      <c r="B7857" s="13" t="s">
        <v>2817</v>
      </c>
      <c r="C7857" s="22">
        <f>(20)*(1)*(1)*(1)*(1 + (0))</f>
      </c>
      <c r="D7857" s="22" t="s">
        <v>24</v>
      </c>
      <c r="E7857" s="22"/>
      <c r="F7857" s="22">
        <f>C7857*E7857</f>
      </c>
    </row>
    <row r="7858">
      <c r="A7858" s="5"/>
      <c r="B7858" s="13" t="s">
        <v>2818</v>
      </c>
      <c r="C7858" s="22">
        <f>(3)*(1)*(1)*(1)*(1 + (0))</f>
      </c>
      <c r="D7858" s="22" t="s">
        <v>111</v>
      </c>
      <c r="E7858" s="22"/>
      <c r="F7858" s="22">
        <f>C7858*E7858</f>
      </c>
    </row>
    <row r="7859">
      <c r="A7859" s="5"/>
      <c r="B7859" s="13" t="s">
        <v>2819</v>
      </c>
      <c r="C7859" s="22">
        <f>(30)*(1)*(1)*(1)*(1 + (0))</f>
      </c>
      <c r="D7859" s="22" t="s">
        <v>153</v>
      </c>
      <c r="E7859" s="22"/>
      <c r="F7859" s="22">
        <f>C7859*E7859</f>
      </c>
    </row>
    <row r="7860">
      <c r="A7860" s="5"/>
      <c r="B7860" s="13" t="s">
        <v>2820</v>
      </c>
      <c r="C7860" s="22">
        <f>(20)*(1)*(1)*(1)*(1 + (0))</f>
      </c>
      <c r="D7860" s="22" t="s">
        <v>24</v>
      </c>
      <c r="E7860" s="22"/>
      <c r="F7860" s="22">
        <f>C7860*E7860</f>
      </c>
    </row>
    <row r="7861">
      <c r="A7861" s="6"/>
      <c r="B7861" s="15" t="s">
        <v>2809</v>
      </c>
      <c r="C7861" s="23"/>
      <c r="D7861" s="23"/>
      <c r="E7861" s="23"/>
      <c r="F7861" s="23"/>
    </row>
    <row r="7862">
      <c r="A7862" s="5"/>
      <c r="B7862" s="16" t="s">
        <v>2821</v>
      </c>
      <c r="C7862" s="22">
        <f>(20)*(1)*(1)*(1)*(1 + (0))</f>
      </c>
      <c r="D7862" s="22" t="s">
        <v>24</v>
      </c>
      <c r="E7862" s="22"/>
      <c r="F7862" s="22">
        <f>C7862*E7862</f>
      </c>
    </row>
    <row r="7863">
      <c r="A7863" s="4"/>
      <c r="B7863" s="12" t="s">
        <v>2822</v>
      </c>
      <c r="C7863" s="21"/>
      <c r="D7863" s="21"/>
      <c r="E7863" s="21"/>
      <c r="F7863" s="21"/>
    </row>
    <row r="7864">
      <c r="A7864" s="5"/>
      <c r="B7864" s="13" t="s">
        <v>2823</v>
      </c>
      <c r="C7864" s="22">
        <f>(129)*(1)*(1)*(1)*(1 + (0))</f>
      </c>
      <c r="D7864" s="22" t="s">
        <v>153</v>
      </c>
      <c r="E7864" s="22"/>
      <c r="F7864" s="22">
        <f>C7864*E7864</f>
      </c>
    </row>
    <row r="7865">
      <c r="A7865" s="5"/>
      <c r="B7865" s="13" t="s">
        <v>2824</v>
      </c>
      <c r="C7865" s="22">
        <f>(43)*(1)*(1)*(1)*(1 + (0))</f>
      </c>
      <c r="D7865" s="22" t="s">
        <v>153</v>
      </c>
      <c r="E7865" s="22"/>
      <c r="F7865" s="22">
        <f>C7865*E7865</f>
      </c>
    </row>
    <row r="7866">
      <c r="A7866" s="4"/>
      <c r="B7866" s="12" t="s">
        <v>2825</v>
      </c>
      <c r="C7866" s="21"/>
      <c r="D7866" s="21"/>
      <c r="E7866" s="21"/>
      <c r="F7866" s="21"/>
    </row>
    <row r="7867">
      <c r="A7867" s="5"/>
      <c r="B7867" s="13" t="s">
        <v>2826</v>
      </c>
      <c r="C7867" s="22">
        <f>(104)*(1)*(1)*(1)*(1 + (0))</f>
      </c>
      <c r="D7867" s="22" t="s">
        <v>153</v>
      </c>
      <c r="E7867" s="22"/>
      <c r="F7867" s="22">
        <f>C7867*E7867</f>
      </c>
    </row>
    <row r="7868">
      <c r="A7868" s="4"/>
      <c r="B7868" s="12" t="s">
        <v>2687</v>
      </c>
      <c r="C7868" s="21"/>
      <c r="D7868" s="21"/>
      <c r="E7868" s="21"/>
      <c r="F7868" s="21"/>
    </row>
    <row r="7869">
      <c r="A7869" s="5"/>
      <c r="B7869" s="13" t="s">
        <v>2827</v>
      </c>
      <c r="C7869" s="22">
        <f>(58)*(1)*(1)*(1)*(1 + (0))</f>
      </c>
      <c r="D7869" s="22" t="s">
        <v>162</v>
      </c>
      <c r="E7869" s="22"/>
      <c r="F7869" s="22">
        <f>C7869*E7869</f>
      </c>
    </row>
    <row r="7870">
      <c r="A7870" s="5"/>
      <c r="B7870" s="13" t="s">
        <v>2828</v>
      </c>
      <c r="C7870" s="22">
        <f>(764)*(1)*(1)*(1)*(1 + (0))</f>
      </c>
      <c r="D7870" s="22" t="s">
        <v>24</v>
      </c>
      <c r="E7870" s="22"/>
      <c r="F7870" s="22">
        <f>C7870*E7870</f>
      </c>
    </row>
    <row r="7871">
      <c r="A7871" s="5"/>
      <c r="B7871" s="13" t="s">
        <v>2829</v>
      </c>
      <c r="C7871" s="22">
        <f>(21)*(1)*(1)*(1)*(1 + (0))</f>
      </c>
      <c r="D7871" s="22" t="s">
        <v>153</v>
      </c>
      <c r="E7871" s="22"/>
      <c r="F7871" s="22">
        <f>C7871*E7871</f>
      </c>
    </row>
    <row r="7872">
      <c r="A7872" s="5"/>
      <c r="B7872" s="7" t="s">
        <v>2830</v>
      </c>
      <c r="C7872" s="22"/>
      <c r="D7872" s="22"/>
      <c r="E7872" s="22"/>
      <c r="F7872" s="22">
        <f>C7872*E7872</f>
      </c>
    </row>
    <row r="7873">
      <c r="A7873" s="2"/>
      <c r="B7873" s="10" t="s">
        <v>2831</v>
      </c>
      <c r="C7873" s="19"/>
      <c r="D7873" s="19"/>
      <c r="E7873" s="19"/>
      <c r="F7873" s="19"/>
    </row>
    <row r="7874">
      <c r="A7874" s="3"/>
      <c r="B7874" s="11" t="s">
        <v>37</v>
      </c>
      <c r="C7874" s="20"/>
      <c r="D7874" s="20"/>
      <c r="E7874" s="20"/>
      <c r="F7874" s="20"/>
    </row>
    <row r="7875">
      <c r="A7875" s="5" t="s">
        <v>2832</v>
      </c>
      <c r="B7875" s="14" t="s">
        <v>2400</v>
      </c>
      <c r="C7875" s="22"/>
      <c r="D7875" s="22" t="s">
        <v>10</v>
      </c>
      <c r="E7875" s="22"/>
      <c r="F7875" s="22">
        <f>C7875*E7875</f>
      </c>
    </row>
    <row r="7876">
      <c r="A7876" s="5" t="s">
        <v>2833</v>
      </c>
      <c r="B7876" s="14" t="s">
        <v>41</v>
      </c>
      <c r="C7876" s="22"/>
      <c r="D7876" s="22" t="s">
        <v>10</v>
      </c>
      <c r="E7876" s="22"/>
      <c r="F7876" s="22">
        <f>C7876*E7876</f>
      </c>
    </row>
    <row r="7877">
      <c r="A7877" s="3"/>
      <c r="B7877" s="11" t="s">
        <v>42</v>
      </c>
      <c r="C7877" s="20"/>
      <c r="D7877" s="20"/>
      <c r="E7877" s="20"/>
      <c r="F7877" s="20"/>
    </row>
    <row r="7878">
      <c r="A7878" s="5"/>
      <c r="B7878" s="14" t="s">
        <v>2292</v>
      </c>
      <c r="C7878" s="22"/>
      <c r="D7878" s="22" t="s">
        <v>10</v>
      </c>
      <c r="E7878" s="22"/>
      <c r="F7878" s="22">
        <f>C7878*E7878</f>
      </c>
    </row>
    <row r="7879">
      <c r="A7879" s="5"/>
      <c r="B7879" s="14" t="s">
        <v>2665</v>
      </c>
      <c r="C7879" s="22"/>
      <c r="D7879" s="22" t="s">
        <v>10</v>
      </c>
      <c r="E7879" s="22"/>
      <c r="F7879" s="22">
        <f>C7879*E7879</f>
      </c>
    </row>
    <row r="7880">
      <c r="A7880" s="3"/>
      <c r="B7880" s="11" t="s">
        <v>44</v>
      </c>
      <c r="C7880" s="20"/>
      <c r="D7880" s="20"/>
      <c r="E7880" s="20"/>
      <c r="F7880" s="20"/>
    </row>
    <row r="7881">
      <c r="A7881" s="4"/>
      <c r="B7881" s="12" t="s">
        <v>45</v>
      </c>
      <c r="C7881" s="21"/>
      <c r="D7881" s="21"/>
      <c r="E7881" s="21"/>
      <c r="F7881" s="21"/>
    </row>
    <row r="7882">
      <c r="A7882" s="5" t="s">
        <v>2834</v>
      </c>
      <c r="B7882" s="13" t="s">
        <v>2446</v>
      </c>
      <c r="C7882" s="22"/>
      <c r="D7882" s="22" t="s">
        <v>10</v>
      </c>
      <c r="E7882" s="22"/>
      <c r="F7882" s="22">
        <f>C7882*E7882</f>
      </c>
    </row>
    <row r="7883">
      <c r="A7883" s="5" t="s">
        <v>2835</v>
      </c>
      <c r="B7883" s="13" t="s">
        <v>49</v>
      </c>
      <c r="C7883" s="22"/>
      <c r="D7883" s="22" t="s">
        <v>10</v>
      </c>
      <c r="E7883" s="22"/>
      <c r="F7883" s="22">
        <f>C7883*E7883</f>
      </c>
    </row>
    <row r="7884">
      <c r="A7884" s="5" t="s">
        <v>2836</v>
      </c>
      <c r="B7884" s="13" t="s">
        <v>2447</v>
      </c>
      <c r="C7884" s="22"/>
      <c r="D7884" s="22" t="s">
        <v>10</v>
      </c>
      <c r="E7884" s="22"/>
      <c r="F7884" s="22">
        <f>C7884*E7884</f>
      </c>
    </row>
    <row r="7885">
      <c r="A7885" s="5" t="s">
        <v>2837</v>
      </c>
      <c r="B7885" s="13" t="s">
        <v>2448</v>
      </c>
      <c r="C7885" s="22"/>
      <c r="D7885" s="22" t="s">
        <v>10</v>
      </c>
      <c r="E7885" s="22"/>
      <c r="F7885" s="22">
        <f>C7885*E7885</f>
      </c>
    </row>
    <row r="7886">
      <c r="A7886" s="5" t="s">
        <v>2838</v>
      </c>
      <c r="B7886" s="13" t="s">
        <v>57</v>
      </c>
      <c r="C7886" s="22"/>
      <c r="D7886" s="22" t="s">
        <v>10</v>
      </c>
      <c r="E7886" s="22"/>
      <c r="F7886" s="22">
        <f>C7886*E7886</f>
      </c>
    </row>
    <row r="7887">
      <c r="A7887" s="5" t="s">
        <v>2839</v>
      </c>
      <c r="B7887" s="13" t="s">
        <v>61</v>
      </c>
      <c r="C7887" s="22"/>
      <c r="D7887" s="22" t="s">
        <v>10</v>
      </c>
      <c r="E7887" s="22"/>
      <c r="F7887" s="22">
        <f>C7887*E7887</f>
      </c>
    </row>
    <row r="7888">
      <c r="A7888" s="5" t="s">
        <v>2840</v>
      </c>
      <c r="B7888" s="13" t="s">
        <v>67</v>
      </c>
      <c r="C7888" s="22"/>
      <c r="D7888" s="22" t="s">
        <v>10</v>
      </c>
      <c r="E7888" s="22"/>
      <c r="F7888" s="22">
        <f>C7888*E7888</f>
      </c>
    </row>
    <row r="7889">
      <c r="A7889" s="5" t="s">
        <v>2841</v>
      </c>
      <c r="B7889" s="13" t="s">
        <v>123</v>
      </c>
      <c r="C7889" s="22"/>
      <c r="D7889" s="22" t="s">
        <v>10</v>
      </c>
      <c r="E7889" s="22"/>
      <c r="F7889" s="22">
        <f>C7889*E7889</f>
      </c>
    </row>
    <row r="7890">
      <c r="A7890" s="3"/>
      <c r="B7890" s="11" t="s">
        <v>68</v>
      </c>
      <c r="C7890" s="20"/>
      <c r="D7890" s="20"/>
      <c r="E7890" s="20"/>
      <c r="F7890" s="20"/>
    </row>
    <row r="7891">
      <c r="A7891" s="5" t="s">
        <v>2842</v>
      </c>
      <c r="B7891" s="14" t="s">
        <v>70</v>
      </c>
      <c r="C7891" s="22">
        <f>(1)*(1)*(1)*(1)*(1 + (0))</f>
      </c>
      <c r="D7891" s="22" t="s">
        <v>71</v>
      </c>
      <c r="E7891" s="22"/>
      <c r="F7891" s="22">
        <f>C7891*E7891</f>
      </c>
    </row>
    <row r="7892">
      <c r="A7892" s="5" t="s">
        <v>2843</v>
      </c>
      <c r="B7892" s="14" t="s">
        <v>73</v>
      </c>
      <c r="C7892" s="22">
        <f>(1)*(1)*(1)*(1)*(1 + (0))</f>
      </c>
      <c r="D7892" s="22" t="s">
        <v>71</v>
      </c>
      <c r="E7892" s="22"/>
      <c r="F7892" s="22">
        <f>C7892*E7892</f>
      </c>
    </row>
    <row r="7893">
      <c r="A7893" s="5" t="s">
        <v>2844</v>
      </c>
      <c r="B7893" s="14" t="s">
        <v>83</v>
      </c>
      <c r="C7893" s="22">
        <f>(1)*(1)*(1)*(1)*(1 + (0))</f>
      </c>
      <c r="D7893" s="22" t="s">
        <v>71</v>
      </c>
      <c r="E7893" s="22"/>
      <c r="F7893" s="22">
        <f>C7893*E7893</f>
      </c>
    </row>
    <row r="7894">
      <c r="A7894" s="5" t="s">
        <v>2845</v>
      </c>
      <c r="B7894" s="14" t="s">
        <v>77</v>
      </c>
      <c r="C7894" s="22">
        <f>(1)*(1)*(1)*(1)*(1 + (0))</f>
      </c>
      <c r="D7894" s="22" t="s">
        <v>71</v>
      </c>
      <c r="E7894" s="22"/>
      <c r="F7894" s="22">
        <f>C7894*E7894</f>
      </c>
    </row>
    <row r="7895">
      <c r="A7895" s="5" t="s">
        <v>2846</v>
      </c>
      <c r="B7895" s="14" t="s">
        <v>228</v>
      </c>
      <c r="C7895" s="22">
        <f>(1)*(1)*(1)*(1)*(1 + (0))</f>
      </c>
      <c r="D7895" s="22" t="s">
        <v>71</v>
      </c>
      <c r="E7895" s="22"/>
      <c r="F7895" s="22">
        <f>C7895*E7895</f>
      </c>
    </row>
    <row r="7896">
      <c r="A7896" s="5" t="s">
        <v>2847</v>
      </c>
      <c r="B7896" s="14" t="s">
        <v>230</v>
      </c>
      <c r="C7896" s="22">
        <f>(1)*(1)*(1)*(1)*(1 + (0))</f>
      </c>
      <c r="D7896" s="22" t="s">
        <v>71</v>
      </c>
      <c r="E7896" s="22"/>
      <c r="F7896" s="22">
        <f>C7896*E7896</f>
      </c>
    </row>
    <row r="7897">
      <c r="A7897" s="5" t="s">
        <v>2848</v>
      </c>
      <c r="B7897" s="14" t="s">
        <v>2453</v>
      </c>
      <c r="C7897" s="22">
        <f>(1)*(1)*(1)*(1)*(1 + (0))</f>
      </c>
      <c r="D7897" s="22" t="s">
        <v>71</v>
      </c>
      <c r="E7897" s="22"/>
      <c r="F7897" s="22">
        <f>C7897*E7897</f>
      </c>
    </row>
    <row r="7898">
      <c r="A7898" s="5" t="s">
        <v>2849</v>
      </c>
      <c r="B7898" s="14" t="s">
        <v>232</v>
      </c>
      <c r="C7898" s="22">
        <f>(1)*(1)*(1)*(1)*(1 + (0))</f>
      </c>
      <c r="D7898" s="22" t="s">
        <v>71</v>
      </c>
      <c r="E7898" s="22"/>
      <c r="F7898" s="22">
        <f>C7898*E7898</f>
      </c>
    </row>
    <row r="7899">
      <c r="A7899" s="5" t="s">
        <v>2850</v>
      </c>
      <c r="B7899" s="14" t="s">
        <v>2851</v>
      </c>
      <c r="C7899" s="22">
        <f>(1)*(1)*(1)*(1)*(1 + (0))</f>
      </c>
      <c r="D7899" s="22" t="s">
        <v>71</v>
      </c>
      <c r="E7899" s="22"/>
      <c r="F7899" s="22">
        <f>C7899*E7899</f>
      </c>
    </row>
    <row r="7900">
      <c r="A7900" s="3"/>
      <c r="B7900" s="11" t="s">
        <v>2852</v>
      </c>
      <c r="C7900" s="20"/>
      <c r="D7900" s="20"/>
      <c r="E7900" s="20"/>
      <c r="F7900" s="20"/>
    </row>
    <row r="7901">
      <c r="A7901" s="4"/>
      <c r="B7901" s="12" t="s">
        <v>2853</v>
      </c>
      <c r="C7901" s="21"/>
      <c r="D7901" s="21"/>
      <c r="E7901" s="21"/>
      <c r="F7901" s="21"/>
    </row>
    <row r="7902">
      <c r="A7902" s="5"/>
      <c r="B7902" s="13" t="s">
        <v>2854</v>
      </c>
      <c r="C7902" s="22">
        <f>(28)*(1)*(1)*(1)*(1 + (0))</f>
      </c>
      <c r="D7902" s="22" t="s">
        <v>162</v>
      </c>
      <c r="E7902" s="22"/>
      <c r="F7902" s="22">
        <f>C7902*E7902</f>
      </c>
    </row>
    <row r="7903">
      <c r="A7903" s="5"/>
      <c r="B7903" s="13" t="s">
        <v>2855</v>
      </c>
      <c r="C7903" s="22">
        <f>(2)*(1)*(1)*(1)*(1 + (0))</f>
      </c>
      <c r="D7903" s="22" t="s">
        <v>162</v>
      </c>
      <c r="E7903" s="22"/>
      <c r="F7903" s="22">
        <f>C7903*E7903</f>
      </c>
    </row>
    <row r="7904">
      <c r="A7904" s="5"/>
      <c r="B7904" s="13" t="s">
        <v>2856</v>
      </c>
      <c r="C7904" s="22">
        <f>(1)*(1)*(1)*(1)*(1 + (0))</f>
      </c>
      <c r="D7904" s="22" t="s">
        <v>162</v>
      </c>
      <c r="E7904" s="22"/>
      <c r="F7904" s="22">
        <f>C7904*E7904</f>
      </c>
    </row>
    <row r="7905">
      <c r="A7905" s="5"/>
      <c r="B7905" s="13" t="s">
        <v>2857</v>
      </c>
      <c r="C7905" s="22">
        <f>(1)*(1)*(1)*(1)*(1 + (0))</f>
      </c>
      <c r="D7905" s="22" t="s">
        <v>162</v>
      </c>
      <c r="E7905" s="22"/>
      <c r="F7905" s="22">
        <f>C7905*E7905</f>
      </c>
    </row>
    <row r="7906">
      <c r="A7906" s="5"/>
      <c r="B7906" s="13" t="s">
        <v>2858</v>
      </c>
      <c r="C7906" s="22">
        <f>(1)*(1)*(1)*(1)*(1 + (0))</f>
      </c>
      <c r="D7906" s="22" t="s">
        <v>162</v>
      </c>
      <c r="E7906" s="22"/>
      <c r="F7906" s="22">
        <f>C7906*E7906</f>
      </c>
    </row>
    <row r="7907">
      <c r="A7907" s="5"/>
      <c r="B7907" s="13" t="s">
        <v>2859</v>
      </c>
      <c r="C7907" s="22">
        <f>(7)*(1)*(1)*(1)*(1 + (0))</f>
      </c>
      <c r="D7907" s="22" t="s">
        <v>153</v>
      </c>
      <c r="E7907" s="22"/>
      <c r="F7907" s="22">
        <f>C7907*E7907</f>
      </c>
    </row>
    <row r="7908">
      <c r="A7908" s="5"/>
      <c r="B7908" s="13" t="s">
        <v>2860</v>
      </c>
      <c r="C7908" s="22">
        <f>(15)*(1)*(1)*(1)*(1 + (0))</f>
      </c>
      <c r="D7908" s="22" t="s">
        <v>153</v>
      </c>
      <c r="E7908" s="22"/>
      <c r="F7908" s="22">
        <f>C7908*E7908</f>
      </c>
    </row>
    <row r="7909">
      <c r="A7909" s="4"/>
      <c r="B7909" s="12" t="s">
        <v>2861</v>
      </c>
      <c r="C7909" s="21"/>
      <c r="D7909" s="21"/>
      <c r="E7909" s="21"/>
      <c r="F7909" s="21"/>
    </row>
    <row r="7910">
      <c r="A7910" s="5"/>
      <c r="B7910" s="13" t="s">
        <v>2862</v>
      </c>
      <c r="C7910" s="22">
        <f>(21)*(1)*(1)*(1)*(1 + (0))</f>
      </c>
      <c r="D7910" s="22" t="s">
        <v>153</v>
      </c>
      <c r="E7910" s="22"/>
      <c r="F7910" s="22">
        <f>C7910*E7910</f>
      </c>
    </row>
    <row r="7911">
      <c r="A7911" s="5"/>
      <c r="B7911" s="13" t="s">
        <v>2863</v>
      </c>
      <c r="C7911" s="22">
        <f>(200)*(1)*(1)*(1)*(1 + (0))</f>
      </c>
      <c r="D7911" s="22" t="s">
        <v>153</v>
      </c>
      <c r="E7911" s="22"/>
      <c r="F7911" s="22">
        <f>C7911*E7911</f>
      </c>
    </row>
    <row r="7912">
      <c r="A7912" s="5"/>
      <c r="B7912" s="13" t="s">
        <v>2864</v>
      </c>
      <c r="C7912" s="22">
        <f>(346)*(1)*(1)*(1)*(1 + (0))</f>
      </c>
      <c r="D7912" s="22" t="s">
        <v>153</v>
      </c>
      <c r="E7912" s="22"/>
      <c r="F7912" s="22">
        <f>C7912*E7912</f>
      </c>
    </row>
    <row r="7913">
      <c r="A7913" s="5"/>
      <c r="B7913" s="13" t="s">
        <v>2865</v>
      </c>
      <c r="C7913" s="22">
        <f>(96)*(1)*(1)*(1)*(1 + (0))</f>
      </c>
      <c r="D7913" s="22" t="s">
        <v>153</v>
      </c>
      <c r="E7913" s="22"/>
      <c r="F7913" s="22">
        <f>C7913*E7913</f>
      </c>
    </row>
    <row r="7914">
      <c r="A7914" s="5"/>
      <c r="B7914" s="13" t="s">
        <v>2866</v>
      </c>
      <c r="C7914" s="22">
        <f>(183)*(1)*(1)*(1)*(1 + (0))</f>
      </c>
      <c r="D7914" s="22" t="s">
        <v>153</v>
      </c>
      <c r="E7914" s="22"/>
      <c r="F7914" s="22">
        <f>C7914*E7914</f>
      </c>
    </row>
    <row r="7915">
      <c r="A7915" s="5"/>
      <c r="B7915" s="13" t="s">
        <v>2867</v>
      </c>
      <c r="C7915" s="22">
        <f>(222)*(1)*(1)*(1)*(1 + (0))</f>
      </c>
      <c r="D7915" s="22" t="s">
        <v>153</v>
      </c>
      <c r="E7915" s="22"/>
      <c r="F7915" s="22">
        <f>C7915*E7915</f>
      </c>
    </row>
    <row r="7916">
      <c r="A7916" s="5"/>
      <c r="B7916" s="13" t="s">
        <v>2868</v>
      </c>
      <c r="C7916" s="22">
        <f>(134)*(1)*(1)*(1)*(1 + (0))</f>
      </c>
      <c r="D7916" s="22" t="s">
        <v>153</v>
      </c>
      <c r="E7916" s="22"/>
      <c r="F7916" s="22">
        <f>C7916*E7916</f>
      </c>
    </row>
    <row r="7917">
      <c r="A7917" s="5"/>
      <c r="B7917" s="13" t="s">
        <v>2869</v>
      </c>
      <c r="C7917" s="22">
        <f>(68)*(1)*(1)*(1)*(1 + (0))</f>
      </c>
      <c r="D7917" s="22" t="s">
        <v>153</v>
      </c>
      <c r="E7917" s="22"/>
      <c r="F7917" s="22">
        <f>C7917*E7917</f>
      </c>
    </row>
    <row r="7918">
      <c r="A7918" s="5"/>
      <c r="B7918" s="13" t="s">
        <v>2870</v>
      </c>
      <c r="C7918" s="22">
        <f>(5)*(1)*(1)*(1)*(1 + (0))</f>
      </c>
      <c r="D7918" s="22" t="s">
        <v>153</v>
      </c>
      <c r="E7918" s="22"/>
      <c r="F7918" s="22">
        <f>C7918*E7918</f>
      </c>
    </row>
    <row r="7919">
      <c r="A7919" s="5"/>
      <c r="B7919" s="13" t="s">
        <v>2871</v>
      </c>
      <c r="C7919" s="22">
        <f>(19)*(1)*(1)*(1)*(1 + (0))</f>
      </c>
      <c r="D7919" s="22" t="s">
        <v>153</v>
      </c>
      <c r="E7919" s="22"/>
      <c r="F7919" s="22">
        <f>C7919*E7919</f>
      </c>
    </row>
    <row r="7920">
      <c r="A7920" s="3"/>
      <c r="B7920" s="11" t="s">
        <v>2872</v>
      </c>
      <c r="C7920" s="20"/>
      <c r="D7920" s="20"/>
      <c r="E7920" s="20"/>
      <c r="F7920" s="20"/>
    </row>
    <row r="7921">
      <c r="A7921" s="5"/>
      <c r="B7921" s="14" t="s">
        <v>2873</v>
      </c>
      <c r="C7921" s="22">
        <f>(33)*(1)*(1)*(1)*(1 + (0))</f>
      </c>
      <c r="D7921" s="22" t="s">
        <v>153</v>
      </c>
      <c r="E7921" s="22"/>
      <c r="F7921" s="22">
        <f>C7921*E7921</f>
      </c>
    </row>
    <row r="7922">
      <c r="A7922" s="5"/>
      <c r="B7922" s="7" t="s">
        <v>2874</v>
      </c>
      <c r="C7922" s="22"/>
      <c r="D7922" s="22"/>
      <c r="E7922" s="22"/>
      <c r="F7922" s="22">
        <f>C7922*E7922</f>
      </c>
    </row>
    <row r="7923">
      <c r="A7923" s="5"/>
      <c r="B7923" s="7" t="s">
        <v>2875</v>
      </c>
      <c r="C7923" s="22"/>
      <c r="D7923" s="22"/>
      <c r="E7923" s="22"/>
      <c r="F7923" s="22">
        <f>C7923*E7923</f>
      </c>
    </row>
    <row r="7924">
      <c r="A7924" s="5"/>
      <c r="B7924" s="7" t="s">
        <v>2876</v>
      </c>
      <c r="C7924" s="22"/>
      <c r="D7924" s="22"/>
      <c r="E7924" s="22"/>
      <c r="F7924" s="22">
        <f>C7924*E7924</f>
      </c>
    </row>
    <row r="7925">
      <c r="A7925" s="5"/>
      <c r="B7925" s="7" t="s">
        <v>2877</v>
      </c>
      <c r="C7925" s="22"/>
      <c r="D7925" s="22"/>
      <c r="E7925" s="22"/>
      <c r="F7925" s="22">
        <f>C7925*E7925</f>
      </c>
    </row>
    <row r="7926">
      <c r="A7926" s="5"/>
      <c r="B7926" s="7" t="s">
        <v>2878</v>
      </c>
      <c r="C7926" s="22"/>
      <c r="D7926" s="22"/>
      <c r="E7926" s="22"/>
      <c r="F7926" s="22">
        <f>C7926*E7926</f>
      </c>
    </row>
    <row r="7927">
      <c r="A7927" s="5"/>
      <c r="B7927" s="7" t="s">
        <v>2879</v>
      </c>
      <c r="C7927" s="22"/>
      <c r="D7927" s="22"/>
      <c r="E7927" s="22"/>
      <c r="F7927" s="22">
        <f>C7927*E7927</f>
      </c>
    </row>
    <row r="7928">
      <c r="A7928" s="5"/>
      <c r="B7928" s="7" t="s">
        <v>2880</v>
      </c>
      <c r="C7928" s="22"/>
      <c r="D7928" s="22"/>
      <c r="E7928" s="22"/>
      <c r="F7928" s="22">
        <f>C7928*E7928</f>
      </c>
    </row>
    <row r="7929">
      <c r="A7929" s="5"/>
      <c r="B7929" s="7" t="s">
        <v>2881</v>
      </c>
      <c r="C7929" s="22"/>
      <c r="D7929" s="22"/>
      <c r="E7929" s="22"/>
      <c r="F7929" s="22">
        <f>C7929*E7929</f>
      </c>
    </row>
    <row r="7930">
      <c r="A7930" s="5"/>
      <c r="B7930" s="7"/>
      <c r="C7930" s="22"/>
      <c r="D7930" s="22"/>
      <c r="E7930" s="22"/>
      <c r="F7930" s="22">
        <f>C7930*E7930</f>
      </c>
    </row>
    <row r="7931">
      <c r="A7931" s="5"/>
      <c r="B7931" s="7"/>
      <c r="C7931" s="22"/>
      <c r="D7931" s="22"/>
      <c r="E7931" s="22"/>
      <c r="F7931" s="22">
        <f>C7931*E7931</f>
      </c>
    </row>
    <row r="7932">
      <c r="A7932" s="5"/>
      <c r="B7932" s="7" t="s">
        <v>2882</v>
      </c>
      <c r="C7932" s="22"/>
      <c r="D7932" s="22"/>
      <c r="E7932" s="22"/>
      <c r="F7932" s="22">
        <f>C7932*E7932</f>
      </c>
    </row>
    <row r="7933">
      <c r="A7933" s="5"/>
      <c r="B7933" s="7" t="s">
        <v>2883</v>
      </c>
      <c r="C7933" s="22"/>
      <c r="D7933" s="22"/>
      <c r="E7933" s="22"/>
      <c r="F7933" s="22">
        <f>C7933*E7933</f>
      </c>
    </row>
    <row r="7934">
      <c r="A7934" s="5"/>
      <c r="B7934" s="7" t="s">
        <v>2884</v>
      </c>
      <c r="C7934" s="22"/>
      <c r="D7934" s="22"/>
      <c r="E7934" s="22"/>
      <c r="F7934" s="22">
        <f>C7934*E7934</f>
      </c>
    </row>
    <row r="7935">
      <c r="A7935" s="5"/>
      <c r="B7935" s="7" t="s">
        <v>2885</v>
      </c>
      <c r="C7935" s="22"/>
      <c r="D7935" s="22"/>
      <c r="E7935" s="22"/>
      <c r="F7935" s="22">
        <f>C7935*E7935</f>
      </c>
    </row>
    <row r="7936">
      <c r="A7936" s="5"/>
      <c r="B7936" s="7" t="s">
        <v>2886</v>
      </c>
      <c r="C7936" s="22"/>
      <c r="D7936" s="22"/>
      <c r="E7936" s="22"/>
      <c r="F7936" s="22">
        <f>C7936*E7936</f>
      </c>
    </row>
    <row r="7937">
      <c r="A7937" s="5"/>
      <c r="B7937" s="7" t="s">
        <v>2887</v>
      </c>
      <c r="C7937" s="22"/>
      <c r="D7937" s="22"/>
      <c r="E7937" s="22"/>
      <c r="F7937" s="22">
        <f>C7937*E7937</f>
      </c>
    </row>
    <row r="7938">
      <c r="A7938" s="2"/>
      <c r="B7938" s="10" t="s">
        <v>2888</v>
      </c>
      <c r="C7938" s="19"/>
      <c r="D7938" s="19"/>
      <c r="E7938" s="19"/>
      <c r="F7938" s="19"/>
    </row>
    <row r="7939">
      <c r="A7939" s="3"/>
      <c r="B7939" s="11" t="s">
        <v>2889</v>
      </c>
      <c r="C7939" s="20"/>
      <c r="D7939" s="20"/>
      <c r="E7939" s="20"/>
      <c r="F7939" s="20"/>
    </row>
    <row r="7940">
      <c r="A7940" s="4"/>
      <c r="B7940" s="12" t="s">
        <v>721</v>
      </c>
      <c r="C7940" s="21"/>
      <c r="D7940" s="21"/>
      <c r="E7940" s="21"/>
      <c r="F7940" s="21"/>
    </row>
    <row r="7941">
      <c r="A7941" s="5"/>
      <c r="B7941" s="13" t="s">
        <v>1983</v>
      </c>
      <c r="C7941" s="22">
        <f>(123)*(1)*(1)*(1)*(1 + (0))</f>
      </c>
      <c r="D7941" s="22" t="s">
        <v>24</v>
      </c>
      <c r="E7941" s="22"/>
      <c r="F7941" s="22">
        <f>C7941*E7941</f>
      </c>
    </row>
    <row r="7942">
      <c r="A7942" s="4"/>
      <c r="B7942" s="12" t="s">
        <v>728</v>
      </c>
      <c r="C7942" s="21"/>
      <c r="D7942" s="21"/>
      <c r="E7942" s="21"/>
      <c r="F7942" s="21"/>
    </row>
    <row r="7943">
      <c r="A7943" s="5"/>
      <c r="B7943" s="13" t="s">
        <v>729</v>
      </c>
      <c r="C7943" s="22">
        <f>(123)*(1)*(1)*(1)*(1 + (0))</f>
      </c>
      <c r="D7943" s="22" t="s">
        <v>24</v>
      </c>
      <c r="E7943" s="22"/>
      <c r="F7943" s="22">
        <f>C7943*E7943</f>
      </c>
    </row>
    <row r="7944">
      <c r="A7944" s="4"/>
      <c r="B7944" s="12" t="s">
        <v>740</v>
      </c>
      <c r="C7944" s="21"/>
      <c r="D7944" s="21"/>
      <c r="E7944" s="21"/>
      <c r="F7944" s="21"/>
    </row>
    <row r="7945">
      <c r="A7945" s="5"/>
      <c r="B7945" s="13" t="s">
        <v>741</v>
      </c>
      <c r="C7945" s="22">
        <f>(33)*(1)*(1)*(1)*(1 + (0))</f>
      </c>
      <c r="D7945" s="22" t="s">
        <v>153</v>
      </c>
      <c r="E7945" s="22"/>
      <c r="F7945" s="22">
        <f>C7945*E7945</f>
      </c>
    </row>
    <row r="7946">
      <c r="A7946" s="5"/>
      <c r="B7946" s="13" t="s">
        <v>2890</v>
      </c>
      <c r="C7946" s="22">
        <f>(2)*(1)*(1)*(1)*(1 + (0))</f>
      </c>
      <c r="D7946" s="22" t="s">
        <v>162</v>
      </c>
      <c r="E7946" s="22"/>
      <c r="F7946" s="22">
        <f>C7946*E7946</f>
      </c>
    </row>
    <row r="7947">
      <c r="A7947" s="5"/>
      <c r="B7947" s="13" t="s">
        <v>748</v>
      </c>
      <c r="C7947" s="22">
        <f>(2)*(1)*(1)*(1)*(1 + (0))</f>
      </c>
      <c r="D7947" s="22" t="s">
        <v>162</v>
      </c>
      <c r="E7947" s="22"/>
      <c r="F7947" s="22">
        <f>C7947*E7947</f>
      </c>
    </row>
    <row r="7948">
      <c r="A7948" s="5"/>
      <c r="B7948" s="13" t="s">
        <v>749</v>
      </c>
      <c r="C7948" s="22">
        <f>(33)*(1)*(1)*(1)*(1 + (0))</f>
      </c>
      <c r="D7948" s="22" t="s">
        <v>153</v>
      </c>
      <c r="E7948" s="22"/>
      <c r="F7948" s="22">
        <f>C7948*E7948</f>
      </c>
    </row>
    <row r="7949">
      <c r="A7949" s="5"/>
      <c r="B7949" s="13" t="s">
        <v>751</v>
      </c>
      <c r="C7949" s="22">
        <f>(2)*(1)*(1)*(1)*(1 + (0))</f>
      </c>
      <c r="D7949" s="22" t="s">
        <v>162</v>
      </c>
      <c r="E7949" s="22"/>
      <c r="F7949" s="22">
        <f>C7949*E7949</f>
      </c>
    </row>
    <row r="7950">
      <c r="A7950" s="3"/>
      <c r="B7950" s="11" t="s">
        <v>520</v>
      </c>
      <c r="C7950" s="20"/>
      <c r="D7950" s="20"/>
      <c r="E7950" s="20"/>
      <c r="F7950" s="20"/>
    </row>
    <row r="7951">
      <c r="A7951" s="4"/>
      <c r="B7951" s="12" t="s">
        <v>565</v>
      </c>
      <c r="C7951" s="21"/>
      <c r="D7951" s="21"/>
      <c r="E7951" s="21"/>
      <c r="F7951" s="21"/>
    </row>
    <row r="7952">
      <c r="A7952" s="5"/>
      <c r="B7952" s="13" t="s">
        <v>2891</v>
      </c>
      <c r="C7952" s="22">
        <f>(123)*(1)*(1)*(1)*(1 + (0))</f>
      </c>
      <c r="D7952" s="22" t="s">
        <v>24</v>
      </c>
      <c r="E7952" s="22"/>
      <c r="F7952" s="22">
        <f>C7952*E7952</f>
      </c>
    </row>
    <row r="7953">
      <c r="A7953" s="2"/>
      <c r="B7953" s="10" t="s">
        <v>2892</v>
      </c>
      <c r="C7953" s="19"/>
      <c r="D7953" s="19"/>
      <c r="E7953" s="19"/>
      <c r="F7953" s="19"/>
    </row>
    <row r="7954">
      <c r="A7954" s="3"/>
      <c r="B7954" s="11" t="s">
        <v>2893</v>
      </c>
      <c r="C7954" s="20"/>
      <c r="D7954" s="20"/>
      <c r="E7954" s="20"/>
      <c r="F7954" s="20"/>
    </row>
    <row r="7955">
      <c r="A7955" s="4"/>
      <c r="B7955" s="12" t="s">
        <v>2794</v>
      </c>
      <c r="C7955" s="21"/>
      <c r="D7955" s="21"/>
      <c r="E7955" s="21"/>
      <c r="F7955" s="21"/>
    </row>
    <row r="7956">
      <c r="A7956" s="6"/>
      <c r="B7956" s="15" t="s">
        <v>2800</v>
      </c>
      <c r="C7956" s="23"/>
      <c r="D7956" s="23"/>
      <c r="E7956" s="23"/>
      <c r="F7956" s="23"/>
    </row>
    <row r="7957">
      <c r="A7957" s="5"/>
      <c r="B7957" s="16" t="s">
        <v>2894</v>
      </c>
      <c r="C7957" s="22">
        <f>(-96)*(1)*(1)*(1)*(1 + (0))</f>
      </c>
      <c r="D7957" s="22" t="s">
        <v>111</v>
      </c>
      <c r="E7957" s="22"/>
      <c r="F7957" s="22">
        <f>C7957*E7957</f>
      </c>
    </row>
    <row r="7958">
      <c r="A7958" s="5"/>
      <c r="B7958" s="16" t="s">
        <v>2809</v>
      </c>
      <c r="C7958" s="22"/>
      <c r="D7958" s="22"/>
      <c r="E7958" s="22"/>
      <c r="F7958" s="22"/>
    </row>
    <row r="7959">
      <c r="A7959" s="5"/>
      <c r="B7959" s="17" t="s">
        <v>2895</v>
      </c>
      <c r="C7959" s="22">
        <f>(-766)*(1)*(1)*(1)*(1 + (0))</f>
      </c>
      <c r="D7959" s="22" t="s">
        <v>24</v>
      </c>
      <c r="E7959" s="22"/>
      <c r="F7959" s="22">
        <f>C7959*E7959</f>
      </c>
    </row>
    <row r="7960">
      <c r="A7960" s="6"/>
      <c r="B7960" s="15" t="s">
        <v>2896</v>
      </c>
      <c r="C7960" s="23"/>
      <c r="D7960" s="23"/>
      <c r="E7960" s="23"/>
      <c r="F7960" s="23"/>
    </row>
    <row r="7961">
      <c r="A7961" s="5"/>
      <c r="B7961" s="16" t="s">
        <v>2809</v>
      </c>
      <c r="C7961" s="22"/>
      <c r="D7961" s="22"/>
      <c r="E7961" s="22"/>
      <c r="F7961" s="22"/>
    </row>
    <row r="7962">
      <c r="A7962" s="5"/>
      <c r="B7962" s="17" t="s">
        <v>2897</v>
      </c>
      <c r="C7962" s="22">
        <f>(766)*(1)*(1)*(1)*(1 + (0))</f>
      </c>
      <c r="D7962" s="22" t="s">
        <v>24</v>
      </c>
      <c r="E7962" s="22"/>
      <c r="F7962" s="22">
        <f>C7962*E7962</f>
      </c>
    </row>
    <row r="7963">
      <c r="A7963" s="2"/>
      <c r="B7963" s="10" t="s">
        <v>2898</v>
      </c>
      <c r="C7963" s="19"/>
      <c r="D7963" s="19"/>
      <c r="E7963" s="19"/>
      <c r="F7963" s="19"/>
    </row>
    <row r="7964">
      <c r="A7964" s="3"/>
      <c r="B7964" s="11" t="s">
        <v>2444</v>
      </c>
      <c r="C7964" s="20"/>
      <c r="D7964" s="20"/>
      <c r="E7964" s="20"/>
      <c r="F7964" s="20"/>
    </row>
    <row r="7965">
      <c r="A7965" s="4"/>
      <c r="B7965" s="12" t="s">
        <v>2463</v>
      </c>
      <c r="C7965" s="21"/>
      <c r="D7965" s="21"/>
      <c r="E7965" s="21"/>
      <c r="F7965" s="21"/>
    </row>
    <row r="7966">
      <c r="A7966" s="6"/>
      <c r="B7966" s="15" t="s">
        <v>2899</v>
      </c>
      <c r="C7966" s="23"/>
      <c r="D7966" s="23"/>
      <c r="E7966" s="23"/>
      <c r="F7966" s="23"/>
    </row>
    <row r="7967">
      <c r="A7967" s="5"/>
      <c r="B7967" s="16" t="s">
        <v>2465</v>
      </c>
      <c r="C7967" s="22"/>
      <c r="D7967" s="22"/>
      <c r="E7967" s="22"/>
      <c r="F7967" s="22"/>
    </row>
    <row r="7968">
      <c r="A7968" s="5"/>
      <c r="B7968" s="17" t="s">
        <v>2466</v>
      </c>
      <c r="C7968" s="22">
        <f>(-10)*(1)*(1)*(1)*(1 + (0))</f>
      </c>
      <c r="D7968" s="22" t="s">
        <v>162</v>
      </c>
      <c r="E7968" s="22"/>
      <c r="F7968" s="22">
        <f>C7968*E7968</f>
      </c>
    </row>
    <row r="7969">
      <c r="A7969" s="5"/>
      <c r="B7969" s="17" t="s">
        <v>2467</v>
      </c>
      <c r="C7969" s="22">
        <f>(-6)*(1)*(1)*(1)*(1 + (0))</f>
      </c>
      <c r="D7969" s="22" t="s">
        <v>162</v>
      </c>
      <c r="E7969" s="22"/>
      <c r="F7969" s="22">
        <f>C7969*E7969</f>
      </c>
    </row>
    <row r="7970">
      <c r="A7970" s="5"/>
      <c r="B7970" s="17" t="s">
        <v>2469</v>
      </c>
      <c r="C7970" s="22">
        <f>(-3)*(1)*(1)*(1)*(1 + (0))</f>
      </c>
      <c r="D7970" s="22" t="s">
        <v>162</v>
      </c>
      <c r="E7970" s="22"/>
      <c r="F7970" s="22">
        <f>C7970*E7970</f>
      </c>
    </row>
    <row r="7971">
      <c r="A7971" s="5"/>
      <c r="B7971" s="17" t="s">
        <v>2471</v>
      </c>
      <c r="C7971" s="22">
        <f>(-3)*(1)*(1)*(1)*(1 + (0))</f>
      </c>
      <c r="D7971" s="22" t="s">
        <v>162</v>
      </c>
      <c r="E7971" s="22"/>
      <c r="F7971" s="22">
        <f>C7971*E7971</f>
      </c>
    </row>
    <row r="7972">
      <c r="A7972" s="5"/>
      <c r="B7972" s="17" t="s">
        <v>2473</v>
      </c>
      <c r="C7972" s="22">
        <f>(-1)*(1)*(1)*(1)*(1 + (0))</f>
      </c>
      <c r="D7972" s="22" t="s">
        <v>162</v>
      </c>
      <c r="E7972" s="22"/>
      <c r="F7972" s="22">
        <f>C7972*E7972</f>
      </c>
    </row>
    <row r="7973">
      <c r="A7973" s="5"/>
      <c r="B7973" s="17" t="s">
        <v>2475</v>
      </c>
      <c r="C7973" s="22">
        <f>(-3)*(1)*(1)*(1)*(1 + (0))</f>
      </c>
      <c r="D7973" s="22" t="s">
        <v>162</v>
      </c>
      <c r="E7973" s="22"/>
      <c r="F7973" s="22">
        <f>C7973*E7973</f>
      </c>
    </row>
    <row r="7974">
      <c r="A7974" s="5"/>
      <c r="B7974" s="16" t="s">
        <v>2477</v>
      </c>
      <c r="C7974" s="22"/>
      <c r="D7974" s="22"/>
      <c r="E7974" s="22"/>
      <c r="F7974" s="22"/>
    </row>
    <row r="7975">
      <c r="A7975" s="5"/>
      <c r="B7975" s="17" t="s">
        <v>2479</v>
      </c>
      <c r="C7975" s="22">
        <f>(-1)*(1)*(1)*(1)*(1 + (0))</f>
      </c>
      <c r="D7975" s="22" t="s">
        <v>162</v>
      </c>
      <c r="E7975" s="22"/>
      <c r="F7975" s="22">
        <f>C7975*E7975</f>
      </c>
    </row>
    <row r="7976">
      <c r="A7976" s="5"/>
      <c r="B7976" s="17" t="s">
        <v>2481</v>
      </c>
      <c r="C7976" s="22">
        <f>(-4)*(1)*(1)*(1)*(1 + (0))</f>
      </c>
      <c r="D7976" s="22" t="s">
        <v>162</v>
      </c>
      <c r="E7976" s="22"/>
      <c r="F7976" s="22">
        <f>C7976*E7976</f>
      </c>
    </row>
    <row r="7977">
      <c r="A7977" s="5"/>
      <c r="B7977" s="17" t="s">
        <v>2482</v>
      </c>
      <c r="C7977" s="22">
        <f>(-1)*(1)*(1)*(1)*(1 + (0))</f>
      </c>
      <c r="D7977" s="22" t="s">
        <v>162</v>
      </c>
      <c r="E7977" s="22"/>
      <c r="F7977" s="22">
        <f>C7977*E7977</f>
      </c>
    </row>
    <row r="7978">
      <c r="A7978" s="5"/>
      <c r="B7978" s="17" t="s">
        <v>2483</v>
      </c>
      <c r="C7978" s="22">
        <f>(-2)*(1)*(1)*(1)*(1 + (0))</f>
      </c>
      <c r="D7978" s="22" t="s">
        <v>162</v>
      </c>
      <c r="E7978" s="22"/>
      <c r="F7978" s="22">
        <f>C7978*E7978</f>
      </c>
    </row>
    <row r="7979">
      <c r="A7979" s="5"/>
      <c r="B7979" s="17" t="s">
        <v>2484</v>
      </c>
      <c r="C7979" s="22">
        <f>(-2)*(1)*(1)*(1)*(1 + (0))</f>
      </c>
      <c r="D7979" s="22" t="s">
        <v>162</v>
      </c>
      <c r="E7979" s="22"/>
      <c r="F7979" s="22">
        <f>C7979*E7979</f>
      </c>
    </row>
    <row r="7980">
      <c r="A7980" s="5"/>
      <c r="B7980" s="17" t="s">
        <v>2485</v>
      </c>
      <c r="C7980" s="22">
        <f>(-3)*(1)*(1)*(1)*(1 + (0))</f>
      </c>
      <c r="D7980" s="22" t="s">
        <v>162</v>
      </c>
      <c r="E7980" s="22"/>
      <c r="F7980" s="22">
        <f>C7980*E7980</f>
      </c>
    </row>
    <row r="7981">
      <c r="A7981" s="5"/>
      <c r="B7981" s="17" t="s">
        <v>2486</v>
      </c>
      <c r="C7981" s="22">
        <f>(-4)*(1)*(1)*(1)*(1 + (0))</f>
      </c>
      <c r="D7981" s="22" t="s">
        <v>162</v>
      </c>
      <c r="E7981" s="22"/>
      <c r="F7981" s="22">
        <f>C7981*E7981</f>
      </c>
    </row>
    <row r="7982">
      <c r="A7982" s="5"/>
      <c r="B7982" s="16" t="s">
        <v>2487</v>
      </c>
      <c r="C7982" s="22"/>
      <c r="D7982" s="22"/>
      <c r="E7982" s="22"/>
      <c r="F7982" s="22"/>
    </row>
    <row r="7983">
      <c r="A7983" s="5"/>
      <c r="B7983" s="17" t="s">
        <v>2488</v>
      </c>
      <c r="C7983" s="22">
        <f>(-4)*(1)*(1)*(1)*(1 + (0))</f>
      </c>
      <c r="D7983" s="22" t="s">
        <v>162</v>
      </c>
      <c r="E7983" s="22"/>
      <c r="F7983" s="22">
        <f>C7983*E7983</f>
      </c>
    </row>
    <row r="7984">
      <c r="A7984" s="5"/>
      <c r="B7984" s="17" t="s">
        <v>2471</v>
      </c>
      <c r="C7984" s="22">
        <f>(-3)*(1)*(1)*(1)*(1 + (0))</f>
      </c>
      <c r="D7984" s="22" t="s">
        <v>162</v>
      </c>
      <c r="E7984" s="22"/>
      <c r="F7984" s="22">
        <f>C7984*E7984</f>
      </c>
    </row>
    <row r="7985">
      <c r="A7985" s="5"/>
      <c r="B7985" s="17" t="s">
        <v>2490</v>
      </c>
      <c r="C7985" s="22">
        <f>(-1)*(1)*(1)*(1)*(1 + (0))</f>
      </c>
      <c r="D7985" s="22" t="s">
        <v>162</v>
      </c>
      <c r="E7985" s="22"/>
      <c r="F7985" s="22">
        <f>C7985*E7985</f>
      </c>
    </row>
    <row r="7986">
      <c r="A7986" s="5"/>
      <c r="B7986" s="17" t="s">
        <v>2492</v>
      </c>
      <c r="C7986" s="22">
        <f>(-5)*(1)*(1)*(1)*(1 + (0))</f>
      </c>
      <c r="D7986" s="22" t="s">
        <v>162</v>
      </c>
      <c r="E7986" s="22"/>
      <c r="F7986" s="22">
        <f>C7986*E7986</f>
      </c>
    </row>
    <row r="7987">
      <c r="A7987" s="5"/>
      <c r="B7987" s="16" t="s">
        <v>2494</v>
      </c>
      <c r="C7987" s="22"/>
      <c r="D7987" s="22"/>
      <c r="E7987" s="22"/>
      <c r="F7987" s="22"/>
    </row>
    <row r="7988">
      <c r="A7988" s="5"/>
      <c r="B7988" s="17" t="s">
        <v>2495</v>
      </c>
      <c r="C7988" s="22">
        <f>(-5)*(1)*(1)*(1)*(1 + (0))</f>
      </c>
      <c r="D7988" s="22" t="s">
        <v>162</v>
      </c>
      <c r="E7988" s="22"/>
      <c r="F7988" s="22">
        <f>C7988*E7988</f>
      </c>
    </row>
    <row r="7989">
      <c r="A7989" s="5"/>
      <c r="B7989" s="17" t="s">
        <v>2497</v>
      </c>
      <c r="C7989" s="22">
        <f>(-2)*(1)*(1)*(1)*(1 + (0))</f>
      </c>
      <c r="D7989" s="22" t="s">
        <v>162</v>
      </c>
      <c r="E7989" s="22"/>
      <c r="F7989" s="22">
        <f>C7989*E7989</f>
      </c>
    </row>
    <row r="7990">
      <c r="A7990" s="5"/>
      <c r="B7990" s="17" t="s">
        <v>2475</v>
      </c>
      <c r="C7990" s="22">
        <f>(-3)*(1)*(1)*(1)*(1 + (0))</f>
      </c>
      <c r="D7990" s="22" t="s">
        <v>162</v>
      </c>
      <c r="E7990" s="22"/>
      <c r="F7990" s="22">
        <f>C7990*E7990</f>
      </c>
    </row>
    <row r="7991">
      <c r="A7991" s="5"/>
      <c r="B7991" s="17" t="s">
        <v>2500</v>
      </c>
      <c r="C7991" s="22">
        <f>(-5)*(1)*(1)*(1)*(1 + (0))</f>
      </c>
      <c r="D7991" s="22" t="s">
        <v>162</v>
      </c>
      <c r="E7991" s="22"/>
      <c r="F7991" s="22">
        <f>C7991*E7991</f>
      </c>
    </row>
    <row r="7992">
      <c r="A7992" s="5"/>
      <c r="B7992" s="16" t="s">
        <v>2502</v>
      </c>
      <c r="C7992" s="22"/>
      <c r="D7992" s="22"/>
      <c r="E7992" s="22"/>
      <c r="F7992" s="22"/>
    </row>
    <row r="7993">
      <c r="A7993" s="5"/>
      <c r="B7993" s="17" t="s">
        <v>2503</v>
      </c>
      <c r="C7993" s="22">
        <f>(-8)*(1)*(1)*(1)*(1 + (0))</f>
      </c>
      <c r="D7993" s="22" t="s">
        <v>162</v>
      </c>
      <c r="E7993" s="22"/>
      <c r="F7993" s="22">
        <f>C7993*E7993</f>
      </c>
    </row>
    <row r="7994">
      <c r="A7994" s="6"/>
      <c r="B7994" s="15" t="s">
        <v>2900</v>
      </c>
      <c r="C7994" s="23"/>
      <c r="D7994" s="23"/>
      <c r="E7994" s="23"/>
      <c r="F7994" s="23"/>
    </row>
    <row r="7995">
      <c r="A7995" s="5"/>
      <c r="B7995" s="16" t="s">
        <v>2901</v>
      </c>
      <c r="C7995" s="22">
        <f>(3)*(1)*(1)*(1)*(1 + (0))</f>
      </c>
      <c r="D7995" s="22" t="s">
        <v>162</v>
      </c>
      <c r="E7995" s="22"/>
      <c r="F7995" s="22">
        <f>C7995*E7995</f>
      </c>
    </row>
    <row r="7996">
      <c r="A7996" s="6"/>
      <c r="B7996" s="15" t="s">
        <v>2902</v>
      </c>
      <c r="C7996" s="23"/>
      <c r="D7996" s="23"/>
      <c r="E7996" s="23"/>
      <c r="F7996" s="23"/>
    </row>
    <row r="7997">
      <c r="A7997" s="5"/>
      <c r="B7997" s="16" t="s">
        <v>2903</v>
      </c>
      <c r="C7997" s="22">
        <f>(27)*(1)*(1)*(1)*(1 + (0))</f>
      </c>
      <c r="D7997" s="22" t="s">
        <v>162</v>
      </c>
      <c r="E7997" s="22"/>
      <c r="F7997" s="22">
        <f>C7997*E7997</f>
      </c>
    </row>
    <row r="7998">
      <c r="A7998" s="5"/>
      <c r="B7998" s="7"/>
      <c r="C7998" s="22"/>
      <c r="D7998" s="22"/>
      <c r="E7998" s="22"/>
      <c r="F7998" s="22">
        <f>C7998*E7998</f>
      </c>
    </row>
    <row r="7999">
      <c r="A7999" s="5"/>
      <c r="B7999" s="7"/>
      <c r="C7999" s="22"/>
      <c r="D7999" s="22"/>
      <c r="E7999" s="22"/>
      <c r="F7999" s="22">
        <f>C7999*E7999</f>
      </c>
    </row>
    <row r="8000">
      <c r="A8000" s="5"/>
      <c r="B8000" s="7" t="s">
        <v>2904</v>
      </c>
      <c r="C8000" s="22"/>
      <c r="D8000" s="22"/>
      <c r="E8000" s="22"/>
      <c r="F8000" s="22">
        <f>C8000*E8000</f>
      </c>
    </row>
    <row r="8001">
      <c r="A8001" s="2"/>
      <c r="B8001" s="10" t="s">
        <v>2905</v>
      </c>
      <c r="C8001" s="19"/>
      <c r="D8001" s="19"/>
      <c r="E8001" s="19"/>
      <c r="F8001" s="19"/>
    </row>
    <row r="8002">
      <c r="A8002" s="3"/>
      <c r="B8002" s="11" t="s">
        <v>22</v>
      </c>
      <c r="C8002" s="20"/>
      <c r="D8002" s="20"/>
      <c r="E8002" s="20"/>
      <c r="F8002" s="20"/>
    </row>
    <row r="8003">
      <c r="A8003" s="4"/>
      <c r="B8003" s="12" t="s">
        <v>689</v>
      </c>
      <c r="C8003" s="21"/>
      <c r="D8003" s="21"/>
      <c r="E8003" s="21"/>
      <c r="F8003" s="21"/>
    </row>
    <row r="8004">
      <c r="A8004" s="6"/>
      <c r="B8004" s="15" t="s">
        <v>721</v>
      </c>
      <c r="C8004" s="23"/>
      <c r="D8004" s="23"/>
      <c r="E8004" s="23"/>
      <c r="F8004" s="23"/>
    </row>
    <row r="8005">
      <c r="A8005" s="5"/>
      <c r="B8005" s="16" t="s">
        <v>2906</v>
      </c>
      <c r="C8005" s="22">
        <f>(1682)*(1)*(1)*(1)*(1 + (0))</f>
      </c>
      <c r="D8005" s="22" t="s">
        <v>24</v>
      </c>
      <c r="E8005" s="22"/>
      <c r="F8005" s="22">
        <f>C8005*E8005</f>
      </c>
    </row>
    <row r="8006">
      <c r="A8006" s="6"/>
      <c r="B8006" s="15" t="s">
        <v>723</v>
      </c>
      <c r="C8006" s="23"/>
      <c r="D8006" s="23"/>
      <c r="E8006" s="23"/>
      <c r="F8006" s="23"/>
    </row>
    <row r="8007">
      <c r="A8007" s="5"/>
      <c r="B8007" s="16" t="s">
        <v>724</v>
      </c>
      <c r="C8007" s="22">
        <f>(1682)*(1)*(1)*(1)*(1 + (0))</f>
      </c>
      <c r="D8007" s="22" t="s">
        <v>24</v>
      </c>
      <c r="E8007" s="22"/>
      <c r="F8007" s="22">
        <f>C8007*E8007</f>
      </c>
    </row>
    <row r="8008">
      <c r="A8008" s="5"/>
      <c r="B8008" s="16" t="s">
        <v>725</v>
      </c>
      <c r="C8008" s="22">
        <f>(57)*(1)*(1)*(1)*(1 + (0))</f>
      </c>
      <c r="D8008" s="22" t="s">
        <v>24</v>
      </c>
      <c r="E8008" s="22"/>
      <c r="F8008" s="22">
        <f>C8008*E8008</f>
      </c>
    </row>
    <row r="8009">
      <c r="A8009" s="5"/>
      <c r="B8009" s="16" t="s">
        <v>726</v>
      </c>
      <c r="C8009" s="22">
        <f>(265)*(1)*(1)*(1)*(1 + (0))</f>
      </c>
      <c r="D8009" s="22" t="s">
        <v>24</v>
      </c>
      <c r="E8009" s="22"/>
      <c r="F8009" s="22">
        <f>C8009*E8009</f>
      </c>
    </row>
    <row r="8010">
      <c r="A8010" s="5"/>
      <c r="B8010" s="16" t="s">
        <v>727</v>
      </c>
      <c r="C8010" s="22">
        <f>(1682)*(1)*(1)*(1)*(1 + (0))</f>
      </c>
      <c r="D8010" s="22" t="s">
        <v>24</v>
      </c>
      <c r="E8010" s="22"/>
      <c r="F8010" s="22">
        <f>C8010*E8010</f>
      </c>
    </row>
    <row r="8011">
      <c r="A8011" s="6"/>
      <c r="B8011" s="15" t="s">
        <v>728</v>
      </c>
      <c r="C8011" s="23"/>
      <c r="D8011" s="23"/>
      <c r="E8011" s="23"/>
      <c r="F8011" s="23"/>
    </row>
    <row r="8012">
      <c r="A8012" s="5"/>
      <c r="B8012" s="16" t="s">
        <v>729</v>
      </c>
      <c r="C8012" s="22">
        <f>(1682)*(1)*(1)*(1)*(1 + (0))</f>
      </c>
      <c r="D8012" s="22" t="s">
        <v>24</v>
      </c>
      <c r="E8012" s="22"/>
      <c r="F8012" s="22">
        <f>C8012*E8012</f>
      </c>
    </row>
    <row r="8013">
      <c r="A8013" s="6"/>
      <c r="B8013" s="15" t="s">
        <v>730</v>
      </c>
      <c r="C8013" s="23"/>
      <c r="D8013" s="23"/>
      <c r="E8013" s="23"/>
      <c r="F8013" s="23"/>
    </row>
    <row r="8014">
      <c r="A8014" s="5"/>
      <c r="B8014" s="16" t="s">
        <v>731</v>
      </c>
      <c r="C8014" s="22"/>
      <c r="D8014" s="22"/>
      <c r="E8014" s="22"/>
      <c r="F8014" s="22"/>
    </row>
    <row r="8015">
      <c r="A8015" s="5"/>
      <c r="B8015" s="17" t="s">
        <v>733</v>
      </c>
      <c r="C8015" s="22">
        <f>(141)*(1)*(1)*(1)*(1 + (0))</f>
      </c>
      <c r="D8015" s="22" t="s">
        <v>153</v>
      </c>
      <c r="E8015" s="22"/>
      <c r="F8015" s="22">
        <f>C8015*E8015</f>
      </c>
    </row>
    <row r="8016">
      <c r="A8016" s="5"/>
      <c r="B8016" s="16" t="s">
        <v>734</v>
      </c>
      <c r="C8016" s="22"/>
      <c r="D8016" s="22"/>
      <c r="E8016" s="22"/>
      <c r="F8016" s="22"/>
    </row>
    <row r="8017">
      <c r="A8017" s="5"/>
      <c r="B8017" s="17" t="s">
        <v>735</v>
      </c>
      <c r="C8017" s="22">
        <f>(81)*(1)*(1)*(1)*(1 + (0))</f>
      </c>
      <c r="D8017" s="22" t="s">
        <v>153</v>
      </c>
      <c r="E8017" s="22"/>
      <c r="F8017" s="22">
        <f>C8017*E8017</f>
      </c>
    </row>
    <row r="8018">
      <c r="A8018" s="5"/>
      <c r="B8018" s="17" t="s">
        <v>737</v>
      </c>
      <c r="C8018" s="22">
        <f>(189)*(1)*(1)*(1)*(1 + (0))</f>
      </c>
      <c r="D8018" s="22" t="s">
        <v>153</v>
      </c>
      <c r="E8018" s="22"/>
      <c r="F8018" s="22">
        <f>C8018*E8018</f>
      </c>
    </row>
    <row r="8019">
      <c r="A8019" s="5"/>
      <c r="B8019" s="16" t="s">
        <v>738</v>
      </c>
      <c r="C8019" s="22"/>
      <c r="D8019" s="22"/>
      <c r="E8019" s="22"/>
      <c r="F8019" s="22"/>
    </row>
    <row r="8020">
      <c r="A8020" s="5"/>
      <c r="B8020" s="17" t="s">
        <v>739</v>
      </c>
      <c r="C8020" s="22">
        <f>(99)*(1)*(1)*(1)*(1 + (0))</f>
      </c>
      <c r="D8020" s="22" t="s">
        <v>24</v>
      </c>
      <c r="E8020" s="22"/>
      <c r="F8020" s="22">
        <f>C8020*E8020</f>
      </c>
    </row>
    <row r="8021">
      <c r="A8021" s="6"/>
      <c r="B8021" s="15" t="s">
        <v>740</v>
      </c>
      <c r="C8021" s="23"/>
      <c r="D8021" s="23"/>
      <c r="E8021" s="23"/>
      <c r="F8021" s="23"/>
    </row>
    <row r="8022">
      <c r="A8022" s="5"/>
      <c r="B8022" s="16" t="s">
        <v>741</v>
      </c>
      <c r="C8022" s="22">
        <f>(163)*(1)*(1)*(1)*(1 + (0))</f>
      </c>
      <c r="D8022" s="22" t="s">
        <v>153</v>
      </c>
      <c r="E8022" s="22"/>
      <c r="F8022" s="22">
        <f>C8022*E8022</f>
      </c>
    </row>
    <row r="8023">
      <c r="A8023" s="5"/>
      <c r="B8023" s="16" t="s">
        <v>2907</v>
      </c>
      <c r="C8023" s="22">
        <f>(20)*(1)*(1)*(1)*(1 + (0))</f>
      </c>
      <c r="D8023" s="22" t="s">
        <v>153</v>
      </c>
      <c r="E8023" s="22"/>
      <c r="F8023" s="22">
        <f>C8023*E8023</f>
      </c>
    </row>
    <row r="8024">
      <c r="A8024" s="5"/>
      <c r="B8024" s="16" t="s">
        <v>2908</v>
      </c>
      <c r="C8024" s="22">
        <f>(10)*(1)*(1)*(1)*(1 + (0))</f>
      </c>
      <c r="D8024" s="22" t="s">
        <v>153</v>
      </c>
      <c r="E8024" s="22"/>
      <c r="F8024" s="22">
        <f>C8024*E8024</f>
      </c>
    </row>
    <row r="8025">
      <c r="A8025" s="5"/>
      <c r="B8025" s="16" t="s">
        <v>748</v>
      </c>
      <c r="C8025" s="22">
        <f>(30)*(1)*(1)*(1)*(1 + (0))</f>
      </c>
      <c r="D8025" s="22" t="s">
        <v>162</v>
      </c>
      <c r="E8025" s="22"/>
      <c r="F8025" s="22">
        <f>C8025*E8025</f>
      </c>
    </row>
    <row r="8026">
      <c r="A8026" s="5"/>
      <c r="B8026" s="16" t="s">
        <v>749</v>
      </c>
      <c r="C8026" s="22">
        <f>(141)*(1)*(1)*(1)*(1 + (0))</f>
      </c>
      <c r="D8026" s="22" t="s">
        <v>153</v>
      </c>
      <c r="E8026" s="22"/>
      <c r="F8026" s="22">
        <f>C8026*E8026</f>
      </c>
    </row>
    <row r="8027">
      <c r="A8027" s="5"/>
      <c r="B8027" s="16" t="s">
        <v>751</v>
      </c>
      <c r="C8027" s="22">
        <f>(20)*(1)*(1)*(1)*(1 + (0))</f>
      </c>
      <c r="D8027" s="22" t="s">
        <v>162</v>
      </c>
      <c r="E8027" s="22"/>
      <c r="F8027" s="22">
        <f>C8027*E8027</f>
      </c>
    </row>
    <row r="8028">
      <c r="A8028" s="6"/>
      <c r="B8028" s="15" t="s">
        <v>753</v>
      </c>
      <c r="C8028" s="23"/>
      <c r="D8028" s="23"/>
      <c r="E8028" s="23"/>
      <c r="F8028" s="23"/>
    </row>
    <row r="8029">
      <c r="A8029" s="5"/>
      <c r="B8029" s="16" t="s">
        <v>754</v>
      </c>
      <c r="C8029" s="22">
        <f>(1)*(1)*(1)*(1)*(1 + (0))</f>
      </c>
      <c r="D8029" s="22" t="s">
        <v>162</v>
      </c>
      <c r="E8029" s="22"/>
      <c r="F8029" s="22">
        <f>C8029*E8029</f>
      </c>
    </row>
    <row r="8030">
      <c r="A8030" s="5"/>
      <c r="B8030" s="16" t="s">
        <v>755</v>
      </c>
      <c r="C8030" s="22">
        <f>(1)*(1)*(1)*(1)*(1 + (0))</f>
      </c>
      <c r="D8030" s="22" t="s">
        <v>162</v>
      </c>
      <c r="E8030" s="22"/>
      <c r="F8030" s="22">
        <f>C8030*E8030</f>
      </c>
    </row>
    <row r="8031">
      <c r="A8031" s="4"/>
      <c r="B8031" s="12" t="s">
        <v>757</v>
      </c>
      <c r="C8031" s="21"/>
      <c r="D8031" s="21"/>
      <c r="E8031" s="21"/>
      <c r="F8031" s="21"/>
    </row>
    <row r="8032">
      <c r="A8032" s="6"/>
      <c r="B8032" s="15" t="s">
        <v>819</v>
      </c>
      <c r="C8032" s="23"/>
      <c r="D8032" s="23"/>
      <c r="E8032" s="23"/>
      <c r="F8032" s="23"/>
    </row>
    <row r="8033">
      <c r="A8033" s="5"/>
      <c r="B8033" s="16" t="s">
        <v>820</v>
      </c>
      <c r="C8033" s="22"/>
      <c r="D8033" s="22"/>
      <c r="E8033" s="22"/>
      <c r="F8033" s="22"/>
    </row>
    <row r="8034">
      <c r="A8034" s="5"/>
      <c r="B8034" s="17" t="s">
        <v>822</v>
      </c>
      <c r="C8034" s="22">
        <f>(-97)*(1)*(1)*(1)*(1 + (0))</f>
      </c>
      <c r="D8034" s="22" t="s">
        <v>24</v>
      </c>
      <c r="E8034" s="22"/>
      <c r="F8034" s="22">
        <f>C8034*E8034</f>
      </c>
    </row>
    <row r="8035">
      <c r="A8035" s="4"/>
      <c r="B8035" s="12" t="s">
        <v>935</v>
      </c>
      <c r="C8035" s="21"/>
      <c r="D8035" s="21"/>
      <c r="E8035" s="21"/>
      <c r="F8035" s="21"/>
    </row>
    <row r="8036">
      <c r="A8036" s="6"/>
      <c r="B8036" s="15" t="s">
        <v>947</v>
      </c>
      <c r="C8036" s="23"/>
      <c r="D8036" s="23"/>
      <c r="E8036" s="23"/>
      <c r="F8036" s="23"/>
    </row>
    <row r="8037">
      <c r="A8037" s="5"/>
      <c r="B8037" s="16" t="s">
        <v>956</v>
      </c>
      <c r="C8037" s="22"/>
      <c r="D8037" s="22"/>
      <c r="E8037" s="22"/>
      <c r="F8037" s="22"/>
    </row>
    <row r="8038">
      <c r="A8038" s="5"/>
      <c r="B8038" s="17" t="s">
        <v>822</v>
      </c>
      <c r="C8038" s="22">
        <f>(-88)*(1)*(1)*(1)*(1 + (0))</f>
      </c>
      <c r="D8038" s="22" t="s">
        <v>24</v>
      </c>
      <c r="E8038" s="22"/>
      <c r="F8038" s="22">
        <f>C8038*E8038</f>
      </c>
    </row>
    <row r="8039">
      <c r="A8039" s="3"/>
      <c r="B8039" s="11" t="s">
        <v>26</v>
      </c>
      <c r="C8039" s="20"/>
      <c r="D8039" s="20"/>
      <c r="E8039" s="20"/>
      <c r="F8039" s="20"/>
    </row>
    <row r="8040">
      <c r="A8040" s="4"/>
      <c r="B8040" s="12" t="s">
        <v>689</v>
      </c>
      <c r="C8040" s="21"/>
      <c r="D8040" s="21"/>
      <c r="E8040" s="21"/>
      <c r="F8040" s="21"/>
    </row>
    <row r="8041">
      <c r="A8041" s="6"/>
      <c r="B8041" s="15" t="s">
        <v>721</v>
      </c>
      <c r="C8041" s="23"/>
      <c r="D8041" s="23"/>
      <c r="E8041" s="23"/>
      <c r="F8041" s="23"/>
    </row>
    <row r="8042">
      <c r="A8042" s="5"/>
      <c r="B8042" s="16" t="s">
        <v>722</v>
      </c>
      <c r="C8042" s="22">
        <f>(1143)*(1)*(1)*(1)*(1 + (0))</f>
      </c>
      <c r="D8042" s="22" t="s">
        <v>24</v>
      </c>
      <c r="E8042" s="22"/>
      <c r="F8042" s="22">
        <f>C8042*E8042</f>
      </c>
    </row>
    <row r="8043">
      <c r="A8043" s="6"/>
      <c r="B8043" s="15" t="s">
        <v>723</v>
      </c>
      <c r="C8043" s="23"/>
      <c r="D8043" s="23"/>
      <c r="E8043" s="23"/>
      <c r="F8043" s="23"/>
    </row>
    <row r="8044">
      <c r="A8044" s="5"/>
      <c r="B8044" s="16" t="s">
        <v>724</v>
      </c>
      <c r="C8044" s="22">
        <f>(1143)*(1)*(1)*(1)*(1 + (0))</f>
      </c>
      <c r="D8044" s="22" t="s">
        <v>24</v>
      </c>
      <c r="E8044" s="22"/>
      <c r="F8044" s="22">
        <f>C8044*E8044</f>
      </c>
    </row>
    <row r="8045">
      <c r="A8045" s="5"/>
      <c r="B8045" s="16" t="s">
        <v>727</v>
      </c>
      <c r="C8045" s="22">
        <f>(1143)*(1)*(1)*(1)*(1 + (0))</f>
      </c>
      <c r="D8045" s="22" t="s">
        <v>24</v>
      </c>
      <c r="E8045" s="22"/>
      <c r="F8045" s="22">
        <f>C8045*E8045</f>
      </c>
    </row>
    <row r="8046">
      <c r="A8046" s="6"/>
      <c r="B8046" s="15" t="s">
        <v>728</v>
      </c>
      <c r="C8046" s="23"/>
      <c r="D8046" s="23"/>
      <c r="E8046" s="23"/>
      <c r="F8046" s="23"/>
    </row>
    <row r="8047">
      <c r="A8047" s="5"/>
      <c r="B8047" s="16" t="s">
        <v>729</v>
      </c>
      <c r="C8047" s="22">
        <f>(1143)*(1)*(1)*(1)*(1 + (0))</f>
      </c>
      <c r="D8047" s="22" t="s">
        <v>24</v>
      </c>
      <c r="E8047" s="22"/>
      <c r="F8047" s="22">
        <f>C8047*E8047</f>
      </c>
    </row>
    <row r="8048">
      <c r="A8048" s="6"/>
      <c r="B8048" s="15" t="s">
        <v>730</v>
      </c>
      <c r="C8048" s="23"/>
      <c r="D8048" s="23"/>
      <c r="E8048" s="23"/>
      <c r="F8048" s="23"/>
    </row>
    <row r="8049">
      <c r="A8049" s="5"/>
      <c r="B8049" s="16" t="s">
        <v>731</v>
      </c>
      <c r="C8049" s="22"/>
      <c r="D8049" s="22"/>
      <c r="E8049" s="22"/>
      <c r="F8049" s="22"/>
    </row>
    <row r="8050">
      <c r="A8050" s="5"/>
      <c r="B8050" s="17" t="s">
        <v>733</v>
      </c>
      <c r="C8050" s="22">
        <f>(96)*(1)*(1)*(1)*(1 + (0))</f>
      </c>
      <c r="D8050" s="22" t="s">
        <v>153</v>
      </c>
      <c r="E8050" s="22"/>
      <c r="F8050" s="22">
        <f>C8050*E8050</f>
      </c>
    </row>
    <row r="8051">
      <c r="A8051" s="5"/>
      <c r="B8051" s="16" t="s">
        <v>734</v>
      </c>
      <c r="C8051" s="22"/>
      <c r="D8051" s="22"/>
      <c r="E8051" s="22"/>
      <c r="F8051" s="22"/>
    </row>
    <row r="8052">
      <c r="A8052" s="5"/>
      <c r="B8052" s="17" t="s">
        <v>735</v>
      </c>
      <c r="C8052" s="22">
        <f>(48)*(1)*(1)*(1)*(1 + (0))</f>
      </c>
      <c r="D8052" s="22" t="s">
        <v>153</v>
      </c>
      <c r="E8052" s="22"/>
      <c r="F8052" s="22">
        <f>C8052*E8052</f>
      </c>
    </row>
    <row r="8053">
      <c r="A8053" s="5"/>
      <c r="B8053" s="17" t="s">
        <v>1714</v>
      </c>
      <c r="C8053" s="22">
        <f>(144)*(1)*(1)*(1)*(1 + (0))</f>
      </c>
      <c r="D8053" s="22" t="s">
        <v>153</v>
      </c>
      <c r="E8053" s="22"/>
      <c r="F8053" s="22">
        <f>C8053*E8053</f>
      </c>
    </row>
    <row r="8054">
      <c r="A8054" s="5"/>
      <c r="B8054" s="16" t="s">
        <v>738</v>
      </c>
      <c r="C8054" s="22"/>
      <c r="D8054" s="22"/>
      <c r="E8054" s="22"/>
      <c r="F8054" s="22"/>
    </row>
    <row r="8055">
      <c r="A8055" s="5"/>
      <c r="B8055" s="17" t="s">
        <v>739</v>
      </c>
      <c r="C8055" s="22">
        <f>(75)*(1)*(1)*(1)*(1 + (0))</f>
      </c>
      <c r="D8055" s="22" t="s">
        <v>24</v>
      </c>
      <c r="E8055" s="22"/>
      <c r="F8055" s="22">
        <f>C8055*E8055</f>
      </c>
    </row>
    <row r="8056">
      <c r="A8056" s="6"/>
      <c r="B8056" s="15" t="s">
        <v>740</v>
      </c>
      <c r="C8056" s="23"/>
      <c r="D8056" s="23"/>
      <c r="E8056" s="23"/>
      <c r="F8056" s="23"/>
    </row>
    <row r="8057">
      <c r="A8057" s="5"/>
      <c r="B8057" s="16" t="s">
        <v>741</v>
      </c>
      <c r="C8057" s="22">
        <f>(96)*(1)*(1)*(1)*(1 + (0))</f>
      </c>
      <c r="D8057" s="22" t="s">
        <v>153</v>
      </c>
      <c r="E8057" s="22"/>
      <c r="F8057" s="22">
        <f>C8057*E8057</f>
      </c>
    </row>
    <row r="8058">
      <c r="A8058" s="5"/>
      <c r="B8058" s="16" t="s">
        <v>2908</v>
      </c>
      <c r="C8058" s="22">
        <f>(7)*(1)*(1)*(1)*(1 + (0))</f>
      </c>
      <c r="D8058" s="22" t="s">
        <v>153</v>
      </c>
      <c r="E8058" s="22"/>
      <c r="F8058" s="22">
        <f>C8058*E8058</f>
      </c>
    </row>
    <row r="8059">
      <c r="A8059" s="5"/>
      <c r="B8059" s="16" t="s">
        <v>2909</v>
      </c>
      <c r="C8059" s="22">
        <f>(7)*(1)*(1)*(1)*(1 + (0))</f>
      </c>
      <c r="D8059" s="22" t="s">
        <v>162</v>
      </c>
      <c r="E8059" s="22"/>
      <c r="F8059" s="22">
        <f>C8059*E8059</f>
      </c>
    </row>
    <row r="8060">
      <c r="A8060" s="5"/>
      <c r="B8060" s="16" t="s">
        <v>748</v>
      </c>
      <c r="C8060" s="22">
        <f>(14)*(1)*(1)*(1)*(1 + (0))</f>
      </c>
      <c r="D8060" s="22" t="s">
        <v>162</v>
      </c>
      <c r="E8060" s="22"/>
      <c r="F8060" s="22">
        <f>C8060*E8060</f>
      </c>
    </row>
    <row r="8061">
      <c r="A8061" s="5"/>
      <c r="B8061" s="16" t="s">
        <v>749</v>
      </c>
      <c r="C8061" s="22">
        <f>(96)*(1)*(1)*(1)*(1 + (0))</f>
      </c>
      <c r="D8061" s="22" t="s">
        <v>153</v>
      </c>
      <c r="E8061" s="22"/>
      <c r="F8061" s="22">
        <f>C8061*E8061</f>
      </c>
    </row>
    <row r="8062">
      <c r="A8062" s="5"/>
      <c r="B8062" s="16" t="s">
        <v>751</v>
      </c>
      <c r="C8062" s="22">
        <f>(14)*(1)*(1)*(1)*(1 + (0))</f>
      </c>
      <c r="D8062" s="22" t="s">
        <v>162</v>
      </c>
      <c r="E8062" s="22"/>
      <c r="F8062" s="22">
        <f>C8062*E8062</f>
      </c>
    </row>
    <row r="8063">
      <c r="A8063" s="6"/>
      <c r="B8063" s="15" t="s">
        <v>753</v>
      </c>
      <c r="C8063" s="23"/>
      <c r="D8063" s="23"/>
      <c r="E8063" s="23"/>
      <c r="F8063" s="23"/>
    </row>
    <row r="8064">
      <c r="A8064" s="5"/>
      <c r="B8064" s="16" t="s">
        <v>754</v>
      </c>
      <c r="C8064" s="22">
        <f>(1)*(1)*(1)*(1)*(1 + (0))</f>
      </c>
      <c r="D8064" s="22" t="s">
        <v>162</v>
      </c>
      <c r="E8064" s="22"/>
      <c r="F8064" s="22">
        <f>C8064*E8064</f>
      </c>
    </row>
    <row r="8065">
      <c r="A8065" s="5"/>
      <c r="B8065" s="16" t="s">
        <v>755</v>
      </c>
      <c r="C8065" s="22">
        <f>(1)*(1)*(1)*(1)*(1 + (0))</f>
      </c>
      <c r="D8065" s="22" t="s">
        <v>162</v>
      </c>
      <c r="E8065" s="22"/>
      <c r="F8065" s="22">
        <f>C8065*E8065</f>
      </c>
    </row>
    <row r="8066">
      <c r="A8066" s="4"/>
      <c r="B8066" s="12" t="s">
        <v>757</v>
      </c>
      <c r="C8066" s="21"/>
      <c r="D8066" s="21"/>
      <c r="E8066" s="21"/>
      <c r="F8066" s="21"/>
    </row>
    <row r="8067">
      <c r="A8067" s="6"/>
      <c r="B8067" s="15" t="s">
        <v>819</v>
      </c>
      <c r="C8067" s="23"/>
      <c r="D8067" s="23"/>
      <c r="E8067" s="23"/>
      <c r="F8067" s="23"/>
    </row>
    <row r="8068">
      <c r="A8068" s="5"/>
      <c r="B8068" s="16" t="s">
        <v>1719</v>
      </c>
      <c r="C8068" s="22"/>
      <c r="D8068" s="22"/>
      <c r="E8068" s="22"/>
      <c r="F8068" s="22"/>
    </row>
    <row r="8069">
      <c r="A8069" s="5"/>
      <c r="B8069" s="17" t="s">
        <v>1718</v>
      </c>
      <c r="C8069" s="22">
        <f>(-68)*(1)*(1)*(1)*(1 + (0))</f>
      </c>
      <c r="D8069" s="22" t="s">
        <v>24</v>
      </c>
      <c r="E8069" s="22"/>
      <c r="F8069" s="22">
        <f>C8069*E8069</f>
      </c>
    </row>
    <row r="8070">
      <c r="A8070" s="4"/>
      <c r="B8070" s="12" t="s">
        <v>935</v>
      </c>
      <c r="C8070" s="21"/>
      <c r="D8070" s="21"/>
      <c r="E8070" s="21"/>
      <c r="F8070" s="21"/>
    </row>
    <row r="8071">
      <c r="A8071" s="6"/>
      <c r="B8071" s="15" t="s">
        <v>947</v>
      </c>
      <c r="C8071" s="23"/>
      <c r="D8071" s="23"/>
      <c r="E8071" s="23"/>
      <c r="F8071" s="23"/>
    </row>
    <row r="8072">
      <c r="A8072" s="5"/>
      <c r="B8072" s="16" t="s">
        <v>956</v>
      </c>
      <c r="C8072" s="22"/>
      <c r="D8072" s="22"/>
      <c r="E8072" s="22"/>
      <c r="F8072" s="22"/>
    </row>
    <row r="8073">
      <c r="A8073" s="5"/>
      <c r="B8073" s="17" t="s">
        <v>1718</v>
      </c>
      <c r="C8073" s="22">
        <f>(-68)*(1)*(1)*(1)*(1 + (0))</f>
      </c>
      <c r="D8073" s="22" t="s">
        <v>24</v>
      </c>
      <c r="E8073" s="22"/>
      <c r="F8073" s="22">
        <f>C8073*E8073</f>
      </c>
    </row>
    <row r="8074">
      <c r="A8074" s="5"/>
      <c r="B8074" s="7" t="s">
        <v>2910</v>
      </c>
      <c r="C8074" s="22"/>
      <c r="D8074" s="22"/>
      <c r="E8074" s="22"/>
      <c r="F8074" s="22">
        <f>C8074*E8074</f>
      </c>
    </row>
    <row r="8075">
      <c r="A8075" s="2"/>
      <c r="B8075" s="10" t="s">
        <v>2911</v>
      </c>
      <c r="C8075" s="19"/>
      <c r="D8075" s="19"/>
      <c r="E8075" s="19"/>
      <c r="F8075" s="19"/>
    </row>
    <row r="8076">
      <c r="A8076" s="3"/>
      <c r="B8076" s="11" t="s">
        <v>2893</v>
      </c>
      <c r="C8076" s="20"/>
      <c r="D8076" s="20"/>
      <c r="E8076" s="20"/>
      <c r="F8076" s="20"/>
    </row>
    <row r="8077">
      <c r="A8077" s="4"/>
      <c r="B8077" s="12" t="s">
        <v>2667</v>
      </c>
      <c r="C8077" s="21"/>
      <c r="D8077" s="21"/>
      <c r="E8077" s="21"/>
      <c r="F8077" s="21"/>
    </row>
    <row r="8078">
      <c r="A8078" s="6"/>
      <c r="B8078" s="15" t="s">
        <v>2668</v>
      </c>
      <c r="C8078" s="23"/>
      <c r="D8078" s="23"/>
      <c r="E8078" s="23"/>
      <c r="F8078" s="23"/>
    </row>
    <row r="8079">
      <c r="A8079" s="5"/>
      <c r="B8079" s="16" t="s">
        <v>2675</v>
      </c>
      <c r="C8079" s="22"/>
      <c r="D8079" s="22"/>
      <c r="E8079" s="22"/>
      <c r="F8079" s="22"/>
    </row>
    <row r="8080">
      <c r="A8080" s="5"/>
      <c r="B8080" s="17" t="s">
        <v>2676</v>
      </c>
      <c r="C8080" s="22">
        <f>(-1035)*(1)*(1)*(1)*(1 + (0))</f>
      </c>
      <c r="D8080" s="22" t="s">
        <v>24</v>
      </c>
      <c r="E8080" s="22"/>
      <c r="F8080" s="22">
        <f>C8080*E8080</f>
      </c>
    </row>
    <row r="8081">
      <c r="A8081" s="5"/>
      <c r="B8081" s="17" t="s">
        <v>2677</v>
      </c>
      <c r="C8081" s="22">
        <f>(-1035)*(1)*(1)*(1)*(1 + (0))</f>
      </c>
      <c r="D8081" s="22" t="s">
        <v>24</v>
      </c>
      <c r="E8081" s="22"/>
      <c r="F8081" s="22">
        <f>C8081*E8081</f>
      </c>
    </row>
    <row r="8082">
      <c r="A8082" s="5"/>
      <c r="B8082" s="17" t="s">
        <v>2678</v>
      </c>
      <c r="C8082" s="22">
        <f>(-1035)*(1)*(1)*(1)*(1 + (0))</f>
      </c>
      <c r="D8082" s="22" t="s">
        <v>24</v>
      </c>
      <c r="E8082" s="22"/>
      <c r="F8082" s="22">
        <f>C8082*E8082</f>
      </c>
    </row>
    <row r="8083">
      <c r="A8083" s="5"/>
      <c r="B8083" s="17" t="s">
        <v>2679</v>
      </c>
      <c r="C8083" s="22">
        <f>(-1035)*(1)*(1)*(1)*(1 + (0))</f>
      </c>
      <c r="D8083" s="22" t="s">
        <v>24</v>
      </c>
      <c r="E8083" s="22"/>
      <c r="F8083" s="22">
        <f>C8083*E8083</f>
      </c>
    </row>
    <row r="8084">
      <c r="A8084" s="4"/>
      <c r="B8084" s="12" t="s">
        <v>2794</v>
      </c>
      <c r="C8084" s="21"/>
      <c r="D8084" s="21"/>
      <c r="E8084" s="21"/>
      <c r="F8084" s="21"/>
    </row>
    <row r="8085">
      <c r="A8085" s="6"/>
      <c r="B8085" s="15" t="s">
        <v>2912</v>
      </c>
      <c r="C8085" s="23"/>
      <c r="D8085" s="23"/>
      <c r="E8085" s="23"/>
      <c r="F8085" s="23"/>
    </row>
    <row r="8086">
      <c r="A8086" s="5"/>
      <c r="B8086" s="16" t="s">
        <v>2797</v>
      </c>
      <c r="C8086" s="22">
        <f>(1035)*(1)*(1)*(1)*(1 + (0))</f>
      </c>
      <c r="D8086" s="22" t="s">
        <v>24</v>
      </c>
      <c r="E8086" s="22"/>
      <c r="F8086" s="22">
        <f>C8086*E8086</f>
      </c>
    </row>
    <row r="8087">
      <c r="A8087" s="5"/>
      <c r="B8087" s="16" t="s">
        <v>2913</v>
      </c>
      <c r="C8087" s="22">
        <f>(1035)*(1)*(1)*(1)*(1 + (0))</f>
      </c>
      <c r="D8087" s="22" t="s">
        <v>24</v>
      </c>
      <c r="E8087" s="22"/>
      <c r="F8087" s="22">
        <f>C8087*E8087</f>
      </c>
    </row>
    <row r="8088">
      <c r="A8088" s="5"/>
      <c r="B8088" s="16" t="s">
        <v>2799</v>
      </c>
      <c r="C8088" s="22">
        <f>(1035)*(1)*(1)*(1)*(1 + (0))</f>
      </c>
      <c r="D8088" s="22" t="s">
        <v>24</v>
      </c>
      <c r="E8088" s="22"/>
      <c r="F8088" s="22">
        <f>C8088*E8088</f>
      </c>
    </row>
    <row r="8089">
      <c r="A8089" s="2"/>
      <c r="B8089" s="10" t="s">
        <v>2914</v>
      </c>
      <c r="C8089" s="19"/>
      <c r="D8089" s="19"/>
      <c r="E8089" s="19"/>
      <c r="F8089" s="19"/>
    </row>
    <row r="8090">
      <c r="A8090" s="3"/>
      <c r="B8090" s="11" t="s">
        <v>2915</v>
      </c>
      <c r="C8090" s="20"/>
      <c r="D8090" s="20"/>
      <c r="E8090" s="20"/>
      <c r="F8090" s="20"/>
    </row>
    <row r="8091">
      <c r="A8091" s="4"/>
      <c r="B8091" s="12" t="s">
        <v>2463</v>
      </c>
      <c r="C8091" s="21"/>
      <c r="D8091" s="21"/>
      <c r="E8091" s="21"/>
      <c r="F8091" s="21"/>
    </row>
    <row r="8092">
      <c r="A8092" s="6"/>
      <c r="B8092" s="15" t="s">
        <v>2520</v>
      </c>
      <c r="C8092" s="23"/>
      <c r="D8092" s="23"/>
      <c r="E8092" s="23"/>
      <c r="F8092" s="23"/>
    </row>
    <row r="8093">
      <c r="A8093" s="5"/>
      <c r="B8093" s="16" t="s">
        <v>2614</v>
      </c>
      <c r="C8093" s="22">
        <f>(-50)*(1)*(1)*(1)*(1 + (0))</f>
      </c>
      <c r="D8093" s="22" t="s">
        <v>162</v>
      </c>
      <c r="E8093" s="22"/>
      <c r="F8093" s="22">
        <f>C8093*E8093</f>
      </c>
    </row>
    <row r="8094">
      <c r="A8094" s="5"/>
      <c r="B8094" s="16" t="s">
        <v>2615</v>
      </c>
      <c r="C8094" s="22">
        <f>(-40)*(1)*(1)*(1)*(1 + (0))</f>
      </c>
      <c r="D8094" s="22" t="s">
        <v>162</v>
      </c>
      <c r="E8094" s="22"/>
      <c r="F8094" s="22">
        <f>C8094*E8094</f>
      </c>
    </row>
    <row r="8095">
      <c r="A8095" s="5"/>
      <c r="B8095" s="16" t="s">
        <v>2616</v>
      </c>
      <c r="C8095" s="22">
        <f>(-52)*(1)*(1)*(1)*(1 + (0))</f>
      </c>
      <c r="D8095" s="22" t="s">
        <v>162</v>
      </c>
      <c r="E8095" s="22"/>
      <c r="F8095" s="22">
        <f>C8095*E8095</f>
      </c>
    </row>
    <row r="8096">
      <c r="A8096" s="5"/>
      <c r="B8096" s="16" t="s">
        <v>2617</v>
      </c>
      <c r="C8096" s="22">
        <f>(-174)*(1)*(1)*(1)*(1 + (0))</f>
      </c>
      <c r="D8096" s="22" t="s">
        <v>162</v>
      </c>
      <c r="E8096" s="22"/>
      <c r="F8096" s="22">
        <f>C8096*E8096</f>
      </c>
    </row>
    <row r="8097">
      <c r="A8097" s="5"/>
      <c r="B8097" s="16" t="s">
        <v>2618</v>
      </c>
      <c r="C8097" s="22">
        <f>(-156)*(1)*(1)*(1)*(1 + (0))</f>
      </c>
      <c r="D8097" s="22" t="s">
        <v>162</v>
      </c>
      <c r="E8097" s="22"/>
      <c r="F8097" s="22">
        <f>C8097*E8097</f>
      </c>
    </row>
    <row r="8098">
      <c r="A8098" s="5"/>
      <c r="B8098" s="16" t="s">
        <v>2619</v>
      </c>
      <c r="C8098" s="22">
        <f>(-228)*(1)*(1)*(1)*(1 + (0))</f>
      </c>
      <c r="D8098" s="22" t="s">
        <v>162</v>
      </c>
      <c r="E8098" s="22"/>
      <c r="F8098" s="22">
        <f>C8098*E8098</f>
      </c>
    </row>
    <row r="8099">
      <c r="A8099" s="5"/>
      <c r="B8099" s="16" t="s">
        <v>2621</v>
      </c>
      <c r="C8099" s="22">
        <f>(-97)*(1)*(1)*(1)*(1 + (0))</f>
      </c>
      <c r="D8099" s="22" t="s">
        <v>162</v>
      </c>
      <c r="E8099" s="22"/>
      <c r="F8099" s="22">
        <f>C8099*E8099</f>
      </c>
    </row>
    <row r="8100">
      <c r="A8100" s="5"/>
      <c r="B8100" s="16" t="s">
        <v>2624</v>
      </c>
      <c r="C8100" s="22">
        <f>(-50)*(1)*(1)*(1)*(1 + (0))</f>
      </c>
      <c r="D8100" s="22" t="s">
        <v>162</v>
      </c>
      <c r="E8100" s="22"/>
      <c r="F8100" s="22">
        <f>C8100*E8100</f>
      </c>
    </row>
    <row r="8101">
      <c r="A8101" s="5"/>
      <c r="B8101" s="16" t="s">
        <v>2626</v>
      </c>
      <c r="C8101" s="22">
        <f>(-132)*(1)*(1)*(1)*(1 + (0))</f>
      </c>
      <c r="D8101" s="22" t="s">
        <v>162</v>
      </c>
      <c r="E8101" s="22"/>
      <c r="F8101" s="22">
        <f>C8101*E8101</f>
      </c>
    </row>
    <row r="8102">
      <c r="A8102" s="5"/>
      <c r="B8102" s="16" t="s">
        <v>2627</v>
      </c>
      <c r="C8102" s="22">
        <f>(-134)*(1)*(1)*(1)*(1 + (0))</f>
      </c>
      <c r="D8102" s="22" t="s">
        <v>162</v>
      </c>
      <c r="E8102" s="22"/>
      <c r="F8102" s="22">
        <f>C8102*E8102</f>
      </c>
    </row>
    <row r="8103">
      <c r="A8103" s="5"/>
      <c r="B8103" s="16" t="s">
        <v>2628</v>
      </c>
      <c r="C8103" s="22">
        <f>(-268)*(1)*(1)*(1)*(1 + (0))</f>
      </c>
      <c r="D8103" s="22" t="s">
        <v>162</v>
      </c>
      <c r="E8103" s="22"/>
      <c r="F8103" s="22">
        <f>C8103*E8103</f>
      </c>
    </row>
    <row r="8104">
      <c r="A8104" s="5"/>
      <c r="B8104" s="16" t="s">
        <v>2629</v>
      </c>
      <c r="C8104" s="22">
        <f>(-132)*(1)*(1)*(1)*(1 + (0))</f>
      </c>
      <c r="D8104" s="22" t="s">
        <v>162</v>
      </c>
      <c r="E8104" s="22"/>
      <c r="F8104" s="22">
        <f>C8104*E8104</f>
      </c>
    </row>
    <row r="8105">
      <c r="A8105" s="5"/>
      <c r="B8105" s="16" t="s">
        <v>2631</v>
      </c>
      <c r="C8105" s="22">
        <f>(-62)*(1)*(1)*(1)*(1 + (0))</f>
      </c>
      <c r="D8105" s="22" t="s">
        <v>162</v>
      </c>
      <c r="E8105" s="22"/>
      <c r="F8105" s="22">
        <f>C8105*E8105</f>
      </c>
    </row>
    <row r="8106">
      <c r="A8106" s="5"/>
      <c r="B8106" s="16" t="s">
        <v>2632</v>
      </c>
      <c r="C8106" s="22">
        <f>(-62)*(1)*(1)*(1)*(1 + (0))</f>
      </c>
      <c r="D8106" s="22" t="s">
        <v>162</v>
      </c>
      <c r="E8106" s="22"/>
      <c r="F8106" s="22">
        <f>C8106*E8106</f>
      </c>
    </row>
    <row r="8107">
      <c r="A8107" s="5"/>
      <c r="B8107" s="16"/>
      <c r="C8107" s="22"/>
      <c r="D8107" s="22"/>
      <c r="E8107" s="22"/>
      <c r="F8107" s="22">
        <f>C8107*E8107</f>
      </c>
    </row>
    <row r="8108">
      <c r="A8108" s="5"/>
      <c r="B8108" s="13" t="s">
        <v>2916</v>
      </c>
      <c r="C8108" s="22">
        <f>(-117)*(1)*(1)*(1)*(1 + (0))</f>
      </c>
      <c r="D8108" s="22" t="s">
        <v>24</v>
      </c>
      <c r="E8108" s="22"/>
      <c r="F8108" s="22">
        <f>C8108*E8108</f>
      </c>
    </row>
    <row r="8109">
      <c r="A8109" s="4"/>
      <c r="B8109" s="12" t="s">
        <v>2633</v>
      </c>
      <c r="C8109" s="21"/>
      <c r="D8109" s="21"/>
      <c r="E8109" s="21"/>
      <c r="F8109" s="21"/>
    </row>
    <row r="8110">
      <c r="A8110" s="6"/>
      <c r="B8110" s="15" t="s">
        <v>2634</v>
      </c>
      <c r="C8110" s="23"/>
      <c r="D8110" s="23"/>
      <c r="E8110" s="23"/>
      <c r="F8110" s="23"/>
    </row>
    <row r="8111">
      <c r="A8111" s="5"/>
      <c r="B8111" s="16" t="s">
        <v>2635</v>
      </c>
      <c r="C8111" s="22">
        <f>(-294)*(1)*(1)*(1)*(1 + (0))</f>
      </c>
      <c r="D8111" s="22" t="s">
        <v>24</v>
      </c>
      <c r="E8111" s="22"/>
      <c r="F8111" s="22">
        <f>C8111*E8111</f>
      </c>
    </row>
    <row r="8112">
      <c r="A8112" s="5"/>
      <c r="B8112" s="16" t="s">
        <v>2636</v>
      </c>
      <c r="C8112" s="22">
        <f>(-294)*(1)*(1)*(1)*(1 + (0))</f>
      </c>
      <c r="D8112" s="22" t="s">
        <v>24</v>
      </c>
      <c r="E8112" s="22"/>
      <c r="F8112" s="22">
        <f>C8112*E8112</f>
      </c>
    </row>
    <row r="8113">
      <c r="A8113" s="5"/>
      <c r="B8113" s="16" t="s">
        <v>2637</v>
      </c>
      <c r="C8113" s="22">
        <f>(-294)*(1)*(1)*(1)*(1 + (0))</f>
      </c>
      <c r="D8113" s="22" t="s">
        <v>24</v>
      </c>
      <c r="E8113" s="22"/>
      <c r="F8113" s="22">
        <f>C8113*E8113</f>
      </c>
    </row>
    <row r="8114">
      <c r="A8114" s="5"/>
      <c r="B8114" s="16" t="s">
        <v>2640</v>
      </c>
      <c r="C8114" s="22">
        <f>(-294)*(1)*(1)*(1)*(1 + (0))</f>
      </c>
      <c r="D8114" s="22" t="s">
        <v>24</v>
      </c>
      <c r="E8114" s="22"/>
      <c r="F8114" s="22">
        <f>C8114*E8114</f>
      </c>
    </row>
    <row r="8115">
      <c r="A8115" s="5"/>
      <c r="B8115" s="16" t="s">
        <v>2639</v>
      </c>
      <c r="C8115" s="22">
        <f>(-89)*(1)*(1)*(1)*(1 + (0))</f>
      </c>
      <c r="D8115" s="22" t="s">
        <v>111</v>
      </c>
      <c r="E8115" s="22"/>
      <c r="F8115" s="22">
        <f>C8115*E8115</f>
      </c>
    </row>
    <row r="8116">
      <c r="A8116" s="6"/>
      <c r="B8116" s="15" t="s">
        <v>2654</v>
      </c>
      <c r="C8116" s="23"/>
      <c r="D8116" s="23"/>
      <c r="E8116" s="23"/>
      <c r="F8116" s="23"/>
    </row>
    <row r="8117">
      <c r="A8117" s="5"/>
      <c r="B8117" s="16" t="s">
        <v>2656</v>
      </c>
      <c r="C8117" s="22">
        <f>(-118)*(1)*(1)*(1)*(1 + (0))</f>
      </c>
      <c r="D8117" s="22" t="s">
        <v>24</v>
      </c>
      <c r="E8117" s="22"/>
      <c r="F8117" s="22">
        <f>C8117*E8117</f>
      </c>
    </row>
    <row r="8118">
      <c r="A8118" s="5"/>
      <c r="B8118" s="16" t="s">
        <v>2640</v>
      </c>
      <c r="C8118" s="22">
        <f>(-118)*(1)*(1)*(1)*(1 + (0))</f>
      </c>
      <c r="D8118" s="22" t="s">
        <v>24</v>
      </c>
      <c r="E8118" s="22"/>
      <c r="F8118" s="22">
        <f>C8118*E8118</f>
      </c>
    </row>
    <row r="8119">
      <c r="A8119" s="3"/>
      <c r="B8119" s="11" t="s">
        <v>2917</v>
      </c>
      <c r="C8119" s="20"/>
      <c r="D8119" s="20"/>
      <c r="E8119" s="20"/>
      <c r="F8119" s="20"/>
    </row>
    <row r="8120">
      <c r="A8120" s="4"/>
      <c r="B8120" s="12" t="s">
        <v>2667</v>
      </c>
      <c r="C8120" s="21"/>
      <c r="D8120" s="21"/>
      <c r="E8120" s="21"/>
      <c r="F8120" s="21"/>
    </row>
    <row r="8121">
      <c r="A8121" s="6"/>
      <c r="B8121" s="15" t="s">
        <v>2668</v>
      </c>
      <c r="C8121" s="23"/>
      <c r="D8121" s="23"/>
      <c r="E8121" s="23"/>
      <c r="F8121" s="23"/>
    </row>
    <row r="8122">
      <c r="A8122" s="5"/>
      <c r="B8122" s="16" t="s">
        <v>2669</v>
      </c>
      <c r="C8122" s="22"/>
      <c r="D8122" s="22"/>
      <c r="E8122" s="22"/>
      <c r="F8122" s="22"/>
    </row>
    <row r="8123">
      <c r="A8123" s="5"/>
      <c r="B8123" s="17" t="s">
        <v>2670</v>
      </c>
      <c r="C8123" s="22">
        <f>(-21)*(1)*(1)*(1)*(1 + (0))</f>
      </c>
      <c r="D8123" s="22" t="s">
        <v>24</v>
      </c>
      <c r="E8123" s="22"/>
      <c r="F8123" s="22">
        <f>C8123*E8123</f>
      </c>
    </row>
    <row r="8124">
      <c r="A8124" s="5"/>
      <c r="B8124" s="17" t="s">
        <v>2671</v>
      </c>
      <c r="C8124" s="22">
        <f>(-17)*(1)*(1)*(1)*(1 + (0))</f>
      </c>
      <c r="D8124" s="22" t="s">
        <v>153</v>
      </c>
      <c r="E8124" s="22"/>
      <c r="F8124" s="22">
        <f>C8124*E8124</f>
      </c>
    </row>
    <row r="8125">
      <c r="A8125" s="5"/>
      <c r="B8125" s="17" t="s">
        <v>2672</v>
      </c>
      <c r="C8125" s="22">
        <f>(-21)*(1)*(1)*(1)*(1 + (0))</f>
      </c>
      <c r="D8125" s="22" t="s">
        <v>24</v>
      </c>
      <c r="E8125" s="22"/>
      <c r="F8125" s="22">
        <f>C8125*E8125</f>
      </c>
    </row>
    <row r="8126">
      <c r="A8126" s="5"/>
      <c r="B8126" s="17" t="s">
        <v>2673</v>
      </c>
      <c r="C8126" s="22">
        <f>(-21)*(1)*(1)*(1)*(1 + (0))</f>
      </c>
      <c r="D8126" s="22" t="s">
        <v>24</v>
      </c>
      <c r="E8126" s="22"/>
      <c r="F8126" s="22">
        <f>C8126*E8126</f>
      </c>
    </row>
    <row r="8127">
      <c r="A8127" s="5"/>
      <c r="B8127" s="17" t="s">
        <v>2674</v>
      </c>
      <c r="C8127" s="22">
        <f>(-21)*(1)*(1)*(1)*(1 + (0))</f>
      </c>
      <c r="D8127" s="22" t="s">
        <v>24</v>
      </c>
      <c r="E8127" s="22"/>
      <c r="F8127" s="22">
        <f>C8127*E8127</f>
      </c>
    </row>
    <row r="8128">
      <c r="A8128" s="5"/>
      <c r="B8128" s="16" t="s">
        <v>2680</v>
      </c>
      <c r="C8128" s="22"/>
      <c r="D8128" s="22"/>
      <c r="E8128" s="22"/>
      <c r="F8128" s="22"/>
    </row>
    <row r="8129">
      <c r="A8129" s="5"/>
      <c r="B8129" s="17" t="s">
        <v>2681</v>
      </c>
      <c r="C8129" s="22">
        <f>(-92)*(1)*(1)*(1)*(1 + (0))</f>
      </c>
      <c r="D8129" s="22" t="s">
        <v>24</v>
      </c>
      <c r="E8129" s="22"/>
      <c r="F8129" s="22">
        <f>C8129*E8129</f>
      </c>
    </row>
    <row r="8130">
      <c r="A8130" s="5"/>
      <c r="B8130" s="17" t="s">
        <v>2682</v>
      </c>
      <c r="C8130" s="22">
        <f>(-92)*(1)*(1)*(1)*(1 + (0))</f>
      </c>
      <c r="D8130" s="22" t="s">
        <v>24</v>
      </c>
      <c r="E8130" s="22"/>
      <c r="F8130" s="22">
        <f>C8130*E8130</f>
      </c>
    </row>
    <row r="8131">
      <c r="A8131" s="5"/>
      <c r="B8131" s="17" t="s">
        <v>2683</v>
      </c>
      <c r="C8131" s="22">
        <f>(-92)*(1)*(1)*(1)*(1 + (0))</f>
      </c>
      <c r="D8131" s="22" t="s">
        <v>24</v>
      </c>
      <c r="E8131" s="22"/>
      <c r="F8131" s="22">
        <f>C8131*E8131</f>
      </c>
    </row>
    <row r="8132">
      <c r="A8132" s="5"/>
      <c r="B8132" s="17" t="s">
        <v>2684</v>
      </c>
      <c r="C8132" s="22">
        <f>(-27)*(1)*(1)*(1)*(1 + (0))</f>
      </c>
      <c r="D8132" s="22" t="s">
        <v>24</v>
      </c>
      <c r="E8132" s="22"/>
      <c r="F8132" s="22">
        <f>C8132*E8132</f>
      </c>
    </row>
    <row r="8133">
      <c r="A8133" s="5"/>
      <c r="B8133" s="17" t="s">
        <v>2685</v>
      </c>
      <c r="C8133" s="22">
        <f>(-66)*(1)*(1)*(1)*(1 + (0))</f>
      </c>
      <c r="D8133" s="22" t="s">
        <v>24</v>
      </c>
      <c r="E8133" s="22"/>
      <c r="F8133" s="22">
        <f>C8133*E8133</f>
      </c>
    </row>
    <row r="8134">
      <c r="A8134" s="5"/>
      <c r="B8134" s="16" t="s">
        <v>2696</v>
      </c>
      <c r="C8134" s="22">
        <f>(-40)*(1)*(1)*(1)*(1 + (0))</f>
      </c>
      <c r="D8134" s="22" t="s">
        <v>24</v>
      </c>
      <c r="E8134" s="22"/>
      <c r="F8134" s="22">
        <f>C8134*E8134</f>
      </c>
    </row>
    <row r="8135">
      <c r="A8135" s="5"/>
      <c r="B8135" s="16" t="s">
        <v>2694</v>
      </c>
      <c r="C8135" s="22">
        <f>(-134)*(1)*(1)*(1)*(1 + (0))</f>
      </c>
      <c r="D8135" s="22" t="s">
        <v>24</v>
      </c>
      <c r="E8135" s="22"/>
      <c r="F8135" s="22">
        <f>C8135*E8135</f>
      </c>
    </row>
    <row r="8136">
      <c r="A8136" s="6"/>
      <c r="B8136" s="15" t="s">
        <v>2700</v>
      </c>
      <c r="C8136" s="23"/>
      <c r="D8136" s="23"/>
      <c r="E8136" s="23"/>
      <c r="F8136" s="23"/>
    </row>
    <row r="8137">
      <c r="A8137" s="5"/>
      <c r="B8137" s="16" t="s">
        <v>2717</v>
      </c>
      <c r="C8137" s="22"/>
      <c r="D8137" s="22"/>
      <c r="E8137" s="22"/>
      <c r="F8137" s="22"/>
    </row>
    <row r="8138">
      <c r="A8138" s="5"/>
      <c r="B8138" s="17" t="s">
        <v>2718</v>
      </c>
      <c r="C8138" s="22">
        <f>(-7)*(1)*(1)*(1)*(1 + (0))</f>
      </c>
      <c r="D8138" s="22" t="s">
        <v>111</v>
      </c>
      <c r="E8138" s="22"/>
      <c r="F8138" s="22">
        <f>C8138*E8138</f>
      </c>
    </row>
    <row r="8139">
      <c r="A8139" s="5"/>
      <c r="B8139" s="17" t="s">
        <v>2719</v>
      </c>
      <c r="C8139" s="22">
        <f>(-34)*(1)*(1)*(1)*(1 + (0))</f>
      </c>
      <c r="D8139" s="22" t="s">
        <v>24</v>
      </c>
      <c r="E8139" s="22"/>
      <c r="F8139" s="22">
        <f>C8139*E8139</f>
      </c>
    </row>
    <row r="8140">
      <c r="A8140" s="5"/>
      <c r="B8140" s="17" t="s">
        <v>2720</v>
      </c>
      <c r="C8140" s="22">
        <f>(-1)*(1)*(1)*(1)*(1 + (0))</f>
      </c>
      <c r="D8140" s="22" t="s">
        <v>111</v>
      </c>
      <c r="E8140" s="22"/>
      <c r="F8140" s="22">
        <f>C8140*E8140</f>
      </c>
    </row>
    <row r="8141">
      <c r="A8141" s="5"/>
      <c r="B8141" s="17" t="s">
        <v>959</v>
      </c>
      <c r="C8141" s="22">
        <f>(-34)*(1)*(1)*(1)*(1 + (0))</f>
      </c>
      <c r="D8141" s="22" t="s">
        <v>24</v>
      </c>
      <c r="E8141" s="22"/>
      <c r="F8141" s="22">
        <f>C8141*E8141</f>
      </c>
    </row>
    <row r="8142">
      <c r="A8142" s="5"/>
      <c r="B8142" s="16" t="s">
        <v>2725</v>
      </c>
      <c r="C8142" s="22"/>
      <c r="D8142" s="22"/>
      <c r="E8142" s="22"/>
      <c r="F8142" s="22"/>
    </row>
    <row r="8143">
      <c r="A8143" s="5"/>
      <c r="B8143" s="17" t="s">
        <v>2722</v>
      </c>
      <c r="C8143" s="22">
        <f>(-2)*(1)*(1)*(1)*(1 + (0))</f>
      </c>
      <c r="D8143" s="22" t="s">
        <v>111</v>
      </c>
      <c r="E8143" s="22"/>
      <c r="F8143" s="22">
        <f>C8143*E8143</f>
      </c>
    </row>
    <row r="8144">
      <c r="A8144" s="5"/>
      <c r="B8144" s="17" t="s">
        <v>2723</v>
      </c>
      <c r="C8144" s="22">
        <f>(-5)*(1)*(1)*(1)*(1 + (0))</f>
      </c>
      <c r="D8144" s="22" t="s">
        <v>24</v>
      </c>
      <c r="E8144" s="22"/>
      <c r="F8144" s="22">
        <f>C8144*E8144</f>
      </c>
    </row>
    <row r="8145">
      <c r="A8145" s="5"/>
      <c r="B8145" s="17" t="s">
        <v>2724</v>
      </c>
      <c r="C8145" s="22">
        <f>(-2)*(1)*(1)*(1)*(1 + (0))</f>
      </c>
      <c r="D8145" s="22" t="s">
        <v>111</v>
      </c>
      <c r="E8145" s="22"/>
      <c r="F8145" s="22">
        <f>C8145*E8145</f>
      </c>
    </row>
    <row r="8146">
      <c r="A8146" s="5"/>
      <c r="B8146" s="17" t="s">
        <v>959</v>
      </c>
      <c r="C8146" s="22">
        <f>(-5)*(1)*(1)*(1)*(1 + (0))</f>
      </c>
      <c r="D8146" s="22" t="s">
        <v>24</v>
      </c>
      <c r="E8146" s="22"/>
      <c r="F8146" s="22">
        <f>C8146*E8146</f>
      </c>
    </row>
    <row r="8147">
      <c r="A8147" s="6"/>
      <c r="B8147" s="15" t="s">
        <v>2737</v>
      </c>
      <c r="C8147" s="23"/>
      <c r="D8147" s="23"/>
      <c r="E8147" s="23"/>
      <c r="F8147" s="23"/>
    </row>
    <row r="8148">
      <c r="A8148" s="5"/>
      <c r="B8148" s="16" t="s">
        <v>2738</v>
      </c>
      <c r="C8148" s="22"/>
      <c r="D8148" s="22"/>
      <c r="E8148" s="22"/>
      <c r="F8148" s="22"/>
    </row>
    <row r="8149">
      <c r="A8149" s="5"/>
      <c r="B8149" s="17" t="s">
        <v>2742</v>
      </c>
      <c r="C8149" s="22">
        <f>(-5)*(1)*(1)*(1)*(1 + (0))</f>
      </c>
      <c r="D8149" s="22" t="s">
        <v>24</v>
      </c>
      <c r="E8149" s="22"/>
      <c r="F8149" s="22">
        <f>C8149*E8149</f>
      </c>
    </row>
    <row r="8150">
      <c r="A8150" s="6"/>
      <c r="B8150" s="15" t="s">
        <v>2762</v>
      </c>
      <c r="C8150" s="23"/>
      <c r="D8150" s="23"/>
      <c r="E8150" s="23"/>
      <c r="F8150" s="23"/>
    </row>
    <row r="8151">
      <c r="A8151" s="5"/>
      <c r="B8151" s="16" t="s">
        <v>2768</v>
      </c>
      <c r="C8151" s="22">
        <f>(-3)*(1)*(1)*(1)*(1 + (0))</f>
      </c>
      <c r="D8151" s="22" t="s">
        <v>162</v>
      </c>
      <c r="E8151" s="22"/>
      <c r="F8151" s="22">
        <f>C8151*E8151</f>
      </c>
    </row>
    <row r="8152">
      <c r="A8152" s="5"/>
      <c r="B8152" s="16" t="s">
        <v>2770</v>
      </c>
      <c r="C8152" s="22">
        <f>(-59)*(1)*(1)*(1)*(1 + (0))</f>
      </c>
      <c r="D8152" s="22" t="s">
        <v>162</v>
      </c>
      <c r="E8152" s="22"/>
      <c r="F8152" s="22">
        <f>C8152*E8152</f>
      </c>
    </row>
    <row r="8153">
      <c r="A8153" s="5"/>
      <c r="B8153" s="16" t="s">
        <v>2766</v>
      </c>
      <c r="C8153" s="22">
        <f>(-1)*(1)*(1)*(1)*(1 + (0))</f>
      </c>
      <c r="D8153" s="22" t="s">
        <v>162</v>
      </c>
      <c r="E8153" s="22"/>
      <c r="F8153" s="22">
        <f>C8153*E8153</f>
      </c>
    </row>
    <row r="8154">
      <c r="A8154" s="5"/>
      <c r="B8154" s="16" t="s">
        <v>2767</v>
      </c>
      <c r="C8154" s="22">
        <f>(-1)*(1)*(1)*(1)*(1 + (0))</f>
      </c>
      <c r="D8154" s="22" t="s">
        <v>162</v>
      </c>
      <c r="E8154" s="22"/>
      <c r="F8154" s="22">
        <f>C8154*E8154</f>
      </c>
    </row>
    <row r="8155">
      <c r="A8155" s="5"/>
      <c r="B8155" s="16"/>
      <c r="C8155" s="22"/>
      <c r="D8155" s="22"/>
      <c r="E8155" s="22"/>
      <c r="F8155" s="22">
        <f>C8155*E8155</f>
      </c>
    </row>
    <row r="8156">
      <c r="A8156" s="4"/>
      <c r="B8156" s="12" t="s">
        <v>2794</v>
      </c>
      <c r="C8156" s="21"/>
      <c r="D8156" s="21"/>
      <c r="E8156" s="21"/>
      <c r="F8156" s="21"/>
    </row>
    <row r="8157">
      <c r="A8157" s="6"/>
      <c r="B8157" s="15" t="s">
        <v>2918</v>
      </c>
      <c r="C8157" s="23"/>
      <c r="D8157" s="23"/>
      <c r="E8157" s="23"/>
      <c r="F8157" s="23"/>
    </row>
    <row r="8158">
      <c r="A8158" s="5"/>
      <c r="B8158" s="16" t="s">
        <v>2801</v>
      </c>
      <c r="C8158" s="22">
        <f>(-55)*(1)*(1)*(1)*(1 + (0))</f>
      </c>
      <c r="D8158" s="22" t="s">
        <v>24</v>
      </c>
      <c r="E8158" s="22"/>
      <c r="F8158" s="22">
        <f>C8158*E8158</f>
      </c>
    </row>
    <row r="8159">
      <c r="A8159" s="5"/>
      <c r="B8159" s="16" t="s">
        <v>2802</v>
      </c>
      <c r="C8159" s="22">
        <f>(-55)*(1)*(1)*(1)*(1 + (0))</f>
      </c>
      <c r="D8159" s="22" t="s">
        <v>24</v>
      </c>
      <c r="E8159" s="22"/>
      <c r="F8159" s="22">
        <f>C8159*E8159</f>
      </c>
    </row>
    <row r="8160">
      <c r="A8160" s="5"/>
      <c r="B8160" s="16" t="s">
        <v>2803</v>
      </c>
      <c r="C8160" s="22">
        <f>(-7)*(1)*(1)*(1)*(1 + (0))</f>
      </c>
      <c r="D8160" s="22" t="s">
        <v>111</v>
      </c>
      <c r="E8160" s="22"/>
      <c r="F8160" s="22">
        <f>C8160*E8160</f>
      </c>
    </row>
    <row r="8161">
      <c r="A8161" s="5"/>
      <c r="B8161" s="16" t="s">
        <v>2804</v>
      </c>
      <c r="C8161" s="22">
        <f>(-88)*(1)*(1)*(1)*(1 + (0))</f>
      </c>
      <c r="D8161" s="22" t="s">
        <v>153</v>
      </c>
      <c r="E8161" s="22"/>
      <c r="F8161" s="22">
        <f>C8161*E8161</f>
      </c>
    </row>
    <row r="8162">
      <c r="A8162" s="5"/>
      <c r="B8162" s="16" t="s">
        <v>2805</v>
      </c>
      <c r="C8162" s="22">
        <f>(-55)*(1)*(1)*(1)*(1 + (0))</f>
      </c>
      <c r="D8162" s="22" t="s">
        <v>24</v>
      </c>
      <c r="E8162" s="22"/>
      <c r="F8162" s="22">
        <f>C8162*E8162</f>
      </c>
    </row>
    <row r="8163">
      <c r="A8163" s="5"/>
      <c r="B8163" s="16" t="s">
        <v>2806</v>
      </c>
      <c r="C8163" s="22">
        <f>(-55)*(1)*(1)*(1)*(1 + (0))</f>
      </c>
      <c r="D8163" s="22" t="s">
        <v>24</v>
      </c>
      <c r="E8163" s="22"/>
      <c r="F8163" s="22">
        <f>C8163*E8163</f>
      </c>
    </row>
    <row r="8164">
      <c r="A8164" s="3"/>
      <c r="B8164" s="11" t="s">
        <v>2919</v>
      </c>
      <c r="C8164" s="20"/>
      <c r="D8164" s="20"/>
      <c r="E8164" s="20"/>
      <c r="F8164" s="20"/>
    </row>
    <row r="8165">
      <c r="A8165" s="5"/>
      <c r="B8165" s="14" t="s">
        <v>2920</v>
      </c>
      <c r="C8165" s="22">
        <f>(420)*(1)*(1)*(1)*(1 + (0))</f>
      </c>
      <c r="D8165" s="22" t="s">
        <v>24</v>
      </c>
      <c r="E8165" s="22"/>
      <c r="F8165" s="22">
        <f>C8165*E8165</f>
      </c>
    </row>
    <row r="8166">
      <c r="A8166" s="2"/>
      <c r="B8166" s="10" t="s">
        <v>2921</v>
      </c>
      <c r="C8166" s="19"/>
      <c r="D8166" s="19"/>
      <c r="E8166" s="19"/>
      <c r="F8166" s="19"/>
    </row>
    <row r="8167">
      <c r="A8167" s="3"/>
      <c r="B8167" s="11" t="s">
        <v>2398</v>
      </c>
      <c r="C8167" s="20"/>
      <c r="D8167" s="20"/>
      <c r="E8167" s="20"/>
      <c r="F8167" s="20"/>
    </row>
    <row r="8168">
      <c r="A8168" s="4"/>
      <c r="B8168" s="12" t="s">
        <v>2420</v>
      </c>
      <c r="C8168" s="21"/>
      <c r="D8168" s="21"/>
      <c r="E8168" s="21"/>
      <c r="F8168" s="21"/>
    </row>
    <row r="8169">
      <c r="A8169" s="6"/>
      <c r="B8169" s="15" t="s">
        <v>2431</v>
      </c>
      <c r="C8169" s="23"/>
      <c r="D8169" s="23"/>
      <c r="E8169" s="23"/>
      <c r="F8169" s="23"/>
    </row>
    <row r="8170">
      <c r="A8170" s="5"/>
      <c r="B8170" s="16" t="s">
        <v>2239</v>
      </c>
      <c r="C8170" s="22">
        <f>(-668)*(1)*(1)*(1)*(1 + (0))</f>
      </c>
      <c r="D8170" s="22" t="s">
        <v>153</v>
      </c>
      <c r="E8170" s="22"/>
      <c r="F8170" s="22">
        <f>C8170*E8170</f>
      </c>
    </row>
    <row r="8171">
      <c r="A8171" s="6"/>
      <c r="B8171" s="15" t="s">
        <v>2922</v>
      </c>
      <c r="C8171" s="23"/>
      <c r="D8171" s="23"/>
      <c r="E8171" s="23"/>
      <c r="F8171" s="23"/>
    </row>
    <row r="8172">
      <c r="A8172" s="5"/>
      <c r="B8172" s="16" t="s">
        <v>2923</v>
      </c>
      <c r="C8172" s="22">
        <f>(668)*(1)*(1)*(1)*(1 + (0))</f>
      </c>
      <c r="D8172" s="22" t="s">
        <v>153</v>
      </c>
      <c r="E8172" s="22"/>
      <c r="F8172" s="22">
        <f>C8172*E8172</f>
      </c>
    </row>
    <row r="8173">
      <c r="A8173" s="2"/>
      <c r="B8173" s="10" t="s">
        <v>2924</v>
      </c>
      <c r="C8173" s="19"/>
      <c r="D8173" s="19"/>
      <c r="E8173" s="19"/>
      <c r="F8173" s="19"/>
    </row>
    <row r="8174">
      <c r="A8174" s="3"/>
      <c r="B8174" s="11" t="s">
        <v>2444</v>
      </c>
      <c r="C8174" s="20"/>
      <c r="D8174" s="20"/>
      <c r="E8174" s="20"/>
      <c r="F8174" s="20"/>
    </row>
    <row r="8175">
      <c r="A8175" s="4"/>
      <c r="B8175" s="12" t="s">
        <v>2463</v>
      </c>
      <c r="C8175" s="21"/>
      <c r="D8175" s="21"/>
      <c r="E8175" s="21"/>
      <c r="F8175" s="21"/>
    </row>
    <row r="8176">
      <c r="A8176" s="5"/>
      <c r="B8176" s="13" t="s">
        <v>2925</v>
      </c>
      <c r="C8176" s="22">
        <f>(-461)*(1)*(1)*(1)*(1 + (0))</f>
      </c>
      <c r="D8176" s="22" t="s">
        <v>24</v>
      </c>
      <c r="E8176" s="22"/>
      <c r="F8176" s="22">
        <f>C8176*E8176</f>
      </c>
    </row>
    <row r="8177">
      <c r="A8177" s="5"/>
      <c r="B8177" s="13" t="s">
        <v>2926</v>
      </c>
      <c r="C8177" s="22">
        <f>(461)*(1)*(1)*(1)*(1 + (0))</f>
      </c>
      <c r="D8177" s="22" t="s">
        <v>24</v>
      </c>
      <c r="E8177" s="22"/>
      <c r="F8177" s="22">
        <f>C8177*E8177</f>
      </c>
    </row>
    <row r="8178">
      <c r="A8178" s="2"/>
      <c r="B8178" s="10" t="s">
        <v>2927</v>
      </c>
      <c r="C8178" s="19"/>
      <c r="D8178" s="19"/>
      <c r="E8178" s="19"/>
      <c r="F8178" s="19"/>
    </row>
    <row r="8179">
      <c r="A8179" s="3"/>
      <c r="B8179" s="11" t="s">
        <v>42</v>
      </c>
      <c r="C8179" s="20"/>
      <c r="D8179" s="20"/>
      <c r="E8179" s="20"/>
      <c r="F8179" s="20"/>
    </row>
    <row r="8180">
      <c r="A8180" s="5" t="s">
        <v>2401</v>
      </c>
      <c r="B8180" s="14" t="s">
        <v>2928</v>
      </c>
      <c r="C8180" s="22"/>
      <c r="D8180" s="22" t="s">
        <v>10</v>
      </c>
      <c r="E8180" s="22"/>
      <c r="F8180" s="22">
        <f>C8180*E8180</f>
      </c>
    </row>
    <row r="8181">
      <c r="A8181" s="3"/>
      <c r="B8181" s="11" t="s">
        <v>2915</v>
      </c>
      <c r="C8181" s="20"/>
      <c r="D8181" s="20"/>
      <c r="E8181" s="20"/>
      <c r="F8181" s="20"/>
    </row>
    <row r="8182">
      <c r="A8182" s="4"/>
      <c r="B8182" s="12" t="s">
        <v>2929</v>
      </c>
      <c r="C8182" s="21"/>
      <c r="D8182" s="21"/>
      <c r="E8182" s="21"/>
      <c r="F8182" s="21"/>
    </row>
    <row r="8183">
      <c r="A8183" s="6"/>
      <c r="B8183" s="15" t="s">
        <v>2464</v>
      </c>
      <c r="C8183" s="23"/>
      <c r="D8183" s="23"/>
      <c r="E8183" s="23"/>
      <c r="F8183" s="23"/>
    </row>
    <row r="8184">
      <c r="A8184" s="5"/>
      <c r="B8184" s="16" t="s">
        <v>2465</v>
      </c>
      <c r="C8184" s="22"/>
      <c r="D8184" s="22"/>
      <c r="E8184" s="22"/>
      <c r="F8184" s="22"/>
    </row>
    <row r="8185">
      <c r="A8185" s="5"/>
      <c r="B8185" s="17" t="s">
        <v>2466</v>
      </c>
      <c r="C8185" s="22">
        <f>(-10)*(1)*(1)*(1)*(1 + (0))</f>
      </c>
      <c r="D8185" s="22" t="s">
        <v>162</v>
      </c>
      <c r="E8185" s="22"/>
      <c r="F8185" s="22">
        <f>C8185*E8185</f>
      </c>
    </row>
    <row r="8186">
      <c r="A8186" s="5"/>
      <c r="B8186" s="17" t="s">
        <v>2467</v>
      </c>
      <c r="C8186" s="22">
        <f>(-6)*(1)*(1)*(1)*(1 + (0))</f>
      </c>
      <c r="D8186" s="22" t="s">
        <v>162</v>
      </c>
      <c r="E8186" s="22"/>
      <c r="F8186" s="22">
        <f>C8186*E8186</f>
      </c>
    </row>
    <row r="8187">
      <c r="A8187" s="2"/>
      <c r="B8187" s="10" t="s">
        <v>2930</v>
      </c>
      <c r="C8187" s="19"/>
      <c r="D8187" s="19"/>
      <c r="E8187" s="19"/>
      <c r="F8187" s="19"/>
    </row>
    <row r="8188">
      <c r="A8188" s="3"/>
      <c r="B8188" s="11" t="s">
        <v>42</v>
      </c>
      <c r="C8188" s="20"/>
      <c r="D8188" s="20"/>
      <c r="E8188" s="20"/>
      <c r="F8188" s="20"/>
    </row>
    <row r="8189">
      <c r="A8189" s="5" t="s">
        <v>2401</v>
      </c>
      <c r="B8189" s="14" t="s">
        <v>2928</v>
      </c>
      <c r="C8189" s="22"/>
      <c r="D8189" s="22" t="s">
        <v>10</v>
      </c>
      <c r="E8189" s="22"/>
      <c r="F8189" s="22">
        <f>C8189*E8189</f>
      </c>
    </row>
    <row r="8190">
      <c r="A8190" s="3"/>
      <c r="B8190" s="11" t="s">
        <v>2917</v>
      </c>
      <c r="C8190" s="20"/>
      <c r="D8190" s="20"/>
      <c r="E8190" s="20"/>
      <c r="F8190" s="20"/>
    </row>
    <row r="8191">
      <c r="A8191" s="4"/>
      <c r="B8191" s="12" t="s">
        <v>2667</v>
      </c>
      <c r="C8191" s="21"/>
      <c r="D8191" s="21"/>
      <c r="E8191" s="21"/>
      <c r="F8191" s="21"/>
    </row>
    <row r="8192">
      <c r="A8192" s="6"/>
      <c r="B8192" s="15" t="s">
        <v>2700</v>
      </c>
      <c r="C8192" s="23"/>
      <c r="D8192" s="23"/>
      <c r="E8192" s="23"/>
      <c r="F8192" s="23"/>
    </row>
    <row r="8193">
      <c r="A8193" s="5"/>
      <c r="B8193" s="16" t="s">
        <v>2701</v>
      </c>
      <c r="C8193" s="22"/>
      <c r="D8193" s="22"/>
      <c r="E8193" s="22"/>
      <c r="F8193" s="22"/>
    </row>
    <row r="8194">
      <c r="A8194" s="5"/>
      <c r="B8194" s="17" t="s">
        <v>2702</v>
      </c>
      <c r="C8194" s="22">
        <f>(-19)*(1)*(1)*(1)*(1 + (0))</f>
      </c>
      <c r="D8194" s="22" t="s">
        <v>111</v>
      </c>
      <c r="E8194" s="22"/>
      <c r="F8194" s="22">
        <f>C8194*E8194</f>
      </c>
    </row>
    <row r="8195">
      <c r="A8195" s="5"/>
      <c r="B8195" s="17" t="s">
        <v>2703</v>
      </c>
      <c r="C8195" s="22">
        <f>(-81)*(1)*(1)*(1)*(1 + (0))</f>
      </c>
      <c r="D8195" s="22" t="s">
        <v>24</v>
      </c>
      <c r="E8195" s="22"/>
      <c r="F8195" s="22">
        <f>C8195*E8195</f>
      </c>
    </row>
    <row r="8196">
      <c r="A8196" s="5"/>
      <c r="B8196" s="17" t="s">
        <v>2704</v>
      </c>
      <c r="C8196" s="22">
        <f>(-2)*(1)*(1)*(1)*(1 + (0))</f>
      </c>
      <c r="D8196" s="22" t="s">
        <v>182</v>
      </c>
      <c r="E8196" s="22"/>
      <c r="F8196" s="22">
        <f>C8196*E8196</f>
      </c>
    </row>
    <row r="8197">
      <c r="A8197" s="5"/>
      <c r="B8197" s="17" t="s">
        <v>959</v>
      </c>
      <c r="C8197" s="22">
        <f>(-33)*(1)*(1)*(1)*(1 + (0))</f>
      </c>
      <c r="D8197" s="22" t="s">
        <v>153</v>
      </c>
      <c r="E8197" s="22"/>
      <c r="F8197" s="22">
        <f>C8197*E8197</f>
      </c>
    </row>
    <row r="8198">
      <c r="A8198" s="5"/>
      <c r="B8198" s="17" t="s">
        <v>2705</v>
      </c>
      <c r="C8198" s="22">
        <f>(-81)*(1)*(1)*(1)*(1 + (0))</f>
      </c>
      <c r="D8198" s="22" t="s">
        <v>24</v>
      </c>
      <c r="E8198" s="22"/>
      <c r="F8198" s="22">
        <f>C8198*E8198</f>
      </c>
    </row>
    <row r="8199">
      <c r="A8199" s="5"/>
      <c r="B8199" s="17" t="s">
        <v>2706</v>
      </c>
      <c r="C8199" s="22">
        <f>(-41)*(1)*(1)*(1)*(1 + (0))</f>
      </c>
      <c r="D8199" s="22" t="s">
        <v>24</v>
      </c>
      <c r="E8199" s="22"/>
      <c r="F8199" s="22">
        <f>C8199*E8199</f>
      </c>
    </row>
    <row r="8200">
      <c r="A8200" s="5"/>
      <c r="B8200" s="16" t="s">
        <v>2707</v>
      </c>
      <c r="C8200" s="22"/>
      <c r="D8200" s="22"/>
      <c r="E8200" s="22"/>
      <c r="F8200" s="22"/>
    </row>
    <row r="8201">
      <c r="A8201" s="5"/>
      <c r="B8201" s="17" t="s">
        <v>2931</v>
      </c>
      <c r="C8201" s="22">
        <f>(-45)*(1)*(1)*(1)*(1 + (0))</f>
      </c>
      <c r="D8201" s="22" t="s">
        <v>153</v>
      </c>
      <c r="E8201" s="22"/>
      <c r="F8201" s="22">
        <f>C8201*E8201</f>
      </c>
    </row>
    <row r="8202">
      <c r="A8202" s="5"/>
      <c r="B8202" s="17" t="s">
        <v>2709</v>
      </c>
      <c r="C8202" s="22">
        <f>(-7)*(1)*(1)*(1)*(1 + (0))</f>
      </c>
      <c r="D8202" s="22" t="s">
        <v>111</v>
      </c>
      <c r="E8202" s="22"/>
      <c r="F8202" s="22">
        <f>C8202*E8202</f>
      </c>
    </row>
    <row r="8203">
      <c r="A8203" s="5"/>
      <c r="B8203" s="17" t="s">
        <v>2710</v>
      </c>
      <c r="C8203" s="22">
        <f>(-18)*(1)*(1)*(1)*(1 + (0))</f>
      </c>
      <c r="D8203" s="22" t="s">
        <v>24</v>
      </c>
      <c r="E8203" s="22"/>
      <c r="F8203" s="22">
        <f>C8203*E8203</f>
      </c>
    </row>
    <row r="8204">
      <c r="A8204" s="5"/>
      <c r="B8204" s="17" t="s">
        <v>2711</v>
      </c>
      <c r="C8204" s="22">
        <f>(-1)*(1)*(1)*(1)*(1 + (0))</f>
      </c>
      <c r="D8204" s="22" t="s">
        <v>182</v>
      </c>
      <c r="E8204" s="22"/>
      <c r="F8204" s="22">
        <f>C8204*E8204</f>
      </c>
    </row>
    <row r="8205">
      <c r="A8205" s="5"/>
      <c r="B8205" s="17" t="s">
        <v>2712</v>
      </c>
      <c r="C8205" s="22">
        <f>(-32)*(1)*(1)*(1)*(1 + (0))</f>
      </c>
      <c r="D8205" s="22" t="s">
        <v>24</v>
      </c>
      <c r="E8205" s="22"/>
      <c r="F8205" s="22">
        <f>C8205*E8205</f>
      </c>
    </row>
    <row r="8206">
      <c r="A8206" s="5"/>
      <c r="B8206" s="17" t="s">
        <v>959</v>
      </c>
      <c r="C8206" s="22">
        <f>(-8)*(1)*(1)*(1)*(1 + (0))</f>
      </c>
      <c r="D8206" s="22" t="s">
        <v>24</v>
      </c>
      <c r="E8206" s="22"/>
      <c r="F8206" s="22">
        <f>C8206*E8206</f>
      </c>
    </row>
    <row r="8207">
      <c r="A8207" s="5"/>
      <c r="B8207" s="16" t="s">
        <v>2932</v>
      </c>
      <c r="C8207" s="22"/>
      <c r="D8207" s="22"/>
      <c r="E8207" s="22"/>
      <c r="F8207" s="22"/>
    </row>
    <row r="8208">
      <c r="A8208" s="5"/>
      <c r="B8208" s="17" t="s">
        <v>2933</v>
      </c>
      <c r="C8208" s="22">
        <f>(131)*(1)*(1)*(1)*(1 + (0))</f>
      </c>
      <c r="D8208" s="22" t="s">
        <v>153</v>
      </c>
      <c r="E8208" s="22"/>
      <c r="F8208" s="22">
        <f>C8208*E8208</f>
      </c>
    </row>
    <row r="8209">
      <c r="A8209" s="2"/>
      <c r="B8209" s="10" t="s">
        <v>2934</v>
      </c>
      <c r="C8209" s="19"/>
      <c r="D8209" s="19"/>
      <c r="E8209" s="19"/>
      <c r="F8209" s="19"/>
    </row>
    <row r="8210">
      <c r="A8210" s="3"/>
      <c r="B8210" s="11" t="s">
        <v>42</v>
      </c>
      <c r="C8210" s="20"/>
      <c r="D8210" s="20"/>
      <c r="E8210" s="20"/>
      <c r="F8210" s="20"/>
    </row>
    <row r="8211">
      <c r="A8211" s="5" t="s">
        <v>2401</v>
      </c>
      <c r="B8211" s="14" t="s">
        <v>2928</v>
      </c>
      <c r="C8211" s="22"/>
      <c r="D8211" s="22" t="s">
        <v>10</v>
      </c>
      <c r="E8211" s="22"/>
      <c r="F8211" s="22">
        <f>C8211*E8211</f>
      </c>
    </row>
    <row r="8212">
      <c r="A8212" s="3"/>
      <c r="B8212" s="11" t="s">
        <v>2917</v>
      </c>
      <c r="C8212" s="20"/>
      <c r="D8212" s="20"/>
      <c r="E8212" s="20"/>
      <c r="F8212" s="20"/>
    </row>
    <row r="8213">
      <c r="A8213" s="4"/>
      <c r="B8213" s="12" t="s">
        <v>2667</v>
      </c>
      <c r="C8213" s="21"/>
      <c r="D8213" s="21"/>
      <c r="E8213" s="21"/>
      <c r="F8213" s="21"/>
    </row>
    <row r="8214">
      <c r="A8214" s="6"/>
      <c r="B8214" s="15" t="s">
        <v>2737</v>
      </c>
      <c r="C8214" s="23"/>
      <c r="D8214" s="23"/>
      <c r="E8214" s="23"/>
      <c r="F8214" s="23"/>
    </row>
    <row r="8215">
      <c r="A8215" s="5"/>
      <c r="B8215" s="16" t="s">
        <v>2755</v>
      </c>
      <c r="C8215" s="22">
        <f>(-3)*(1)*(1)*(1)*(1 + (0))</f>
      </c>
      <c r="D8215" s="22" t="s">
        <v>162</v>
      </c>
      <c r="E8215" s="22"/>
      <c r="F8215" s="22">
        <f>C8215*E8215</f>
      </c>
    </row>
    <row r="8216">
      <c r="A8216" s="5"/>
      <c r="B8216" s="16" t="s">
        <v>2935</v>
      </c>
      <c r="C8216" s="22">
        <f>(3)*(1)*(1)*(1)*(1 + (0))</f>
      </c>
      <c r="D8216" s="22" t="s">
        <v>162</v>
      </c>
      <c r="E8216" s="22"/>
      <c r="F8216" s="22">
        <f>C8216*E8216</f>
      </c>
    </row>
    <row r="8217">
      <c r="A8217" s="2"/>
      <c r="B8217" s="10" t="s">
        <v>2936</v>
      </c>
      <c r="C8217" s="19"/>
      <c r="D8217" s="19"/>
      <c r="E8217" s="19"/>
      <c r="F8217" s="19"/>
    </row>
    <row r="8218">
      <c r="A8218" s="3"/>
      <c r="B8218" s="11" t="s">
        <v>2917</v>
      </c>
      <c r="C8218" s="20"/>
      <c r="D8218" s="20"/>
      <c r="E8218" s="20"/>
      <c r="F8218" s="20"/>
    </row>
    <row r="8219">
      <c r="A8219" s="4"/>
      <c r="B8219" s="12" t="s">
        <v>2667</v>
      </c>
      <c r="C8219" s="21"/>
      <c r="D8219" s="21"/>
      <c r="E8219" s="21"/>
      <c r="F8219" s="21"/>
    </row>
    <row r="8220">
      <c r="A8220" s="6"/>
      <c r="B8220" s="15" t="s">
        <v>2937</v>
      </c>
      <c r="C8220" s="23"/>
      <c r="D8220" s="23"/>
      <c r="E8220" s="23"/>
      <c r="F8220" s="23"/>
    </row>
    <row r="8221">
      <c r="A8221" s="5"/>
      <c r="B8221" s="16" t="s">
        <v>2747</v>
      </c>
      <c r="C8221" s="22"/>
      <c r="D8221" s="22"/>
      <c r="E8221" s="22"/>
      <c r="F8221" s="22"/>
    </row>
    <row r="8222">
      <c r="A8222" s="5"/>
      <c r="B8222" s="17" t="s">
        <v>2748</v>
      </c>
      <c r="C8222" s="22">
        <f>(-3)*(1)*(1)*(1)*(1 + (0))</f>
      </c>
      <c r="D8222" s="22" t="s">
        <v>162</v>
      </c>
      <c r="E8222" s="22"/>
      <c r="F8222" s="22">
        <f>C8222*E8222</f>
      </c>
    </row>
    <row r="8223">
      <c r="A8223" s="5"/>
      <c r="B8223" s="17" t="s">
        <v>2749</v>
      </c>
      <c r="C8223" s="22">
        <f>(-3)*(1)*(1)*(1)*(1 + (0))</f>
      </c>
      <c r="D8223" s="22" t="s">
        <v>162</v>
      </c>
      <c r="E8223" s="22"/>
      <c r="F8223" s="22">
        <f>C8223*E8223</f>
      </c>
    </row>
    <row r="8224">
      <c r="A8224" s="5"/>
      <c r="B8224" s="16" t="s">
        <v>2938</v>
      </c>
      <c r="C8224" s="22"/>
      <c r="D8224" s="22"/>
      <c r="E8224" s="22"/>
      <c r="F8224" s="22"/>
    </row>
    <row r="8225">
      <c r="A8225" s="5"/>
      <c r="B8225" s="17" t="s">
        <v>2939</v>
      </c>
      <c r="C8225" s="22">
        <f>(3)*(1)*(1)*(1)*(1 + (0))</f>
      </c>
      <c r="D8225" s="22" t="s">
        <v>162</v>
      </c>
      <c r="E8225" s="22"/>
      <c r="F8225" s="22">
        <f>C8225*E8225</f>
      </c>
    </row>
    <row r="8226">
      <c r="A8226" s="5"/>
      <c r="B8226" s="17" t="s">
        <v>2940</v>
      </c>
      <c r="C8226" s="22">
        <f>(3)*(1)*(1)*(1)*(1 + (0))</f>
      </c>
      <c r="D8226" s="22" t="s">
        <v>162</v>
      </c>
      <c r="E8226" s="22"/>
      <c r="F8226" s="22">
        <f>C8226*E8226</f>
      </c>
    </row>
    <row r="8227">
      <c r="A8227" s="2"/>
      <c r="B8227" s="10" t="s">
        <v>2941</v>
      </c>
      <c r="C8227" s="19"/>
      <c r="D8227" s="19"/>
      <c r="E8227" s="19"/>
      <c r="F8227" s="19"/>
    </row>
    <row r="8228">
      <c r="A8228" s="3"/>
      <c r="B8228" s="11" t="s">
        <v>36</v>
      </c>
      <c r="C8228" s="20"/>
      <c r="D8228" s="20"/>
      <c r="E8228" s="20"/>
      <c r="F8228" s="20"/>
    </row>
    <row r="8229">
      <c r="A8229" s="4"/>
      <c r="B8229" s="12" t="s">
        <v>108</v>
      </c>
      <c r="C8229" s="21"/>
      <c r="D8229" s="21"/>
      <c r="E8229" s="21"/>
      <c r="F8229" s="21"/>
    </row>
    <row r="8230">
      <c r="A8230" s="6"/>
      <c r="B8230" s="15" t="s">
        <v>109</v>
      </c>
      <c r="C8230" s="23"/>
      <c r="D8230" s="23"/>
      <c r="E8230" s="23"/>
      <c r="F8230" s="23"/>
    </row>
    <row r="8231">
      <c r="A8231" s="5"/>
      <c r="B8231" s="16" t="s">
        <v>114</v>
      </c>
      <c r="C8231" s="22">
        <f>(-4)*(1)*(1)*(1)*(1 + (0))</f>
      </c>
      <c r="D8231" s="22" t="s">
        <v>111</v>
      </c>
      <c r="E8231" s="22"/>
      <c r="F8231" s="22">
        <f>C8231*E8231</f>
      </c>
    </row>
    <row r="8232">
      <c r="A8232" s="3"/>
      <c r="B8232" s="11" t="s">
        <v>207</v>
      </c>
      <c r="C8232" s="20"/>
      <c r="D8232" s="20"/>
      <c r="E8232" s="20"/>
      <c r="F8232" s="20"/>
    </row>
    <row r="8233">
      <c r="A8233" s="4"/>
      <c r="B8233" s="12" t="s">
        <v>242</v>
      </c>
      <c r="C8233" s="21"/>
      <c r="D8233" s="21"/>
      <c r="E8233" s="21"/>
      <c r="F8233" s="21"/>
    </row>
    <row r="8234">
      <c r="A8234" s="5"/>
      <c r="B8234" s="13" t="s">
        <v>2125</v>
      </c>
      <c r="C8234" s="22">
        <f>(-10)*(1)*(1)*(1)*(1 + (0))</f>
      </c>
      <c r="D8234" s="22" t="s">
        <v>111</v>
      </c>
      <c r="E8234" s="22"/>
      <c r="F8234" s="22">
        <f>C8234*E8234</f>
      </c>
    </row>
    <row r="8235">
      <c r="A8235" s="4"/>
      <c r="B8235" s="12" t="s">
        <v>245</v>
      </c>
      <c r="C8235" s="21"/>
      <c r="D8235" s="21"/>
      <c r="E8235" s="21"/>
      <c r="F8235" s="21"/>
    </row>
    <row r="8236">
      <c r="A8236" s="6"/>
      <c r="B8236" s="15" t="s">
        <v>2126</v>
      </c>
      <c r="C8236" s="23"/>
      <c r="D8236" s="23"/>
      <c r="E8236" s="23"/>
      <c r="F8236" s="23"/>
    </row>
    <row r="8237">
      <c r="A8237" s="5"/>
      <c r="B8237" s="16" t="s">
        <v>252</v>
      </c>
      <c r="C8237" s="22"/>
      <c r="D8237" s="22"/>
      <c r="E8237" s="22"/>
      <c r="F8237" s="22"/>
    </row>
    <row r="8238">
      <c r="A8238" s="5"/>
      <c r="B8238" s="17" t="s">
        <v>2942</v>
      </c>
      <c r="C8238" s="22">
        <f>(-4)*(1)*(1)*(1)*(1 + (0))</f>
      </c>
      <c r="D8238" s="22" t="s">
        <v>111</v>
      </c>
      <c r="E8238" s="22"/>
      <c r="F8238" s="22">
        <f>C8238*E8238</f>
      </c>
    </row>
    <row r="8239">
      <c r="A8239" s="5"/>
      <c r="B8239" s="17" t="s">
        <v>2130</v>
      </c>
      <c r="C8239" s="22">
        <f>(-2)*(1)*(1)*(1)*(1 + (0))</f>
      </c>
      <c r="D8239" s="22" t="s">
        <v>111</v>
      </c>
      <c r="E8239" s="22"/>
      <c r="F8239" s="22">
        <f>C8239*E8239</f>
      </c>
    </row>
    <row r="8240">
      <c r="A8240" s="6"/>
      <c r="B8240" s="15" t="s">
        <v>2131</v>
      </c>
      <c r="C8240" s="23"/>
      <c r="D8240" s="23"/>
      <c r="E8240" s="23"/>
      <c r="F8240" s="23"/>
    </row>
    <row r="8241">
      <c r="A8241" s="5"/>
      <c r="B8241" s="16" t="s">
        <v>252</v>
      </c>
      <c r="C8241" s="22"/>
      <c r="D8241" s="22"/>
      <c r="E8241" s="22"/>
      <c r="F8241" s="22"/>
    </row>
    <row r="8242">
      <c r="A8242" s="5"/>
      <c r="B8242" s="17" t="s">
        <v>2943</v>
      </c>
      <c r="C8242" s="22">
        <f>(-3)*(1)*(1)*(1)*(1 + (0))</f>
      </c>
      <c r="D8242" s="22" t="s">
        <v>111</v>
      </c>
      <c r="E8242" s="22"/>
      <c r="F8242" s="22">
        <f>C8242*E8242</f>
      </c>
    </row>
    <row r="8243">
      <c r="A8243" s="6"/>
      <c r="B8243" s="15" t="s">
        <v>2137</v>
      </c>
      <c r="C8243" s="23"/>
      <c r="D8243" s="23"/>
      <c r="E8243" s="23"/>
      <c r="F8243" s="23"/>
    </row>
    <row r="8244">
      <c r="A8244" s="5"/>
      <c r="B8244" s="16" t="s">
        <v>2138</v>
      </c>
      <c r="C8244" s="22"/>
      <c r="D8244" s="22"/>
      <c r="E8244" s="22"/>
      <c r="F8244" s="22"/>
    </row>
    <row r="8245">
      <c r="A8245" s="5"/>
      <c r="B8245" s="17" t="s">
        <v>2944</v>
      </c>
      <c r="C8245" s="22">
        <f>(-1)*(1)*(1)*(1)*(1 + (0))</f>
      </c>
      <c r="D8245" s="22" t="s">
        <v>111</v>
      </c>
      <c r="E8245" s="22"/>
      <c r="F8245" s="22">
        <f>C8245*E8245</f>
      </c>
    </row>
    <row r="8246">
      <c r="A8246" s="4"/>
      <c r="B8246" s="12" t="s">
        <v>325</v>
      </c>
      <c r="C8246" s="21"/>
      <c r="D8246" s="21"/>
      <c r="E8246" s="21"/>
      <c r="F8246" s="21"/>
    </row>
    <row r="8247">
      <c r="A8247" s="6"/>
      <c r="B8247" s="15" t="s">
        <v>326</v>
      </c>
      <c r="C8247" s="23"/>
      <c r="D8247" s="23"/>
      <c r="E8247" s="23"/>
      <c r="F8247" s="23"/>
    </row>
    <row r="8248">
      <c r="A8248" s="5"/>
      <c r="B8248" s="16" t="s">
        <v>327</v>
      </c>
      <c r="C8248" s="22">
        <f>(-29)*(1)*(1)*(1)*(1 + (0))</f>
      </c>
      <c r="D8248" s="22" t="s">
        <v>24</v>
      </c>
      <c r="E8248" s="22"/>
      <c r="F8248" s="22">
        <f>C8248*E8248</f>
      </c>
    </row>
    <row r="8249">
      <c r="A8249" s="6"/>
      <c r="B8249" s="15" t="s">
        <v>330</v>
      </c>
      <c r="C8249" s="23"/>
      <c r="D8249" s="23"/>
      <c r="E8249" s="23"/>
      <c r="F8249" s="23"/>
    </row>
    <row r="8250">
      <c r="A8250" s="5"/>
      <c r="B8250" s="16" t="s">
        <v>331</v>
      </c>
      <c r="C8250" s="22">
        <f>(-29)*(1)*(1)*(1)*(1 + (0))</f>
      </c>
      <c r="D8250" s="22" t="s">
        <v>24</v>
      </c>
      <c r="E8250" s="22"/>
      <c r="F8250" s="22">
        <f>C8250*E8250</f>
      </c>
    </row>
    <row r="8251">
      <c r="A8251" s="4"/>
      <c r="B8251" s="12" t="s">
        <v>344</v>
      </c>
      <c r="C8251" s="21"/>
      <c r="D8251" s="21"/>
      <c r="E8251" s="21"/>
      <c r="F8251" s="21"/>
    </row>
    <row r="8252">
      <c r="A8252" s="5"/>
      <c r="B8252" s="13" t="s">
        <v>1663</v>
      </c>
      <c r="C8252" s="22">
        <f>(-6)*(1)*(1)*(1)*(1 + (0))</f>
      </c>
      <c r="D8252" s="22" t="s">
        <v>153</v>
      </c>
      <c r="E8252" s="22"/>
      <c r="F8252" s="22">
        <f>C8252*E8252</f>
      </c>
    </row>
    <row r="8253">
      <c r="A8253" s="4"/>
      <c r="B8253" s="12" t="s">
        <v>347</v>
      </c>
      <c r="C8253" s="21"/>
      <c r="D8253" s="21"/>
      <c r="E8253" s="21"/>
      <c r="F8253" s="21"/>
    </row>
    <row r="8254">
      <c r="A8254" s="5"/>
      <c r="B8254" s="13" t="s">
        <v>1866</v>
      </c>
      <c r="C8254" s="22">
        <f>(-29)*(1)*(1)*(1)*(1 + (0))</f>
      </c>
      <c r="D8254" s="22" t="s">
        <v>24</v>
      </c>
      <c r="E8254" s="22"/>
      <c r="F8254" s="22">
        <f>C8254*E8254</f>
      </c>
    </row>
    <row r="8255">
      <c r="A8255" s="5"/>
      <c r="B8255" s="13" t="s">
        <v>349</v>
      </c>
      <c r="C8255" s="22">
        <f>(-42)*(1)*(1)*(1)*(1 + (0))</f>
      </c>
      <c r="D8255" s="22" t="s">
        <v>24</v>
      </c>
      <c r="E8255" s="22"/>
      <c r="F8255" s="22">
        <f>C8255*E8255</f>
      </c>
    </row>
    <row r="8256">
      <c r="A8256" s="3"/>
      <c r="B8256" s="11" t="s">
        <v>350</v>
      </c>
      <c r="C8256" s="20"/>
      <c r="D8256" s="20"/>
      <c r="E8256" s="20"/>
      <c r="F8256" s="20"/>
    </row>
    <row r="8257">
      <c r="A8257" s="4"/>
      <c r="B8257" s="12" t="s">
        <v>381</v>
      </c>
      <c r="C8257" s="21"/>
      <c r="D8257" s="21"/>
      <c r="E8257" s="21"/>
      <c r="F8257" s="21"/>
    </row>
    <row r="8258">
      <c r="A8258" s="6"/>
      <c r="B8258" s="15" t="s">
        <v>397</v>
      </c>
      <c r="C8258" s="23"/>
      <c r="D8258" s="23"/>
      <c r="E8258" s="23"/>
      <c r="F8258" s="23"/>
    </row>
    <row r="8259">
      <c r="A8259" s="5"/>
      <c r="B8259" s="16" t="s">
        <v>2138</v>
      </c>
      <c r="C8259" s="22"/>
      <c r="D8259" s="22"/>
      <c r="E8259" s="22"/>
      <c r="F8259" s="22"/>
    </row>
    <row r="8260">
      <c r="A8260" s="5"/>
      <c r="B8260" s="17" t="s">
        <v>398</v>
      </c>
      <c r="C8260" s="22">
        <f>(-21)*(1)*(1)*(1)*(1 + (0))</f>
      </c>
      <c r="D8260" s="22" t="s">
        <v>153</v>
      </c>
      <c r="E8260" s="22"/>
      <c r="F8260" s="22">
        <f>C8260*E8260</f>
      </c>
    </row>
    <row r="8261">
      <c r="A8261" s="4"/>
      <c r="B8261" s="12" t="s">
        <v>399</v>
      </c>
      <c r="C8261" s="21"/>
      <c r="D8261" s="21"/>
      <c r="E8261" s="21"/>
      <c r="F8261" s="21"/>
    </row>
    <row r="8262">
      <c r="A8262" s="6"/>
      <c r="B8262" s="15" t="s">
        <v>408</v>
      </c>
      <c r="C8262" s="23"/>
      <c r="D8262" s="23"/>
      <c r="E8262" s="23"/>
      <c r="F8262" s="23"/>
    </row>
    <row r="8263">
      <c r="A8263" s="5"/>
      <c r="B8263" s="16" t="s">
        <v>252</v>
      </c>
      <c r="C8263" s="22"/>
      <c r="D8263" s="22"/>
      <c r="E8263" s="22"/>
      <c r="F8263" s="22"/>
    </row>
    <row r="8264">
      <c r="A8264" s="5"/>
      <c r="B8264" s="17" t="s">
        <v>1671</v>
      </c>
      <c r="C8264" s="22">
        <f>(-14)*(1)*(1)*(1)*(1 + (0))</f>
      </c>
      <c r="D8264" s="22" t="s">
        <v>24</v>
      </c>
      <c r="E8264" s="22"/>
      <c r="F8264" s="22">
        <f>C8264*E8264</f>
      </c>
    </row>
    <row r="8265">
      <c r="A8265" s="6"/>
      <c r="B8265" s="15" t="s">
        <v>411</v>
      </c>
      <c r="C8265" s="23"/>
      <c r="D8265" s="23"/>
      <c r="E8265" s="23"/>
      <c r="F8265" s="23"/>
    </row>
    <row r="8266">
      <c r="A8266" s="5"/>
      <c r="B8266" s="16" t="s">
        <v>252</v>
      </c>
      <c r="C8266" s="22"/>
      <c r="D8266" s="22"/>
      <c r="E8266" s="22"/>
      <c r="F8266" s="22"/>
    </row>
    <row r="8267">
      <c r="A8267" s="5"/>
      <c r="B8267" s="17" t="s">
        <v>413</v>
      </c>
      <c r="C8267" s="22">
        <f>(-12)*(1)*(1)*(1)*(1 + (0))</f>
      </c>
      <c r="D8267" s="22" t="s">
        <v>153</v>
      </c>
      <c r="E8267" s="22"/>
      <c r="F8267" s="22">
        <f>C8267*E8267</f>
      </c>
    </row>
    <row r="8268">
      <c r="A8268" s="5"/>
      <c r="B8268" s="17" t="s">
        <v>2140</v>
      </c>
      <c r="C8268" s="22">
        <f>(-23)*(1)*(1)*(1)*(1 + (0))</f>
      </c>
      <c r="D8268" s="22" t="s">
        <v>24</v>
      </c>
      <c r="E8268" s="22"/>
      <c r="F8268" s="22">
        <f>C8268*E8268</f>
      </c>
    </row>
    <row r="8269">
      <c r="A8269" s="3"/>
      <c r="B8269" s="11" t="s">
        <v>178</v>
      </c>
      <c r="C8269" s="20"/>
      <c r="D8269" s="20"/>
      <c r="E8269" s="20"/>
      <c r="F8269" s="20"/>
    </row>
    <row r="8270">
      <c r="A8270" s="4"/>
      <c r="B8270" s="12" t="s">
        <v>453</v>
      </c>
      <c r="C8270" s="21"/>
      <c r="D8270" s="21"/>
      <c r="E8270" s="21"/>
      <c r="F8270" s="21"/>
    </row>
    <row r="8271">
      <c r="A8271" s="5"/>
      <c r="B8271" s="13" t="s">
        <v>454</v>
      </c>
      <c r="C8271" s="22">
        <f>(-0.2)*(1)*(1)*(1)*(1 + (0))</f>
      </c>
      <c r="D8271" s="22" t="s">
        <v>182</v>
      </c>
      <c r="E8271" s="22"/>
      <c r="F8271" s="22">
        <f>C8271*E8271</f>
      </c>
    </row>
    <row r="8272">
      <c r="A8272" s="5"/>
      <c r="B8272" s="13" t="s">
        <v>455</v>
      </c>
      <c r="C8272" s="22">
        <f>(-0.63)*(1)*(1)*(1)*(1 + (0))</f>
      </c>
      <c r="D8272" s="22" t="s">
        <v>182</v>
      </c>
      <c r="E8272" s="22"/>
      <c r="F8272" s="22">
        <f>C8272*E8272</f>
      </c>
    </row>
    <row r="8273">
      <c r="A8273" s="5"/>
      <c r="B8273" s="13" t="s">
        <v>1875</v>
      </c>
      <c r="C8273" s="22">
        <f>(-29)*(1)*(1)*(1)*(1 + (0))</f>
      </c>
      <c r="D8273" s="22" t="s">
        <v>24</v>
      </c>
      <c r="E8273" s="22"/>
      <c r="F8273" s="22">
        <f>C8273*E8273</f>
      </c>
    </row>
    <row r="8274">
      <c r="A8274" s="4"/>
      <c r="B8274" s="12" t="s">
        <v>457</v>
      </c>
      <c r="C8274" s="21"/>
      <c r="D8274" s="21"/>
      <c r="E8274" s="21"/>
      <c r="F8274" s="21"/>
    </row>
    <row r="8275">
      <c r="A8275" s="6"/>
      <c r="B8275" s="15" t="s">
        <v>408</v>
      </c>
      <c r="C8275" s="23"/>
      <c r="D8275" s="23"/>
      <c r="E8275" s="23"/>
      <c r="F8275" s="23"/>
    </row>
    <row r="8276">
      <c r="A8276" s="5"/>
      <c r="B8276" s="16" t="s">
        <v>252</v>
      </c>
      <c r="C8276" s="22"/>
      <c r="D8276" s="22"/>
      <c r="E8276" s="22"/>
      <c r="F8276" s="22"/>
    </row>
    <row r="8277">
      <c r="A8277" s="5"/>
      <c r="B8277" s="17" t="s">
        <v>2142</v>
      </c>
      <c r="C8277" s="22">
        <f>(-0.090836096)*(1)*(1)*(1)*(1 + (0))</f>
      </c>
      <c r="D8277" s="22" t="s">
        <v>182</v>
      </c>
      <c r="E8277" s="22"/>
      <c r="F8277" s="22">
        <f>C8277*E8277</f>
      </c>
    </row>
    <row r="8278">
      <c r="A8278" s="5"/>
      <c r="B8278" s="17" t="s">
        <v>2143</v>
      </c>
      <c r="C8278" s="22">
        <f>(-0.048503)*(1)*(1)*(1)*(1 + (0))</f>
      </c>
      <c r="D8278" s="22" t="s">
        <v>182</v>
      </c>
      <c r="E8278" s="22"/>
      <c r="F8278" s="22">
        <f>C8278*E8278</f>
      </c>
    </row>
    <row r="8279">
      <c r="A8279" s="6"/>
      <c r="B8279" s="15" t="s">
        <v>397</v>
      </c>
      <c r="C8279" s="23"/>
      <c r="D8279" s="23"/>
      <c r="E8279" s="23"/>
      <c r="F8279" s="23"/>
    </row>
    <row r="8280">
      <c r="A8280" s="5"/>
      <c r="B8280" s="16" t="s">
        <v>2138</v>
      </c>
      <c r="C8280" s="22"/>
      <c r="D8280" s="22"/>
      <c r="E8280" s="22"/>
      <c r="F8280" s="22"/>
    </row>
    <row r="8281">
      <c r="A8281" s="5"/>
      <c r="B8281" s="17" t="s">
        <v>2945</v>
      </c>
      <c r="C8281" s="22">
        <f>(-0.056515758)*(1)*(1)*(1)*(1 + (0))</f>
      </c>
      <c r="D8281" s="22" t="s">
        <v>182</v>
      </c>
      <c r="E8281" s="22"/>
      <c r="F8281" s="22">
        <f>C8281*E8281</f>
      </c>
    </row>
    <row r="8282">
      <c r="A8282" s="4"/>
      <c r="B8282" s="12" t="s">
        <v>459</v>
      </c>
      <c r="C8282" s="21"/>
      <c r="D8282" s="21"/>
      <c r="E8282" s="21"/>
      <c r="F8282" s="21"/>
    </row>
    <row r="8283">
      <c r="A8283" s="6"/>
      <c r="B8283" s="15" t="s">
        <v>408</v>
      </c>
      <c r="C8283" s="23"/>
      <c r="D8283" s="23"/>
      <c r="E8283" s="23"/>
      <c r="F8283" s="23"/>
    </row>
    <row r="8284">
      <c r="A8284" s="5"/>
      <c r="B8284" s="16" t="s">
        <v>252</v>
      </c>
      <c r="C8284" s="22"/>
      <c r="D8284" s="22"/>
      <c r="E8284" s="22"/>
      <c r="F8284" s="22"/>
    </row>
    <row r="8285">
      <c r="A8285" s="5"/>
      <c r="B8285" s="17" t="s">
        <v>463</v>
      </c>
      <c r="C8285" s="22">
        <f>(-0.628029465224802)*(1)*(1)*(1)*(1 + (0))</f>
      </c>
      <c r="D8285" s="22" t="s">
        <v>182</v>
      </c>
      <c r="E8285" s="22"/>
      <c r="F8285" s="22">
        <f>C8285*E8285</f>
      </c>
    </row>
    <row r="8286">
      <c r="A8286" s="4"/>
      <c r="B8286" s="12" t="s">
        <v>482</v>
      </c>
      <c r="C8286" s="21"/>
      <c r="D8286" s="21"/>
      <c r="E8286" s="21"/>
      <c r="F8286" s="21"/>
    </row>
    <row r="8287">
      <c r="A8287" s="6"/>
      <c r="B8287" s="15" t="s">
        <v>411</v>
      </c>
      <c r="C8287" s="23"/>
      <c r="D8287" s="23"/>
      <c r="E8287" s="23"/>
      <c r="F8287" s="23"/>
    </row>
    <row r="8288">
      <c r="A8288" s="5"/>
      <c r="B8288" s="16" t="s">
        <v>252</v>
      </c>
      <c r="C8288" s="22"/>
      <c r="D8288" s="22"/>
      <c r="E8288" s="22"/>
      <c r="F8288" s="22"/>
    </row>
    <row r="8289">
      <c r="A8289" s="5"/>
      <c r="B8289" s="17" t="s">
        <v>1878</v>
      </c>
      <c r="C8289" s="22">
        <f>(-29)*(1)*(1)*(1)*(1 + (0))</f>
      </c>
      <c r="D8289" s="22" t="s">
        <v>24</v>
      </c>
      <c r="E8289" s="22"/>
      <c r="F8289" s="22">
        <f>C8289*E8289</f>
      </c>
    </row>
    <row r="8290">
      <c r="A8290" s="3"/>
      <c r="B8290" s="11" t="s">
        <v>2946</v>
      </c>
      <c r="C8290" s="20"/>
      <c r="D8290" s="20"/>
      <c r="E8290" s="20"/>
      <c r="F8290" s="20"/>
    </row>
    <row r="8291">
      <c r="A8291" s="4"/>
      <c r="B8291" s="12" t="s">
        <v>2947</v>
      </c>
      <c r="C8291" s="21"/>
      <c r="D8291" s="21"/>
      <c r="E8291" s="21"/>
      <c r="F8291" s="21"/>
    </row>
    <row r="8292">
      <c r="A8292" s="6"/>
      <c r="B8292" s="15" t="s">
        <v>820</v>
      </c>
      <c r="C8292" s="23"/>
      <c r="D8292" s="23"/>
      <c r="E8292" s="23"/>
      <c r="F8292" s="23"/>
    </row>
    <row r="8293">
      <c r="A8293" s="5"/>
      <c r="B8293" s="16" t="s">
        <v>2151</v>
      </c>
      <c r="C8293" s="22">
        <f>(-9)*(1)*(1)*(1)*(1 + (0))</f>
      </c>
      <c r="D8293" s="22" t="s">
        <v>24</v>
      </c>
      <c r="E8293" s="22"/>
      <c r="F8293" s="22">
        <f>C8293*E8293</f>
      </c>
    </row>
    <row r="8294">
      <c r="A8294" s="6"/>
      <c r="B8294" s="15" t="s">
        <v>826</v>
      </c>
      <c r="C8294" s="23"/>
      <c r="D8294" s="23"/>
      <c r="E8294" s="23"/>
      <c r="F8294" s="23"/>
    </row>
    <row r="8295">
      <c r="A8295" s="5"/>
      <c r="B8295" s="16" t="s">
        <v>2151</v>
      </c>
      <c r="C8295" s="22">
        <f>(-9)*(1)*(1)*(1)*(1 + (0))</f>
      </c>
      <c r="D8295" s="22" t="s">
        <v>24</v>
      </c>
      <c r="E8295" s="22"/>
      <c r="F8295" s="22">
        <f>C8295*E8295</f>
      </c>
    </row>
    <row r="8296">
      <c r="A8296" s="3"/>
      <c r="B8296" s="11" t="s">
        <v>897</v>
      </c>
      <c r="C8296" s="20"/>
      <c r="D8296" s="20"/>
      <c r="E8296" s="20"/>
      <c r="F8296" s="20"/>
    </row>
    <row r="8297">
      <c r="A8297" s="4"/>
      <c r="B8297" s="12" t="s">
        <v>914</v>
      </c>
      <c r="C8297" s="21"/>
      <c r="D8297" s="21"/>
      <c r="E8297" s="21"/>
      <c r="F8297" s="21"/>
    </row>
    <row r="8298">
      <c r="A8298" s="6"/>
      <c r="B8298" s="15" t="s">
        <v>1711</v>
      </c>
      <c r="C8298" s="23"/>
      <c r="D8298" s="23"/>
      <c r="E8298" s="23"/>
      <c r="F8298" s="23"/>
    </row>
    <row r="8299">
      <c r="A8299" s="5"/>
      <c r="B8299" s="16" t="s">
        <v>918</v>
      </c>
      <c r="C8299" s="22"/>
      <c r="D8299" s="22"/>
      <c r="E8299" s="22"/>
      <c r="F8299" s="22"/>
    </row>
    <row r="8300">
      <c r="A8300" s="5"/>
      <c r="B8300" s="17" t="s">
        <v>2173</v>
      </c>
      <c r="C8300" s="22">
        <f>(-2)*(1)*(1)*(1)*(1 + (0))</f>
      </c>
      <c r="D8300" s="22" t="s">
        <v>162</v>
      </c>
      <c r="E8300" s="22"/>
      <c r="F8300" s="22">
        <f>C8300*E8300</f>
      </c>
    </row>
    <row r="8301">
      <c r="A8301" s="4"/>
      <c r="B8301" s="12" t="s">
        <v>931</v>
      </c>
      <c r="C8301" s="21"/>
      <c r="D8301" s="21"/>
      <c r="E8301" s="21"/>
      <c r="F8301" s="21"/>
    </row>
    <row r="8302">
      <c r="A8302" s="6"/>
      <c r="B8302" s="15" t="s">
        <v>1711</v>
      </c>
      <c r="C8302" s="23"/>
      <c r="D8302" s="23"/>
      <c r="E8302" s="23"/>
      <c r="F8302" s="23"/>
    </row>
    <row r="8303">
      <c r="A8303" s="5"/>
      <c r="B8303" s="16" t="s">
        <v>933</v>
      </c>
      <c r="C8303" s="22">
        <f>(-2)*(1)*(1)*(1)*(1 + (0))</f>
      </c>
      <c r="D8303" s="22" t="s">
        <v>162</v>
      </c>
      <c r="E8303" s="22"/>
      <c r="F8303" s="22">
        <f>C8303*E8303</f>
      </c>
    </row>
    <row r="8304">
      <c r="A8304" s="3"/>
      <c r="B8304" s="11" t="s">
        <v>935</v>
      </c>
      <c r="C8304" s="20"/>
      <c r="D8304" s="20"/>
      <c r="E8304" s="20"/>
      <c r="F8304" s="20"/>
    </row>
    <row r="8305">
      <c r="A8305" s="4"/>
      <c r="B8305" s="12" t="s">
        <v>947</v>
      </c>
      <c r="C8305" s="21"/>
      <c r="D8305" s="21"/>
      <c r="E8305" s="21"/>
      <c r="F8305" s="21"/>
    </row>
    <row r="8306">
      <c r="A8306" s="6"/>
      <c r="B8306" s="15" t="s">
        <v>956</v>
      </c>
      <c r="C8306" s="23"/>
      <c r="D8306" s="23"/>
      <c r="E8306" s="23"/>
      <c r="F8306" s="23"/>
    </row>
    <row r="8307">
      <c r="A8307" s="5"/>
      <c r="B8307" s="16" t="s">
        <v>2180</v>
      </c>
      <c r="C8307" s="22">
        <f>(-54)*(1)*(1)*(1)*(1 + (0))</f>
      </c>
      <c r="D8307" s="22" t="s">
        <v>24</v>
      </c>
      <c r="E8307" s="22"/>
      <c r="F8307" s="22">
        <f>C8307*E8307</f>
      </c>
    </row>
    <row r="8308">
      <c r="A8308" s="3"/>
      <c r="B8308" s="11" t="s">
        <v>1006</v>
      </c>
      <c r="C8308" s="20"/>
      <c r="D8308" s="20"/>
      <c r="E8308" s="20"/>
      <c r="F8308" s="20"/>
    </row>
    <row r="8309">
      <c r="A8309" s="4"/>
      <c r="B8309" s="12" t="s">
        <v>1033</v>
      </c>
      <c r="C8309" s="21"/>
      <c r="D8309" s="21"/>
      <c r="E8309" s="21"/>
      <c r="F8309" s="21"/>
    </row>
    <row r="8310">
      <c r="A8310" s="6"/>
      <c r="B8310" s="15" t="s">
        <v>1034</v>
      </c>
      <c r="C8310" s="23"/>
      <c r="D8310" s="23"/>
      <c r="E8310" s="23"/>
      <c r="F8310" s="23"/>
    </row>
    <row r="8311">
      <c r="A8311" s="5"/>
      <c r="B8311" s="16" t="s">
        <v>1035</v>
      </c>
      <c r="C8311" s="22"/>
      <c r="D8311" s="22"/>
      <c r="E8311" s="22"/>
      <c r="F8311" s="22"/>
    </row>
    <row r="8312">
      <c r="A8312" s="5"/>
      <c r="B8312" s="17" t="s">
        <v>32</v>
      </c>
      <c r="C8312" s="22">
        <f>(-25)*(1)*(1)*(1)*(1 + (0))</f>
      </c>
      <c r="D8312" s="22" t="s">
        <v>24</v>
      </c>
      <c r="E8312" s="22"/>
      <c r="F8312" s="22">
        <f>C8312*E8312</f>
      </c>
    </row>
    <row r="8313">
      <c r="A8313" s="5"/>
      <c r="B8313" s="16" t="s">
        <v>2191</v>
      </c>
      <c r="C8313" s="22"/>
      <c r="D8313" s="22"/>
      <c r="E8313" s="22"/>
      <c r="F8313" s="22"/>
    </row>
    <row r="8314">
      <c r="A8314" s="5"/>
      <c r="B8314" s="17" t="s">
        <v>32</v>
      </c>
      <c r="C8314" s="22">
        <f>(25)*(1)*(1)*(1)*(1 + (0))</f>
      </c>
      <c r="D8314" s="22" t="s">
        <v>24</v>
      </c>
      <c r="E8314" s="22"/>
      <c r="F8314" s="22">
        <f>C8314*E8314</f>
      </c>
    </row>
    <row r="8315">
      <c r="A8315" s="4"/>
      <c r="B8315" s="12" t="s">
        <v>1044</v>
      </c>
      <c r="C8315" s="21"/>
      <c r="D8315" s="21"/>
      <c r="E8315" s="21"/>
      <c r="F8315" s="21"/>
    </row>
    <row r="8316">
      <c r="A8316" s="6"/>
      <c r="B8316" s="15" t="s">
        <v>1047</v>
      </c>
      <c r="C8316" s="23"/>
      <c r="D8316" s="23"/>
      <c r="E8316" s="23"/>
      <c r="F8316" s="23"/>
    </row>
    <row r="8317">
      <c r="A8317" s="5"/>
      <c r="B8317" s="16" t="s">
        <v>1049</v>
      </c>
      <c r="C8317" s="22"/>
      <c r="D8317" s="22"/>
      <c r="E8317" s="22"/>
      <c r="F8317" s="22"/>
    </row>
    <row r="8318">
      <c r="A8318" s="5"/>
      <c r="B8318" s="17" t="s">
        <v>32</v>
      </c>
      <c r="C8318" s="22">
        <f>(-23)*(1)*(1)*(1)*(1 + (0))</f>
      </c>
      <c r="D8318" s="22" t="s">
        <v>153</v>
      </c>
      <c r="E8318" s="22"/>
      <c r="F8318" s="22">
        <f>C8318*E8318</f>
      </c>
    </row>
    <row r="8319">
      <c r="A8319" s="3"/>
      <c r="B8319" s="11" t="s">
        <v>1123</v>
      </c>
      <c r="C8319" s="20"/>
      <c r="D8319" s="20"/>
      <c r="E8319" s="20"/>
      <c r="F8319" s="20"/>
    </row>
    <row r="8320">
      <c r="A8320" s="4"/>
      <c r="B8320" s="12" t="s">
        <v>1144</v>
      </c>
      <c r="C8320" s="21"/>
      <c r="D8320" s="21"/>
      <c r="E8320" s="21"/>
      <c r="F8320" s="21"/>
    </row>
    <row r="8321">
      <c r="A8321" s="6"/>
      <c r="B8321" s="15" t="s">
        <v>2219</v>
      </c>
      <c r="C8321" s="23"/>
      <c r="D8321" s="23"/>
      <c r="E8321" s="23"/>
      <c r="F8321" s="23"/>
    </row>
    <row r="8322">
      <c r="A8322" s="5"/>
      <c r="B8322" s="16" t="s">
        <v>1711</v>
      </c>
      <c r="C8322" s="22">
        <f>(-25)*(1)*(1)*(1)*(1 + (0))</f>
      </c>
      <c r="D8322" s="22" t="s">
        <v>24</v>
      </c>
      <c r="E8322" s="22"/>
      <c r="F8322" s="22">
        <f>C8322*E8322</f>
      </c>
    </row>
    <row r="8323">
      <c r="A8323" s="3"/>
      <c r="B8323" s="11" t="s">
        <v>1301</v>
      </c>
      <c r="C8323" s="20"/>
      <c r="D8323" s="20"/>
      <c r="E8323" s="20"/>
      <c r="F8323" s="20"/>
    </row>
    <row r="8324">
      <c r="A8324" s="4"/>
      <c r="B8324" s="12" t="s">
        <v>1336</v>
      </c>
      <c r="C8324" s="21"/>
      <c r="D8324" s="21"/>
      <c r="E8324" s="21"/>
      <c r="F8324" s="21"/>
    </row>
    <row r="8325">
      <c r="A8325" s="6"/>
      <c r="B8325" s="15" t="s">
        <v>1337</v>
      </c>
      <c r="C8325" s="23"/>
      <c r="D8325" s="23"/>
      <c r="E8325" s="23"/>
      <c r="F8325" s="23"/>
    </row>
    <row r="8326">
      <c r="A8326" s="5"/>
      <c r="B8326" s="16" t="s">
        <v>1338</v>
      </c>
      <c r="C8326" s="22"/>
      <c r="D8326" s="22"/>
      <c r="E8326" s="22"/>
      <c r="F8326" s="22"/>
    </row>
    <row r="8327">
      <c r="A8327" s="5"/>
      <c r="B8327" s="17" t="s">
        <v>1339</v>
      </c>
      <c r="C8327" s="22"/>
      <c r="D8327" s="22"/>
      <c r="E8327" s="22"/>
      <c r="F8327" s="22"/>
    </row>
    <row r="8328">
      <c r="A8328" s="5"/>
      <c r="B8328" s="18" t="s">
        <v>32</v>
      </c>
      <c r="C8328" s="22">
        <f>(-25)*(1)*(1)*(1)*(1 + (0))</f>
      </c>
      <c r="D8328" s="22" t="s">
        <v>24</v>
      </c>
      <c r="E8328" s="22"/>
      <c r="F8328" s="22">
        <f>C8328*E8328</f>
      </c>
    </row>
    <row r="8329">
      <c r="A8329" s="4"/>
      <c r="B8329" s="12" t="s">
        <v>1350</v>
      </c>
      <c r="C8329" s="21"/>
      <c r="D8329" s="21"/>
      <c r="E8329" s="21"/>
      <c r="F8329" s="21"/>
    </row>
    <row r="8330">
      <c r="A8330" s="6"/>
      <c r="B8330" s="15" t="s">
        <v>1351</v>
      </c>
      <c r="C8330" s="23"/>
      <c r="D8330" s="23"/>
      <c r="E8330" s="23"/>
      <c r="F8330" s="23"/>
    </row>
    <row r="8331">
      <c r="A8331" s="5"/>
      <c r="B8331" s="16" t="s">
        <v>2187</v>
      </c>
      <c r="C8331" s="22">
        <f>(-53)*(1)*(1)*(1)*(1 + (0))</f>
      </c>
      <c r="D8331" s="22" t="s">
        <v>24</v>
      </c>
      <c r="E8331" s="22"/>
      <c r="F8331" s="22">
        <f>C8331*E8331</f>
      </c>
    </row>
    <row r="8332">
      <c r="A8332" s="2"/>
      <c r="B8332" s="10" t="s">
        <v>2948</v>
      </c>
      <c r="C8332" s="19"/>
      <c r="D8332" s="19"/>
      <c r="E8332" s="19"/>
      <c r="F8332" s="19"/>
    </row>
    <row r="8333">
      <c r="A8333" s="3"/>
      <c r="B8333" s="11" t="s">
        <v>36</v>
      </c>
      <c r="C8333" s="20"/>
      <c r="D8333" s="20"/>
      <c r="E8333" s="20"/>
      <c r="F8333" s="20"/>
    </row>
    <row r="8334">
      <c r="A8334" s="4"/>
      <c r="B8334" s="12" t="s">
        <v>108</v>
      </c>
      <c r="C8334" s="21"/>
      <c r="D8334" s="21"/>
      <c r="E8334" s="21"/>
      <c r="F8334" s="21"/>
    </row>
    <row r="8335">
      <c r="A8335" s="6"/>
      <c r="B8335" s="15" t="s">
        <v>109</v>
      </c>
      <c r="C8335" s="23"/>
      <c r="D8335" s="23"/>
      <c r="E8335" s="23"/>
      <c r="F8335" s="23"/>
    </row>
    <row r="8336">
      <c r="A8336" s="5"/>
      <c r="B8336" s="16" t="s">
        <v>114</v>
      </c>
      <c r="C8336" s="22">
        <f>(-2)*(1)*(1)*(1)*(1 + (0))</f>
      </c>
      <c r="D8336" s="22" t="s">
        <v>111</v>
      </c>
      <c r="E8336" s="22"/>
      <c r="F8336" s="22">
        <f>C8336*E8336</f>
      </c>
    </row>
    <row r="8337">
      <c r="A8337" s="3"/>
      <c r="B8337" s="11" t="s">
        <v>207</v>
      </c>
      <c r="C8337" s="20"/>
      <c r="D8337" s="20"/>
      <c r="E8337" s="20"/>
      <c r="F8337" s="20"/>
    </row>
    <row r="8338">
      <c r="A8338" s="4"/>
      <c r="B8338" s="12" t="s">
        <v>242</v>
      </c>
      <c r="C8338" s="21"/>
      <c r="D8338" s="21"/>
      <c r="E8338" s="21"/>
      <c r="F8338" s="21"/>
    </row>
    <row r="8339">
      <c r="A8339" s="5"/>
      <c r="B8339" s="13" t="s">
        <v>2125</v>
      </c>
      <c r="C8339" s="22">
        <f>(-4)*(1)*(1)*(1)*(1 + (0))</f>
      </c>
      <c r="D8339" s="22" t="s">
        <v>111</v>
      </c>
      <c r="E8339" s="22"/>
      <c r="F8339" s="22">
        <f>C8339*E8339</f>
      </c>
    </row>
    <row r="8340">
      <c r="A8340" s="4"/>
      <c r="B8340" s="12" t="s">
        <v>245</v>
      </c>
      <c r="C8340" s="21"/>
      <c r="D8340" s="21"/>
      <c r="E8340" s="21"/>
      <c r="F8340" s="21"/>
    </row>
    <row r="8341">
      <c r="A8341" s="6"/>
      <c r="B8341" s="15" t="s">
        <v>2126</v>
      </c>
      <c r="C8341" s="23"/>
      <c r="D8341" s="23"/>
      <c r="E8341" s="23"/>
      <c r="F8341" s="23"/>
    </row>
    <row r="8342">
      <c r="A8342" s="5"/>
      <c r="B8342" s="16" t="s">
        <v>252</v>
      </c>
      <c r="C8342" s="22"/>
      <c r="D8342" s="22"/>
      <c r="E8342" s="22"/>
      <c r="F8342" s="22"/>
    </row>
    <row r="8343">
      <c r="A8343" s="5"/>
      <c r="B8343" s="17" t="s">
        <v>2949</v>
      </c>
      <c r="C8343" s="22">
        <f>(-2)*(1)*(1)*(1)*(1 + (0))</f>
      </c>
      <c r="D8343" s="22" t="s">
        <v>111</v>
      </c>
      <c r="E8343" s="22"/>
      <c r="F8343" s="22">
        <f>C8343*E8343</f>
      </c>
    </row>
    <row r="8344">
      <c r="A8344" s="5"/>
      <c r="B8344" s="17" t="s">
        <v>2130</v>
      </c>
      <c r="C8344" s="22">
        <f>(-1)*(1)*(1)*(1)*(1 + (0))</f>
      </c>
      <c r="D8344" s="22" t="s">
        <v>111</v>
      </c>
      <c r="E8344" s="22"/>
      <c r="F8344" s="22">
        <f>C8344*E8344</f>
      </c>
    </row>
    <row r="8345">
      <c r="A8345" s="6"/>
      <c r="B8345" s="15" t="s">
        <v>2131</v>
      </c>
      <c r="C8345" s="23"/>
      <c r="D8345" s="23"/>
      <c r="E8345" s="23"/>
      <c r="F8345" s="23"/>
    </row>
    <row r="8346">
      <c r="A8346" s="5"/>
      <c r="B8346" s="16" t="s">
        <v>252</v>
      </c>
      <c r="C8346" s="22"/>
      <c r="D8346" s="22"/>
      <c r="E8346" s="22"/>
      <c r="F8346" s="22"/>
    </row>
    <row r="8347">
      <c r="A8347" s="5"/>
      <c r="B8347" s="17" t="s">
        <v>2950</v>
      </c>
      <c r="C8347" s="22">
        <f>(-1)*(1)*(1)*(1)*(1 + (0))</f>
      </c>
      <c r="D8347" s="22" t="s">
        <v>111</v>
      </c>
      <c r="E8347" s="22"/>
      <c r="F8347" s="22">
        <f>C8347*E8347</f>
      </c>
    </row>
    <row r="8348">
      <c r="A8348" s="4"/>
      <c r="B8348" s="12" t="s">
        <v>325</v>
      </c>
      <c r="C8348" s="21"/>
      <c r="D8348" s="21"/>
      <c r="E8348" s="21"/>
      <c r="F8348" s="21"/>
    </row>
    <row r="8349">
      <c r="A8349" s="6"/>
      <c r="B8349" s="15" t="s">
        <v>326</v>
      </c>
      <c r="C8349" s="23"/>
      <c r="D8349" s="23"/>
      <c r="E8349" s="23"/>
      <c r="F8349" s="23"/>
    </row>
    <row r="8350">
      <c r="A8350" s="5"/>
      <c r="B8350" s="16" t="s">
        <v>327</v>
      </c>
      <c r="C8350" s="22">
        <f>(-11)*(1)*(1)*(1)*(1 + (0))</f>
      </c>
      <c r="D8350" s="22" t="s">
        <v>24</v>
      </c>
      <c r="E8350" s="22"/>
      <c r="F8350" s="22">
        <f>C8350*E8350</f>
      </c>
    </row>
    <row r="8351">
      <c r="A8351" s="6"/>
      <c r="B8351" s="15" t="s">
        <v>330</v>
      </c>
      <c r="C8351" s="23"/>
      <c r="D8351" s="23"/>
      <c r="E8351" s="23"/>
      <c r="F8351" s="23"/>
    </row>
    <row r="8352">
      <c r="A8352" s="5"/>
      <c r="B8352" s="16" t="s">
        <v>331</v>
      </c>
      <c r="C8352" s="22">
        <f>(-11)*(1)*(1)*(1)*(1 + (0))</f>
      </c>
      <c r="D8352" s="22" t="s">
        <v>24</v>
      </c>
      <c r="E8352" s="22"/>
      <c r="F8352" s="22">
        <f>C8352*E8352</f>
      </c>
    </row>
    <row r="8353">
      <c r="A8353" s="4"/>
      <c r="B8353" s="12" t="s">
        <v>347</v>
      </c>
      <c r="C8353" s="21"/>
      <c r="D8353" s="21"/>
      <c r="E8353" s="21"/>
      <c r="F8353" s="21"/>
    </row>
    <row r="8354">
      <c r="A8354" s="5"/>
      <c r="B8354" s="13" t="s">
        <v>1866</v>
      </c>
      <c r="C8354" s="22">
        <f>(-11)*(1)*(1)*(1)*(1 + (0))</f>
      </c>
      <c r="D8354" s="22" t="s">
        <v>24</v>
      </c>
      <c r="E8354" s="22"/>
      <c r="F8354" s="22">
        <f>C8354*E8354</f>
      </c>
    </row>
    <row r="8355">
      <c r="A8355" s="5"/>
      <c r="B8355" s="13" t="s">
        <v>349</v>
      </c>
      <c r="C8355" s="22">
        <f>(-19)*(1)*(1)*(1)*(1 + (0))</f>
      </c>
      <c r="D8355" s="22" t="s">
        <v>24</v>
      </c>
      <c r="E8355" s="22"/>
      <c r="F8355" s="22">
        <f>C8355*E8355</f>
      </c>
    </row>
    <row r="8356">
      <c r="A8356" s="3"/>
      <c r="B8356" s="11" t="s">
        <v>350</v>
      </c>
      <c r="C8356" s="20"/>
      <c r="D8356" s="20"/>
      <c r="E8356" s="20"/>
      <c r="F8356" s="20"/>
    </row>
    <row r="8357">
      <c r="A8357" s="4"/>
      <c r="B8357" s="12" t="s">
        <v>399</v>
      </c>
      <c r="C8357" s="21"/>
      <c r="D8357" s="21"/>
      <c r="E8357" s="21"/>
      <c r="F8357" s="21"/>
    </row>
    <row r="8358">
      <c r="A8358" s="6"/>
      <c r="B8358" s="15" t="s">
        <v>408</v>
      </c>
      <c r="C8358" s="23"/>
      <c r="D8358" s="23"/>
      <c r="E8358" s="23"/>
      <c r="F8358" s="23"/>
    </row>
    <row r="8359">
      <c r="A8359" s="5"/>
      <c r="B8359" s="16" t="s">
        <v>252</v>
      </c>
      <c r="C8359" s="22"/>
      <c r="D8359" s="22"/>
      <c r="E8359" s="22"/>
      <c r="F8359" s="22"/>
    </row>
    <row r="8360">
      <c r="A8360" s="5"/>
      <c r="B8360" s="17" t="s">
        <v>1671</v>
      </c>
      <c r="C8360" s="22">
        <f>(-8)*(1)*(1)*(1)*(1 + (0))</f>
      </c>
      <c r="D8360" s="22" t="s">
        <v>24</v>
      </c>
      <c r="E8360" s="22"/>
      <c r="F8360" s="22">
        <f>C8360*E8360</f>
      </c>
    </row>
    <row r="8361">
      <c r="A8361" s="6"/>
      <c r="B8361" s="15" t="s">
        <v>411</v>
      </c>
      <c r="C8361" s="23"/>
      <c r="D8361" s="23"/>
      <c r="E8361" s="23"/>
      <c r="F8361" s="23"/>
    </row>
    <row r="8362">
      <c r="A8362" s="5"/>
      <c r="B8362" s="16" t="s">
        <v>252</v>
      </c>
      <c r="C8362" s="22"/>
      <c r="D8362" s="22"/>
      <c r="E8362" s="22"/>
      <c r="F8362" s="22"/>
    </row>
    <row r="8363">
      <c r="A8363" s="5"/>
      <c r="B8363" s="17" t="s">
        <v>413</v>
      </c>
      <c r="C8363" s="22">
        <f>(-7)*(1)*(1)*(1)*(1 + (0))</f>
      </c>
      <c r="D8363" s="22" t="s">
        <v>153</v>
      </c>
      <c r="E8363" s="22"/>
      <c r="F8363" s="22">
        <f>C8363*E8363</f>
      </c>
    </row>
    <row r="8364">
      <c r="A8364" s="5"/>
      <c r="B8364" s="17" t="s">
        <v>2140</v>
      </c>
      <c r="C8364" s="22">
        <f>(-8)*(1)*(1)*(1)*(1 + (0))</f>
      </c>
      <c r="D8364" s="22" t="s">
        <v>24</v>
      </c>
      <c r="E8364" s="22"/>
      <c r="F8364" s="22">
        <f>C8364*E8364</f>
      </c>
    </row>
    <row r="8365">
      <c r="A8365" s="3"/>
      <c r="B8365" s="11" t="s">
        <v>178</v>
      </c>
      <c r="C8365" s="20"/>
      <c r="D8365" s="20"/>
      <c r="E8365" s="20"/>
      <c r="F8365" s="20"/>
    </row>
    <row r="8366">
      <c r="A8366" s="4"/>
      <c r="B8366" s="12" t="s">
        <v>453</v>
      </c>
      <c r="C8366" s="21"/>
      <c r="D8366" s="21"/>
      <c r="E8366" s="21"/>
      <c r="F8366" s="21"/>
    </row>
    <row r="8367">
      <c r="A8367" s="5"/>
      <c r="B8367" s="13" t="s">
        <v>454</v>
      </c>
      <c r="C8367" s="22">
        <f>(-0.07)*(1)*(1)*(1)*(1 + (0))</f>
      </c>
      <c r="D8367" s="22" t="s">
        <v>182</v>
      </c>
      <c r="E8367" s="22"/>
      <c r="F8367" s="22">
        <f>C8367*E8367</f>
      </c>
    </row>
    <row r="8368">
      <c r="A8368" s="5"/>
      <c r="B8368" s="13" t="s">
        <v>455</v>
      </c>
      <c r="C8368" s="22">
        <f>(-0.34)*(1)*(1)*(1)*(1 + (0))</f>
      </c>
      <c r="D8368" s="22" t="s">
        <v>182</v>
      </c>
      <c r="E8368" s="22"/>
      <c r="F8368" s="22">
        <f>C8368*E8368</f>
      </c>
    </row>
    <row r="8369">
      <c r="A8369" s="5"/>
      <c r="B8369" s="13" t="s">
        <v>1875</v>
      </c>
      <c r="C8369" s="22">
        <f>(-11)*(1)*(1)*(1)*(1 + (0))</f>
      </c>
      <c r="D8369" s="22" t="s">
        <v>24</v>
      </c>
      <c r="E8369" s="22"/>
      <c r="F8369" s="22">
        <f>C8369*E8369</f>
      </c>
    </row>
    <row r="8370">
      <c r="A8370" s="4"/>
      <c r="B8370" s="12" t="s">
        <v>457</v>
      </c>
      <c r="C8370" s="21"/>
      <c r="D8370" s="21"/>
      <c r="E8370" s="21"/>
      <c r="F8370" s="21"/>
    </row>
    <row r="8371">
      <c r="A8371" s="6"/>
      <c r="B8371" s="15" t="s">
        <v>408</v>
      </c>
      <c r="C8371" s="23"/>
      <c r="D8371" s="23"/>
      <c r="E8371" s="23"/>
      <c r="F8371" s="23"/>
    </row>
    <row r="8372">
      <c r="A8372" s="5"/>
      <c r="B8372" s="16" t="s">
        <v>252</v>
      </c>
      <c r="C8372" s="22"/>
      <c r="D8372" s="22"/>
      <c r="E8372" s="22"/>
      <c r="F8372" s="22"/>
    </row>
    <row r="8373">
      <c r="A8373" s="5"/>
      <c r="B8373" s="17" t="s">
        <v>2142</v>
      </c>
      <c r="C8373" s="22">
        <f>(-0.035437504)*(1)*(1)*(1)*(1 + (0))</f>
      </c>
      <c r="D8373" s="22" t="s">
        <v>182</v>
      </c>
      <c r="E8373" s="22"/>
      <c r="F8373" s="22">
        <f>C8373*E8373</f>
      </c>
    </row>
    <row r="8374">
      <c r="A8374" s="5"/>
      <c r="B8374" s="17" t="s">
        <v>2143</v>
      </c>
      <c r="C8374" s="22">
        <f>(-0.027209)*(1)*(1)*(1)*(1 + (0))</f>
      </c>
      <c r="D8374" s="22" t="s">
        <v>182</v>
      </c>
      <c r="E8374" s="22"/>
      <c r="F8374" s="22">
        <f>C8374*E8374</f>
      </c>
    </row>
    <row r="8375">
      <c r="A8375" s="4"/>
      <c r="B8375" s="12" t="s">
        <v>459</v>
      </c>
      <c r="C8375" s="21"/>
      <c r="D8375" s="21"/>
      <c r="E8375" s="21"/>
      <c r="F8375" s="21"/>
    </row>
    <row r="8376">
      <c r="A8376" s="6"/>
      <c r="B8376" s="15" t="s">
        <v>408</v>
      </c>
      <c r="C8376" s="23"/>
      <c r="D8376" s="23"/>
      <c r="E8376" s="23"/>
      <c r="F8376" s="23"/>
    </row>
    <row r="8377">
      <c r="A8377" s="5"/>
      <c r="B8377" s="16" t="s">
        <v>252</v>
      </c>
      <c r="C8377" s="22"/>
      <c r="D8377" s="22"/>
      <c r="E8377" s="22"/>
      <c r="F8377" s="22"/>
    </row>
    <row r="8378">
      <c r="A8378" s="5"/>
      <c r="B8378" s="17" t="s">
        <v>463</v>
      </c>
      <c r="C8378" s="22">
        <f>(-0.336392242871935)*(1)*(1)*(1)*(1 + (0))</f>
      </c>
      <c r="D8378" s="22" t="s">
        <v>182</v>
      </c>
      <c r="E8378" s="22"/>
      <c r="F8378" s="22">
        <f>C8378*E8378</f>
      </c>
    </row>
    <row r="8379">
      <c r="A8379" s="4"/>
      <c r="B8379" s="12" t="s">
        <v>482</v>
      </c>
      <c r="C8379" s="21"/>
      <c r="D8379" s="21"/>
      <c r="E8379" s="21"/>
      <c r="F8379" s="21"/>
    </row>
    <row r="8380">
      <c r="A8380" s="6"/>
      <c r="B8380" s="15" t="s">
        <v>411</v>
      </c>
      <c r="C8380" s="23"/>
      <c r="D8380" s="23"/>
      <c r="E8380" s="23"/>
      <c r="F8380" s="23"/>
    </row>
    <row r="8381">
      <c r="A8381" s="5"/>
      <c r="B8381" s="16" t="s">
        <v>252</v>
      </c>
      <c r="C8381" s="22"/>
      <c r="D8381" s="22"/>
      <c r="E8381" s="22"/>
      <c r="F8381" s="22"/>
    </row>
    <row r="8382">
      <c r="A8382" s="5"/>
      <c r="B8382" s="17" t="s">
        <v>1878</v>
      </c>
      <c r="C8382" s="22">
        <f>(-11)*(1)*(1)*(1)*(1 + (0))</f>
      </c>
      <c r="D8382" s="22" t="s">
        <v>24</v>
      </c>
      <c r="E8382" s="22"/>
      <c r="F8382" s="22">
        <f>C8382*E8382</f>
      </c>
    </row>
    <row r="8383">
      <c r="A8383" s="2"/>
      <c r="B8383" s="10" t="s">
        <v>2951</v>
      </c>
      <c r="C8383" s="19"/>
      <c r="D8383" s="19"/>
      <c r="E8383" s="19"/>
      <c r="F8383" s="19"/>
    </row>
    <row r="8384">
      <c r="A8384" s="3"/>
      <c r="B8384" s="11" t="s">
        <v>42</v>
      </c>
      <c r="C8384" s="20"/>
      <c r="D8384" s="20"/>
      <c r="E8384" s="20"/>
      <c r="F8384" s="20"/>
    </row>
    <row r="8385">
      <c r="A8385" s="5" t="s">
        <v>2401</v>
      </c>
      <c r="B8385" s="14" t="s">
        <v>2928</v>
      </c>
      <c r="C8385" s="22"/>
      <c r="D8385" s="22" t="s">
        <v>10</v>
      </c>
      <c r="E8385" s="22"/>
      <c r="F8385" s="22">
        <f>C8385*E8385</f>
      </c>
    </row>
    <row r="8386">
      <c r="A8386" s="3"/>
      <c r="B8386" s="11" t="s">
        <v>2917</v>
      </c>
      <c r="C8386" s="20"/>
      <c r="D8386" s="20"/>
      <c r="E8386" s="20"/>
      <c r="F8386" s="20"/>
    </row>
    <row r="8387">
      <c r="A8387" s="4"/>
      <c r="B8387" s="12" t="s">
        <v>2667</v>
      </c>
      <c r="C8387" s="21"/>
      <c r="D8387" s="21"/>
      <c r="E8387" s="21"/>
      <c r="F8387" s="21"/>
    </row>
    <row r="8388">
      <c r="A8388" s="6"/>
      <c r="B8388" s="15" t="s">
        <v>2668</v>
      </c>
      <c r="C8388" s="23"/>
      <c r="D8388" s="23"/>
      <c r="E8388" s="23"/>
      <c r="F8388" s="23"/>
    </row>
    <row r="8389">
      <c r="A8389" s="5"/>
      <c r="B8389" s="16" t="s">
        <v>2669</v>
      </c>
      <c r="C8389" s="22"/>
      <c r="D8389" s="22"/>
      <c r="E8389" s="22"/>
      <c r="F8389" s="22"/>
    </row>
    <row r="8390">
      <c r="A8390" s="5"/>
      <c r="B8390" s="17" t="s">
        <v>2670</v>
      </c>
      <c r="C8390" s="22">
        <f>(-51)*(1)*(1)*(1)*(1 + (0))</f>
      </c>
      <c r="D8390" s="22" t="s">
        <v>24</v>
      </c>
      <c r="E8390" s="22"/>
      <c r="F8390" s="22">
        <f>C8390*E8390</f>
      </c>
    </row>
    <row r="8391">
      <c r="A8391" s="5"/>
      <c r="B8391" s="17" t="s">
        <v>2671</v>
      </c>
      <c r="C8391" s="22">
        <f>(-26)*(1)*(1)*(1)*(1 + (0))</f>
      </c>
      <c r="D8391" s="22" t="s">
        <v>153</v>
      </c>
      <c r="E8391" s="22"/>
      <c r="F8391" s="22">
        <f>C8391*E8391</f>
      </c>
    </row>
    <row r="8392">
      <c r="A8392" s="5"/>
      <c r="B8392" s="17" t="s">
        <v>2672</v>
      </c>
      <c r="C8392" s="22">
        <f>(-51)*(1)*(1)*(1)*(1 + (0))</f>
      </c>
      <c r="D8392" s="22" t="s">
        <v>24</v>
      </c>
      <c r="E8392" s="22"/>
      <c r="F8392" s="22">
        <f>C8392*E8392</f>
      </c>
    </row>
    <row r="8393">
      <c r="A8393" s="5"/>
      <c r="B8393" s="17" t="s">
        <v>2673</v>
      </c>
      <c r="C8393" s="22">
        <f>(-51)*(1)*(1)*(1)*(1 + (0))</f>
      </c>
      <c r="D8393" s="22" t="s">
        <v>24</v>
      </c>
      <c r="E8393" s="22"/>
      <c r="F8393" s="22">
        <f>C8393*E8393</f>
      </c>
    </row>
    <row r="8394">
      <c r="A8394" s="5"/>
      <c r="B8394" s="17" t="s">
        <v>2674</v>
      </c>
      <c r="C8394" s="22">
        <f>(-51)*(1)*(1)*(1)*(1 + (0))</f>
      </c>
      <c r="D8394" s="22" t="s">
        <v>24</v>
      </c>
      <c r="E8394" s="22"/>
      <c r="F8394" s="22">
        <f>C8394*E8394</f>
      </c>
    </row>
    <row r="8395">
      <c r="A8395" s="5"/>
      <c r="B8395" s="16" t="s">
        <v>2952</v>
      </c>
      <c r="C8395" s="22">
        <f>(51)*(1)*(1)*(1)*(1 + (0))</f>
      </c>
      <c r="D8395" s="22" t="s">
        <v>24</v>
      </c>
      <c r="E8395" s="22"/>
      <c r="F8395" s="22">
        <f>C8395*E8395</f>
      </c>
    </row>
    <row r="8396">
      <c r="A8396" s="6"/>
      <c r="B8396" s="15" t="s">
        <v>2737</v>
      </c>
      <c r="C8396" s="23"/>
      <c r="D8396" s="23"/>
      <c r="E8396" s="23"/>
      <c r="F8396" s="23"/>
    </row>
    <row r="8397">
      <c r="A8397" s="5"/>
      <c r="B8397" s="16" t="s">
        <v>2738</v>
      </c>
      <c r="C8397" s="22"/>
      <c r="D8397" s="22"/>
      <c r="E8397" s="22"/>
      <c r="F8397" s="22"/>
    </row>
    <row r="8398">
      <c r="A8398" s="5"/>
      <c r="B8398" s="17" t="s">
        <v>2953</v>
      </c>
      <c r="C8398" s="22">
        <f>(-6)*(1)*(1)*(1)*(1 + (0))</f>
      </c>
      <c r="D8398" s="22" t="s">
        <v>24</v>
      </c>
      <c r="E8398" s="22"/>
      <c r="F8398" s="22">
        <f>C8398*E8398</f>
      </c>
    </row>
    <row r="8399">
      <c r="A8399" s="5"/>
      <c r="B8399" s="17" t="s">
        <v>2954</v>
      </c>
      <c r="C8399" s="22">
        <f>(-7)*(1)*(1)*(1)*(1 + (0))</f>
      </c>
      <c r="D8399" s="22" t="s">
        <v>24</v>
      </c>
      <c r="E8399" s="22"/>
      <c r="F8399" s="22">
        <f>C8399*E8399</f>
      </c>
    </row>
    <row r="8400">
      <c r="A8400" s="5"/>
      <c r="B8400" s="16" t="s">
        <v>2955</v>
      </c>
      <c r="C8400" s="22">
        <f>(13)*(1)*(1)*(1)*(1 + (0))</f>
      </c>
      <c r="D8400" s="22" t="s">
        <v>24</v>
      </c>
      <c r="E8400" s="22"/>
      <c r="F8400" s="22">
        <f>C8400*E8400</f>
      </c>
    </row>
    <row r="8401">
      <c r="A8401" s="2"/>
      <c r="B8401" s="10" t="s">
        <v>2956</v>
      </c>
      <c r="C8401" s="19"/>
      <c r="D8401" s="19"/>
      <c r="E8401" s="19"/>
      <c r="F8401" s="19"/>
    </row>
    <row r="8402">
      <c r="A8402" s="3"/>
      <c r="B8402" s="11" t="s">
        <v>2917</v>
      </c>
      <c r="C8402" s="20"/>
      <c r="D8402" s="20"/>
      <c r="E8402" s="20"/>
      <c r="F8402" s="20"/>
    </row>
    <row r="8403">
      <c r="A8403" s="4"/>
      <c r="B8403" s="12" t="s">
        <v>2667</v>
      </c>
      <c r="C8403" s="21"/>
      <c r="D8403" s="21"/>
      <c r="E8403" s="21"/>
      <c r="F8403" s="21"/>
    </row>
    <row r="8404">
      <c r="A8404" s="6"/>
      <c r="B8404" s="15" t="s">
        <v>2937</v>
      </c>
      <c r="C8404" s="23"/>
      <c r="D8404" s="23"/>
      <c r="E8404" s="23"/>
      <c r="F8404" s="23"/>
    </row>
    <row r="8405">
      <c r="A8405" s="5"/>
      <c r="B8405" s="16" t="s">
        <v>2743</v>
      </c>
      <c r="C8405" s="22">
        <f>(-227)*(1)*(1)*(1)*(1 + (0))</f>
      </c>
      <c r="D8405" s="22" t="s">
        <v>24</v>
      </c>
      <c r="E8405" s="22"/>
      <c r="F8405" s="22">
        <f>C8405*E8405</f>
      </c>
    </row>
    <row r="8406">
      <c r="A8406" s="5"/>
      <c r="B8406" s="16" t="s">
        <v>2759</v>
      </c>
      <c r="C8406" s="22">
        <f>(-5)*(1)*(1)*(1)*(1 + (0))</f>
      </c>
      <c r="D8406" s="22" t="s">
        <v>162</v>
      </c>
      <c r="E8406" s="22"/>
      <c r="F8406" s="22">
        <f>C8406*E8406</f>
      </c>
    </row>
    <row r="8407">
      <c r="A8407" s="5"/>
      <c r="B8407" s="16" t="s">
        <v>2957</v>
      </c>
      <c r="C8407" s="22">
        <f>(252)*(1)*(1)*(1)*(1 + (0))</f>
      </c>
      <c r="D8407" s="22" t="s">
        <v>24</v>
      </c>
      <c r="E8407" s="22"/>
      <c r="F8407" s="22">
        <f>C8407*E8407</f>
      </c>
    </row>
    <row r="8408">
      <c r="A8408" s="7"/>
      <c r="B8408" s="7"/>
      <c r="C8408" s="22"/>
      <c r="D8408" s="22"/>
      <c r="E8408" s="22"/>
      <c r="F8408" s="22"/>
    </row>
    <row r="8409">
      <c r="A8409" s="8" t="s">
        <v>2958</v>
      </c>
      <c r="B8409" s="8"/>
      <c r="C8409" s="8"/>
      <c r="D8409" s="8"/>
      <c r="E8409" s="8"/>
      <c r="F8409" s="8">
        <f>(SUM(F2:F8408))</f>
      </c>
    </row>
    <row r="8410">
      <c r="A8410" s="8" t="s">
        <v>2959</v>
      </c>
      <c r="B8410" s="8"/>
      <c r="C8410" s="8"/>
      <c r="D8410" s="8"/>
      <c r="E8410" s="8"/>
      <c r="F8410" s="8">
        <v>0</v>
      </c>
    </row>
    <row r="8411">
      <c r="A8411" s="8" t="s">
        <v>2960</v>
      </c>
      <c r="B8411" s="8"/>
      <c r="C8411" s="8"/>
      <c r="D8411" s="8"/>
      <c r="E8411" s="8"/>
      <c r="F8411" s="8">
        <f>0.1*(SUM(F8409:F8410))</f>
      </c>
    </row>
    <row r="8412">
      <c r="A8412" s="9" t="s">
        <v>5</v>
      </c>
      <c r="B8412" s="9"/>
      <c r="C8412" s="9"/>
      <c r="D8412" s="9"/>
      <c r="E8412" s="9"/>
      <c r="F8412" s="9">
        <f>SUM(F8409:F8411)</f>
      </c>
    </row>
  </sheetData>
  <headerFooter/>
</worksheet>
</file>

<file path=xl/worksheets/sheet2.xml><?xml version="1.0" encoding="utf-8"?>
<worksheet xmlns:r="http://schemas.openxmlformats.org/officeDocument/2006/relationships" xmlns="http://schemas.openxmlformats.org/spreadsheetml/2006/main">
  <dimension ref="A1:G8412"/>
  <sheetViews>
    <sheetView workbookViewId="0">
      <pane xSplit="7" ySplit="1" topLeftCell="H2" state="frozen" activePane="bottomRight"/>
      <selection pane="topRight" activeCell="H1" sqref="H1"/>
      <selection pane="bottomLeft" activeCell="A2" sqref="A2"/>
      <selection pane="bottomRight" activeCell="A1" sqref="A1"/>
    </sheetView>
  </sheetViews>
  <sheetFormatPr defaultRowHeight="15"/>
  <cols>
    <col min="1" max="1" width="13.6594715118408" customWidth="1"/>
    <col min="2" max="2" width="30" customWidth="1"/>
    <col min="3" max="3" width="10.8870573043823" customWidth="1"/>
    <col min="4" max="4" width="11.8305721282959" customWidth="1"/>
    <col min="5" max="5" width="9.140625" customWidth="1"/>
    <col min="6" max="6" width="9.89561462402344" customWidth="1"/>
    <col min="7" max="7" width="20" customWidth="1"/>
  </cols>
  <sheetData>
    <row r="1">
      <c r="A1" s="1" t="s">
        <v>0</v>
      </c>
      <c r="B1" s="1" t="s">
        <v>1</v>
      </c>
      <c r="C1" s="1" t="s">
        <v>2</v>
      </c>
      <c r="D1" s="1" t="s">
        <v>3</v>
      </c>
      <c r="E1" s="1" t="s">
        <v>4</v>
      </c>
      <c r="F1" s="1" t="s">
        <v>2961</v>
      </c>
      <c r="G1" s="1" t="s">
        <v>5</v>
      </c>
    </row>
    <row r="2">
      <c r="A2" s="2"/>
      <c r="B2" s="10" t="s">
        <v>6</v>
      </c>
      <c r="C2" s="19"/>
      <c r="D2" s="19"/>
      <c r="E2" s="19"/>
      <c r="F2" s="19"/>
      <c r="G2" s="19"/>
    </row>
    <row r="3">
      <c r="A3" s="3"/>
      <c r="B3" s="11" t="s">
        <v>7</v>
      </c>
      <c r="C3" s="20"/>
      <c r="D3" s="20"/>
      <c r="E3" s="20"/>
      <c r="F3" s="20"/>
      <c r="G3" s="20"/>
    </row>
    <row r="4">
      <c r="A4" s="4"/>
      <c r="B4" s="12" t="s">
        <v>8</v>
      </c>
      <c r="C4" s="21"/>
      <c r="D4" s="21"/>
      <c r="E4" s="21"/>
      <c r="F4" s="21"/>
      <c r="G4" s="21"/>
    </row>
    <row r="5">
      <c r="A5" s="5"/>
      <c r="B5" s="13" t="s">
        <v>9</v>
      </c>
      <c r="C5" s="22"/>
      <c r="D5" s="22" t="s">
        <v>10</v>
      </c>
      <c r="E5" s="22"/>
      <c r="F5" s="22">
        <f>(0)</f>
      </c>
      <c r="G5" s="22">
        <f>(C5 * E5 + C5 * E5 * F5)</f>
      </c>
    </row>
    <row r="6">
      <c r="A6" s="5"/>
      <c r="B6" s="13" t="s">
        <v>11</v>
      </c>
      <c r="C6" s="22"/>
      <c r="D6" s="22" t="s">
        <v>10</v>
      </c>
      <c r="E6" s="22"/>
      <c r="F6" s="22">
        <f>(0)</f>
      </c>
      <c r="G6" s="22">
        <f>(C6 * E6 + C6 * E6 * F6)</f>
      </c>
    </row>
    <row r="7">
      <c r="A7" s="5"/>
      <c r="B7" s="13" t="s">
        <v>12</v>
      </c>
      <c r="C7" s="22"/>
      <c r="D7" s="22" t="s">
        <v>10</v>
      </c>
      <c r="E7" s="22"/>
      <c r="F7" s="22">
        <f>(0)</f>
      </c>
      <c r="G7" s="22">
        <f>(C7 * E7 + C7 * E7 * F7)</f>
      </c>
    </row>
    <row r="8">
      <c r="A8" s="4"/>
      <c r="B8" s="12" t="s">
        <v>13</v>
      </c>
      <c r="C8" s="21"/>
      <c r="D8" s="21"/>
      <c r="E8" s="21"/>
      <c r="F8" s="21"/>
      <c r="G8" s="21"/>
    </row>
    <row r="9">
      <c r="A9" s="5"/>
      <c r="B9" s="13" t="s">
        <v>11</v>
      </c>
      <c r="C9" s="22"/>
      <c r="D9" s="22" t="s">
        <v>10</v>
      </c>
      <c r="E9" s="22"/>
      <c r="F9" s="22">
        <f>(0)</f>
      </c>
      <c r="G9" s="22">
        <f>(C9 * E9 + C9 * E9 * F9)</f>
      </c>
    </row>
    <row r="10">
      <c r="A10" s="5"/>
      <c r="B10" s="13" t="s">
        <v>14</v>
      </c>
      <c r="C10" s="22"/>
      <c r="D10" s="22" t="s">
        <v>10</v>
      </c>
      <c r="E10" s="22"/>
      <c r="F10" s="22">
        <f>(0)</f>
      </c>
      <c r="G10" s="22">
        <f>(C10 * E10 + C10 * E10 * F10)</f>
      </c>
    </row>
    <row r="11">
      <c r="A11" s="5"/>
      <c r="B11" s="13" t="s">
        <v>15</v>
      </c>
      <c r="C11" s="22"/>
      <c r="D11" s="22" t="s">
        <v>10</v>
      </c>
      <c r="E11" s="22"/>
      <c r="F11" s="22">
        <f>(0)</f>
      </c>
      <c r="G11" s="22">
        <f>(C11 * E11 + C11 * E11 * F11)</f>
      </c>
    </row>
    <row r="12">
      <c r="A12" s="5"/>
      <c r="B12" s="13" t="s">
        <v>12</v>
      </c>
      <c r="C12" s="22"/>
      <c r="D12" s="22" t="s">
        <v>10</v>
      </c>
      <c r="E12" s="22"/>
      <c r="F12" s="22">
        <f>(0)</f>
      </c>
      <c r="G12" s="22">
        <f>(C12 * E12 + C12 * E12 * F12)</f>
      </c>
    </row>
    <row r="13">
      <c r="A13" s="4"/>
      <c r="B13" s="12" t="s">
        <v>16</v>
      </c>
      <c r="C13" s="21"/>
      <c r="D13" s="21"/>
      <c r="E13" s="21"/>
      <c r="F13" s="21"/>
      <c r="G13" s="21"/>
    </row>
    <row r="14">
      <c r="A14" s="5"/>
      <c r="B14" s="13" t="s">
        <v>17</v>
      </c>
      <c r="C14" s="22"/>
      <c r="D14" s="22" t="s">
        <v>10</v>
      </c>
      <c r="E14" s="22"/>
      <c r="F14" s="22">
        <f>(0)</f>
      </c>
      <c r="G14" s="22">
        <f>(C14 * E14 + C14 * E14 * F14)</f>
      </c>
    </row>
    <row r="15">
      <c r="A15" s="5"/>
      <c r="B15" s="13" t="s">
        <v>18</v>
      </c>
      <c r="C15" s="22"/>
      <c r="D15" s="22" t="s">
        <v>10</v>
      </c>
      <c r="E15" s="22"/>
      <c r="F15" s="22">
        <f>(0)</f>
      </c>
      <c r="G15" s="22">
        <f>(C15 * E15 + C15 * E15 * F15)</f>
      </c>
    </row>
    <row r="16">
      <c r="A16" s="5"/>
      <c r="B16" s="13" t="s">
        <v>12</v>
      </c>
      <c r="C16" s="22"/>
      <c r="D16" s="22" t="s">
        <v>10</v>
      </c>
      <c r="E16" s="22"/>
      <c r="F16" s="22">
        <f>(0)</f>
      </c>
      <c r="G16" s="22">
        <f>(C16 * E16 + C16 * E16 * F16)</f>
      </c>
    </row>
    <row r="17">
      <c r="A17" s="3"/>
      <c r="B17" s="11" t="s">
        <v>19</v>
      </c>
      <c r="C17" s="20"/>
      <c r="D17" s="20"/>
      <c r="E17" s="20"/>
      <c r="F17" s="20"/>
      <c r="G17" s="20"/>
    </row>
    <row r="18">
      <c r="A18" s="5"/>
      <c r="B18" s="14" t="s">
        <v>20</v>
      </c>
      <c r="C18" s="22"/>
      <c r="D18" s="22" t="s">
        <v>10</v>
      </c>
      <c r="E18" s="22"/>
      <c r="F18" s="22">
        <f>(0)</f>
      </c>
      <c r="G18" s="22">
        <f>(C18 * E18 + C18 * E18 * F18)</f>
      </c>
    </row>
    <row r="19">
      <c r="A19" s="3"/>
      <c r="B19" s="11" t="s">
        <v>21</v>
      </c>
      <c r="C19" s="20"/>
      <c r="D19" s="20"/>
      <c r="E19" s="20"/>
      <c r="F19" s="20"/>
      <c r="G19" s="20"/>
    </row>
    <row r="20">
      <c r="A20" s="4"/>
      <c r="B20" s="12" t="s">
        <v>22</v>
      </c>
      <c r="C20" s="21"/>
      <c r="D20" s="21"/>
      <c r="E20" s="21"/>
      <c r="F20" s="21"/>
      <c r="G20" s="21"/>
    </row>
    <row r="21">
      <c r="A21" s="5"/>
      <c r="B21" s="13" t="s">
        <v>23</v>
      </c>
      <c r="C21" s="22">
        <f>(1188)*(1)*(1)*(1)*(1 + (0))</f>
      </c>
      <c r="D21" s="22" t="s">
        <v>24</v>
      </c>
      <c r="E21" s="22"/>
      <c r="F21" s="22">
        <f>(0)</f>
      </c>
      <c r="G21" s="22">
        <f>(C21 * E21 + C21 * E21 * F21)</f>
      </c>
    </row>
    <row r="22">
      <c r="A22" s="5"/>
      <c r="B22" s="13" t="s">
        <v>25</v>
      </c>
      <c r="C22" s="22">
        <f>(1246)*(1)*(1)*(1)*(1 + (0))</f>
      </c>
      <c r="D22" s="22" t="s">
        <v>24</v>
      </c>
      <c r="E22" s="22"/>
      <c r="F22" s="22">
        <f>(0)</f>
      </c>
      <c r="G22" s="22">
        <f>(C22 * E22 + C22 * E22 * F22)</f>
      </c>
    </row>
    <row r="23">
      <c r="A23" s="4"/>
      <c r="B23" s="12" t="s">
        <v>26</v>
      </c>
      <c r="C23" s="21"/>
      <c r="D23" s="21"/>
      <c r="E23" s="21"/>
      <c r="F23" s="21"/>
      <c r="G23" s="21"/>
    </row>
    <row r="24">
      <c r="A24" s="5"/>
      <c r="B24" s="13" t="s">
        <v>27</v>
      </c>
      <c r="C24" s="22">
        <f>(920)*(1)*(1)*(1)*(1 + (0))</f>
      </c>
      <c r="D24" s="22" t="s">
        <v>24</v>
      </c>
      <c r="E24" s="22"/>
      <c r="F24" s="22">
        <f>(0)</f>
      </c>
      <c r="G24" s="22">
        <f>(C24 * E24 + C24 * E24 * F24)</f>
      </c>
    </row>
    <row r="25">
      <c r="A25" s="5"/>
      <c r="B25" s="13" t="s">
        <v>28</v>
      </c>
      <c r="C25" s="22">
        <f>(844)*(1)*(1)*(1)*(1 + (0))</f>
      </c>
      <c r="D25" s="22" t="s">
        <v>24</v>
      </c>
      <c r="E25" s="22"/>
      <c r="F25" s="22">
        <f>(0)</f>
      </c>
      <c r="G25" s="22">
        <f>(C25 * E25 + C25 * E25 * F25)</f>
      </c>
    </row>
    <row r="26">
      <c r="A26" s="4"/>
      <c r="B26" s="12" t="s">
        <v>29</v>
      </c>
      <c r="C26" s="21"/>
      <c r="D26" s="21"/>
      <c r="E26" s="21"/>
      <c r="F26" s="21"/>
      <c r="G26" s="21"/>
    </row>
    <row r="27">
      <c r="A27" s="5"/>
      <c r="B27" s="13" t="s">
        <v>30</v>
      </c>
      <c r="C27" s="22">
        <f>(689)*(1)*(1)*(1)*(1 + (0))</f>
      </c>
      <c r="D27" s="22" t="s">
        <v>24</v>
      </c>
      <c r="E27" s="22"/>
      <c r="F27" s="22">
        <f>(0)</f>
      </c>
      <c r="G27" s="22">
        <f>(C27 * E27 + C27 * E27 * F27)</f>
      </c>
    </row>
    <row r="28">
      <c r="A28" s="4"/>
      <c r="B28" s="12" t="s">
        <v>31</v>
      </c>
      <c r="C28" s="21"/>
      <c r="D28" s="21"/>
      <c r="E28" s="21"/>
      <c r="F28" s="21"/>
      <c r="G28" s="21"/>
    </row>
    <row r="29">
      <c r="A29" s="5"/>
      <c r="B29" s="13" t="s">
        <v>32</v>
      </c>
      <c r="C29" s="22">
        <f>(458)*(1)*(1)*(1)*(1 + (0))</f>
      </c>
      <c r="D29" s="22" t="s">
        <v>24</v>
      </c>
      <c r="E29" s="22"/>
      <c r="F29" s="22">
        <f>(0)</f>
      </c>
      <c r="G29" s="22">
        <f>(C29 * E29 + C29 * E29 * F29)</f>
      </c>
    </row>
    <row r="30">
      <c r="A30" s="4"/>
      <c r="B30" s="12" t="s">
        <v>33</v>
      </c>
      <c r="C30" s="21"/>
      <c r="D30" s="21"/>
      <c r="E30" s="21"/>
      <c r="F30" s="21"/>
      <c r="G30" s="21"/>
    </row>
    <row r="31">
      <c r="A31" s="5"/>
      <c r="B31" s="13" t="s">
        <v>34</v>
      </c>
      <c r="C31" s="22">
        <f>(40)*(1)*(1)*(1)*(1 + (0))</f>
      </c>
      <c r="D31" s="22" t="s">
        <v>24</v>
      </c>
      <c r="E31" s="22"/>
      <c r="F31" s="22">
        <f>(0)</f>
      </c>
      <c r="G31" s="22">
        <f>(C31 * E31 + C31 * E31 * F31)</f>
      </c>
    </row>
    <row r="32">
      <c r="A32" s="3"/>
      <c r="B32" s="11" t="s">
        <v>35</v>
      </c>
      <c r="C32" s="20"/>
      <c r="D32" s="20"/>
      <c r="E32" s="20"/>
      <c r="F32" s="20"/>
      <c r="G32" s="20"/>
    </row>
    <row r="33">
      <c r="A33" s="4"/>
      <c r="B33" s="12" t="s">
        <v>22</v>
      </c>
      <c r="C33" s="21"/>
      <c r="D33" s="21"/>
      <c r="E33" s="21"/>
      <c r="F33" s="21"/>
      <c r="G33" s="21"/>
    </row>
    <row r="34">
      <c r="A34" s="5"/>
      <c r="B34" s="13" t="s">
        <v>23</v>
      </c>
      <c r="C34" s="22">
        <f>(565)*(1)*(1)*(1)*(1 + (0))</f>
      </c>
      <c r="D34" s="22" t="s">
        <v>24</v>
      </c>
      <c r="E34" s="22"/>
      <c r="F34" s="22">
        <f>(0)</f>
      </c>
      <c r="G34" s="22">
        <f>(C34 * E34 + C34 * E34 * F34)</f>
      </c>
    </row>
    <row r="35">
      <c r="A35" s="5"/>
      <c r="B35" s="13" t="s">
        <v>25</v>
      </c>
      <c r="C35" s="22">
        <f>(563)*(1)*(1)*(1)*(1 + (0))</f>
      </c>
      <c r="D35" s="22" t="s">
        <v>24</v>
      </c>
      <c r="E35" s="22"/>
      <c r="F35" s="22">
        <f>(0)</f>
      </c>
      <c r="G35" s="22">
        <f>(C35 * E35 + C35 * E35 * F35)</f>
      </c>
    </row>
    <row r="36">
      <c r="A36" s="4"/>
      <c r="B36" s="12" t="s">
        <v>26</v>
      </c>
      <c r="C36" s="21"/>
      <c r="D36" s="21"/>
      <c r="E36" s="21"/>
      <c r="F36" s="21"/>
      <c r="G36" s="21"/>
    </row>
    <row r="37">
      <c r="A37" s="5"/>
      <c r="B37" s="13" t="s">
        <v>27</v>
      </c>
      <c r="C37" s="22">
        <f>(304)*(1)*(1)*(1)*(1 + (0))</f>
      </c>
      <c r="D37" s="22" t="s">
        <v>24</v>
      </c>
      <c r="E37" s="22"/>
      <c r="F37" s="22">
        <f>(0)</f>
      </c>
      <c r="G37" s="22">
        <f>(C37 * E37 + C37 * E37 * F37)</f>
      </c>
    </row>
    <row r="38">
      <c r="A38" s="5"/>
      <c r="B38" s="13" t="s">
        <v>28</v>
      </c>
      <c r="C38" s="22">
        <f>(425)*(1)*(1)*(1)*(1 + (0))</f>
      </c>
      <c r="D38" s="22" t="s">
        <v>24</v>
      </c>
      <c r="E38" s="22"/>
      <c r="F38" s="22">
        <f>(0)</f>
      </c>
      <c r="G38" s="22">
        <f>(C38 * E38 + C38 * E38 * F38)</f>
      </c>
    </row>
    <row r="39">
      <c r="A39" s="4"/>
      <c r="B39" s="12" t="s">
        <v>29</v>
      </c>
      <c r="C39" s="21"/>
      <c r="D39" s="21"/>
      <c r="E39" s="21"/>
      <c r="F39" s="21"/>
      <c r="G39" s="21"/>
    </row>
    <row r="40">
      <c r="A40" s="5"/>
      <c r="B40" s="13" t="s">
        <v>30</v>
      </c>
      <c r="C40" s="22">
        <f>(621)*(1)*(1)*(1)*(1 + (0))</f>
      </c>
      <c r="D40" s="22" t="s">
        <v>24</v>
      </c>
      <c r="E40" s="22"/>
      <c r="F40" s="22">
        <f>(0)</f>
      </c>
      <c r="G40" s="22">
        <f>(C40 * E40 + C40 * E40 * F40)</f>
      </c>
    </row>
    <row r="41">
      <c r="A41" s="4"/>
      <c r="B41" s="12" t="s">
        <v>31</v>
      </c>
      <c r="C41" s="21"/>
      <c r="D41" s="21"/>
      <c r="E41" s="21"/>
      <c r="F41" s="21"/>
      <c r="G41" s="21"/>
    </row>
    <row r="42">
      <c r="A42" s="5"/>
      <c r="B42" s="13" t="s">
        <v>32</v>
      </c>
      <c r="C42" s="22">
        <f>(220)*(1)*(1)*(1)*(1 + (0))</f>
      </c>
      <c r="D42" s="22" t="s">
        <v>24</v>
      </c>
      <c r="E42" s="22"/>
      <c r="F42" s="22">
        <f>(0)</f>
      </c>
      <c r="G42" s="22">
        <f>(C42 * E42 + C42 * E42 * F42)</f>
      </c>
    </row>
    <row r="43">
      <c r="A43" s="5"/>
      <c r="B43" s="7" t="s">
        <v>22</v>
      </c>
      <c r="C43" s="22"/>
      <c r="D43" s="22"/>
      <c r="E43" s="22"/>
      <c r="F43" s="22">
        <f>(0)</f>
      </c>
      <c r="G43" s="22">
        <f>(C43 * E43 + C43 * E43 * F43)</f>
      </c>
    </row>
    <row r="44">
      <c r="A44" s="2"/>
      <c r="B44" s="10" t="s">
        <v>36</v>
      </c>
      <c r="C44" s="19"/>
      <c r="D44" s="19"/>
      <c r="E44" s="19"/>
      <c r="F44" s="19"/>
      <c r="G44" s="19"/>
    </row>
    <row r="45">
      <c r="A45" s="3"/>
      <c r="B45" s="11" t="s">
        <v>37</v>
      </c>
      <c r="C45" s="20"/>
      <c r="D45" s="20"/>
      <c r="E45" s="20"/>
      <c r="F45" s="20"/>
      <c r="G45" s="20"/>
    </row>
    <row r="46">
      <c r="A46" s="5" t="s">
        <v>38</v>
      </c>
      <c r="B46" s="14" t="s">
        <v>39</v>
      </c>
      <c r="C46" s="22"/>
      <c r="D46" s="22" t="s">
        <v>10</v>
      </c>
      <c r="E46" s="22"/>
      <c r="F46" s="22">
        <f>(0)</f>
      </c>
      <c r="G46" s="22">
        <f>(C46 * E46 + C46 * E46 * F46)</f>
      </c>
    </row>
    <row r="47">
      <c r="A47" s="5" t="s">
        <v>40</v>
      </c>
      <c r="B47" s="14" t="s">
        <v>41</v>
      </c>
      <c r="C47" s="22"/>
      <c r="D47" s="22" t="s">
        <v>10</v>
      </c>
      <c r="E47" s="22"/>
      <c r="F47" s="22">
        <f>(0)</f>
      </c>
      <c r="G47" s="22">
        <f>(C47 * E47 + C47 * E47 * F47)</f>
      </c>
    </row>
    <row r="48">
      <c r="A48" s="3"/>
      <c r="B48" s="11" t="s">
        <v>42</v>
      </c>
      <c r="C48" s="20"/>
      <c r="D48" s="20"/>
      <c r="E48" s="20"/>
      <c r="F48" s="20"/>
      <c r="G48" s="20"/>
    </row>
    <row r="49">
      <c r="A49" s="5"/>
      <c r="B49" s="14" t="s">
        <v>43</v>
      </c>
      <c r="C49" s="22"/>
      <c r="D49" s="22" t="s">
        <v>10</v>
      </c>
      <c r="E49" s="22"/>
      <c r="F49" s="22">
        <f>(0)</f>
      </c>
      <c r="G49" s="22">
        <f>(C49 * E49 + C49 * E49 * F49)</f>
      </c>
    </row>
    <row r="50">
      <c r="A50" s="3"/>
      <c r="B50" s="11" t="s">
        <v>44</v>
      </c>
      <c r="C50" s="20"/>
      <c r="D50" s="20"/>
      <c r="E50" s="20"/>
      <c r="F50" s="20"/>
      <c r="G50" s="20"/>
    </row>
    <row r="51">
      <c r="A51" s="4"/>
      <c r="B51" s="12" t="s">
        <v>45</v>
      </c>
      <c r="C51" s="21"/>
      <c r="D51" s="21"/>
      <c r="E51" s="21"/>
      <c r="F51" s="21"/>
      <c r="G51" s="21"/>
    </row>
    <row r="52">
      <c r="A52" s="5" t="s">
        <v>46</v>
      </c>
      <c r="B52" s="13" t="s">
        <v>47</v>
      </c>
      <c r="C52" s="22"/>
      <c r="D52" s="22" t="s">
        <v>10</v>
      </c>
      <c r="E52" s="22"/>
      <c r="F52" s="22">
        <f>(0)</f>
      </c>
      <c r="G52" s="22">
        <f>(C52 * E52 + C52 * E52 * F52)</f>
      </c>
    </row>
    <row r="53">
      <c r="A53" s="5" t="s">
        <v>48</v>
      </c>
      <c r="B53" s="13" t="s">
        <v>49</v>
      </c>
      <c r="C53" s="22"/>
      <c r="D53" s="22" t="s">
        <v>10</v>
      </c>
      <c r="E53" s="22"/>
      <c r="F53" s="22">
        <f>(0)</f>
      </c>
      <c r="G53" s="22">
        <f>(C53 * E53 + C53 * E53 * F53)</f>
      </c>
    </row>
    <row r="54">
      <c r="A54" s="5" t="s">
        <v>50</v>
      </c>
      <c r="B54" s="13" t="s">
        <v>51</v>
      </c>
      <c r="C54" s="22"/>
      <c r="D54" s="22" t="s">
        <v>10</v>
      </c>
      <c r="E54" s="22"/>
      <c r="F54" s="22">
        <f>(0)</f>
      </c>
      <c r="G54" s="22">
        <f>(C54 * E54 + C54 * E54 * F54)</f>
      </c>
    </row>
    <row r="55">
      <c r="A55" s="5" t="s">
        <v>52</v>
      </c>
      <c r="B55" s="13" t="s">
        <v>53</v>
      </c>
      <c r="C55" s="22"/>
      <c r="D55" s="22" t="s">
        <v>10</v>
      </c>
      <c r="E55" s="22"/>
      <c r="F55" s="22">
        <f>(0)</f>
      </c>
      <c r="G55" s="22">
        <f>(C55 * E55 + C55 * E55 * F55)</f>
      </c>
    </row>
    <row r="56">
      <c r="A56" s="5" t="s">
        <v>54</v>
      </c>
      <c r="B56" s="13" t="s">
        <v>55</v>
      </c>
      <c r="C56" s="22"/>
      <c r="D56" s="22" t="s">
        <v>10</v>
      </c>
      <c r="E56" s="22"/>
      <c r="F56" s="22">
        <f>(0)</f>
      </c>
      <c r="G56" s="22">
        <f>(C56 * E56 + C56 * E56 * F56)</f>
      </c>
    </row>
    <row r="57">
      <c r="A57" s="5" t="s">
        <v>56</v>
      </c>
      <c r="B57" s="13" t="s">
        <v>57</v>
      </c>
      <c r="C57" s="22"/>
      <c r="D57" s="22" t="s">
        <v>10</v>
      </c>
      <c r="E57" s="22"/>
      <c r="F57" s="22">
        <f>(0)</f>
      </c>
      <c r="G57" s="22">
        <f>(C57 * E57 + C57 * E57 * F57)</f>
      </c>
    </row>
    <row r="58">
      <c r="A58" s="5" t="s">
        <v>58</v>
      </c>
      <c r="B58" s="13" t="s">
        <v>59</v>
      </c>
      <c r="C58" s="22"/>
      <c r="D58" s="22" t="s">
        <v>10</v>
      </c>
      <c r="E58" s="22"/>
      <c r="F58" s="22">
        <f>(0)</f>
      </c>
      <c r="G58" s="22">
        <f>(C58 * E58 + C58 * E58 * F58)</f>
      </c>
    </row>
    <row r="59">
      <c r="A59" s="5" t="s">
        <v>60</v>
      </c>
      <c r="B59" s="13" t="s">
        <v>61</v>
      </c>
      <c r="C59" s="22"/>
      <c r="D59" s="22" t="s">
        <v>10</v>
      </c>
      <c r="E59" s="22"/>
      <c r="F59" s="22">
        <f>(0)</f>
      </c>
      <c r="G59" s="22">
        <f>(C59 * E59 + C59 * E59 * F59)</f>
      </c>
    </row>
    <row r="60">
      <c r="A60" s="5" t="s">
        <v>62</v>
      </c>
      <c r="B60" s="13" t="s">
        <v>63</v>
      </c>
      <c r="C60" s="22"/>
      <c r="D60" s="22" t="s">
        <v>10</v>
      </c>
      <c r="E60" s="22"/>
      <c r="F60" s="22">
        <f>(0)</f>
      </c>
      <c r="G60" s="22">
        <f>(C60 * E60 + C60 * E60 * F60)</f>
      </c>
    </row>
    <row r="61">
      <c r="A61" s="5" t="s">
        <v>64</v>
      </c>
      <c r="B61" s="13" t="s">
        <v>65</v>
      </c>
      <c r="C61" s="22"/>
      <c r="D61" s="22" t="s">
        <v>10</v>
      </c>
      <c r="E61" s="22"/>
      <c r="F61" s="22">
        <f>(0)</f>
      </c>
      <c r="G61" s="22">
        <f>(C61 * E61 + C61 * E61 * F61)</f>
      </c>
    </row>
    <row r="62">
      <c r="A62" s="5" t="s">
        <v>66</v>
      </c>
      <c r="B62" s="13" t="s">
        <v>67</v>
      </c>
      <c r="C62" s="22"/>
      <c r="D62" s="22" t="s">
        <v>10</v>
      </c>
      <c r="E62" s="22"/>
      <c r="F62" s="22">
        <f>(0)</f>
      </c>
      <c r="G62" s="22">
        <f>(C62 * E62 + C62 * E62 * F62)</f>
      </c>
    </row>
    <row r="63">
      <c r="A63" s="3"/>
      <c r="B63" s="11" t="s">
        <v>68</v>
      </c>
      <c r="C63" s="20"/>
      <c r="D63" s="20"/>
      <c r="E63" s="20"/>
      <c r="F63" s="20"/>
      <c r="G63" s="20"/>
    </row>
    <row r="64">
      <c r="A64" s="5" t="s">
        <v>69</v>
      </c>
      <c r="B64" s="14" t="s">
        <v>70</v>
      </c>
      <c r="C64" s="22">
        <f>(1)*(1)*(1)*(1)*(1 + (0))</f>
      </c>
      <c r="D64" s="22" t="s">
        <v>71</v>
      </c>
      <c r="E64" s="22"/>
      <c r="F64" s="22">
        <f>(0)</f>
      </c>
      <c r="G64" s="22">
        <f>(C64 * E64 + C64 * E64 * F64)</f>
      </c>
    </row>
    <row r="65">
      <c r="A65" s="5" t="s">
        <v>72</v>
      </c>
      <c r="B65" s="14" t="s">
        <v>73</v>
      </c>
      <c r="C65" s="22">
        <f>(1)*(1)*(1)*(1)*(1 + (0))</f>
      </c>
      <c r="D65" s="22" t="s">
        <v>71</v>
      </c>
      <c r="E65" s="22"/>
      <c r="F65" s="22">
        <f>(0)</f>
      </c>
      <c r="G65" s="22">
        <f>(C65 * E65 + C65 * E65 * F65)</f>
      </c>
    </row>
    <row r="66">
      <c r="A66" s="5" t="s">
        <v>74</v>
      </c>
      <c r="B66" s="14" t="s">
        <v>75</v>
      </c>
      <c r="C66" s="22">
        <f>(1)*(1)*(1)*(1)*(1 + (0))</f>
      </c>
      <c r="D66" s="22" t="s">
        <v>71</v>
      </c>
      <c r="E66" s="22"/>
      <c r="F66" s="22">
        <f>(0)</f>
      </c>
      <c r="G66" s="22">
        <f>(C66 * E66 + C66 * E66 * F66)</f>
      </c>
    </row>
    <row r="67">
      <c r="A67" s="5" t="s">
        <v>76</v>
      </c>
      <c r="B67" s="14" t="s">
        <v>77</v>
      </c>
      <c r="C67" s="22">
        <f>(1)*(1)*(1)*(1)*(1 + (0))</f>
      </c>
      <c r="D67" s="22" t="s">
        <v>71</v>
      </c>
      <c r="E67" s="22"/>
      <c r="F67" s="22">
        <f>(0)</f>
      </c>
      <c r="G67" s="22">
        <f>(C67 * E67 + C67 * E67 * F67)</f>
      </c>
    </row>
    <row r="68">
      <c r="A68" s="5" t="s">
        <v>78</v>
      </c>
      <c r="B68" s="14" t="s">
        <v>79</v>
      </c>
      <c r="C68" s="22">
        <f>(1)*(1)*(1)*(1)*(1 + (0))</f>
      </c>
      <c r="D68" s="22" t="s">
        <v>71</v>
      </c>
      <c r="E68" s="22"/>
      <c r="F68" s="22">
        <f>(0)</f>
      </c>
      <c r="G68" s="22">
        <f>(C68 * E68 + C68 * E68 * F68)</f>
      </c>
    </row>
    <row r="69">
      <c r="A69" s="5" t="s">
        <v>80</v>
      </c>
      <c r="B69" s="14" t="s">
        <v>81</v>
      </c>
      <c r="C69" s="22">
        <f>(1)*(1)*(1)*(1)*(1 + (0))</f>
      </c>
      <c r="D69" s="22" t="s">
        <v>71</v>
      </c>
      <c r="E69" s="22"/>
      <c r="F69" s="22">
        <f>(0)</f>
      </c>
      <c r="G69" s="22">
        <f>(C69 * E69 + C69 * E69 * F69)</f>
      </c>
    </row>
    <row r="70">
      <c r="A70" s="5" t="s">
        <v>82</v>
      </c>
      <c r="B70" s="14" t="s">
        <v>83</v>
      </c>
      <c r="C70" s="22">
        <f>(1)*(1)*(1)*(1)*(1 + (0))</f>
      </c>
      <c r="D70" s="22" t="s">
        <v>71</v>
      </c>
      <c r="E70" s="22"/>
      <c r="F70" s="22">
        <f>(0)</f>
      </c>
      <c r="G70" s="22">
        <f>(C70 * E70 + C70 * E70 * F70)</f>
      </c>
    </row>
    <row r="71">
      <c r="A71" s="5" t="s">
        <v>84</v>
      </c>
      <c r="B71" s="14" t="s">
        <v>85</v>
      </c>
      <c r="C71" s="22">
        <f>(1)*(1)*(1)*(1)*(1 + (0))</f>
      </c>
      <c r="D71" s="22" t="s">
        <v>71</v>
      </c>
      <c r="E71" s="22"/>
      <c r="F71" s="22">
        <f>(0)</f>
      </c>
      <c r="G71" s="22">
        <f>(C71 * E71 + C71 * E71 * F71)</f>
      </c>
    </row>
    <row r="72">
      <c r="A72" s="5" t="s">
        <v>86</v>
      </c>
      <c r="B72" s="14" t="s">
        <v>87</v>
      </c>
      <c r="C72" s="22">
        <f>(1)*(1)*(1)*(1)*(1 + (0))</f>
      </c>
      <c r="D72" s="22" t="s">
        <v>71</v>
      </c>
      <c r="E72" s="22"/>
      <c r="F72" s="22">
        <f>(0)</f>
      </c>
      <c r="G72" s="22">
        <f>(C72 * E72 + C72 * E72 * F72)</f>
      </c>
    </row>
    <row r="73">
      <c r="A73" s="5" t="s">
        <v>88</v>
      </c>
      <c r="B73" s="14" t="s">
        <v>89</v>
      </c>
      <c r="C73" s="22">
        <f>(1)*(1)*(1)*(1)*(1 + (0))</f>
      </c>
      <c r="D73" s="22" t="s">
        <v>71</v>
      </c>
      <c r="E73" s="22"/>
      <c r="F73" s="22">
        <f>(0)</f>
      </c>
      <c r="G73" s="22">
        <f>(C73 * E73 + C73 * E73 * F73)</f>
      </c>
    </row>
    <row r="74">
      <c r="A74" s="5" t="s">
        <v>90</v>
      </c>
      <c r="B74" s="14" t="s">
        <v>91</v>
      </c>
      <c r="C74" s="22">
        <f>(1)*(1)*(1)*(1)*(1 + (0))</f>
      </c>
      <c r="D74" s="22" t="s">
        <v>71</v>
      </c>
      <c r="E74" s="22"/>
      <c r="F74" s="22">
        <f>(0)</f>
      </c>
      <c r="G74" s="22">
        <f>(C74 * E74 + C74 * E74 * F74)</f>
      </c>
    </row>
    <row r="75">
      <c r="A75" s="5" t="s">
        <v>92</v>
      </c>
      <c r="B75" s="14" t="s">
        <v>93</v>
      </c>
      <c r="C75" s="22">
        <f>(1)*(1)*(1)*(1)*(1 + (0))</f>
      </c>
      <c r="D75" s="22" t="s">
        <v>71</v>
      </c>
      <c r="E75" s="22"/>
      <c r="F75" s="22">
        <f>(0)</f>
      </c>
      <c r="G75" s="22">
        <f>(C75 * E75 + C75 * E75 * F75)</f>
      </c>
    </row>
    <row r="76">
      <c r="A76" s="5" t="s">
        <v>94</v>
      </c>
      <c r="B76" s="14" t="s">
        <v>95</v>
      </c>
      <c r="C76" s="22">
        <f>(1)*(1)*(1)*(1)*(1 + (0))</f>
      </c>
      <c r="D76" s="22" t="s">
        <v>71</v>
      </c>
      <c r="E76" s="22"/>
      <c r="F76" s="22">
        <f>(0)</f>
      </c>
      <c r="G76" s="22">
        <f>(C76 * E76 + C76 * E76 * F76)</f>
      </c>
    </row>
    <row r="77">
      <c r="A77" s="5" t="s">
        <v>96</v>
      </c>
      <c r="B77" s="14" t="s">
        <v>97</v>
      </c>
      <c r="C77" s="22">
        <f>(1)*(1)*(1)*(1)*(1 + (0))</f>
      </c>
      <c r="D77" s="22" t="s">
        <v>71</v>
      </c>
      <c r="E77" s="22"/>
      <c r="F77" s="22">
        <f>(0)</f>
      </c>
      <c r="G77" s="22">
        <f>(C77 * E77 + C77 * E77 * F77)</f>
      </c>
    </row>
    <row r="78">
      <c r="A78" s="5" t="s">
        <v>98</v>
      </c>
      <c r="B78" s="14" t="s">
        <v>99</v>
      </c>
      <c r="C78" s="22">
        <f>(1)*(1)*(1)*(1)*(1 + (0))</f>
      </c>
      <c r="D78" s="22" t="s">
        <v>71</v>
      </c>
      <c r="E78" s="22"/>
      <c r="F78" s="22">
        <f>(0)</f>
      </c>
      <c r="G78" s="22">
        <f>(C78 * E78 + C78 * E78 * F78)</f>
      </c>
    </row>
    <row r="79">
      <c r="A79" s="5" t="s">
        <v>100</v>
      </c>
      <c r="B79" s="14" t="s">
        <v>101</v>
      </c>
      <c r="C79" s="22">
        <f>(1)*(1)*(1)*(1)*(1 + (0))</f>
      </c>
      <c r="D79" s="22" t="s">
        <v>71</v>
      </c>
      <c r="E79" s="22"/>
      <c r="F79" s="22">
        <f>(0)</f>
      </c>
      <c r="G79" s="22">
        <f>(C79 * E79 + C79 * E79 * F79)</f>
      </c>
    </row>
    <row r="80">
      <c r="A80" s="5" t="s">
        <v>102</v>
      </c>
      <c r="B80" s="14" t="s">
        <v>103</v>
      </c>
      <c r="C80" s="22">
        <f>(1)*(1)*(1)*(1)*(1 + (0))</f>
      </c>
      <c r="D80" s="22" t="s">
        <v>71</v>
      </c>
      <c r="E80" s="22"/>
      <c r="F80" s="22">
        <f>(0)</f>
      </c>
      <c r="G80" s="22">
        <f>(C80 * E80 + C80 * E80 * F80)</f>
      </c>
    </row>
    <row r="81">
      <c r="A81" s="5" t="s">
        <v>104</v>
      </c>
      <c r="B81" s="14" t="s">
        <v>105</v>
      </c>
      <c r="C81" s="22">
        <f>(1)*(1)*(1)*(1)*(1 + (0))</f>
      </c>
      <c r="D81" s="22" t="s">
        <v>71</v>
      </c>
      <c r="E81" s="22"/>
      <c r="F81" s="22">
        <f>(0)</f>
      </c>
      <c r="G81" s="22">
        <f>(C81 * E81 + C81 * E81 * F81)</f>
      </c>
    </row>
    <row r="82">
      <c r="A82" s="3"/>
      <c r="B82" s="11" t="s">
        <v>106</v>
      </c>
      <c r="C82" s="20"/>
      <c r="D82" s="20"/>
      <c r="E82" s="20"/>
      <c r="F82" s="20"/>
      <c r="G82" s="20"/>
    </row>
    <row r="83">
      <c r="A83" s="5"/>
      <c r="B83" s="14" t="s">
        <v>107</v>
      </c>
      <c r="C83" s="22"/>
      <c r="D83" s="22" t="s">
        <v>10</v>
      </c>
      <c r="E83" s="22"/>
      <c r="F83" s="22">
        <f>(0)</f>
      </c>
      <c r="G83" s="22">
        <f>(C83 * E83 + C83 * E83 * F83)</f>
      </c>
    </row>
    <row r="84">
      <c r="A84" s="3"/>
      <c r="B84" s="11" t="s">
        <v>108</v>
      </c>
      <c r="C84" s="20"/>
      <c r="D84" s="20"/>
      <c r="E84" s="20"/>
      <c r="F84" s="20"/>
      <c r="G84" s="20"/>
    </row>
    <row r="85">
      <c r="A85" s="4"/>
      <c r="B85" s="12" t="s">
        <v>109</v>
      </c>
      <c r="C85" s="21"/>
      <c r="D85" s="21"/>
      <c r="E85" s="21"/>
      <c r="F85" s="21"/>
      <c r="G85" s="21"/>
    </row>
    <row r="86">
      <c r="A86" s="5"/>
      <c r="B86" s="13" t="s">
        <v>110</v>
      </c>
      <c r="C86" s="22">
        <f>(25)*(1)*(1)*(1)*(1 + (0))</f>
      </c>
      <c r="D86" s="22" t="s">
        <v>111</v>
      </c>
      <c r="E86" s="22"/>
      <c r="F86" s="22">
        <f>(0)</f>
      </c>
      <c r="G86" s="22">
        <f>(C86 * E86 + C86 * E86 * F86)</f>
      </c>
    </row>
    <row r="87">
      <c r="A87" s="5"/>
      <c r="B87" s="13" t="s">
        <v>112</v>
      </c>
      <c r="C87" s="22">
        <f>(13)*(1)*(1)*(1)*(1 + (0))</f>
      </c>
      <c r="D87" s="22" t="s">
        <v>111</v>
      </c>
      <c r="E87" s="22"/>
      <c r="F87" s="22">
        <f>(0)</f>
      </c>
      <c r="G87" s="22">
        <f>(C87 * E87 + C87 * E87 * F87)</f>
      </c>
    </row>
    <row r="88">
      <c r="A88" s="5"/>
      <c r="B88" s="13" t="s">
        <v>113</v>
      </c>
      <c r="C88" s="22">
        <f>(11)*(1)*(1)*(1)*(1 + (0))</f>
      </c>
      <c r="D88" s="22" t="s">
        <v>111</v>
      </c>
      <c r="E88" s="22"/>
      <c r="F88" s="22">
        <f>(0)</f>
      </c>
      <c r="G88" s="22">
        <f>(C88 * E88 + C88 * E88 * F88)</f>
      </c>
    </row>
    <row r="89">
      <c r="A89" s="5"/>
      <c r="B89" s="13" t="s">
        <v>114</v>
      </c>
      <c r="C89" s="22">
        <f>(61)*(1)*(1)*(1)*(1 + (0))</f>
      </c>
      <c r="D89" s="22" t="s">
        <v>111</v>
      </c>
      <c r="E89" s="22"/>
      <c r="F89" s="22">
        <f>(0)</f>
      </c>
      <c r="G89" s="22">
        <f>(C89 * E89 + C89 * E89 * F89)</f>
      </c>
    </row>
    <row r="90">
      <c r="A90" s="2"/>
      <c r="B90" s="10" t="s">
        <v>115</v>
      </c>
      <c r="C90" s="19"/>
      <c r="D90" s="19"/>
      <c r="E90" s="19"/>
      <c r="F90" s="19"/>
      <c r="G90" s="19"/>
    </row>
    <row r="91">
      <c r="A91" s="3"/>
      <c r="B91" s="11" t="s">
        <v>37</v>
      </c>
      <c r="C91" s="20"/>
      <c r="D91" s="20"/>
      <c r="E91" s="20"/>
      <c r="F91" s="20"/>
      <c r="G91" s="20"/>
    </row>
    <row r="92">
      <c r="A92" s="5" t="s">
        <v>116</v>
      </c>
      <c r="B92" s="14" t="s">
        <v>39</v>
      </c>
      <c r="C92" s="22"/>
      <c r="D92" s="22" t="s">
        <v>10</v>
      </c>
      <c r="E92" s="22"/>
      <c r="F92" s="22">
        <f>(0)</f>
      </c>
      <c r="G92" s="22">
        <f>(C92 * E92 + C92 * E92 * F92)</f>
      </c>
    </row>
    <row r="93">
      <c r="A93" s="5" t="s">
        <v>117</v>
      </c>
      <c r="B93" s="14" t="s">
        <v>41</v>
      </c>
      <c r="C93" s="22"/>
      <c r="D93" s="22" t="s">
        <v>10</v>
      </c>
      <c r="E93" s="22"/>
      <c r="F93" s="22">
        <f>(0)</f>
      </c>
      <c r="G93" s="22">
        <f>(C93 * E93 + C93 * E93 * F93)</f>
      </c>
    </row>
    <row r="94">
      <c r="A94" s="3"/>
      <c r="B94" s="11" t="s">
        <v>42</v>
      </c>
      <c r="C94" s="20"/>
      <c r="D94" s="20"/>
      <c r="E94" s="20"/>
      <c r="F94" s="20"/>
      <c r="G94" s="20"/>
    </row>
    <row r="95">
      <c r="A95" s="5"/>
      <c r="B95" s="14" t="s">
        <v>118</v>
      </c>
      <c r="C95" s="22"/>
      <c r="D95" s="22" t="s">
        <v>10</v>
      </c>
      <c r="E95" s="22"/>
      <c r="F95" s="22">
        <f>(0)</f>
      </c>
      <c r="G95" s="22">
        <f>(C95 * E95 + C95 * E95 * F95)</f>
      </c>
    </row>
    <row r="96">
      <c r="A96" s="5"/>
      <c r="B96" s="14" t="s">
        <v>119</v>
      </c>
      <c r="C96" s="22"/>
      <c r="D96" s="22" t="s">
        <v>10</v>
      </c>
      <c r="E96" s="22"/>
      <c r="F96" s="22">
        <f>(0)</f>
      </c>
      <c r="G96" s="22">
        <f>(C96 * E96 + C96 * E96 * F96)</f>
      </c>
    </row>
    <row r="97">
      <c r="A97" s="3"/>
      <c r="B97" s="11" t="s">
        <v>44</v>
      </c>
      <c r="C97" s="20"/>
      <c r="D97" s="20"/>
      <c r="E97" s="20"/>
      <c r="F97" s="20"/>
      <c r="G97" s="20"/>
    </row>
    <row r="98">
      <c r="A98" s="4"/>
      <c r="B98" s="12" t="s">
        <v>45</v>
      </c>
      <c r="C98" s="21"/>
      <c r="D98" s="21"/>
      <c r="E98" s="21"/>
      <c r="F98" s="21"/>
      <c r="G98" s="21"/>
    </row>
    <row r="99">
      <c r="A99" s="5" t="s">
        <v>120</v>
      </c>
      <c r="B99" s="13" t="s">
        <v>121</v>
      </c>
      <c r="C99" s="22"/>
      <c r="D99" s="22" t="s">
        <v>10</v>
      </c>
      <c r="E99" s="22"/>
      <c r="F99" s="22">
        <f>(0)</f>
      </c>
      <c r="G99" s="22">
        <f>(C99 * E99 + C99 * E99 * F99)</f>
      </c>
    </row>
    <row r="100">
      <c r="A100" s="5" t="s">
        <v>122</v>
      </c>
      <c r="B100" s="13" t="s">
        <v>123</v>
      </c>
      <c r="C100" s="22"/>
      <c r="D100" s="22" t="s">
        <v>10</v>
      </c>
      <c r="E100" s="22"/>
      <c r="F100" s="22">
        <f>(0)</f>
      </c>
      <c r="G100" s="22">
        <f>(C100 * E100 + C100 * E100 * F100)</f>
      </c>
    </row>
    <row r="101">
      <c r="A101" s="5" t="s">
        <v>124</v>
      </c>
      <c r="B101" s="13" t="s">
        <v>125</v>
      </c>
      <c r="C101" s="22"/>
      <c r="D101" s="22" t="s">
        <v>10</v>
      </c>
      <c r="E101" s="22"/>
      <c r="F101" s="22">
        <f>(0)</f>
      </c>
      <c r="G101" s="22">
        <f>(C101 * E101 + C101 * E101 * F101)</f>
      </c>
    </row>
    <row r="102">
      <c r="A102" s="5" t="s">
        <v>126</v>
      </c>
      <c r="B102" s="13" t="s">
        <v>127</v>
      </c>
      <c r="C102" s="22"/>
      <c r="D102" s="22" t="s">
        <v>10</v>
      </c>
      <c r="E102" s="22"/>
      <c r="F102" s="22">
        <f>(0)</f>
      </c>
      <c r="G102" s="22">
        <f>(C102 * E102 + C102 * E102 * F102)</f>
      </c>
    </row>
    <row r="103">
      <c r="A103" s="3"/>
      <c r="B103" s="11" t="s">
        <v>68</v>
      </c>
      <c r="C103" s="20"/>
      <c r="D103" s="20"/>
      <c r="E103" s="20"/>
      <c r="F103" s="20"/>
      <c r="G103" s="20"/>
    </row>
    <row r="104">
      <c r="A104" s="5" t="s">
        <v>128</v>
      </c>
      <c r="B104" s="14" t="s">
        <v>129</v>
      </c>
      <c r="C104" s="22">
        <f>(1)*(1)*(1)*(1)*(1 + (0))</f>
      </c>
      <c r="D104" s="22" t="s">
        <v>71</v>
      </c>
      <c r="E104" s="22"/>
      <c r="F104" s="22">
        <f>(0)</f>
      </c>
      <c r="G104" s="22">
        <f>(C104 * E104 + C104 * E104 * F104)</f>
      </c>
    </row>
    <row r="105">
      <c r="A105" s="5" t="s">
        <v>130</v>
      </c>
      <c r="B105" s="14" t="s">
        <v>131</v>
      </c>
      <c r="C105" s="22">
        <f>(1)*(1)*(1)*(1)*(1 + (0))</f>
      </c>
      <c r="D105" s="22" t="s">
        <v>71</v>
      </c>
      <c r="E105" s="22"/>
      <c r="F105" s="22">
        <f>(0)</f>
      </c>
      <c r="G105" s="22">
        <f>(C105 * E105 + C105 * E105 * F105)</f>
      </c>
    </row>
    <row r="106">
      <c r="A106" s="5" t="s">
        <v>132</v>
      </c>
      <c r="B106" s="14" t="s">
        <v>73</v>
      </c>
      <c r="C106" s="22">
        <f>(1)*(1)*(1)*(1)*(1 + (0))</f>
      </c>
      <c r="D106" s="22" t="s">
        <v>71</v>
      </c>
      <c r="E106" s="22"/>
      <c r="F106" s="22">
        <f>(0)</f>
      </c>
      <c r="G106" s="22">
        <f>(C106 * E106 + C106 * E106 * F106)</f>
      </c>
    </row>
    <row r="107">
      <c r="A107" s="5" t="s">
        <v>133</v>
      </c>
      <c r="B107" s="14" t="s">
        <v>134</v>
      </c>
      <c r="C107" s="22">
        <f>(1)*(1)*(1)*(1)*(1 + (0))</f>
      </c>
      <c r="D107" s="22" t="s">
        <v>71</v>
      </c>
      <c r="E107" s="22"/>
      <c r="F107" s="22">
        <f>(0)</f>
      </c>
      <c r="G107" s="22">
        <f>(C107 * E107 + C107 * E107 * F107)</f>
      </c>
    </row>
    <row r="108">
      <c r="A108" s="5" t="s">
        <v>135</v>
      </c>
      <c r="B108" s="14" t="s">
        <v>136</v>
      </c>
      <c r="C108" s="22">
        <f>(1)*(1)*(1)*(1)*(1 + (0))</f>
      </c>
      <c r="D108" s="22" t="s">
        <v>71</v>
      </c>
      <c r="E108" s="22"/>
      <c r="F108" s="22">
        <f>(0)</f>
      </c>
      <c r="G108" s="22">
        <f>(C108 * E108 + C108 * E108 * F108)</f>
      </c>
    </row>
    <row r="109">
      <c r="A109" s="5" t="s">
        <v>137</v>
      </c>
      <c r="B109" s="14" t="s">
        <v>138</v>
      </c>
      <c r="C109" s="22">
        <f>(1)*(1)*(1)*(1)*(1 + (0))</f>
      </c>
      <c r="D109" s="22" t="s">
        <v>71</v>
      </c>
      <c r="E109" s="22"/>
      <c r="F109" s="22">
        <f>(0)</f>
      </c>
      <c r="G109" s="22">
        <f>(C109 * E109 + C109 * E109 * F109)</f>
      </c>
    </row>
    <row r="110">
      <c r="A110" s="5" t="s">
        <v>139</v>
      </c>
      <c r="B110" s="14" t="s">
        <v>140</v>
      </c>
      <c r="C110" s="22">
        <f>(1)*(1)*(1)*(1)*(1 + (0))</f>
      </c>
      <c r="D110" s="22" t="s">
        <v>71</v>
      </c>
      <c r="E110" s="22"/>
      <c r="F110" s="22">
        <f>(0)</f>
      </c>
      <c r="G110" s="22">
        <f>(C110 * E110 + C110 * E110 * F110)</f>
      </c>
    </row>
    <row r="111">
      <c r="A111" s="5" t="s">
        <v>141</v>
      </c>
      <c r="B111" s="14" t="s">
        <v>142</v>
      </c>
      <c r="C111" s="22">
        <f>(1)*(1)*(1)*(1)*(1 + (0))</f>
      </c>
      <c r="D111" s="22" t="s">
        <v>71</v>
      </c>
      <c r="E111" s="22"/>
      <c r="F111" s="22">
        <f>(0)</f>
      </c>
      <c r="G111" s="22">
        <f>(C111 * E111 + C111 * E111 * F111)</f>
      </c>
    </row>
    <row r="112">
      <c r="A112" s="5" t="s">
        <v>143</v>
      </c>
      <c r="B112" s="14" t="s">
        <v>144</v>
      </c>
      <c r="C112" s="22">
        <f>(1)*(1)*(1)*(1)*(1 + (0))</f>
      </c>
      <c r="D112" s="22" t="s">
        <v>71</v>
      </c>
      <c r="E112" s="22"/>
      <c r="F112" s="22">
        <f>(0)</f>
      </c>
      <c r="G112" s="22">
        <f>(C112 * E112 + C112 * E112 * F112)</f>
      </c>
    </row>
    <row r="113">
      <c r="A113" s="5" t="s">
        <v>145</v>
      </c>
      <c r="B113" s="14" t="s">
        <v>146</v>
      </c>
      <c r="C113" s="22">
        <f>(1)*(1)*(1)*(1)*(1 + (0))</f>
      </c>
      <c r="D113" s="22" t="s">
        <v>71</v>
      </c>
      <c r="E113" s="22"/>
      <c r="F113" s="22">
        <f>(0)</f>
      </c>
      <c r="G113" s="22">
        <f>(C113 * E113 + C113 * E113 * F113)</f>
      </c>
    </row>
    <row r="114">
      <c r="A114" s="5" t="s">
        <v>147</v>
      </c>
      <c r="B114" s="14" t="s">
        <v>148</v>
      </c>
      <c r="C114" s="22">
        <f>(1)*(1)*(1)*(1)*(1 + (0))</f>
      </c>
      <c r="D114" s="22" t="s">
        <v>71</v>
      </c>
      <c r="E114" s="22"/>
      <c r="F114" s="22">
        <f>(0)</f>
      </c>
      <c r="G114" s="22">
        <f>(C114 * E114 + C114 * E114 * F114)</f>
      </c>
    </row>
    <row r="115">
      <c r="A115" s="5"/>
      <c r="B115" s="14" t="s">
        <v>149</v>
      </c>
      <c r="C115" s="22">
        <f>(1)*(1)*(1)*(1)*(1 + (0))</f>
      </c>
      <c r="D115" s="22" t="s">
        <v>71</v>
      </c>
      <c r="E115" s="22"/>
      <c r="F115" s="22">
        <f>(0)</f>
      </c>
      <c r="G115" s="22">
        <f>(C115 * E115 + C115 * E115 * F115)</f>
      </c>
    </row>
    <row r="116">
      <c r="A116" s="3"/>
      <c r="B116" s="11" t="s">
        <v>150</v>
      </c>
      <c r="C116" s="20"/>
      <c r="D116" s="20"/>
      <c r="E116" s="20"/>
      <c r="F116" s="20"/>
      <c r="G116" s="20"/>
    </row>
    <row r="117">
      <c r="A117" s="4"/>
      <c r="B117" s="12" t="s">
        <v>151</v>
      </c>
      <c r="C117" s="21"/>
      <c r="D117" s="21"/>
      <c r="E117" s="21"/>
      <c r="F117" s="21"/>
      <c r="G117" s="21"/>
    </row>
    <row r="118">
      <c r="A118" s="5"/>
      <c r="B118" s="13" t="s">
        <v>152</v>
      </c>
      <c r="C118" s="22">
        <f>(66)*(1)*(1)*(1)*(1 + (0))</f>
      </c>
      <c r="D118" s="22" t="s">
        <v>153</v>
      </c>
      <c r="E118" s="22"/>
      <c r="F118" s="22">
        <f>(0)</f>
      </c>
      <c r="G118" s="22">
        <f>(C118 * E118 + C118 * E118 * F118)</f>
      </c>
    </row>
    <row r="119">
      <c r="A119" s="5"/>
      <c r="B119" s="13" t="s">
        <v>154</v>
      </c>
      <c r="C119" s="22">
        <f>(231)*(1)*(1)*(1)*(1 + (0))</f>
      </c>
      <c r="D119" s="22" t="s">
        <v>153</v>
      </c>
      <c r="E119" s="22"/>
      <c r="F119" s="22">
        <f>(0)</f>
      </c>
      <c r="G119" s="22">
        <f>(C119 * E119 + C119 * E119 * F119)</f>
      </c>
    </row>
    <row r="120">
      <c r="A120" s="5"/>
      <c r="B120" s="13" t="s">
        <v>155</v>
      </c>
      <c r="C120" s="22">
        <f>(297)*(1)*(1)*(1)*(1 + (0))</f>
      </c>
      <c r="D120" s="22" t="s">
        <v>153</v>
      </c>
      <c r="E120" s="22"/>
      <c r="F120" s="22">
        <f>(0)</f>
      </c>
      <c r="G120" s="22">
        <f>(C120 * E120 + C120 * E120 * F120)</f>
      </c>
    </row>
    <row r="121">
      <c r="A121" s="5"/>
      <c r="B121" s="13" t="s">
        <v>156</v>
      </c>
      <c r="C121" s="22">
        <f>(210)*(1)*(1)*(1)*(1 + (0))</f>
      </c>
      <c r="D121" s="22" t="s">
        <v>153</v>
      </c>
      <c r="E121" s="22"/>
      <c r="F121" s="22">
        <f>(0)</f>
      </c>
      <c r="G121" s="22">
        <f>(C121 * E121 + C121 * E121 * F121)</f>
      </c>
    </row>
    <row r="122">
      <c r="A122" s="5"/>
      <c r="B122" s="13" t="s">
        <v>157</v>
      </c>
      <c r="C122" s="22">
        <f>(105)*(1)*(1)*(1)*(1 + (0))</f>
      </c>
      <c r="D122" s="22" t="s">
        <v>153</v>
      </c>
      <c r="E122" s="22"/>
      <c r="F122" s="22">
        <f>(0)</f>
      </c>
      <c r="G122" s="22">
        <f>(C122 * E122 + C122 * E122 * F122)</f>
      </c>
    </row>
    <row r="123">
      <c r="A123" s="5"/>
      <c r="B123" s="13" t="s">
        <v>158</v>
      </c>
      <c r="C123" s="22">
        <f>(330)*(1)*(1)*(1)*(1 + (0))</f>
      </c>
      <c r="D123" s="22" t="s">
        <v>153</v>
      </c>
      <c r="E123" s="22"/>
      <c r="F123" s="22">
        <f>(0)</f>
      </c>
      <c r="G123" s="22">
        <f>(C123 * E123 + C123 * E123 * F123)</f>
      </c>
    </row>
    <row r="124">
      <c r="A124" s="5"/>
      <c r="B124" s="13" t="s">
        <v>159</v>
      </c>
      <c r="C124" s="22">
        <f>(64)*(1)*(1)*(1)*(1 + (0))</f>
      </c>
      <c r="D124" s="22" t="s">
        <v>153</v>
      </c>
      <c r="E124" s="22"/>
      <c r="F124" s="22">
        <f>(0)</f>
      </c>
      <c r="G124" s="22">
        <f>(C124 * E124 + C124 * E124 * F124)</f>
      </c>
    </row>
    <row r="125">
      <c r="A125" s="4"/>
      <c r="B125" s="12" t="s">
        <v>160</v>
      </c>
      <c r="C125" s="21"/>
      <c r="D125" s="21"/>
      <c r="E125" s="21"/>
      <c r="F125" s="21"/>
      <c r="G125" s="21"/>
    </row>
    <row r="126">
      <c r="A126" s="5"/>
      <c r="B126" s="13" t="s">
        <v>161</v>
      </c>
      <c r="C126" s="22">
        <f>(4)*(1)*(1)*(1)*(1 + (0))</f>
      </c>
      <c r="D126" s="22" t="s">
        <v>162</v>
      </c>
      <c r="E126" s="22"/>
      <c r="F126" s="22">
        <f>(0)</f>
      </c>
      <c r="G126" s="22">
        <f>(C126 * E126 + C126 * E126 * F126)</f>
      </c>
    </row>
    <row r="127">
      <c r="A127" s="5"/>
      <c r="B127" s="13" t="s">
        <v>163</v>
      </c>
      <c r="C127" s="22">
        <f>(14)*(1)*(1)*(1)*(1 + (0))</f>
      </c>
      <c r="D127" s="22" t="s">
        <v>162</v>
      </c>
      <c r="E127" s="22"/>
      <c r="F127" s="22">
        <f>(0)</f>
      </c>
      <c r="G127" s="22">
        <f>(C127 * E127 + C127 * E127 * F127)</f>
      </c>
    </row>
    <row r="128">
      <c r="A128" s="5"/>
      <c r="B128" s="13" t="s">
        <v>164</v>
      </c>
      <c r="C128" s="22">
        <f>(18)*(1)*(1)*(1)*(1 + (0))</f>
      </c>
      <c r="D128" s="22" t="s">
        <v>162</v>
      </c>
      <c r="E128" s="22"/>
      <c r="F128" s="22">
        <f>(0)</f>
      </c>
      <c r="G128" s="22">
        <f>(C128 * E128 + C128 * E128 * F128)</f>
      </c>
    </row>
    <row r="129">
      <c r="A129" s="5"/>
      <c r="B129" s="13" t="s">
        <v>165</v>
      </c>
      <c r="C129" s="22">
        <f>(12)*(1)*(1)*(1)*(1 + (0))</f>
      </c>
      <c r="D129" s="22" t="s">
        <v>162</v>
      </c>
      <c r="E129" s="22"/>
      <c r="F129" s="22">
        <f>(0)</f>
      </c>
      <c r="G129" s="22">
        <f>(C129 * E129 + C129 * E129 * F129)</f>
      </c>
    </row>
    <row r="130">
      <c r="A130" s="5"/>
      <c r="B130" s="13" t="s">
        <v>166</v>
      </c>
      <c r="C130" s="22">
        <f>(6)*(1)*(1)*(1)*(1 + (0))</f>
      </c>
      <c r="D130" s="22" t="s">
        <v>162</v>
      </c>
      <c r="E130" s="22"/>
      <c r="F130" s="22">
        <f>(0)</f>
      </c>
      <c r="G130" s="22">
        <f>(C130 * E130 + C130 * E130 * F130)</f>
      </c>
    </row>
    <row r="131">
      <c r="A131" s="5"/>
      <c r="B131" s="13" t="s">
        <v>167</v>
      </c>
      <c r="C131" s="22">
        <f>(20)*(1)*(1)*(1)*(1 + (0))</f>
      </c>
      <c r="D131" s="22" t="s">
        <v>162</v>
      </c>
      <c r="E131" s="22"/>
      <c r="F131" s="22">
        <f>(0)</f>
      </c>
      <c r="G131" s="22">
        <f>(C131 * E131 + C131 * E131 * F131)</f>
      </c>
    </row>
    <row r="132">
      <c r="A132" s="5"/>
      <c r="B132" s="13" t="s">
        <v>168</v>
      </c>
      <c r="C132" s="22">
        <f>(4)*(1)*(1)*(1)*(1 + (0))</f>
      </c>
      <c r="D132" s="22" t="s">
        <v>162</v>
      </c>
      <c r="E132" s="22"/>
      <c r="F132" s="22">
        <f>(0)</f>
      </c>
      <c r="G132" s="22">
        <f>(C132 * E132 + C132 * E132 * F132)</f>
      </c>
    </row>
    <row r="133">
      <c r="A133" s="4"/>
      <c r="B133" s="12" t="s">
        <v>169</v>
      </c>
      <c r="C133" s="21"/>
      <c r="D133" s="21"/>
      <c r="E133" s="21"/>
      <c r="F133" s="21"/>
      <c r="G133" s="21"/>
    </row>
    <row r="134">
      <c r="A134" s="6"/>
      <c r="B134" s="15" t="s">
        <v>170</v>
      </c>
      <c r="C134" s="23"/>
      <c r="D134" s="23"/>
      <c r="E134" s="23"/>
      <c r="F134" s="23"/>
      <c r="G134" s="23"/>
    </row>
    <row r="135">
      <c r="A135" s="5"/>
      <c r="B135" s="16" t="s">
        <v>171</v>
      </c>
      <c r="C135" s="22">
        <f>(19)*(1)*(1)*(1)*(1 + (0))</f>
      </c>
      <c r="D135" s="22" t="s">
        <v>111</v>
      </c>
      <c r="E135" s="22"/>
      <c r="F135" s="22">
        <f>(0)</f>
      </c>
      <c r="G135" s="22">
        <f>(C135 * E135 + C135 * E135 * F135)</f>
      </c>
    </row>
    <row r="136">
      <c r="A136" s="5"/>
      <c r="B136" s="16" t="s">
        <v>172</v>
      </c>
      <c r="C136" s="22">
        <f>(66)*(1)*(1)*(1)*(1 + (0))</f>
      </c>
      <c r="D136" s="22" t="s">
        <v>111</v>
      </c>
      <c r="E136" s="22"/>
      <c r="F136" s="22">
        <f>(0)</f>
      </c>
      <c r="G136" s="22">
        <f>(C136 * E136 + C136 * E136 * F136)</f>
      </c>
    </row>
    <row r="137">
      <c r="A137" s="5"/>
      <c r="B137" s="16" t="s">
        <v>173</v>
      </c>
      <c r="C137" s="22">
        <f>(189)*(1)*(1)*(1)*(1 + (0))</f>
      </c>
      <c r="D137" s="22" t="s">
        <v>111</v>
      </c>
      <c r="E137" s="22"/>
      <c r="F137" s="22">
        <f>(0)</f>
      </c>
      <c r="G137" s="22">
        <f>(C137 * E137 + C137 * E137 * F137)</f>
      </c>
    </row>
    <row r="138">
      <c r="A138" s="5"/>
      <c r="B138" s="16" t="s">
        <v>174</v>
      </c>
      <c r="C138" s="22">
        <f>(134)*(1)*(1)*(1)*(1 + (0))</f>
      </c>
      <c r="D138" s="22" t="s">
        <v>111</v>
      </c>
      <c r="E138" s="22"/>
      <c r="F138" s="22">
        <f>(0)</f>
      </c>
      <c r="G138" s="22">
        <f>(C138 * E138 + C138 * E138 * F138)</f>
      </c>
    </row>
    <row r="139">
      <c r="A139" s="5"/>
      <c r="B139" s="16" t="s">
        <v>175</v>
      </c>
      <c r="C139" s="22">
        <f>(67)*(1)*(1)*(1)*(1 + (0))</f>
      </c>
      <c r="D139" s="22" t="s">
        <v>111</v>
      </c>
      <c r="E139" s="22"/>
      <c r="F139" s="22">
        <f>(0)</f>
      </c>
      <c r="G139" s="22">
        <f>(C139 * E139 + C139 * E139 * F139)</f>
      </c>
    </row>
    <row r="140">
      <c r="A140" s="5"/>
      <c r="B140" s="16" t="s">
        <v>176</v>
      </c>
      <c r="C140" s="22">
        <f>(53)*(1)*(1)*(1)*(1 + (0))</f>
      </c>
      <c r="D140" s="22" t="s">
        <v>111</v>
      </c>
      <c r="E140" s="22"/>
      <c r="F140" s="22">
        <f>(0)</f>
      </c>
      <c r="G140" s="22">
        <f>(C140 * E140 + C140 * E140 * F140)</f>
      </c>
    </row>
    <row r="141">
      <c r="A141" s="5"/>
      <c r="B141" s="16" t="s">
        <v>177</v>
      </c>
      <c r="C141" s="22">
        <f>(41)*(1)*(1)*(1)*(1 + (0))</f>
      </c>
      <c r="D141" s="22" t="s">
        <v>111</v>
      </c>
      <c r="E141" s="22"/>
      <c r="F141" s="22">
        <f>(0)</f>
      </c>
      <c r="G141" s="22">
        <f>(C141 * E141 + C141 * E141 * F141)</f>
      </c>
    </row>
    <row r="142">
      <c r="A142" s="4"/>
      <c r="B142" s="12" t="s">
        <v>178</v>
      </c>
      <c r="C142" s="21"/>
      <c r="D142" s="21"/>
      <c r="E142" s="21"/>
      <c r="F142" s="21"/>
      <c r="G142" s="21"/>
    </row>
    <row r="143">
      <c r="A143" s="6"/>
      <c r="B143" s="15" t="s">
        <v>179</v>
      </c>
      <c r="C143" s="23"/>
      <c r="D143" s="23"/>
      <c r="E143" s="23"/>
      <c r="F143" s="23"/>
      <c r="G143" s="23"/>
    </row>
    <row r="144">
      <c r="A144" s="5"/>
      <c r="B144" s="16" t="s">
        <v>180</v>
      </c>
      <c r="C144" s="22"/>
      <c r="D144" s="22"/>
      <c r="E144" s="22"/>
      <c r="F144" s="22"/>
      <c r="G144" s="22"/>
    </row>
    <row r="145">
      <c r="A145" s="5"/>
      <c r="B145" s="17" t="s">
        <v>181</v>
      </c>
      <c r="C145" s="22">
        <f>(1.86516)*(1)*(1)*(1)*(1 + (0))</f>
      </c>
      <c r="D145" s="22" t="s">
        <v>182</v>
      </c>
      <c r="E145" s="22"/>
      <c r="F145" s="22">
        <f>(0)</f>
      </c>
      <c r="G145" s="22">
        <f>(C145 * E145 + C145 * E145 * F145)</f>
      </c>
    </row>
    <row r="146">
      <c r="A146" s="5"/>
      <c r="B146" s="17" t="s">
        <v>183</v>
      </c>
      <c r="C146" s="22">
        <f>(6.52806)*(1)*(1)*(1)*(1 + (0))</f>
      </c>
      <c r="D146" s="22" t="s">
        <v>182</v>
      </c>
      <c r="E146" s="22"/>
      <c r="F146" s="22">
        <f>(0)</f>
      </c>
      <c r="G146" s="22">
        <f>(C146 * E146 + C146 * E146 * F146)</f>
      </c>
    </row>
    <row r="147">
      <c r="A147" s="5"/>
      <c r="B147" s="17" t="s">
        <v>184</v>
      </c>
      <c r="C147" s="22">
        <f>(18.884745)*(1)*(1)*(1)*(1 + (0))</f>
      </c>
      <c r="D147" s="22" t="s">
        <v>182</v>
      </c>
      <c r="E147" s="22"/>
      <c r="F147" s="22">
        <f>(0)</f>
      </c>
      <c r="G147" s="22">
        <f>(C147 * E147 + C147 * E147 * F147)</f>
      </c>
    </row>
    <row r="148">
      <c r="A148" s="5"/>
      <c r="B148" s="17" t="s">
        <v>185</v>
      </c>
      <c r="C148" s="22">
        <f>(37.38798)*(1)*(1)*(1)*(1 + (0))</f>
      </c>
      <c r="D148" s="22" t="s">
        <v>182</v>
      </c>
      <c r="E148" s="22"/>
      <c r="F148" s="22">
        <f>(0)</f>
      </c>
      <c r="G148" s="22">
        <f>(C148 * E148 + C148 * E148 * F148)</f>
      </c>
    </row>
    <row r="149">
      <c r="A149" s="5"/>
      <c r="B149" s="17" t="s">
        <v>186</v>
      </c>
      <c r="C149" s="22">
        <f>(18.69399)*(1)*(1)*(1)*(1 + (0))</f>
      </c>
      <c r="D149" s="22" t="s">
        <v>182</v>
      </c>
      <c r="E149" s="22"/>
      <c r="F149" s="22">
        <f>(0)</f>
      </c>
      <c r="G149" s="22">
        <f>(C149 * E149 + C149 * E149 * F149)</f>
      </c>
    </row>
    <row r="150">
      <c r="A150" s="5"/>
      <c r="B150" s="17" t="s">
        <v>187</v>
      </c>
      <c r="C150" s="22">
        <f>(5.2457625)*(1)*(1)*(1)*(1 + (0))</f>
      </c>
      <c r="D150" s="22" t="s">
        <v>182</v>
      </c>
      <c r="E150" s="22"/>
      <c r="F150" s="22">
        <f>(0)</f>
      </c>
      <c r="G150" s="22">
        <f>(C150 * E150 + C150 * E150 * F150)</f>
      </c>
    </row>
    <row r="151">
      <c r="A151" s="5"/>
      <c r="B151" s="17" t="s">
        <v>188</v>
      </c>
      <c r="C151" s="22">
        <f>(11.394432)*(1)*(1)*(1)*(1 + (0))</f>
      </c>
      <c r="D151" s="22" t="s">
        <v>182</v>
      </c>
      <c r="E151" s="22"/>
      <c r="F151" s="22">
        <f>(0)</f>
      </c>
      <c r="G151" s="22">
        <f>(C151 * E151 + C151 * E151 * F151)</f>
      </c>
    </row>
    <row r="152">
      <c r="A152" s="4"/>
      <c r="B152" s="12" t="s">
        <v>189</v>
      </c>
      <c r="C152" s="21"/>
      <c r="D152" s="21"/>
      <c r="E152" s="21"/>
      <c r="F152" s="21"/>
      <c r="G152" s="21"/>
    </row>
    <row r="153">
      <c r="A153" s="5"/>
      <c r="B153" s="13" t="s">
        <v>190</v>
      </c>
      <c r="C153" s="22">
        <f>(19)*(1)*(1)*(1)*(1 + (0))</f>
      </c>
      <c r="D153" s="22" t="s">
        <v>111</v>
      </c>
      <c r="E153" s="22"/>
      <c r="F153" s="22">
        <f>(0)</f>
      </c>
      <c r="G153" s="22">
        <f>(C153 * E153 + C153 * E153 * F153)</f>
      </c>
    </row>
    <row r="154">
      <c r="A154" s="5"/>
      <c r="B154" s="13" t="s">
        <v>191</v>
      </c>
      <c r="C154" s="22">
        <f>(66)*(1)*(1)*(1)*(1 + (0))</f>
      </c>
      <c r="D154" s="22" t="s">
        <v>111</v>
      </c>
      <c r="E154" s="22"/>
      <c r="F154" s="22">
        <f>(0)</f>
      </c>
      <c r="G154" s="22">
        <f>(C154 * E154 + C154 * E154 * F154)</f>
      </c>
    </row>
    <row r="155">
      <c r="A155" s="5"/>
      <c r="B155" s="13" t="s">
        <v>192</v>
      </c>
      <c r="C155" s="22">
        <f>(189)*(1)*(1)*(1)*(1 + (0))</f>
      </c>
      <c r="D155" s="22" t="s">
        <v>111</v>
      </c>
      <c r="E155" s="22"/>
      <c r="F155" s="22">
        <f>(0)</f>
      </c>
      <c r="G155" s="22">
        <f>(C155 * E155 + C155 * E155 * F155)</f>
      </c>
    </row>
    <row r="156">
      <c r="A156" s="5"/>
      <c r="B156" s="13" t="s">
        <v>193</v>
      </c>
      <c r="C156" s="22">
        <f>(134)*(1)*(1)*(1)*(1 + (0))</f>
      </c>
      <c r="D156" s="22" t="s">
        <v>111</v>
      </c>
      <c r="E156" s="22"/>
      <c r="F156" s="22">
        <f>(0)</f>
      </c>
      <c r="G156" s="22">
        <f>(C156 * E156 + C156 * E156 * F156)</f>
      </c>
    </row>
    <row r="157">
      <c r="A157" s="5"/>
      <c r="B157" s="13" t="s">
        <v>194</v>
      </c>
      <c r="C157" s="22">
        <f>(67)*(1)*(1)*(1)*(1 + (0))</f>
      </c>
      <c r="D157" s="22" t="s">
        <v>111</v>
      </c>
      <c r="E157" s="22"/>
      <c r="F157" s="22">
        <f>(0)</f>
      </c>
      <c r="G157" s="22">
        <f>(C157 * E157 + C157 * E157 * F157)</f>
      </c>
    </row>
    <row r="158">
      <c r="A158" s="5"/>
      <c r="B158" s="13" t="s">
        <v>195</v>
      </c>
      <c r="C158" s="22">
        <f>(53)*(1)*(1)*(1)*(1 + (0))</f>
      </c>
      <c r="D158" s="22" t="s">
        <v>111</v>
      </c>
      <c r="E158" s="22"/>
      <c r="F158" s="22">
        <f>(0)</f>
      </c>
      <c r="G158" s="22">
        <f>(C158 * E158 + C158 * E158 * F158)</f>
      </c>
    </row>
    <row r="159">
      <c r="A159" s="5"/>
      <c r="B159" s="13" t="s">
        <v>196</v>
      </c>
      <c r="C159" s="22">
        <f>(41)*(1)*(1)*(1)*(1 + (0))</f>
      </c>
      <c r="D159" s="22" t="s">
        <v>111</v>
      </c>
      <c r="E159" s="22"/>
      <c r="F159" s="22">
        <f>(0)</f>
      </c>
      <c r="G159" s="22">
        <f>(C159 * E159 + C159 * E159 * F159)</f>
      </c>
    </row>
    <row r="160">
      <c r="A160" s="4"/>
      <c r="B160" s="12" t="s">
        <v>197</v>
      </c>
      <c r="C160" s="21"/>
      <c r="D160" s="21"/>
      <c r="E160" s="21"/>
      <c r="F160" s="21"/>
      <c r="G160" s="21"/>
    </row>
    <row r="161">
      <c r="A161" s="6"/>
      <c r="B161" s="15" t="s">
        <v>198</v>
      </c>
      <c r="C161" s="23"/>
      <c r="D161" s="23"/>
      <c r="E161" s="23"/>
      <c r="F161" s="23"/>
      <c r="G161" s="23"/>
    </row>
    <row r="162">
      <c r="A162" s="5"/>
      <c r="B162" s="16" t="s">
        <v>199</v>
      </c>
      <c r="C162" s="22">
        <f>(4)*(1)*(1)*(1)*(1 + (0))</f>
      </c>
      <c r="D162" s="22" t="s">
        <v>162</v>
      </c>
      <c r="E162" s="22"/>
      <c r="F162" s="22">
        <f>(0)</f>
      </c>
      <c r="G162" s="22">
        <f>(C162 * E162 + C162 * E162 * F162)</f>
      </c>
    </row>
    <row r="163">
      <c r="A163" s="5"/>
      <c r="B163" s="16" t="s">
        <v>200</v>
      </c>
      <c r="C163" s="22">
        <f>(14)*(1)*(1)*(1)*(1 + (0))</f>
      </c>
      <c r="D163" s="22" t="s">
        <v>162</v>
      </c>
      <c r="E163" s="22"/>
      <c r="F163" s="22">
        <f>(0)</f>
      </c>
      <c r="G163" s="22">
        <f>(C163 * E163 + C163 * E163 * F163)</f>
      </c>
    </row>
    <row r="164">
      <c r="A164" s="5"/>
      <c r="B164" s="16" t="s">
        <v>201</v>
      </c>
      <c r="C164" s="22">
        <f>(18)*(1)*(1)*(1)*(1 + (0))</f>
      </c>
      <c r="D164" s="22" t="s">
        <v>162</v>
      </c>
      <c r="E164" s="22"/>
      <c r="F164" s="22">
        <f>(0)</f>
      </c>
      <c r="G164" s="22">
        <f>(C164 * E164 + C164 * E164 * F164)</f>
      </c>
    </row>
    <row r="165">
      <c r="A165" s="5"/>
      <c r="B165" s="16" t="s">
        <v>202</v>
      </c>
      <c r="C165" s="22">
        <f>(12)*(1)*(1)*(1)*(1 + (0))</f>
      </c>
      <c r="D165" s="22" t="s">
        <v>162</v>
      </c>
      <c r="E165" s="22"/>
      <c r="F165" s="22">
        <f>(0)</f>
      </c>
      <c r="G165" s="22">
        <f>(C165 * E165 + C165 * E165 * F165)</f>
      </c>
    </row>
    <row r="166">
      <c r="A166" s="5"/>
      <c r="B166" s="16" t="s">
        <v>203</v>
      </c>
      <c r="C166" s="22">
        <f>(6)*(1)*(1)*(1)*(1 + (0))</f>
      </c>
      <c r="D166" s="22" t="s">
        <v>162</v>
      </c>
      <c r="E166" s="22"/>
      <c r="F166" s="22">
        <f>(0)</f>
      </c>
      <c r="G166" s="22">
        <f>(C166 * E166 + C166 * E166 * F166)</f>
      </c>
    </row>
    <row r="167">
      <c r="A167" s="5"/>
      <c r="B167" s="16" t="s">
        <v>204</v>
      </c>
      <c r="C167" s="22">
        <f>(20)*(1)*(1)*(1)*(1 + (0))</f>
      </c>
      <c r="D167" s="22" t="s">
        <v>162</v>
      </c>
      <c r="E167" s="22"/>
      <c r="F167" s="22">
        <f>(0)</f>
      </c>
      <c r="G167" s="22">
        <f>(C167 * E167 + C167 * E167 * F167)</f>
      </c>
    </row>
    <row r="168">
      <c r="A168" s="5"/>
      <c r="B168" s="16" t="s">
        <v>205</v>
      </c>
      <c r="C168" s="22">
        <f>(4)*(1)*(1)*(1)*(1 + (0))</f>
      </c>
      <c r="D168" s="22" t="s">
        <v>162</v>
      </c>
      <c r="E168" s="22"/>
      <c r="F168" s="22">
        <f>(0)</f>
      </c>
      <c r="G168" s="22">
        <f>(C168 * E168 + C168 * E168 * F168)</f>
      </c>
    </row>
    <row r="169">
      <c r="A169" s="6"/>
      <c r="B169" s="15" t="s">
        <v>206</v>
      </c>
      <c r="C169" s="23"/>
      <c r="D169" s="23"/>
      <c r="E169" s="23"/>
      <c r="F169" s="23"/>
      <c r="G169" s="23"/>
    </row>
    <row r="170">
      <c r="A170" s="5"/>
      <c r="B170" s="16" t="s">
        <v>199</v>
      </c>
      <c r="C170" s="22">
        <f>(4)*(1)*(1)*(1)*(1 + (0))</f>
      </c>
      <c r="D170" s="22" t="s">
        <v>162</v>
      </c>
      <c r="E170" s="22"/>
      <c r="F170" s="22">
        <f>(0)</f>
      </c>
      <c r="G170" s="22">
        <f>(C170 * E170 + C170 * E170 * F170)</f>
      </c>
    </row>
    <row r="171">
      <c r="A171" s="5"/>
      <c r="B171" s="16" t="s">
        <v>200</v>
      </c>
      <c r="C171" s="22">
        <f>(14)*(1)*(1)*(1)*(1 + (0))</f>
      </c>
      <c r="D171" s="22" t="s">
        <v>162</v>
      </c>
      <c r="E171" s="22"/>
      <c r="F171" s="22">
        <f>(0)</f>
      </c>
      <c r="G171" s="22">
        <f>(C171 * E171 + C171 * E171 * F171)</f>
      </c>
    </row>
    <row r="172">
      <c r="A172" s="5"/>
      <c r="B172" s="16" t="s">
        <v>201</v>
      </c>
      <c r="C172" s="22">
        <f>(18)*(1)*(1)*(1)*(1 + (0))</f>
      </c>
      <c r="D172" s="22" t="s">
        <v>162</v>
      </c>
      <c r="E172" s="22"/>
      <c r="F172" s="22">
        <f>(0)</f>
      </c>
      <c r="G172" s="22">
        <f>(C172 * E172 + C172 * E172 * F172)</f>
      </c>
    </row>
    <row r="173">
      <c r="A173" s="5"/>
      <c r="B173" s="16" t="s">
        <v>202</v>
      </c>
      <c r="C173" s="22">
        <f>(12)*(1)*(1)*(1)*(1 + (0))</f>
      </c>
      <c r="D173" s="22" t="s">
        <v>162</v>
      </c>
      <c r="E173" s="22"/>
      <c r="F173" s="22">
        <f>(0)</f>
      </c>
      <c r="G173" s="22">
        <f>(C173 * E173 + C173 * E173 * F173)</f>
      </c>
    </row>
    <row r="174">
      <c r="A174" s="5"/>
      <c r="B174" s="16" t="s">
        <v>203</v>
      </c>
      <c r="C174" s="22">
        <f>(6)*(1)*(1)*(1)*(1 + (0))</f>
      </c>
      <c r="D174" s="22" t="s">
        <v>162</v>
      </c>
      <c r="E174" s="22"/>
      <c r="F174" s="22">
        <f>(0)</f>
      </c>
      <c r="G174" s="22">
        <f>(C174 * E174 + C174 * E174 * F174)</f>
      </c>
    </row>
    <row r="175">
      <c r="A175" s="5"/>
      <c r="B175" s="16" t="s">
        <v>204</v>
      </c>
      <c r="C175" s="22">
        <f>(20)*(1)*(1)*(1)*(1 + (0))</f>
      </c>
      <c r="D175" s="22" t="s">
        <v>162</v>
      </c>
      <c r="E175" s="22"/>
      <c r="F175" s="22">
        <f>(0)</f>
      </c>
      <c r="G175" s="22">
        <f>(C175 * E175 + C175 * E175 * F175)</f>
      </c>
    </row>
    <row r="176">
      <c r="A176" s="5"/>
      <c r="B176" s="16" t="s">
        <v>205</v>
      </c>
      <c r="C176" s="22">
        <f>(4)*(1)*(1)*(1)*(1 + (0))</f>
      </c>
      <c r="D176" s="22" t="s">
        <v>162</v>
      </c>
      <c r="E176" s="22"/>
      <c r="F176" s="22">
        <f>(0)</f>
      </c>
      <c r="G176" s="22">
        <f>(C176 * E176 + C176 * E176 * F176)</f>
      </c>
    </row>
    <row r="177">
      <c r="A177" s="2"/>
      <c r="B177" s="10" t="s">
        <v>207</v>
      </c>
      <c r="C177" s="19"/>
      <c r="D177" s="19"/>
      <c r="E177" s="19"/>
      <c r="F177" s="19"/>
      <c r="G177" s="19"/>
    </row>
    <row r="178">
      <c r="A178" s="3"/>
      <c r="B178" s="11" t="s">
        <v>37</v>
      </c>
      <c r="C178" s="20"/>
      <c r="D178" s="20"/>
      <c r="E178" s="20"/>
      <c r="F178" s="20"/>
      <c r="G178" s="20"/>
    </row>
    <row r="179">
      <c r="A179" s="5" t="s">
        <v>208</v>
      </c>
      <c r="B179" s="14" t="s">
        <v>39</v>
      </c>
      <c r="C179" s="22"/>
      <c r="D179" s="22" t="s">
        <v>10</v>
      </c>
      <c r="E179" s="22"/>
      <c r="F179" s="22">
        <f>(0)</f>
      </c>
      <c r="G179" s="22">
        <f>(C179 * E179 + C179 * E179 * F179)</f>
      </c>
    </row>
    <row r="180">
      <c r="A180" s="5" t="s">
        <v>209</v>
      </c>
      <c r="B180" s="14" t="s">
        <v>41</v>
      </c>
      <c r="C180" s="22"/>
      <c r="D180" s="22" t="s">
        <v>10</v>
      </c>
      <c r="E180" s="22"/>
      <c r="F180" s="22">
        <f>(0)</f>
      </c>
      <c r="G180" s="22">
        <f>(C180 * E180 + C180 * E180 * F180)</f>
      </c>
    </row>
    <row r="181">
      <c r="A181" s="3"/>
      <c r="B181" s="11" t="s">
        <v>42</v>
      </c>
      <c r="C181" s="20"/>
      <c r="D181" s="20"/>
      <c r="E181" s="20"/>
      <c r="F181" s="20"/>
      <c r="G181" s="20"/>
    </row>
    <row r="182">
      <c r="A182" s="5"/>
      <c r="B182" s="14" t="s">
        <v>118</v>
      </c>
      <c r="C182" s="22"/>
      <c r="D182" s="22" t="s">
        <v>10</v>
      </c>
      <c r="E182" s="22"/>
      <c r="F182" s="22">
        <f>(0)</f>
      </c>
      <c r="G182" s="22">
        <f>(C182 * E182 + C182 * E182 * F182)</f>
      </c>
    </row>
    <row r="183">
      <c r="A183" s="5"/>
      <c r="B183" s="14" t="s">
        <v>43</v>
      </c>
      <c r="C183" s="22"/>
      <c r="D183" s="22" t="s">
        <v>10</v>
      </c>
      <c r="E183" s="22"/>
      <c r="F183" s="22">
        <f>(0)</f>
      </c>
      <c r="G183" s="22">
        <f>(C183 * E183 + C183 * E183 * F183)</f>
      </c>
    </row>
    <row r="184">
      <c r="A184" s="5"/>
      <c r="B184" s="14" t="s">
        <v>210</v>
      </c>
      <c r="C184" s="22"/>
      <c r="D184" s="22" t="s">
        <v>10</v>
      </c>
      <c r="E184" s="22"/>
      <c r="F184" s="22">
        <f>(0)</f>
      </c>
      <c r="G184" s="22">
        <f>(C184 * E184 + C184 * E184 * F184)</f>
      </c>
    </row>
    <row r="185">
      <c r="A185" s="3"/>
      <c r="B185" s="11" t="s">
        <v>44</v>
      </c>
      <c r="C185" s="20"/>
      <c r="D185" s="20"/>
      <c r="E185" s="20"/>
      <c r="F185" s="20"/>
      <c r="G185" s="20"/>
    </row>
    <row r="186">
      <c r="A186" s="4"/>
      <c r="B186" s="12" t="s">
        <v>45</v>
      </c>
      <c r="C186" s="21"/>
      <c r="D186" s="21"/>
      <c r="E186" s="21"/>
      <c r="F186" s="21"/>
      <c r="G186" s="21"/>
    </row>
    <row r="187">
      <c r="A187" s="5" t="s">
        <v>211</v>
      </c>
      <c r="B187" s="13" t="s">
        <v>212</v>
      </c>
      <c r="C187" s="22"/>
      <c r="D187" s="22" t="s">
        <v>10</v>
      </c>
      <c r="E187" s="22"/>
      <c r="F187" s="22">
        <f>(0)</f>
      </c>
      <c r="G187" s="22">
        <f>(C187 * E187 + C187 * E187 * F187)</f>
      </c>
    </row>
    <row r="188">
      <c r="A188" s="5" t="s">
        <v>213</v>
      </c>
      <c r="B188" s="13" t="s">
        <v>214</v>
      </c>
      <c r="C188" s="22"/>
      <c r="D188" s="22" t="s">
        <v>10</v>
      </c>
      <c r="E188" s="22"/>
      <c r="F188" s="22">
        <f>(0)</f>
      </c>
      <c r="G188" s="22">
        <f>(C188 * E188 + C188 * E188 * F188)</f>
      </c>
    </row>
    <row r="189">
      <c r="A189" s="5" t="s">
        <v>215</v>
      </c>
      <c r="B189" s="13" t="s">
        <v>216</v>
      </c>
      <c r="C189" s="22"/>
      <c r="D189" s="22" t="s">
        <v>10</v>
      </c>
      <c r="E189" s="22"/>
      <c r="F189" s="22">
        <f>(0)</f>
      </c>
      <c r="G189" s="22">
        <f>(C189 * E189 + C189 * E189 * F189)</f>
      </c>
    </row>
    <row r="190">
      <c r="A190" s="5" t="s">
        <v>217</v>
      </c>
      <c r="B190" s="13" t="s">
        <v>218</v>
      </c>
      <c r="C190" s="22"/>
      <c r="D190" s="22" t="s">
        <v>10</v>
      </c>
      <c r="E190" s="22"/>
      <c r="F190" s="22">
        <f>(0)</f>
      </c>
      <c r="G190" s="22">
        <f>(C190 * E190 + C190 * E190 * F190)</f>
      </c>
    </row>
    <row r="191">
      <c r="A191" s="5" t="s">
        <v>219</v>
      </c>
      <c r="B191" s="13" t="s">
        <v>220</v>
      </c>
      <c r="C191" s="22"/>
      <c r="D191" s="22" t="s">
        <v>10</v>
      </c>
      <c r="E191" s="22"/>
      <c r="F191" s="22">
        <f>(0)</f>
      </c>
      <c r="G191" s="22">
        <f>(C191 * E191 + C191 * E191 * F191)</f>
      </c>
    </row>
    <row r="192">
      <c r="A192" s="5" t="s">
        <v>221</v>
      </c>
      <c r="B192" s="13" t="s">
        <v>123</v>
      </c>
      <c r="C192" s="22"/>
      <c r="D192" s="22" t="s">
        <v>10</v>
      </c>
      <c r="E192" s="22"/>
      <c r="F192" s="22">
        <f>(0)</f>
      </c>
      <c r="G192" s="22">
        <f>(C192 * E192 + C192 * E192 * F192)</f>
      </c>
    </row>
    <row r="193">
      <c r="A193" s="3"/>
      <c r="B193" s="11" t="s">
        <v>68</v>
      </c>
      <c r="C193" s="20"/>
      <c r="D193" s="20"/>
      <c r="E193" s="20"/>
      <c r="F193" s="20"/>
      <c r="G193" s="20"/>
    </row>
    <row r="194">
      <c r="A194" s="5" t="s">
        <v>222</v>
      </c>
      <c r="B194" s="14" t="s">
        <v>223</v>
      </c>
      <c r="C194" s="22">
        <f>(1)*(1)*(1)*(1)*(1 + (0))</f>
      </c>
      <c r="D194" s="22" t="s">
        <v>71</v>
      </c>
      <c r="E194" s="22"/>
      <c r="F194" s="22">
        <f>(0)</f>
      </c>
      <c r="G194" s="22">
        <f>(C194 * E194 + C194 * E194 * F194)</f>
      </c>
    </row>
    <row r="195">
      <c r="A195" s="5" t="s">
        <v>224</v>
      </c>
      <c r="B195" s="14" t="s">
        <v>70</v>
      </c>
      <c r="C195" s="22">
        <f>(1)*(1)*(1)*(1)*(1 + (0))</f>
      </c>
      <c r="D195" s="22" t="s">
        <v>71</v>
      </c>
      <c r="E195" s="22"/>
      <c r="F195" s="22">
        <f>(0)</f>
      </c>
      <c r="G195" s="22">
        <f>(C195 * E195 + C195 * E195 * F195)</f>
      </c>
    </row>
    <row r="196">
      <c r="A196" s="5" t="s">
        <v>225</v>
      </c>
      <c r="B196" s="14" t="s">
        <v>73</v>
      </c>
      <c r="C196" s="22">
        <f>(1)*(1)*(1)*(1)*(1 + (0))</f>
      </c>
      <c r="D196" s="22" t="s">
        <v>71</v>
      </c>
      <c r="E196" s="22"/>
      <c r="F196" s="22">
        <f>(0)</f>
      </c>
      <c r="G196" s="22">
        <f>(C196 * E196 + C196 * E196 * F196)</f>
      </c>
    </row>
    <row r="197">
      <c r="A197" s="5" t="s">
        <v>226</v>
      </c>
      <c r="B197" s="14" t="s">
        <v>134</v>
      </c>
      <c r="C197" s="22">
        <f>(1)*(1)*(1)*(1)*(1 + (0))</f>
      </c>
      <c r="D197" s="22" t="s">
        <v>71</v>
      </c>
      <c r="E197" s="22"/>
      <c r="F197" s="22">
        <f>(0)</f>
      </c>
      <c r="G197" s="22">
        <f>(C197 * E197 + C197 * E197 * F197)</f>
      </c>
    </row>
    <row r="198">
      <c r="A198" s="5" t="s">
        <v>227</v>
      </c>
      <c r="B198" s="14" t="s">
        <v>228</v>
      </c>
      <c r="C198" s="22">
        <f>(1)*(1)*(1)*(1)*(1 + (0))</f>
      </c>
      <c r="D198" s="22" t="s">
        <v>71</v>
      </c>
      <c r="E198" s="22"/>
      <c r="F198" s="22">
        <f>(0)</f>
      </c>
      <c r="G198" s="22">
        <f>(C198 * E198 + C198 * E198 * F198)</f>
      </c>
    </row>
    <row r="199">
      <c r="A199" s="5" t="s">
        <v>229</v>
      </c>
      <c r="B199" s="14" t="s">
        <v>230</v>
      </c>
      <c r="C199" s="22">
        <f>(1)*(1)*(1)*(1)*(1 + (0))</f>
      </c>
      <c r="D199" s="22" t="s">
        <v>71</v>
      </c>
      <c r="E199" s="22"/>
      <c r="F199" s="22">
        <f>(0)</f>
      </c>
      <c r="G199" s="22">
        <f>(C199 * E199 + C199 * E199 * F199)</f>
      </c>
    </row>
    <row r="200">
      <c r="A200" s="5" t="s">
        <v>231</v>
      </c>
      <c r="B200" s="14" t="s">
        <v>232</v>
      </c>
      <c r="C200" s="22">
        <f>(1)*(1)*(1)*(1)*(1 + (0))</f>
      </c>
      <c r="D200" s="22" t="s">
        <v>71</v>
      </c>
      <c r="E200" s="22"/>
      <c r="F200" s="22">
        <f>(0)</f>
      </c>
      <c r="G200" s="22">
        <f>(C200 * E200 + C200 * E200 * F200)</f>
      </c>
    </row>
    <row r="201">
      <c r="A201" s="5" t="s">
        <v>233</v>
      </c>
      <c r="B201" s="14" t="s">
        <v>234</v>
      </c>
      <c r="C201" s="22">
        <f>(1)*(1)*(1)*(1)*(1 + (0))</f>
      </c>
      <c r="D201" s="22" t="s">
        <v>71</v>
      </c>
      <c r="E201" s="22"/>
      <c r="F201" s="22">
        <f>(0)</f>
      </c>
      <c r="G201" s="22">
        <f>(C201 * E201 + C201 * E201 * F201)</f>
      </c>
    </row>
    <row r="202">
      <c r="A202" s="5" t="s">
        <v>235</v>
      </c>
      <c r="B202" s="14" t="s">
        <v>236</v>
      </c>
      <c r="C202" s="22">
        <f>(1)*(1)*(1)*(1)*(1 + (0))</f>
      </c>
      <c r="D202" s="22" t="s">
        <v>71</v>
      </c>
      <c r="E202" s="22"/>
      <c r="F202" s="22">
        <f>(0)</f>
      </c>
      <c r="G202" s="22">
        <f>(C202 * E202 + C202 * E202 * F202)</f>
      </c>
    </row>
    <row r="203">
      <c r="A203" s="5" t="s">
        <v>237</v>
      </c>
      <c r="B203" s="14" t="s">
        <v>238</v>
      </c>
      <c r="C203" s="22">
        <f>(1)*(1)*(1)*(1)*(1 + (0))</f>
      </c>
      <c r="D203" s="22" t="s">
        <v>71</v>
      </c>
      <c r="E203" s="22"/>
      <c r="F203" s="22">
        <f>(0)</f>
      </c>
      <c r="G203" s="22">
        <f>(C203 * E203 + C203 * E203 * F203)</f>
      </c>
    </row>
    <row r="204">
      <c r="A204" s="5" t="s">
        <v>239</v>
      </c>
      <c r="B204" s="14" t="s">
        <v>240</v>
      </c>
      <c r="C204" s="22">
        <f>(1)*(1)*(1)*(1)*(1 + (0))</f>
      </c>
      <c r="D204" s="22" t="s">
        <v>71</v>
      </c>
      <c r="E204" s="22"/>
      <c r="F204" s="22">
        <f>(0)</f>
      </c>
      <c r="G204" s="22">
        <f>(C204 * E204 + C204 * E204 * F204)</f>
      </c>
    </row>
    <row r="205">
      <c r="A205" s="3"/>
      <c r="B205" s="11" t="s">
        <v>106</v>
      </c>
      <c r="C205" s="20"/>
      <c r="D205" s="20"/>
      <c r="E205" s="20"/>
      <c r="F205" s="20"/>
      <c r="G205" s="20"/>
    </row>
    <row r="206">
      <c r="A206" s="5"/>
      <c r="B206" s="14" t="s">
        <v>241</v>
      </c>
      <c r="C206" s="22"/>
      <c r="D206" s="22" t="s">
        <v>10</v>
      </c>
      <c r="E206" s="22"/>
      <c r="F206" s="22">
        <f>(0)</f>
      </c>
      <c r="G206" s="22">
        <f>(C206 * E206 + C206 * E206 * F206)</f>
      </c>
    </row>
    <row r="207">
      <c r="A207" s="3"/>
      <c r="B207" s="11" t="s">
        <v>242</v>
      </c>
      <c r="C207" s="20"/>
      <c r="D207" s="20"/>
      <c r="E207" s="20"/>
      <c r="F207" s="20"/>
      <c r="G207" s="20"/>
    </row>
    <row r="208">
      <c r="A208" s="5"/>
      <c r="B208" s="14" t="s">
        <v>243</v>
      </c>
      <c r="C208" s="22">
        <f>(882)*(1)*(1)*(1)*(1 + (0))</f>
      </c>
      <c r="D208" s="22" t="s">
        <v>111</v>
      </c>
      <c r="E208" s="22"/>
      <c r="F208" s="22">
        <f>(0)</f>
      </c>
      <c r="G208" s="22">
        <f>(C208 * E208 + C208 * E208 * F208)</f>
      </c>
    </row>
    <row r="209">
      <c r="A209" s="5"/>
      <c r="B209" s="14" t="s">
        <v>244</v>
      </c>
      <c r="C209" s="22">
        <f>(113)*(1)*(1)*(1)*(1 + (0))</f>
      </c>
      <c r="D209" s="22" t="s">
        <v>111</v>
      </c>
      <c r="E209" s="22"/>
      <c r="F209" s="22">
        <f>(0)</f>
      </c>
      <c r="G209" s="22">
        <f>(C209 * E209 + C209 * E209 * F209)</f>
      </c>
    </row>
    <row r="210">
      <c r="A210" s="3"/>
      <c r="B210" s="11" t="s">
        <v>245</v>
      </c>
      <c r="C210" s="20"/>
      <c r="D210" s="20"/>
      <c r="E210" s="20"/>
      <c r="F210" s="20"/>
      <c r="G210" s="20"/>
    </row>
    <row r="211">
      <c r="A211" s="4"/>
      <c r="B211" s="12" t="s">
        <v>246</v>
      </c>
      <c r="C211" s="21"/>
      <c r="D211" s="21"/>
      <c r="E211" s="21"/>
      <c r="F211" s="21"/>
      <c r="G211" s="21"/>
    </row>
    <row r="212">
      <c r="A212" s="6"/>
      <c r="B212" s="15" t="s">
        <v>247</v>
      </c>
      <c r="C212" s="23"/>
      <c r="D212" s="23"/>
      <c r="E212" s="23"/>
      <c r="F212" s="23"/>
      <c r="G212" s="23"/>
    </row>
    <row r="213">
      <c r="A213" s="5"/>
      <c r="B213" s="16" t="s">
        <v>248</v>
      </c>
      <c r="C213" s="22">
        <f>(9)*(1)*(1)*(1)*(1 + (0))</f>
      </c>
      <c r="D213" s="22" t="s">
        <v>111</v>
      </c>
      <c r="E213" s="22"/>
      <c r="F213" s="22">
        <f>(0)</f>
      </c>
      <c r="G213" s="22">
        <f>(C213 * E213 + C213 * E213 * F213)</f>
      </c>
    </row>
    <row r="214">
      <c r="A214" s="5"/>
      <c r="B214" s="16" t="s">
        <v>249</v>
      </c>
      <c r="C214" s="22">
        <f>(15)*(1)*(1)*(1)*(1 + (0))</f>
      </c>
      <c r="D214" s="22" t="s">
        <v>111</v>
      </c>
      <c r="E214" s="22"/>
      <c r="F214" s="22">
        <f>(0)</f>
      </c>
      <c r="G214" s="22">
        <f>(C214 * E214 + C214 * E214 * F214)</f>
      </c>
    </row>
    <row r="215">
      <c r="A215" s="5"/>
      <c r="B215" s="16" t="s">
        <v>250</v>
      </c>
      <c r="C215" s="22">
        <f>(2)*(1)*(1)*(1)*(1 + (0))</f>
      </c>
      <c r="D215" s="22" t="s">
        <v>111</v>
      </c>
      <c r="E215" s="22"/>
      <c r="F215" s="22">
        <f>(0)</f>
      </c>
      <c r="G215" s="22">
        <f>(C215 * E215 + C215 * E215 * F215)</f>
      </c>
    </row>
    <row r="216">
      <c r="A216" s="4"/>
      <c r="B216" s="12" t="s">
        <v>251</v>
      </c>
      <c r="C216" s="21"/>
      <c r="D216" s="21"/>
      <c r="E216" s="21"/>
      <c r="F216" s="21"/>
      <c r="G216" s="21"/>
    </row>
    <row r="217">
      <c r="A217" s="6"/>
      <c r="B217" s="15" t="s">
        <v>252</v>
      </c>
      <c r="C217" s="23"/>
      <c r="D217" s="23"/>
      <c r="E217" s="23"/>
      <c r="F217" s="23"/>
      <c r="G217" s="23"/>
    </row>
    <row r="218">
      <c r="A218" s="5"/>
      <c r="B218" s="16" t="s">
        <v>253</v>
      </c>
      <c r="C218" s="22">
        <f>(13)*(1)*(1)*(1)*(1 + (0))</f>
      </c>
      <c r="D218" s="22" t="s">
        <v>111</v>
      </c>
      <c r="E218" s="22"/>
      <c r="F218" s="22">
        <f>(0)</f>
      </c>
      <c r="G218" s="22">
        <f>(C218 * E218 + C218 * E218 * F218)</f>
      </c>
    </row>
    <row r="219">
      <c r="A219" s="4"/>
      <c r="B219" s="12" t="s">
        <v>254</v>
      </c>
      <c r="C219" s="21"/>
      <c r="D219" s="21"/>
      <c r="E219" s="21"/>
      <c r="F219" s="21"/>
      <c r="G219" s="21"/>
    </row>
    <row r="220">
      <c r="A220" s="6"/>
      <c r="B220" s="15" t="s">
        <v>252</v>
      </c>
      <c r="C220" s="23"/>
      <c r="D220" s="23"/>
      <c r="E220" s="23"/>
      <c r="F220" s="23"/>
      <c r="G220" s="23"/>
    </row>
    <row r="221">
      <c r="A221" s="5"/>
      <c r="B221" s="16" t="s">
        <v>255</v>
      </c>
      <c r="C221" s="22">
        <f>(11)*(1)*(1)*(1)*(1 + (0))</f>
      </c>
      <c r="D221" s="22" t="s">
        <v>111</v>
      </c>
      <c r="E221" s="22"/>
      <c r="F221" s="22">
        <f>(0)</f>
      </c>
      <c r="G221" s="22">
        <f>(C221 * E221 + C221 * E221 * F221)</f>
      </c>
    </row>
    <row r="222">
      <c r="A222" s="4"/>
      <c r="B222" s="12" t="s">
        <v>256</v>
      </c>
      <c r="C222" s="21"/>
      <c r="D222" s="21"/>
      <c r="E222" s="21"/>
      <c r="F222" s="21"/>
      <c r="G222" s="21"/>
    </row>
    <row r="223">
      <c r="A223" s="6"/>
      <c r="B223" s="15" t="s">
        <v>247</v>
      </c>
      <c r="C223" s="23"/>
      <c r="D223" s="23"/>
      <c r="E223" s="23"/>
      <c r="F223" s="23"/>
      <c r="G223" s="23"/>
    </row>
    <row r="224">
      <c r="A224" s="5"/>
      <c r="B224" s="16" t="s">
        <v>257</v>
      </c>
      <c r="C224" s="22">
        <f>(4)*(1)*(1)*(1)*(1 + (0))</f>
      </c>
      <c r="D224" s="22" t="s">
        <v>111</v>
      </c>
      <c r="E224" s="22"/>
      <c r="F224" s="22">
        <f>(0)</f>
      </c>
      <c r="G224" s="22">
        <f>(C224 * E224 + C224 * E224 * F224)</f>
      </c>
    </row>
    <row r="225">
      <c r="A225" s="5"/>
      <c r="B225" s="16" t="s">
        <v>258</v>
      </c>
      <c r="C225" s="22">
        <f>(1)*(1)*(1)*(1)*(1 + (0))</f>
      </c>
      <c r="D225" s="22" t="s">
        <v>111</v>
      </c>
      <c r="E225" s="22"/>
      <c r="F225" s="22">
        <f>(0)</f>
      </c>
      <c r="G225" s="22">
        <f>(C225 * E225 + C225 * E225 * F225)</f>
      </c>
    </row>
    <row r="226">
      <c r="A226" s="5"/>
      <c r="B226" s="16" t="s">
        <v>259</v>
      </c>
      <c r="C226" s="22">
        <f>(28)*(1)*(1)*(1)*(1 + (0))</f>
      </c>
      <c r="D226" s="22" t="s">
        <v>111</v>
      </c>
      <c r="E226" s="22"/>
      <c r="F226" s="22">
        <f>(0)</f>
      </c>
      <c r="G226" s="22">
        <f>(C226 * E226 + C226 * E226 * F226)</f>
      </c>
    </row>
    <row r="227">
      <c r="A227" s="5"/>
      <c r="B227" s="16" t="s">
        <v>260</v>
      </c>
      <c r="C227" s="22">
        <f>(29)*(1)*(1)*(1)*(1 + (0))</f>
      </c>
      <c r="D227" s="22" t="s">
        <v>111</v>
      </c>
      <c r="E227" s="22"/>
      <c r="F227" s="22">
        <f>(0)</f>
      </c>
      <c r="G227" s="22">
        <f>(C227 * E227 + C227 * E227 * F227)</f>
      </c>
    </row>
    <row r="228">
      <c r="A228" s="4"/>
      <c r="B228" s="12" t="s">
        <v>261</v>
      </c>
      <c r="C228" s="21"/>
      <c r="D228" s="21"/>
      <c r="E228" s="21"/>
      <c r="F228" s="21"/>
      <c r="G228" s="21"/>
    </row>
    <row r="229">
      <c r="A229" s="6"/>
      <c r="B229" s="15" t="s">
        <v>247</v>
      </c>
      <c r="C229" s="23"/>
      <c r="D229" s="23"/>
      <c r="E229" s="23"/>
      <c r="F229" s="23"/>
      <c r="G229" s="23"/>
    </row>
    <row r="230">
      <c r="A230" s="5"/>
      <c r="B230" s="16" t="s">
        <v>262</v>
      </c>
      <c r="C230" s="22">
        <f>(3)*(1)*(1)*(1)*(1 + (0))</f>
      </c>
      <c r="D230" s="22" t="s">
        <v>111</v>
      </c>
      <c r="E230" s="22"/>
      <c r="F230" s="22">
        <f>(0)</f>
      </c>
      <c r="G230" s="22">
        <f>(C230 * E230 + C230 * E230 * F230)</f>
      </c>
    </row>
    <row r="231">
      <c r="A231" s="5"/>
      <c r="B231" s="16" t="s">
        <v>263</v>
      </c>
      <c r="C231" s="22">
        <f>(6)*(1)*(1)*(1)*(1 + (0))</f>
      </c>
      <c r="D231" s="22" t="s">
        <v>111</v>
      </c>
      <c r="E231" s="22"/>
      <c r="F231" s="22">
        <f>(0)</f>
      </c>
      <c r="G231" s="22">
        <f>(C231 * E231 + C231 * E231 * F231)</f>
      </c>
    </row>
    <row r="232">
      <c r="A232" s="5"/>
      <c r="B232" s="16" t="s">
        <v>264</v>
      </c>
      <c r="C232" s="22">
        <f>(284)*(1)*(1)*(1)*(1 + (0))</f>
      </c>
      <c r="D232" s="22" t="s">
        <v>111</v>
      </c>
      <c r="E232" s="22"/>
      <c r="F232" s="22">
        <f>(0)</f>
      </c>
      <c r="G232" s="22">
        <f>(C232 * E232 + C232 * E232 * F232)</f>
      </c>
    </row>
    <row r="233">
      <c r="A233" s="5"/>
      <c r="B233" s="16" t="s">
        <v>265</v>
      </c>
      <c r="C233" s="22">
        <f>(38)*(1)*(1)*(1)*(1 + (0))</f>
      </c>
      <c r="D233" s="22" t="s">
        <v>111</v>
      </c>
      <c r="E233" s="22"/>
      <c r="F233" s="22">
        <f>(0)</f>
      </c>
      <c r="G233" s="22">
        <f>(C233 * E233 + C233 * E233 * F233)</f>
      </c>
    </row>
    <row r="234">
      <c r="A234" s="5"/>
      <c r="B234" s="16" t="s">
        <v>266</v>
      </c>
      <c r="C234" s="22">
        <f>(1)*(1)*(1)*(1)*(1 + (0))</f>
      </c>
      <c r="D234" s="22" t="s">
        <v>111</v>
      </c>
      <c r="E234" s="22"/>
      <c r="F234" s="22">
        <f>(0)</f>
      </c>
      <c r="G234" s="22">
        <f>(C234 * E234 + C234 * E234 * F234)</f>
      </c>
    </row>
    <row r="235">
      <c r="A235" s="5"/>
      <c r="B235" s="16" t="s">
        <v>267</v>
      </c>
      <c r="C235" s="22">
        <f>(6)*(1)*(1)*(1)*(1 + (0))</f>
      </c>
      <c r="D235" s="22" t="s">
        <v>111</v>
      </c>
      <c r="E235" s="22"/>
      <c r="F235" s="22">
        <f>(0)</f>
      </c>
      <c r="G235" s="22">
        <f>(C235 * E235 + C235 * E235 * F235)</f>
      </c>
    </row>
    <row r="236">
      <c r="A236" s="5"/>
      <c r="B236" s="16" t="s">
        <v>268</v>
      </c>
      <c r="C236" s="22">
        <f>(5)*(1)*(1)*(1)*(1 + (0))</f>
      </c>
      <c r="D236" s="22" t="s">
        <v>111</v>
      </c>
      <c r="E236" s="22"/>
      <c r="F236" s="22">
        <f>(0)</f>
      </c>
      <c r="G236" s="22">
        <f>(C236 * E236 + C236 * E236 * F236)</f>
      </c>
    </row>
    <row r="237">
      <c r="A237" s="5"/>
      <c r="B237" s="16" t="s">
        <v>269</v>
      </c>
      <c r="C237" s="22">
        <f>(1)*(1)*(1)*(1)*(1 + (0))</f>
      </c>
      <c r="D237" s="22" t="s">
        <v>111</v>
      </c>
      <c r="E237" s="22"/>
      <c r="F237" s="22">
        <f>(0)</f>
      </c>
      <c r="G237" s="22">
        <f>(C237 * E237 + C237 * E237 * F237)</f>
      </c>
    </row>
    <row r="238">
      <c r="A238" s="5"/>
      <c r="B238" s="16" t="s">
        <v>270</v>
      </c>
      <c r="C238" s="22">
        <f>(122)*(1)*(1)*(1)*(1 + (0))</f>
      </c>
      <c r="D238" s="22" t="s">
        <v>24</v>
      </c>
      <c r="E238" s="22"/>
      <c r="F238" s="22">
        <f>(0)</f>
      </c>
      <c r="G238" s="22">
        <f>(C238 * E238 + C238 * E238 * F238)</f>
      </c>
    </row>
    <row r="239">
      <c r="A239" s="4"/>
      <c r="B239" s="12" t="s">
        <v>271</v>
      </c>
      <c r="C239" s="21"/>
      <c r="D239" s="21"/>
      <c r="E239" s="21"/>
      <c r="F239" s="21"/>
      <c r="G239" s="21"/>
    </row>
    <row r="240">
      <c r="A240" s="6"/>
      <c r="B240" s="15" t="s">
        <v>272</v>
      </c>
      <c r="C240" s="23"/>
      <c r="D240" s="23"/>
      <c r="E240" s="23"/>
      <c r="F240" s="23"/>
      <c r="G240" s="23"/>
    </row>
    <row r="241">
      <c r="A241" s="5"/>
      <c r="B241" s="16" t="s">
        <v>273</v>
      </c>
      <c r="C241" s="22">
        <f>(36)*(1)*(1)*(1)*(1 + (0))</f>
      </c>
      <c r="D241" s="22" t="s">
        <v>111</v>
      </c>
      <c r="E241" s="22"/>
      <c r="F241" s="22">
        <f>(0)</f>
      </c>
      <c r="G241" s="22">
        <f>(C241 * E241 + C241 * E241 * F241)</f>
      </c>
    </row>
    <row r="242">
      <c r="A242" s="5"/>
      <c r="B242" s="16" t="s">
        <v>274</v>
      </c>
      <c r="C242" s="22">
        <f>(289)*(1)*(1)*(1)*(1 + (0))</f>
      </c>
      <c r="D242" s="22" t="s">
        <v>111</v>
      </c>
      <c r="E242" s="22"/>
      <c r="F242" s="22">
        <f>(0)</f>
      </c>
      <c r="G242" s="22">
        <f>(C242 * E242 + C242 * E242 * F242)</f>
      </c>
    </row>
    <row r="243">
      <c r="A243" s="5"/>
      <c r="B243" s="16" t="s">
        <v>275</v>
      </c>
      <c r="C243" s="22">
        <f>(19)*(1)*(1)*(1)*(1 + (0))</f>
      </c>
      <c r="D243" s="22" t="s">
        <v>111</v>
      </c>
      <c r="E243" s="22"/>
      <c r="F243" s="22">
        <f>(0)</f>
      </c>
      <c r="G243" s="22">
        <f>(C243 * E243 + C243 * E243 * F243)</f>
      </c>
    </row>
    <row r="244">
      <c r="A244" s="5"/>
      <c r="B244" s="16" t="s">
        <v>276</v>
      </c>
      <c r="C244" s="22">
        <f>(2)*(1)*(1)*(1)*(1 + (0))</f>
      </c>
      <c r="D244" s="22" t="s">
        <v>111</v>
      </c>
      <c r="E244" s="22"/>
      <c r="F244" s="22">
        <f>(0)</f>
      </c>
      <c r="G244" s="22">
        <f>(C244 * E244 + C244 * E244 * F244)</f>
      </c>
    </row>
    <row r="245">
      <c r="A245" s="5"/>
      <c r="B245" s="16" t="s">
        <v>277</v>
      </c>
      <c r="C245" s="22">
        <f>(6)*(1)*(1)*(1)*(1 + (0))</f>
      </c>
      <c r="D245" s="22" t="s">
        <v>111</v>
      </c>
      <c r="E245" s="22"/>
      <c r="F245" s="22">
        <f>(0)</f>
      </c>
      <c r="G245" s="22">
        <f>(C245 * E245 + C245 * E245 * F245)</f>
      </c>
    </row>
    <row r="246">
      <c r="A246" s="5"/>
      <c r="B246" s="16" t="s">
        <v>278</v>
      </c>
      <c r="C246" s="22">
        <f>(5)*(1)*(1)*(1)*(1 + (0))</f>
      </c>
      <c r="D246" s="22" t="s">
        <v>111</v>
      </c>
      <c r="E246" s="22"/>
      <c r="F246" s="22">
        <f>(0)</f>
      </c>
      <c r="G246" s="22">
        <f>(C246 * E246 + C246 * E246 * F246)</f>
      </c>
    </row>
    <row r="247">
      <c r="A247" s="5"/>
      <c r="B247" s="16" t="s">
        <v>279</v>
      </c>
      <c r="C247" s="22">
        <f>(1)*(1)*(1)*(1)*(1 + (0))</f>
      </c>
      <c r="D247" s="22" t="s">
        <v>111</v>
      </c>
      <c r="E247" s="22"/>
      <c r="F247" s="22">
        <f>(0)</f>
      </c>
      <c r="G247" s="22">
        <f>(C247 * E247 + C247 * E247 * F247)</f>
      </c>
    </row>
    <row r="248">
      <c r="A248" s="5"/>
      <c r="B248" s="16" t="s">
        <v>280</v>
      </c>
      <c r="C248" s="22">
        <f>(1)*(1)*(1)*(1)*(1 + (0))</f>
      </c>
      <c r="D248" s="22" t="s">
        <v>111</v>
      </c>
      <c r="E248" s="22"/>
      <c r="F248" s="22">
        <f>(0)</f>
      </c>
      <c r="G248" s="22">
        <f>(C248 * E248 + C248 * E248 * F248)</f>
      </c>
    </row>
    <row r="249">
      <c r="A249" s="5"/>
      <c r="B249" s="16" t="s">
        <v>281</v>
      </c>
      <c r="C249" s="22">
        <f>(6)*(1)*(1)*(1)*(1 + (0))</f>
      </c>
      <c r="D249" s="22" t="s">
        <v>111</v>
      </c>
      <c r="E249" s="22"/>
      <c r="F249" s="22">
        <f>(0)</f>
      </c>
      <c r="G249" s="22">
        <f>(C249 * E249 + C249 * E249 * F249)</f>
      </c>
    </row>
    <row r="250">
      <c r="A250" s="5"/>
      <c r="B250" s="16" t="s">
        <v>282</v>
      </c>
      <c r="C250" s="22">
        <f>(7)*(1)*(1)*(1)*(1 + (0))</f>
      </c>
      <c r="D250" s="22" t="s">
        <v>111</v>
      </c>
      <c r="E250" s="22"/>
      <c r="F250" s="22">
        <f>(0)</f>
      </c>
      <c r="G250" s="22">
        <f>(C250 * E250 + C250 * E250 * F250)</f>
      </c>
    </row>
    <row r="251">
      <c r="A251" s="5"/>
      <c r="B251" s="16" t="s">
        <v>283</v>
      </c>
      <c r="C251" s="22">
        <f>(4)*(1)*(1)*(1)*(1 + (0))</f>
      </c>
      <c r="D251" s="22" t="s">
        <v>111</v>
      </c>
      <c r="E251" s="22"/>
      <c r="F251" s="22">
        <f>(0)</f>
      </c>
      <c r="G251" s="22">
        <f>(C251 * E251 + C251 * E251 * F251)</f>
      </c>
    </row>
    <row r="252">
      <c r="A252" s="5"/>
      <c r="B252" s="16" t="s">
        <v>284</v>
      </c>
      <c r="C252" s="22">
        <f>(6)*(1)*(1)*(1)*(1 + (0))</f>
      </c>
      <c r="D252" s="22" t="s">
        <v>111</v>
      </c>
      <c r="E252" s="22"/>
      <c r="F252" s="22">
        <f>(0)</f>
      </c>
      <c r="G252" s="22">
        <f>(C252 * E252 + C252 * E252 * F252)</f>
      </c>
    </row>
    <row r="253">
      <c r="A253" s="5"/>
      <c r="B253" s="16" t="s">
        <v>285</v>
      </c>
      <c r="C253" s="22">
        <f>(98)*(1)*(1)*(1)*(1 + (0))</f>
      </c>
      <c r="D253" s="22" t="s">
        <v>24</v>
      </c>
      <c r="E253" s="22"/>
      <c r="F253" s="22">
        <f>(0)</f>
      </c>
      <c r="G253" s="22">
        <f>(C253 * E253 + C253 * E253 * F253)</f>
      </c>
    </row>
    <row r="254">
      <c r="A254" s="5"/>
      <c r="B254" s="16" t="s">
        <v>286</v>
      </c>
      <c r="C254" s="22">
        <f>(76)*(1)*(1)*(1)*(1 + (0))</f>
      </c>
      <c r="D254" s="22" t="s">
        <v>153</v>
      </c>
      <c r="E254" s="22"/>
      <c r="F254" s="22">
        <f>(0)</f>
      </c>
      <c r="G254" s="22">
        <f>(C254 * E254 + C254 * E254 * F254)</f>
      </c>
    </row>
    <row r="255">
      <c r="A255" s="6"/>
      <c r="B255" s="15" t="s">
        <v>287</v>
      </c>
      <c r="C255" s="23"/>
      <c r="D255" s="23"/>
      <c r="E255" s="23"/>
      <c r="F255" s="23"/>
      <c r="G255" s="23"/>
    </row>
    <row r="256">
      <c r="A256" s="5"/>
      <c r="B256" s="16" t="s">
        <v>288</v>
      </c>
      <c r="C256" s="22">
        <f>(5)*(1)*(1)*(1)*(1 + (0))</f>
      </c>
      <c r="D256" s="22" t="s">
        <v>111</v>
      </c>
      <c r="E256" s="22"/>
      <c r="F256" s="22">
        <f>(0)</f>
      </c>
      <c r="G256" s="22">
        <f>(C256 * E256 + C256 * E256 * F256)</f>
      </c>
    </row>
    <row r="257">
      <c r="A257" s="5"/>
      <c r="B257" s="16" t="s">
        <v>289</v>
      </c>
      <c r="C257" s="22">
        <f>(1)*(1)*(1)*(1)*(1 + (0))</f>
      </c>
      <c r="D257" s="22" t="s">
        <v>111</v>
      </c>
      <c r="E257" s="22"/>
      <c r="F257" s="22">
        <f>(0)</f>
      </c>
      <c r="G257" s="22">
        <f>(C257 * E257 + C257 * E257 * F257)</f>
      </c>
    </row>
    <row r="258">
      <c r="A258" s="4"/>
      <c r="B258" s="12" t="s">
        <v>290</v>
      </c>
      <c r="C258" s="21"/>
      <c r="D258" s="21"/>
      <c r="E258" s="21"/>
      <c r="F258" s="21"/>
      <c r="G258" s="21"/>
    </row>
    <row r="259">
      <c r="A259" s="6"/>
      <c r="B259" s="15" t="s">
        <v>272</v>
      </c>
      <c r="C259" s="23"/>
      <c r="D259" s="23"/>
      <c r="E259" s="23"/>
      <c r="F259" s="23"/>
      <c r="G259" s="23"/>
    </row>
    <row r="260">
      <c r="A260" s="5"/>
      <c r="B260" s="16" t="s">
        <v>291</v>
      </c>
      <c r="C260" s="22">
        <f>(4)*(1)*(1)*(1)*(1 + (0))</f>
      </c>
      <c r="D260" s="22" t="s">
        <v>111</v>
      </c>
      <c r="E260" s="22"/>
      <c r="F260" s="22">
        <f>(0)</f>
      </c>
      <c r="G260" s="22">
        <f>(C260 * E260 + C260 * E260 * F260)</f>
      </c>
    </row>
    <row r="261">
      <c r="A261" s="4"/>
      <c r="B261" s="12" t="s">
        <v>292</v>
      </c>
      <c r="C261" s="21"/>
      <c r="D261" s="21"/>
      <c r="E261" s="21"/>
      <c r="F261" s="21"/>
      <c r="G261" s="21"/>
    </row>
    <row r="262">
      <c r="A262" s="6"/>
      <c r="B262" s="15" t="s">
        <v>293</v>
      </c>
      <c r="C262" s="23"/>
      <c r="D262" s="23"/>
      <c r="E262" s="23"/>
      <c r="F262" s="23"/>
      <c r="G262" s="23"/>
    </row>
    <row r="263">
      <c r="A263" s="5"/>
      <c r="B263" s="16" t="s">
        <v>294</v>
      </c>
      <c r="C263" s="22">
        <f>(1)*(1)*(1)*(1)*(1 + (0))</f>
      </c>
      <c r="D263" s="22" t="s">
        <v>111</v>
      </c>
      <c r="E263" s="22"/>
      <c r="F263" s="22">
        <f>(0)</f>
      </c>
      <c r="G263" s="22">
        <f>(C263 * E263 + C263 * E263 * F263)</f>
      </c>
    </row>
    <row r="264">
      <c r="A264" s="5"/>
      <c r="B264" s="16" t="s">
        <v>295</v>
      </c>
      <c r="C264" s="22">
        <f>(23)*(1)*(1)*(1)*(1 + (0))</f>
      </c>
      <c r="D264" s="22" t="s">
        <v>111</v>
      </c>
      <c r="E264" s="22"/>
      <c r="F264" s="22">
        <f>(0)</f>
      </c>
      <c r="G264" s="22">
        <f>(C264 * E264 + C264 * E264 * F264)</f>
      </c>
    </row>
    <row r="265">
      <c r="A265" s="5"/>
      <c r="B265" s="16" t="s">
        <v>296</v>
      </c>
      <c r="C265" s="22">
        <f>(5)*(1)*(1)*(1)*(1 + (0))</f>
      </c>
      <c r="D265" s="22" t="s">
        <v>111</v>
      </c>
      <c r="E265" s="22"/>
      <c r="F265" s="22">
        <f>(0)</f>
      </c>
      <c r="G265" s="22">
        <f>(C265 * E265 + C265 * E265 * F265)</f>
      </c>
    </row>
    <row r="266">
      <c r="A266" s="5"/>
      <c r="B266" s="16" t="s">
        <v>297</v>
      </c>
      <c r="C266" s="22">
        <f>(2)*(1)*(1)*(1)*(1 + (0))</f>
      </c>
      <c r="D266" s="22" t="s">
        <v>111</v>
      </c>
      <c r="E266" s="22"/>
      <c r="F266" s="22">
        <f>(0)</f>
      </c>
      <c r="G266" s="22">
        <f>(C266 * E266 + C266 * E266 * F266)</f>
      </c>
    </row>
    <row r="267">
      <c r="A267" s="6"/>
      <c r="B267" s="15" t="s">
        <v>298</v>
      </c>
      <c r="C267" s="23"/>
      <c r="D267" s="23"/>
      <c r="E267" s="23"/>
      <c r="F267" s="23"/>
      <c r="G267" s="23"/>
    </row>
    <row r="268">
      <c r="A268" s="5"/>
      <c r="B268" s="16" t="s">
        <v>299</v>
      </c>
      <c r="C268" s="22">
        <f>(1)*(1)*(1)*(1)*(1 + (0))</f>
      </c>
      <c r="D268" s="22" t="s">
        <v>111</v>
      </c>
      <c r="E268" s="22"/>
      <c r="F268" s="22">
        <f>(0)</f>
      </c>
      <c r="G268" s="22">
        <f>(C268 * E268 + C268 * E268 * F268)</f>
      </c>
    </row>
    <row r="269">
      <c r="A269" s="5"/>
      <c r="B269" s="16" t="s">
        <v>300</v>
      </c>
      <c r="C269" s="22">
        <f>(2)*(1)*(1)*(1)*(1 + (0))</f>
      </c>
      <c r="D269" s="22" t="s">
        <v>111</v>
      </c>
      <c r="E269" s="22"/>
      <c r="F269" s="22">
        <f>(0)</f>
      </c>
      <c r="G269" s="22">
        <f>(C269 * E269 + C269 * E269 * F269)</f>
      </c>
    </row>
    <row r="270">
      <c r="A270" s="5"/>
      <c r="B270" s="16" t="s">
        <v>301</v>
      </c>
      <c r="C270" s="22">
        <f>(2)*(1)*(1)*(1)*(1 + (0))</f>
      </c>
      <c r="D270" s="22" t="s">
        <v>111</v>
      </c>
      <c r="E270" s="22"/>
      <c r="F270" s="22">
        <f>(0)</f>
      </c>
      <c r="G270" s="22">
        <f>(C270 * E270 + C270 * E270 * F270)</f>
      </c>
    </row>
    <row r="271">
      <c r="A271" s="5"/>
      <c r="B271" s="16" t="s">
        <v>302</v>
      </c>
      <c r="C271" s="22">
        <f>(26)*(1)*(1)*(1)*(1 + (0))</f>
      </c>
      <c r="D271" s="22" t="s">
        <v>111</v>
      </c>
      <c r="E271" s="22"/>
      <c r="F271" s="22">
        <f>(0)</f>
      </c>
      <c r="G271" s="22">
        <f>(C271 * E271 + C271 * E271 * F271)</f>
      </c>
    </row>
    <row r="272">
      <c r="A272" s="5"/>
      <c r="B272" s="16" t="s">
        <v>294</v>
      </c>
      <c r="C272" s="22">
        <f>(1)*(1)*(1)*(1)*(1 + (0))</f>
      </c>
      <c r="D272" s="22" t="s">
        <v>111</v>
      </c>
      <c r="E272" s="22"/>
      <c r="F272" s="22">
        <f>(0)</f>
      </c>
      <c r="G272" s="22">
        <f>(C272 * E272 + C272 * E272 * F272)</f>
      </c>
    </row>
    <row r="273">
      <c r="A273" s="4"/>
      <c r="B273" s="12" t="s">
        <v>303</v>
      </c>
      <c r="C273" s="21"/>
      <c r="D273" s="21"/>
      <c r="E273" s="21"/>
      <c r="F273" s="21"/>
      <c r="G273" s="21"/>
    </row>
    <row r="274">
      <c r="A274" s="6"/>
      <c r="B274" s="15" t="s">
        <v>304</v>
      </c>
      <c r="C274" s="23"/>
      <c r="D274" s="23"/>
      <c r="E274" s="23"/>
      <c r="F274" s="23"/>
      <c r="G274" s="23"/>
    </row>
    <row r="275">
      <c r="A275" s="5"/>
      <c r="B275" s="16" t="s">
        <v>293</v>
      </c>
      <c r="C275" s="22"/>
      <c r="D275" s="22"/>
      <c r="E275" s="22"/>
      <c r="F275" s="22"/>
      <c r="G275" s="22"/>
    </row>
    <row r="276">
      <c r="A276" s="5"/>
      <c r="B276" s="17" t="s">
        <v>305</v>
      </c>
      <c r="C276" s="22">
        <f>(7)*(1)*(1)*(1)*(1 + (0))</f>
      </c>
      <c r="D276" s="22" t="s">
        <v>111</v>
      </c>
      <c r="E276" s="22"/>
      <c r="F276" s="22">
        <f>(0)</f>
      </c>
      <c r="G276" s="22">
        <f>(C276 * E276 + C276 * E276 * F276)</f>
      </c>
    </row>
    <row r="277">
      <c r="A277" s="5"/>
      <c r="B277" s="17" t="s">
        <v>306</v>
      </c>
      <c r="C277" s="22">
        <f>(6)*(1)*(1)*(1)*(1 + (0))</f>
      </c>
      <c r="D277" s="22" t="s">
        <v>111</v>
      </c>
      <c r="E277" s="22"/>
      <c r="F277" s="22">
        <f>(0)</f>
      </c>
      <c r="G277" s="22">
        <f>(C277 * E277 + C277 * E277 * F277)</f>
      </c>
    </row>
    <row r="278">
      <c r="A278" s="6"/>
      <c r="B278" s="15" t="s">
        <v>307</v>
      </c>
      <c r="C278" s="23"/>
      <c r="D278" s="23"/>
      <c r="E278" s="23"/>
      <c r="F278" s="23"/>
      <c r="G278" s="23"/>
    </row>
    <row r="279">
      <c r="A279" s="5"/>
      <c r="B279" s="16" t="s">
        <v>308</v>
      </c>
      <c r="C279" s="22"/>
      <c r="D279" s="22"/>
      <c r="E279" s="22"/>
      <c r="F279" s="22"/>
      <c r="G279" s="22"/>
    </row>
    <row r="280">
      <c r="A280" s="5"/>
      <c r="B280" s="17" t="s">
        <v>309</v>
      </c>
      <c r="C280" s="22">
        <f>(4)*(1)*(1)*(1)*(1 + (0))</f>
      </c>
      <c r="D280" s="22" t="s">
        <v>111</v>
      </c>
      <c r="E280" s="22"/>
      <c r="F280" s="22">
        <f>(0)</f>
      </c>
      <c r="G280" s="22">
        <f>(C280 * E280 + C280 * E280 * F280)</f>
      </c>
    </row>
    <row r="281">
      <c r="A281" s="5"/>
      <c r="B281" s="16" t="s">
        <v>293</v>
      </c>
      <c r="C281" s="22"/>
      <c r="D281" s="22"/>
      <c r="E281" s="22"/>
      <c r="F281" s="22"/>
      <c r="G281" s="22"/>
    </row>
    <row r="282">
      <c r="A282" s="5"/>
      <c r="B282" s="17" t="s">
        <v>309</v>
      </c>
      <c r="C282" s="22">
        <f>(8)*(1)*(1)*(1)*(1 + (0))</f>
      </c>
      <c r="D282" s="22" t="s">
        <v>111</v>
      </c>
      <c r="E282" s="22"/>
      <c r="F282" s="22">
        <f>(0)</f>
      </c>
      <c r="G282" s="22">
        <f>(C282 * E282 + C282 * E282 * F282)</f>
      </c>
    </row>
    <row r="283">
      <c r="A283" s="5"/>
      <c r="B283" s="17" t="s">
        <v>310</v>
      </c>
      <c r="C283" s="22">
        <f>(16)*(1)*(1)*(1)*(1 + (0))</f>
      </c>
      <c r="D283" s="22" t="s">
        <v>111</v>
      </c>
      <c r="E283" s="22"/>
      <c r="F283" s="22">
        <f>(0)</f>
      </c>
      <c r="G283" s="22">
        <f>(C283 * E283 + C283 * E283 * F283)</f>
      </c>
    </row>
    <row r="284">
      <c r="A284" s="5"/>
      <c r="B284" s="16" t="s">
        <v>311</v>
      </c>
      <c r="C284" s="22"/>
      <c r="D284" s="22"/>
      <c r="E284" s="22"/>
      <c r="F284" s="22"/>
      <c r="G284" s="22"/>
    </row>
    <row r="285">
      <c r="A285" s="5"/>
      <c r="B285" s="17" t="s">
        <v>309</v>
      </c>
      <c r="C285" s="22">
        <f>(9)*(1)*(1)*(1)*(1 + (0))</f>
      </c>
      <c r="D285" s="22" t="s">
        <v>111</v>
      </c>
      <c r="E285" s="22"/>
      <c r="F285" s="22">
        <f>(0)</f>
      </c>
      <c r="G285" s="22">
        <f>(C285 * E285 + C285 * E285 * F285)</f>
      </c>
    </row>
    <row r="286">
      <c r="A286" s="4"/>
      <c r="B286" s="12" t="s">
        <v>312</v>
      </c>
      <c r="C286" s="21"/>
      <c r="D286" s="21"/>
      <c r="E286" s="21"/>
      <c r="F286" s="21"/>
      <c r="G286" s="21"/>
    </row>
    <row r="287">
      <c r="A287" s="6"/>
      <c r="B287" s="15" t="s">
        <v>313</v>
      </c>
      <c r="C287" s="23"/>
      <c r="D287" s="23"/>
      <c r="E287" s="23"/>
      <c r="F287" s="23"/>
      <c r="G287" s="23"/>
    </row>
    <row r="288">
      <c r="A288" s="5"/>
      <c r="B288" s="16" t="s">
        <v>314</v>
      </c>
      <c r="C288" s="22">
        <f>(1)*(1)*(1)*(1)*(1 + (0))</f>
      </c>
      <c r="D288" s="22" t="s">
        <v>111</v>
      </c>
      <c r="E288" s="22"/>
      <c r="F288" s="22">
        <f>(0)</f>
      </c>
      <c r="G288" s="22">
        <f>(C288 * E288 + C288 * E288 * F288)</f>
      </c>
    </row>
    <row r="289">
      <c r="A289" s="5"/>
      <c r="B289" s="16" t="s">
        <v>315</v>
      </c>
      <c r="C289" s="22">
        <f>(4)*(1)*(1)*(1)*(1 + (0))</f>
      </c>
      <c r="D289" s="22" t="s">
        <v>111</v>
      </c>
      <c r="E289" s="22"/>
      <c r="F289" s="22">
        <f>(0)</f>
      </c>
      <c r="G289" s="22">
        <f>(C289 * E289 + C289 * E289 * F289)</f>
      </c>
    </row>
    <row r="290">
      <c r="A290" s="6"/>
      <c r="B290" s="15" t="s">
        <v>316</v>
      </c>
      <c r="C290" s="23"/>
      <c r="D290" s="23"/>
      <c r="E290" s="23"/>
      <c r="F290" s="23"/>
      <c r="G290" s="23"/>
    </row>
    <row r="291">
      <c r="A291" s="5"/>
      <c r="B291" s="16" t="s">
        <v>317</v>
      </c>
      <c r="C291" s="22">
        <f>(1)*(1)*(1)*(1)*(1 + (0))</f>
      </c>
      <c r="D291" s="22" t="s">
        <v>111</v>
      </c>
      <c r="E291" s="22"/>
      <c r="F291" s="22">
        <f>(0)</f>
      </c>
      <c r="G291" s="22">
        <f>(C291 * E291 + C291 * E291 * F291)</f>
      </c>
    </row>
    <row r="292">
      <c r="A292" s="5"/>
      <c r="B292" s="16" t="s">
        <v>318</v>
      </c>
      <c r="C292" s="22">
        <f>(1)*(1)*(1)*(1)*(1 + (0))</f>
      </c>
      <c r="D292" s="22" t="s">
        <v>111</v>
      </c>
      <c r="E292" s="22"/>
      <c r="F292" s="22">
        <f>(0)</f>
      </c>
      <c r="G292" s="22">
        <f>(C292 * E292 + C292 * E292 * F292)</f>
      </c>
    </row>
    <row r="293">
      <c r="A293" s="5"/>
      <c r="B293" s="16" t="s">
        <v>319</v>
      </c>
      <c r="C293" s="22">
        <f>(1)*(1)*(1)*(1)*(1 + (0))</f>
      </c>
      <c r="D293" s="22" t="s">
        <v>111</v>
      </c>
      <c r="E293" s="22"/>
      <c r="F293" s="22">
        <f>(0)</f>
      </c>
      <c r="G293" s="22">
        <f>(C293 * E293 + C293 * E293 * F293)</f>
      </c>
    </row>
    <row r="294">
      <c r="A294" s="5"/>
      <c r="B294" s="16" t="s">
        <v>320</v>
      </c>
      <c r="C294" s="22">
        <f>(1)*(1)*(1)*(1)*(1 + (0))</f>
      </c>
      <c r="D294" s="22" t="s">
        <v>111</v>
      </c>
      <c r="E294" s="22"/>
      <c r="F294" s="22">
        <f>(0)</f>
      </c>
      <c r="G294" s="22">
        <f>(C294 * E294 + C294 * E294 * F294)</f>
      </c>
    </row>
    <row r="295">
      <c r="A295" s="5"/>
      <c r="B295" s="16" t="s">
        <v>321</v>
      </c>
      <c r="C295" s="22">
        <f>(1)*(1)*(1)*(1)*(1 + (0))</f>
      </c>
      <c r="D295" s="22" t="s">
        <v>111</v>
      </c>
      <c r="E295" s="22"/>
      <c r="F295" s="22">
        <f>(0)</f>
      </c>
      <c r="G295" s="22">
        <f>(C295 * E295 + C295 * E295 * F295)</f>
      </c>
    </row>
    <row r="296">
      <c r="A296" s="4"/>
      <c r="B296" s="12" t="s">
        <v>322</v>
      </c>
      <c r="C296" s="21"/>
      <c r="D296" s="21"/>
      <c r="E296" s="21"/>
      <c r="F296" s="21"/>
      <c r="G296" s="21"/>
    </row>
    <row r="297">
      <c r="A297" s="5"/>
      <c r="B297" s="13" t="s">
        <v>323</v>
      </c>
      <c r="C297" s="22">
        <f>(11)*(1)*(1)*(1)*(1 + (0))</f>
      </c>
      <c r="D297" s="22" t="s">
        <v>111</v>
      </c>
      <c r="E297" s="22"/>
      <c r="F297" s="22">
        <f>(0)</f>
      </c>
      <c r="G297" s="22">
        <f>(C297 * E297 + C297 * E297 * F297)</f>
      </c>
    </row>
    <row r="298">
      <c r="A298" s="5"/>
      <c r="B298" s="13" t="s">
        <v>324</v>
      </c>
      <c r="C298" s="22">
        <f>(13)*(1)*(1)*(1)*(1 + (0))</f>
      </c>
      <c r="D298" s="22" t="s">
        <v>111</v>
      </c>
      <c r="E298" s="22"/>
      <c r="F298" s="22">
        <f>(0)</f>
      </c>
      <c r="G298" s="22">
        <f>(C298 * E298 + C298 * E298 * F298)</f>
      </c>
    </row>
    <row r="299">
      <c r="A299" s="3"/>
      <c r="B299" s="11" t="s">
        <v>325</v>
      </c>
      <c r="C299" s="20"/>
      <c r="D299" s="20"/>
      <c r="E299" s="20"/>
      <c r="F299" s="20"/>
      <c r="G299" s="20"/>
    </row>
    <row r="300">
      <c r="A300" s="4"/>
      <c r="B300" s="12" t="s">
        <v>326</v>
      </c>
      <c r="C300" s="21"/>
      <c r="D300" s="21"/>
      <c r="E300" s="21"/>
      <c r="F300" s="21"/>
      <c r="G300" s="21"/>
    </row>
    <row r="301">
      <c r="A301" s="5"/>
      <c r="B301" s="13" t="s">
        <v>327</v>
      </c>
      <c r="C301" s="22">
        <f>(1302)*(1)*(1)*(1)*(1 + (0))</f>
      </c>
      <c r="D301" s="22" t="s">
        <v>24</v>
      </c>
      <c r="E301" s="22"/>
      <c r="F301" s="22">
        <f>(0)</f>
      </c>
      <c r="G301" s="22">
        <f>(C301 * E301 + C301 * E301 * F301)</f>
      </c>
    </row>
    <row r="302">
      <c r="A302" s="5"/>
      <c r="B302" s="13" t="s">
        <v>328</v>
      </c>
      <c r="C302" s="22">
        <f>(1557)*(1)*(1)*(1)*(1 + (0))</f>
      </c>
      <c r="D302" s="22" t="s">
        <v>24</v>
      </c>
      <c r="E302" s="22"/>
      <c r="F302" s="22">
        <f>(0)</f>
      </c>
      <c r="G302" s="22">
        <f>(C302 * E302 + C302 * E302 * F302)</f>
      </c>
    </row>
    <row r="303">
      <c r="A303" s="5"/>
      <c r="B303" s="13" t="s">
        <v>329</v>
      </c>
      <c r="C303" s="22">
        <f>(88)*(1)*(1)*(1)*(1 + (0))</f>
      </c>
      <c r="D303" s="22" t="s">
        <v>24</v>
      </c>
      <c r="E303" s="22"/>
      <c r="F303" s="22">
        <f>(0)</f>
      </c>
      <c r="G303" s="22">
        <f>(C303 * E303 + C303 * E303 * F303)</f>
      </c>
    </row>
    <row r="304">
      <c r="A304" s="4"/>
      <c r="B304" s="12" t="s">
        <v>330</v>
      </c>
      <c r="C304" s="21"/>
      <c r="D304" s="21"/>
      <c r="E304" s="21"/>
      <c r="F304" s="21"/>
      <c r="G304" s="21"/>
    </row>
    <row r="305">
      <c r="A305" s="5"/>
      <c r="B305" s="13" t="s">
        <v>331</v>
      </c>
      <c r="C305" s="22">
        <f>(2519)*(1)*(1)*(1)*(1 + (0))</f>
      </c>
      <c r="D305" s="22" t="s">
        <v>24</v>
      </c>
      <c r="E305" s="22"/>
      <c r="F305" s="22">
        <f>(0)</f>
      </c>
      <c r="G305" s="22">
        <f>(C305 * E305 + C305 * E305 * F305)</f>
      </c>
    </row>
    <row r="306">
      <c r="A306" s="5"/>
      <c r="B306" s="13" t="s">
        <v>332</v>
      </c>
      <c r="C306" s="22">
        <f>(340)*(1)*(1)*(1)*(1 + (0))</f>
      </c>
      <c r="D306" s="22" t="s">
        <v>24</v>
      </c>
      <c r="E306" s="22"/>
      <c r="F306" s="22">
        <f>(0)</f>
      </c>
      <c r="G306" s="22">
        <f>(C306 * E306 + C306 * E306 * F306)</f>
      </c>
    </row>
    <row r="307">
      <c r="A307" s="5"/>
      <c r="B307" s="13" t="s">
        <v>333</v>
      </c>
      <c r="C307" s="22">
        <f>(143)*(1)*(1)*(1)*(1 + (0))</f>
      </c>
      <c r="D307" s="22" t="s">
        <v>24</v>
      </c>
      <c r="E307" s="22"/>
      <c r="F307" s="22">
        <f>(0)</f>
      </c>
      <c r="G307" s="22">
        <f>(C307 * E307 + C307 * E307 * F307)</f>
      </c>
    </row>
    <row r="308">
      <c r="A308" s="6"/>
      <c r="B308" s="15" t="s">
        <v>334</v>
      </c>
      <c r="C308" s="23"/>
      <c r="D308" s="23"/>
      <c r="E308" s="23"/>
      <c r="F308" s="23"/>
      <c r="G308" s="23"/>
    </row>
    <row r="309">
      <c r="A309" s="5"/>
      <c r="B309" s="16" t="s">
        <v>335</v>
      </c>
      <c r="C309" s="22">
        <f>(102)*(1)*(1)*(1)*(1 + (0))</f>
      </c>
      <c r="D309" s="22" t="s">
        <v>153</v>
      </c>
      <c r="E309" s="22"/>
      <c r="F309" s="22">
        <f>(0)</f>
      </c>
      <c r="G309" s="22">
        <f>(C309 * E309 + C309 * E309 * F309)</f>
      </c>
    </row>
    <row r="310">
      <c r="A310" s="5"/>
      <c r="B310" s="16" t="s">
        <v>336</v>
      </c>
      <c r="C310" s="22">
        <f>(59)*(1)*(1)*(1)*(1 + (0))</f>
      </c>
      <c r="D310" s="22" t="s">
        <v>24</v>
      </c>
      <c r="E310" s="22"/>
      <c r="F310" s="22">
        <f>(0)</f>
      </c>
      <c r="G310" s="22">
        <f>(C310 * E310 + C310 * E310 * F310)</f>
      </c>
    </row>
    <row r="311">
      <c r="A311" s="4"/>
      <c r="B311" s="12" t="s">
        <v>337</v>
      </c>
      <c r="C311" s="21"/>
      <c r="D311" s="21"/>
      <c r="E311" s="21"/>
      <c r="F311" s="21"/>
      <c r="G311" s="21"/>
    </row>
    <row r="312">
      <c r="A312" s="5"/>
      <c r="B312" s="13" t="s">
        <v>338</v>
      </c>
      <c r="C312" s="22">
        <f>(11)*(1)*(1)*(1)*(1 + (0))</f>
      </c>
      <c r="D312" s="22" t="s">
        <v>153</v>
      </c>
      <c r="E312" s="22"/>
      <c r="F312" s="22">
        <f>(0)</f>
      </c>
      <c r="G312" s="22">
        <f>(C312 * E312 + C312 * E312 * F312)</f>
      </c>
    </row>
    <row r="313">
      <c r="A313" s="5"/>
      <c r="B313" s="13" t="s">
        <v>339</v>
      </c>
      <c r="C313" s="22">
        <f>(11)*(1)*(1)*(1)*(1 + (0))</f>
      </c>
      <c r="D313" s="22" t="s">
        <v>153</v>
      </c>
      <c r="E313" s="22"/>
      <c r="F313" s="22">
        <f>(0)</f>
      </c>
      <c r="G313" s="22">
        <f>(C313 * E313 + C313 * E313 * F313)</f>
      </c>
    </row>
    <row r="314">
      <c r="A314" s="5"/>
      <c r="B314" s="13" t="s">
        <v>340</v>
      </c>
      <c r="C314" s="22">
        <f>(6)*(1)*(1)*(1)*(1 + (0))</f>
      </c>
      <c r="D314" s="22" t="s">
        <v>24</v>
      </c>
      <c r="E314" s="22"/>
      <c r="F314" s="22">
        <f>(0)</f>
      </c>
      <c r="G314" s="22">
        <f>(C314 * E314 + C314 * E314 * F314)</f>
      </c>
    </row>
    <row r="315">
      <c r="A315" s="5"/>
      <c r="B315" s="13" t="s">
        <v>341</v>
      </c>
      <c r="C315" s="22">
        <f>(5)*(1)*(1)*(1)*(1 + (0))</f>
      </c>
      <c r="D315" s="22" t="s">
        <v>111</v>
      </c>
      <c r="E315" s="22"/>
      <c r="F315" s="22">
        <f>(0)</f>
      </c>
      <c r="G315" s="22">
        <f>(C315 * E315 + C315 * E315 * F315)</f>
      </c>
    </row>
    <row r="316">
      <c r="A316" s="5"/>
      <c r="B316" s="13" t="s">
        <v>342</v>
      </c>
      <c r="C316" s="22">
        <f>(1)*(1)*(1)*(1)*(1 + (0))</f>
      </c>
      <c r="D316" s="22" t="s">
        <v>111</v>
      </c>
      <c r="E316" s="22"/>
      <c r="F316" s="22">
        <f>(0)</f>
      </c>
      <c r="G316" s="22">
        <f>(C316 * E316 + C316 * E316 * F316)</f>
      </c>
    </row>
    <row r="317">
      <c r="A317" s="5"/>
      <c r="B317" s="13" t="s">
        <v>343</v>
      </c>
      <c r="C317" s="22">
        <f>(1)*(1)*(1)*(1)*(1 + (0))</f>
      </c>
      <c r="D317" s="22" t="s">
        <v>162</v>
      </c>
      <c r="E317" s="22"/>
      <c r="F317" s="22">
        <f>(0)</f>
      </c>
      <c r="G317" s="22">
        <f>(C317 * E317 + C317 * E317 * F317)</f>
      </c>
    </row>
    <row r="318">
      <c r="A318" s="3"/>
      <c r="B318" s="11" t="s">
        <v>344</v>
      </c>
      <c r="C318" s="20"/>
      <c r="D318" s="20"/>
      <c r="E318" s="20"/>
      <c r="F318" s="20"/>
      <c r="G318" s="20"/>
    </row>
    <row r="319">
      <c r="A319" s="5"/>
      <c r="B319" s="14" t="s">
        <v>345</v>
      </c>
      <c r="C319" s="22">
        <f>(104)*(1)*(1)*(1)*(1 + (0))</f>
      </c>
      <c r="D319" s="22" t="s">
        <v>153</v>
      </c>
      <c r="E319" s="22"/>
      <c r="F319" s="22">
        <f>(0)</f>
      </c>
      <c r="G319" s="22">
        <f>(C319 * E319 + C319 * E319 * F319)</f>
      </c>
    </row>
    <row r="320">
      <c r="A320" s="5"/>
      <c r="B320" s="14" t="s">
        <v>346</v>
      </c>
      <c r="C320" s="22">
        <f>(5)*(1)*(1)*(1)*(1 + (0))</f>
      </c>
      <c r="D320" s="22" t="s">
        <v>153</v>
      </c>
      <c r="E320" s="22"/>
      <c r="F320" s="22">
        <f>(0)</f>
      </c>
      <c r="G320" s="22">
        <f>(C320 * E320 + C320 * E320 * F320)</f>
      </c>
    </row>
    <row r="321">
      <c r="A321" s="3"/>
      <c r="B321" s="11" t="s">
        <v>347</v>
      </c>
      <c r="C321" s="20"/>
      <c r="D321" s="20"/>
      <c r="E321" s="20"/>
      <c r="F321" s="20"/>
      <c r="G321" s="20"/>
    </row>
    <row r="322">
      <c r="A322" s="5"/>
      <c r="B322" s="14" t="s">
        <v>348</v>
      </c>
      <c r="C322" s="22">
        <f>(1302)*(1)*(1)*(1)*(1 + (0))</f>
      </c>
      <c r="D322" s="22" t="s">
        <v>24</v>
      </c>
      <c r="E322" s="22"/>
      <c r="F322" s="22">
        <f>(0)</f>
      </c>
      <c r="G322" s="22">
        <f>(C322 * E322 + C322 * E322 * F322)</f>
      </c>
    </row>
    <row r="323">
      <c r="A323" s="5"/>
      <c r="B323" s="14" t="s">
        <v>349</v>
      </c>
      <c r="C323" s="22">
        <f>(1302)*(1)*(1)*(1)*(1 + (0))</f>
      </c>
      <c r="D323" s="22" t="s">
        <v>24</v>
      </c>
      <c r="E323" s="22"/>
      <c r="F323" s="22">
        <f>(0)</f>
      </c>
      <c r="G323" s="22">
        <f>(C323 * E323 + C323 * E323 * F323)</f>
      </c>
    </row>
    <row r="324">
      <c r="A324" s="2"/>
      <c r="B324" s="10" t="s">
        <v>350</v>
      </c>
      <c r="C324" s="19"/>
      <c r="D324" s="19"/>
      <c r="E324" s="19"/>
      <c r="F324" s="19"/>
      <c r="G324" s="19"/>
    </row>
    <row r="325">
      <c r="A325" s="3"/>
      <c r="B325" s="11" t="s">
        <v>37</v>
      </c>
      <c r="C325" s="20"/>
      <c r="D325" s="20"/>
      <c r="E325" s="20"/>
      <c r="F325" s="20"/>
      <c r="G325" s="20"/>
    </row>
    <row r="326">
      <c r="A326" s="5" t="s">
        <v>351</v>
      </c>
      <c r="B326" s="14" t="s">
        <v>39</v>
      </c>
      <c r="C326" s="22"/>
      <c r="D326" s="22" t="s">
        <v>10</v>
      </c>
      <c r="E326" s="22"/>
      <c r="F326" s="22">
        <f>(0)</f>
      </c>
      <c r="G326" s="22">
        <f>(C326 * E326 + C326 * E326 * F326)</f>
      </c>
    </row>
    <row r="327">
      <c r="A327" s="5" t="s">
        <v>352</v>
      </c>
      <c r="B327" s="14" t="s">
        <v>41</v>
      </c>
      <c r="C327" s="22"/>
      <c r="D327" s="22" t="s">
        <v>10</v>
      </c>
      <c r="E327" s="22"/>
      <c r="F327" s="22">
        <f>(0)</f>
      </c>
      <c r="G327" s="22">
        <f>(C327 * E327 + C327 * E327 * F327)</f>
      </c>
    </row>
    <row r="328">
      <c r="A328" s="3"/>
      <c r="B328" s="11" t="s">
        <v>42</v>
      </c>
      <c r="C328" s="20"/>
      <c r="D328" s="20"/>
      <c r="E328" s="20"/>
      <c r="F328" s="20"/>
      <c r="G328" s="20"/>
    </row>
    <row r="329">
      <c r="A329" s="5"/>
      <c r="B329" s="14" t="s">
        <v>118</v>
      </c>
      <c r="C329" s="22"/>
      <c r="D329" s="22" t="s">
        <v>10</v>
      </c>
      <c r="E329" s="22"/>
      <c r="F329" s="22">
        <f>(0)</f>
      </c>
      <c r="G329" s="22">
        <f>(C329 * E329 + C329 * E329 * F329)</f>
      </c>
    </row>
    <row r="330">
      <c r="A330" s="5"/>
      <c r="B330" s="14" t="s">
        <v>43</v>
      </c>
      <c r="C330" s="22"/>
      <c r="D330" s="22" t="s">
        <v>10</v>
      </c>
      <c r="E330" s="22"/>
      <c r="F330" s="22">
        <f>(0)</f>
      </c>
      <c r="G330" s="22">
        <f>(C330 * E330 + C330 * E330 * F330)</f>
      </c>
    </row>
    <row r="331">
      <c r="A331" s="5"/>
      <c r="B331" s="14" t="s">
        <v>210</v>
      </c>
      <c r="C331" s="22"/>
      <c r="D331" s="22" t="s">
        <v>10</v>
      </c>
      <c r="E331" s="22"/>
      <c r="F331" s="22">
        <f>(0)</f>
      </c>
      <c r="G331" s="22">
        <f>(C331 * E331 + C331 * E331 * F331)</f>
      </c>
    </row>
    <row r="332">
      <c r="A332" s="3"/>
      <c r="B332" s="11" t="s">
        <v>44</v>
      </c>
      <c r="C332" s="20"/>
      <c r="D332" s="20"/>
      <c r="E332" s="20"/>
      <c r="F332" s="20"/>
      <c r="G332" s="20"/>
    </row>
    <row r="333">
      <c r="A333" s="4"/>
      <c r="B333" s="12" t="s">
        <v>45</v>
      </c>
      <c r="C333" s="21"/>
      <c r="D333" s="21"/>
      <c r="E333" s="21"/>
      <c r="F333" s="21"/>
      <c r="G333" s="21"/>
    </row>
    <row r="334">
      <c r="A334" s="5" t="s">
        <v>353</v>
      </c>
      <c r="B334" s="13" t="s">
        <v>354</v>
      </c>
      <c r="C334" s="22"/>
      <c r="D334" s="22" t="s">
        <v>10</v>
      </c>
      <c r="E334" s="22"/>
      <c r="F334" s="22">
        <f>(0)</f>
      </c>
      <c r="G334" s="22">
        <f>(C334 * E334 + C334 * E334 * F334)</f>
      </c>
    </row>
    <row r="335">
      <c r="A335" s="5" t="s">
        <v>355</v>
      </c>
      <c r="B335" s="13" t="s">
        <v>356</v>
      </c>
      <c r="C335" s="22"/>
      <c r="D335" s="22" t="s">
        <v>10</v>
      </c>
      <c r="E335" s="22"/>
      <c r="F335" s="22">
        <f>(0)</f>
      </c>
      <c r="G335" s="22">
        <f>(C335 * E335 + C335 * E335 * F335)</f>
      </c>
    </row>
    <row r="336">
      <c r="A336" s="5" t="s">
        <v>357</v>
      </c>
      <c r="B336" s="13" t="s">
        <v>358</v>
      </c>
      <c r="C336" s="22"/>
      <c r="D336" s="22" t="s">
        <v>10</v>
      </c>
      <c r="E336" s="22"/>
      <c r="F336" s="22">
        <f>(0)</f>
      </c>
      <c r="G336" s="22">
        <f>(C336 * E336 + C336 * E336 * F336)</f>
      </c>
    </row>
    <row r="337">
      <c r="A337" s="5" t="s">
        <v>359</v>
      </c>
      <c r="B337" s="13" t="s">
        <v>360</v>
      </c>
      <c r="C337" s="22"/>
      <c r="D337" s="22" t="s">
        <v>10</v>
      </c>
      <c r="E337" s="22"/>
      <c r="F337" s="22">
        <f>(0)</f>
      </c>
      <c r="G337" s="22">
        <f>(C337 * E337 + C337 * E337 * F337)</f>
      </c>
    </row>
    <row r="338">
      <c r="A338" s="5" t="s">
        <v>361</v>
      </c>
      <c r="B338" s="13" t="s">
        <v>362</v>
      </c>
      <c r="C338" s="22"/>
      <c r="D338" s="22" t="s">
        <v>10</v>
      </c>
      <c r="E338" s="22"/>
      <c r="F338" s="22">
        <f>(0)</f>
      </c>
      <c r="G338" s="22">
        <f>(C338 * E338 + C338 * E338 * F338)</f>
      </c>
    </row>
    <row r="339">
      <c r="A339" s="5" t="s">
        <v>363</v>
      </c>
      <c r="B339" s="13" t="s">
        <v>364</v>
      </c>
      <c r="C339" s="22"/>
      <c r="D339" s="22" t="s">
        <v>10</v>
      </c>
      <c r="E339" s="22"/>
      <c r="F339" s="22">
        <f>(0)</f>
      </c>
      <c r="G339" s="22">
        <f>(C339 * E339 + C339 * E339 * F339)</f>
      </c>
    </row>
    <row r="340">
      <c r="A340" s="5" t="s">
        <v>365</v>
      </c>
      <c r="B340" s="13" t="s">
        <v>366</v>
      </c>
      <c r="C340" s="22"/>
      <c r="D340" s="22" t="s">
        <v>10</v>
      </c>
      <c r="E340" s="22"/>
      <c r="F340" s="22">
        <f>(0)</f>
      </c>
      <c r="G340" s="22">
        <f>(C340 * E340 + C340 * E340 * F340)</f>
      </c>
    </row>
    <row r="341">
      <c r="A341" s="5" t="s">
        <v>367</v>
      </c>
      <c r="B341" s="13" t="s">
        <v>368</v>
      </c>
      <c r="C341" s="22"/>
      <c r="D341" s="22" t="s">
        <v>10</v>
      </c>
      <c r="E341" s="22"/>
      <c r="F341" s="22">
        <f>(0)</f>
      </c>
      <c r="G341" s="22">
        <f>(C341 * E341 + C341 * E341 * F341)</f>
      </c>
    </row>
    <row r="342">
      <c r="A342" s="5" t="s">
        <v>369</v>
      </c>
      <c r="B342" s="13" t="s">
        <v>370</v>
      </c>
      <c r="C342" s="22"/>
      <c r="D342" s="22" t="s">
        <v>10</v>
      </c>
      <c r="E342" s="22"/>
      <c r="F342" s="22">
        <f>(0)</f>
      </c>
      <c r="G342" s="22">
        <f>(C342 * E342 + C342 * E342 * F342)</f>
      </c>
    </row>
    <row r="343">
      <c r="A343" s="5" t="s">
        <v>371</v>
      </c>
      <c r="B343" s="13" t="s">
        <v>123</v>
      </c>
      <c r="C343" s="22"/>
      <c r="D343" s="22" t="s">
        <v>10</v>
      </c>
      <c r="E343" s="22"/>
      <c r="F343" s="22">
        <f>(0)</f>
      </c>
      <c r="G343" s="22">
        <f>(C343 * E343 + C343 * E343 * F343)</f>
      </c>
    </row>
    <row r="344">
      <c r="A344" s="3"/>
      <c r="B344" s="11" t="s">
        <v>68</v>
      </c>
      <c r="C344" s="20"/>
      <c r="D344" s="20"/>
      <c r="E344" s="20"/>
      <c r="F344" s="20"/>
      <c r="G344" s="20"/>
    </row>
    <row r="345">
      <c r="A345" s="5" t="s">
        <v>372</v>
      </c>
      <c r="B345" s="14" t="s">
        <v>70</v>
      </c>
      <c r="C345" s="22">
        <f>(1)*(1)*(1)*(1)*(1 + (0))</f>
      </c>
      <c r="D345" s="22" t="s">
        <v>71</v>
      </c>
      <c r="E345" s="22"/>
      <c r="F345" s="22">
        <f>(0)</f>
      </c>
      <c r="G345" s="22">
        <f>(C345 * E345 + C345 * E345 * F345)</f>
      </c>
    </row>
    <row r="346">
      <c r="A346" s="5" t="s">
        <v>373</v>
      </c>
      <c r="B346" s="14" t="s">
        <v>73</v>
      </c>
      <c r="C346" s="22">
        <f>(1)*(1)*(1)*(1)*(1 + (0))</f>
      </c>
      <c r="D346" s="22" t="s">
        <v>71</v>
      </c>
      <c r="E346" s="22"/>
      <c r="F346" s="22">
        <f>(0)</f>
      </c>
      <c r="G346" s="22">
        <f>(C346 * E346 + C346 * E346 * F346)</f>
      </c>
    </row>
    <row r="347">
      <c r="A347" s="5" t="s">
        <v>374</v>
      </c>
      <c r="B347" s="14" t="s">
        <v>79</v>
      </c>
      <c r="C347" s="22">
        <f>(1)*(1)*(1)*(1)*(1 + (0))</f>
      </c>
      <c r="D347" s="22" t="s">
        <v>71</v>
      </c>
      <c r="E347" s="22"/>
      <c r="F347" s="22">
        <f>(0)</f>
      </c>
      <c r="G347" s="22">
        <f>(C347 * E347 + C347 * E347 * F347)</f>
      </c>
    </row>
    <row r="348">
      <c r="A348" s="5" t="s">
        <v>375</v>
      </c>
      <c r="B348" s="14" t="s">
        <v>376</v>
      </c>
      <c r="C348" s="22">
        <f>(1)*(1)*(1)*(1)*(1 + (0))</f>
      </c>
      <c r="D348" s="22" t="s">
        <v>71</v>
      </c>
      <c r="E348" s="22"/>
      <c r="F348" s="22">
        <f>(0)</f>
      </c>
      <c r="G348" s="22">
        <f>(C348 * E348 + C348 * E348 * F348)</f>
      </c>
    </row>
    <row r="349">
      <c r="A349" s="5" t="s">
        <v>377</v>
      </c>
      <c r="B349" s="14" t="s">
        <v>378</v>
      </c>
      <c r="C349" s="22">
        <f>(1)*(1)*(1)*(1)*(1 + (0))</f>
      </c>
      <c r="D349" s="22" t="s">
        <v>71</v>
      </c>
      <c r="E349" s="22"/>
      <c r="F349" s="22">
        <f>(0)</f>
      </c>
      <c r="G349" s="22">
        <f>(C349 * E349 + C349 * E349 * F349)</f>
      </c>
    </row>
    <row r="350">
      <c r="A350" s="3"/>
      <c r="B350" s="11" t="s">
        <v>106</v>
      </c>
      <c r="C350" s="20"/>
      <c r="D350" s="20"/>
      <c r="E350" s="20"/>
      <c r="F350" s="20"/>
      <c r="G350" s="20"/>
    </row>
    <row r="351">
      <c r="A351" s="5"/>
      <c r="B351" s="14" t="s">
        <v>379</v>
      </c>
      <c r="C351" s="22"/>
      <c r="D351" s="22" t="s">
        <v>10</v>
      </c>
      <c r="E351" s="22"/>
      <c r="F351" s="22">
        <f>(0)</f>
      </c>
      <c r="G351" s="22">
        <f>(C351 * E351 + C351 * E351 * F351)</f>
      </c>
    </row>
    <row r="352">
      <c r="A352" s="5"/>
      <c r="B352" s="14" t="s">
        <v>380</v>
      </c>
      <c r="C352" s="22"/>
      <c r="D352" s="22" t="s">
        <v>10</v>
      </c>
      <c r="E352" s="22"/>
      <c r="F352" s="22">
        <f>(0)</f>
      </c>
      <c r="G352" s="22">
        <f>(C352 * E352 + C352 * E352 * F352)</f>
      </c>
    </row>
    <row r="353">
      <c r="A353" s="3"/>
      <c r="B353" s="11" t="s">
        <v>381</v>
      </c>
      <c r="C353" s="20"/>
      <c r="D353" s="20"/>
      <c r="E353" s="20"/>
      <c r="F353" s="20"/>
      <c r="G353" s="20"/>
    </row>
    <row r="354">
      <c r="A354" s="4"/>
      <c r="B354" s="12" t="s">
        <v>382</v>
      </c>
      <c r="C354" s="21"/>
      <c r="D354" s="21"/>
      <c r="E354" s="21"/>
      <c r="F354" s="21"/>
      <c r="G354" s="21"/>
    </row>
    <row r="355">
      <c r="A355" s="6"/>
      <c r="B355" s="15" t="s">
        <v>272</v>
      </c>
      <c r="C355" s="23"/>
      <c r="D355" s="23"/>
      <c r="E355" s="23"/>
      <c r="F355" s="23"/>
      <c r="G355" s="23"/>
    </row>
    <row r="356">
      <c r="A356" s="5"/>
      <c r="B356" s="16" t="s">
        <v>383</v>
      </c>
      <c r="C356" s="22">
        <f>(1540)*(1)*(1)*(1)*(1 + (0))</f>
      </c>
      <c r="D356" s="22" t="s">
        <v>24</v>
      </c>
      <c r="E356" s="22"/>
      <c r="F356" s="22">
        <f>(0)</f>
      </c>
      <c r="G356" s="22">
        <f>(C356 * E356 + C356 * E356 * F356)</f>
      </c>
    </row>
    <row r="357">
      <c r="A357" s="5"/>
      <c r="B357" s="16" t="s">
        <v>384</v>
      </c>
      <c r="C357" s="22">
        <f>(192)*(1)*(1)*(1)*(1 + (0))</f>
      </c>
      <c r="D357" s="22" t="s">
        <v>153</v>
      </c>
      <c r="E357" s="22"/>
      <c r="F357" s="22">
        <f>(0)</f>
      </c>
      <c r="G357" s="22">
        <f>(C357 * E357 + C357 * E357 * F357)</f>
      </c>
    </row>
    <row r="358">
      <c r="A358" s="5"/>
      <c r="B358" s="16" t="s">
        <v>385</v>
      </c>
      <c r="C358" s="22">
        <f>(2)*(1)*(1)*(1)*(1 + (0))</f>
      </c>
      <c r="D358" s="22" t="s">
        <v>24</v>
      </c>
      <c r="E358" s="22"/>
      <c r="F358" s="22">
        <f>(0)</f>
      </c>
      <c r="G358" s="22">
        <f>(C358 * E358 + C358 * E358 * F358)</f>
      </c>
    </row>
    <row r="359">
      <c r="A359" s="5"/>
      <c r="B359" s="16" t="s">
        <v>386</v>
      </c>
      <c r="C359" s="22">
        <f>(62)*(1)*(1)*(1)*(1 + (0))</f>
      </c>
      <c r="D359" s="22" t="s">
        <v>153</v>
      </c>
      <c r="E359" s="22"/>
      <c r="F359" s="22">
        <f>(0)</f>
      </c>
      <c r="G359" s="22">
        <f>(C359 * E359 + C359 * E359 * F359)</f>
      </c>
    </row>
    <row r="360">
      <c r="A360" s="5"/>
      <c r="B360" s="16" t="s">
        <v>387</v>
      </c>
      <c r="C360" s="22">
        <f>(188)*(1)*(1)*(1)*(1 + (0))</f>
      </c>
      <c r="D360" s="22" t="s">
        <v>153</v>
      </c>
      <c r="E360" s="22"/>
      <c r="F360" s="22">
        <f>(0)</f>
      </c>
      <c r="G360" s="22">
        <f>(C360 * E360 + C360 * E360 * F360)</f>
      </c>
    </row>
    <row r="361">
      <c r="A361" s="6"/>
      <c r="B361" s="15" t="s">
        <v>287</v>
      </c>
      <c r="C361" s="23"/>
      <c r="D361" s="23"/>
      <c r="E361" s="23"/>
      <c r="F361" s="23"/>
      <c r="G361" s="23"/>
    </row>
    <row r="362">
      <c r="A362" s="5"/>
      <c r="B362" s="16" t="s">
        <v>388</v>
      </c>
      <c r="C362" s="22">
        <f>(17)*(1)*(1)*(1)*(1 + (0))</f>
      </c>
      <c r="D362" s="22" t="s">
        <v>24</v>
      </c>
      <c r="E362" s="22"/>
      <c r="F362" s="22">
        <f>(0)</f>
      </c>
      <c r="G362" s="22">
        <f>(C362 * E362 + C362 * E362 * F362)</f>
      </c>
    </row>
    <row r="363">
      <c r="A363" s="5"/>
      <c r="B363" s="16" t="s">
        <v>384</v>
      </c>
      <c r="C363" s="22">
        <f>(17)*(1)*(1)*(1)*(1 + (0))</f>
      </c>
      <c r="D363" s="22" t="s">
        <v>153</v>
      </c>
      <c r="E363" s="22"/>
      <c r="F363" s="22">
        <f>(0)</f>
      </c>
      <c r="G363" s="22">
        <f>(C363 * E363 + C363 * E363 * F363)</f>
      </c>
    </row>
    <row r="364">
      <c r="A364" s="4"/>
      <c r="B364" s="12" t="s">
        <v>389</v>
      </c>
      <c r="C364" s="21"/>
      <c r="D364" s="21"/>
      <c r="E364" s="21"/>
      <c r="F364" s="21"/>
      <c r="G364" s="21"/>
    </row>
    <row r="365">
      <c r="A365" s="6"/>
      <c r="B365" s="15" t="s">
        <v>272</v>
      </c>
      <c r="C365" s="23"/>
      <c r="D365" s="23"/>
      <c r="E365" s="23"/>
      <c r="F365" s="23"/>
      <c r="G365" s="23"/>
    </row>
    <row r="366">
      <c r="A366" s="5"/>
      <c r="B366" s="16" t="s">
        <v>390</v>
      </c>
      <c r="C366" s="22">
        <f>(31)*(1)*(1)*(1)*(1 + (0))</f>
      </c>
      <c r="D366" s="22" t="s">
        <v>153</v>
      </c>
      <c r="E366" s="22"/>
      <c r="F366" s="22">
        <f>(0)</f>
      </c>
      <c r="G366" s="22">
        <f>(C366 * E366 + C366 * E366 * F366)</f>
      </c>
    </row>
    <row r="367">
      <c r="A367" s="5"/>
      <c r="B367" s="16" t="s">
        <v>391</v>
      </c>
      <c r="C367" s="22">
        <f>(2)*(1)*(1)*(1)*(1 + (0))</f>
      </c>
      <c r="D367" s="22" t="s">
        <v>24</v>
      </c>
      <c r="E367" s="22"/>
      <c r="F367" s="22">
        <f>(0)</f>
      </c>
      <c r="G367" s="22">
        <f>(C367 * E367 + C367 * E367 * F367)</f>
      </c>
    </row>
    <row r="368">
      <c r="A368" s="4"/>
      <c r="B368" s="12" t="s">
        <v>392</v>
      </c>
      <c r="C368" s="21"/>
      <c r="D368" s="21"/>
      <c r="E368" s="21"/>
      <c r="F368" s="21"/>
      <c r="G368" s="21"/>
    </row>
    <row r="369">
      <c r="A369" s="6"/>
      <c r="B369" s="15" t="s">
        <v>293</v>
      </c>
      <c r="C369" s="23"/>
      <c r="D369" s="23"/>
      <c r="E369" s="23"/>
      <c r="F369" s="23"/>
      <c r="G369" s="23"/>
    </row>
    <row r="370">
      <c r="A370" s="5"/>
      <c r="B370" s="16" t="s">
        <v>393</v>
      </c>
      <c r="C370" s="22">
        <f>(178)*(1)*(1)*(1)*(1 + (0))</f>
      </c>
      <c r="D370" s="22" t="s">
        <v>24</v>
      </c>
      <c r="E370" s="22"/>
      <c r="F370" s="22">
        <f>(0)</f>
      </c>
      <c r="G370" s="22">
        <f>(C370 * E370 + C370 * E370 * F370)</f>
      </c>
    </row>
    <row r="371">
      <c r="A371" s="5"/>
      <c r="B371" s="16" t="s">
        <v>394</v>
      </c>
      <c r="C371" s="22">
        <f>(16)*(1)*(1)*(1)*(1 + (0))</f>
      </c>
      <c r="D371" s="22" t="s">
        <v>24</v>
      </c>
      <c r="E371" s="22"/>
      <c r="F371" s="22">
        <f>(0)</f>
      </c>
      <c r="G371" s="22">
        <f>(C371 * E371 + C371 * E371 * F371)</f>
      </c>
    </row>
    <row r="372">
      <c r="A372" s="6"/>
      <c r="B372" s="15" t="s">
        <v>298</v>
      </c>
      <c r="C372" s="23"/>
      <c r="D372" s="23"/>
      <c r="E372" s="23"/>
      <c r="F372" s="23"/>
      <c r="G372" s="23"/>
    </row>
    <row r="373">
      <c r="A373" s="5"/>
      <c r="B373" s="16" t="s">
        <v>394</v>
      </c>
      <c r="C373" s="22">
        <f>(10)*(1)*(1)*(1)*(1 + (0))</f>
      </c>
      <c r="D373" s="22" t="s">
        <v>24</v>
      </c>
      <c r="E373" s="22"/>
      <c r="F373" s="22">
        <f>(0)</f>
      </c>
      <c r="G373" s="22">
        <f>(C373 * E373 + C373 * E373 * F373)</f>
      </c>
    </row>
    <row r="374">
      <c r="A374" s="5"/>
      <c r="B374" s="16" t="s">
        <v>393</v>
      </c>
      <c r="C374" s="22">
        <f>(227)*(1)*(1)*(1)*(1 + (0))</f>
      </c>
      <c r="D374" s="22" t="s">
        <v>24</v>
      </c>
      <c r="E374" s="22"/>
      <c r="F374" s="22">
        <f>(0)</f>
      </c>
      <c r="G374" s="22">
        <f>(C374 * E374 + C374 * E374 * F374)</f>
      </c>
    </row>
    <row r="375">
      <c r="A375" s="4"/>
      <c r="B375" s="12" t="s">
        <v>395</v>
      </c>
      <c r="C375" s="21"/>
      <c r="D375" s="21"/>
      <c r="E375" s="21"/>
      <c r="F375" s="21"/>
      <c r="G375" s="21"/>
    </row>
    <row r="376">
      <c r="A376" s="6"/>
      <c r="B376" s="15" t="s">
        <v>304</v>
      </c>
      <c r="C376" s="23"/>
      <c r="D376" s="23"/>
      <c r="E376" s="23"/>
      <c r="F376" s="23"/>
      <c r="G376" s="23"/>
    </row>
    <row r="377">
      <c r="A377" s="5"/>
      <c r="B377" s="16" t="s">
        <v>293</v>
      </c>
      <c r="C377" s="22"/>
      <c r="D377" s="22"/>
      <c r="E377" s="22"/>
      <c r="F377" s="22"/>
      <c r="G377" s="22"/>
    </row>
    <row r="378">
      <c r="A378" s="5"/>
      <c r="B378" s="17" t="s">
        <v>396</v>
      </c>
      <c r="C378" s="22">
        <f>(56)*(1)*(1)*(1)*(1 + (0))</f>
      </c>
      <c r="D378" s="22" t="s">
        <v>24</v>
      </c>
      <c r="E378" s="22"/>
      <c r="F378" s="22">
        <f>(0)</f>
      </c>
      <c r="G378" s="22">
        <f>(C378 * E378 + C378 * E378 * F378)</f>
      </c>
    </row>
    <row r="379">
      <c r="A379" s="6"/>
      <c r="B379" s="15" t="s">
        <v>307</v>
      </c>
      <c r="C379" s="23"/>
      <c r="D379" s="23"/>
      <c r="E379" s="23"/>
      <c r="F379" s="23"/>
      <c r="G379" s="23"/>
    </row>
    <row r="380">
      <c r="A380" s="5"/>
      <c r="B380" s="16" t="s">
        <v>293</v>
      </c>
      <c r="C380" s="22"/>
      <c r="D380" s="22"/>
      <c r="E380" s="22"/>
      <c r="F380" s="22"/>
      <c r="G380" s="22"/>
    </row>
    <row r="381">
      <c r="A381" s="5"/>
      <c r="B381" s="17" t="s">
        <v>396</v>
      </c>
      <c r="C381" s="22">
        <f>(158)*(1)*(1)*(1)*(1 + (0))</f>
      </c>
      <c r="D381" s="22" t="s">
        <v>24</v>
      </c>
      <c r="E381" s="22"/>
      <c r="F381" s="22">
        <f>(0)</f>
      </c>
      <c r="G381" s="22">
        <f>(C381 * E381 + C381 * E381 * F381)</f>
      </c>
    </row>
    <row r="382">
      <c r="A382" s="4"/>
      <c r="B382" s="12" t="s">
        <v>397</v>
      </c>
      <c r="C382" s="21"/>
      <c r="D382" s="21"/>
      <c r="E382" s="21"/>
      <c r="F382" s="21"/>
      <c r="G382" s="21"/>
    </row>
    <row r="383">
      <c r="A383" s="6"/>
      <c r="B383" s="15" t="s">
        <v>313</v>
      </c>
      <c r="C383" s="23"/>
      <c r="D383" s="23"/>
      <c r="E383" s="23"/>
      <c r="F383" s="23"/>
      <c r="G383" s="23"/>
    </row>
    <row r="384">
      <c r="A384" s="5"/>
      <c r="B384" s="16" t="s">
        <v>398</v>
      </c>
      <c r="C384" s="22">
        <f>(355)*(1)*(1)*(1)*(1 + (0))</f>
      </c>
      <c r="D384" s="22" t="s">
        <v>153</v>
      </c>
      <c r="E384" s="22"/>
      <c r="F384" s="22">
        <f>(0)</f>
      </c>
      <c r="G384" s="22">
        <f>(C384 * E384 + C384 * E384 * F384)</f>
      </c>
    </row>
    <row r="385">
      <c r="A385" s="6"/>
      <c r="B385" s="15" t="s">
        <v>316</v>
      </c>
      <c r="C385" s="23"/>
      <c r="D385" s="23"/>
      <c r="E385" s="23"/>
      <c r="F385" s="23"/>
      <c r="G385" s="23"/>
    </row>
    <row r="386">
      <c r="A386" s="5"/>
      <c r="B386" s="16" t="s">
        <v>398</v>
      </c>
      <c r="C386" s="22">
        <f>(77)*(1)*(1)*(1)*(1 + (0))</f>
      </c>
      <c r="D386" s="22" t="s">
        <v>153</v>
      </c>
      <c r="E386" s="22"/>
      <c r="F386" s="22">
        <f>(0)</f>
      </c>
      <c r="G386" s="22">
        <f>(C386 * E386 + C386 * E386 * F386)</f>
      </c>
    </row>
    <row r="387">
      <c r="A387" s="3"/>
      <c r="B387" s="11" t="s">
        <v>399</v>
      </c>
      <c r="C387" s="20"/>
      <c r="D387" s="20"/>
      <c r="E387" s="20"/>
      <c r="F387" s="20"/>
      <c r="G387" s="20"/>
    </row>
    <row r="388">
      <c r="A388" s="4"/>
      <c r="B388" s="12" t="s">
        <v>400</v>
      </c>
      <c r="C388" s="21"/>
      <c r="D388" s="21"/>
      <c r="E388" s="21"/>
      <c r="F388" s="21"/>
      <c r="G388" s="21"/>
    </row>
    <row r="389">
      <c r="A389" s="6"/>
      <c r="B389" s="15" t="s">
        <v>247</v>
      </c>
      <c r="C389" s="23"/>
      <c r="D389" s="23"/>
      <c r="E389" s="23"/>
      <c r="F389" s="23"/>
      <c r="G389" s="23"/>
    </row>
    <row r="390">
      <c r="A390" s="5"/>
      <c r="B390" s="16" t="s">
        <v>401</v>
      </c>
      <c r="C390" s="22">
        <f>(39)*(1)*(1)*(1)*(1 + (0))</f>
      </c>
      <c r="D390" s="22" t="s">
        <v>24</v>
      </c>
      <c r="E390" s="22"/>
      <c r="F390" s="22">
        <f>(0)</f>
      </c>
      <c r="G390" s="22">
        <f>(C390 * E390 + C390 * E390 * F390)</f>
      </c>
    </row>
    <row r="391">
      <c r="A391" s="5"/>
      <c r="B391" s="16" t="s">
        <v>402</v>
      </c>
      <c r="C391" s="22">
        <f>(49)*(1)*(1)*(1)*(1 + (0))</f>
      </c>
      <c r="D391" s="22" t="s">
        <v>24</v>
      </c>
      <c r="E391" s="22"/>
      <c r="F391" s="22">
        <f>(0)</f>
      </c>
      <c r="G391" s="22">
        <f>(C391 * E391 + C391 * E391 * F391)</f>
      </c>
    </row>
    <row r="392">
      <c r="A392" s="5"/>
      <c r="B392" s="16" t="s">
        <v>403</v>
      </c>
      <c r="C392" s="22">
        <f>(4)*(1)*(1)*(1)*(1 + (0))</f>
      </c>
      <c r="D392" s="22" t="s">
        <v>24</v>
      </c>
      <c r="E392" s="22"/>
      <c r="F392" s="22">
        <f>(0)</f>
      </c>
      <c r="G392" s="22">
        <f>(C392 * E392 + C392 * E392 * F392)</f>
      </c>
    </row>
    <row r="393">
      <c r="A393" s="4"/>
      <c r="B393" s="12" t="s">
        <v>404</v>
      </c>
      <c r="C393" s="21"/>
      <c r="D393" s="21"/>
      <c r="E393" s="21"/>
      <c r="F393" s="21"/>
      <c r="G393" s="21"/>
    </row>
    <row r="394">
      <c r="A394" s="6"/>
      <c r="B394" s="15" t="s">
        <v>252</v>
      </c>
      <c r="C394" s="23"/>
      <c r="D394" s="23"/>
      <c r="E394" s="23"/>
      <c r="F394" s="23"/>
      <c r="G394" s="23"/>
    </row>
    <row r="395">
      <c r="A395" s="5"/>
      <c r="B395" s="16" t="s">
        <v>405</v>
      </c>
      <c r="C395" s="22">
        <f>(13)*(1)*(1)*(1)*(1 + (0))</f>
      </c>
      <c r="D395" s="22" t="s">
        <v>24</v>
      </c>
      <c r="E395" s="22"/>
      <c r="F395" s="22">
        <f>(0)</f>
      </c>
      <c r="G395" s="22">
        <f>(C395 * E395 + C395 * E395 * F395)</f>
      </c>
    </row>
    <row r="396">
      <c r="A396" s="4"/>
      <c r="B396" s="12" t="s">
        <v>406</v>
      </c>
      <c r="C396" s="21"/>
      <c r="D396" s="21"/>
      <c r="E396" s="21"/>
      <c r="F396" s="21"/>
      <c r="G396" s="21"/>
    </row>
    <row r="397">
      <c r="A397" s="6"/>
      <c r="B397" s="15" t="s">
        <v>252</v>
      </c>
      <c r="C397" s="23"/>
      <c r="D397" s="23"/>
      <c r="E397" s="23"/>
      <c r="F397" s="23"/>
      <c r="G397" s="23"/>
    </row>
    <row r="398">
      <c r="A398" s="5"/>
      <c r="B398" s="16" t="s">
        <v>407</v>
      </c>
      <c r="C398" s="22">
        <f>(23)*(1)*(1)*(1)*(1 + (0))</f>
      </c>
      <c r="D398" s="22" t="s">
        <v>24</v>
      </c>
      <c r="E398" s="22"/>
      <c r="F398" s="22">
        <f>(0)</f>
      </c>
      <c r="G398" s="22">
        <f>(C398 * E398 + C398 * E398 * F398)</f>
      </c>
    </row>
    <row r="399">
      <c r="A399" s="4"/>
      <c r="B399" s="12" t="s">
        <v>408</v>
      </c>
      <c r="C399" s="21"/>
      <c r="D399" s="21"/>
      <c r="E399" s="21"/>
      <c r="F399" s="21"/>
      <c r="G399" s="21"/>
    </row>
    <row r="400">
      <c r="A400" s="6"/>
      <c r="B400" s="15" t="s">
        <v>247</v>
      </c>
      <c r="C400" s="23"/>
      <c r="D400" s="23"/>
      <c r="E400" s="23"/>
      <c r="F400" s="23"/>
      <c r="G400" s="23"/>
    </row>
    <row r="401">
      <c r="A401" s="5"/>
      <c r="B401" s="16" t="s">
        <v>409</v>
      </c>
      <c r="C401" s="22">
        <f>(473)*(1)*(1)*(1)*(1 + (0))</f>
      </c>
      <c r="D401" s="22" t="s">
        <v>153</v>
      </c>
      <c r="E401" s="22"/>
      <c r="F401" s="22">
        <f>(0)</f>
      </c>
      <c r="G401" s="22">
        <f>(C401 * E401 + C401 * E401 * F401)</f>
      </c>
    </row>
    <row r="402">
      <c r="A402" s="5"/>
      <c r="B402" s="16" t="s">
        <v>410</v>
      </c>
      <c r="C402" s="22">
        <f>(64)*(1)*(1)*(1)*(1 + (0))</f>
      </c>
      <c r="D402" s="22" t="s">
        <v>24</v>
      </c>
      <c r="E402" s="22"/>
      <c r="F402" s="22">
        <f>(0)</f>
      </c>
      <c r="G402" s="22">
        <f>(C402 * E402 + C402 * E402 * F402)</f>
      </c>
    </row>
    <row r="403">
      <c r="A403" s="4"/>
      <c r="B403" s="12" t="s">
        <v>411</v>
      </c>
      <c r="C403" s="21"/>
      <c r="D403" s="21"/>
      <c r="E403" s="21"/>
      <c r="F403" s="21"/>
      <c r="G403" s="21"/>
    </row>
    <row r="404">
      <c r="A404" s="6"/>
      <c r="B404" s="15" t="s">
        <v>247</v>
      </c>
      <c r="C404" s="23"/>
      <c r="D404" s="23"/>
      <c r="E404" s="23"/>
      <c r="F404" s="23"/>
      <c r="G404" s="23"/>
    </row>
    <row r="405">
      <c r="A405" s="5"/>
      <c r="B405" s="16" t="s">
        <v>412</v>
      </c>
      <c r="C405" s="22">
        <f>(7)*(1)*(1)*(1)*(1 + (0))</f>
      </c>
      <c r="D405" s="22" t="s">
        <v>24</v>
      </c>
      <c r="E405" s="22"/>
      <c r="F405" s="22">
        <f>(0)</f>
      </c>
      <c r="G405" s="22">
        <f>(C405 * E405 + C405 * E405 * F405)</f>
      </c>
    </row>
    <row r="406">
      <c r="A406" s="5"/>
      <c r="B406" s="16" t="s">
        <v>413</v>
      </c>
      <c r="C406" s="22">
        <f>(229)*(1)*(1)*(1)*(1 + (0))</f>
      </c>
      <c r="D406" s="22" t="s">
        <v>153</v>
      </c>
      <c r="E406" s="22"/>
      <c r="F406" s="22">
        <f>(0)</f>
      </c>
      <c r="G406" s="22">
        <f>(C406 * E406 + C406 * E406 * F406)</f>
      </c>
    </row>
    <row r="407">
      <c r="A407" s="5"/>
      <c r="B407" s="16" t="s">
        <v>414</v>
      </c>
      <c r="C407" s="22">
        <f>(96)*(1)*(1)*(1)*(1 + (0))</f>
      </c>
      <c r="D407" s="22" t="s">
        <v>153</v>
      </c>
      <c r="E407" s="22"/>
      <c r="F407" s="22">
        <f>(0)</f>
      </c>
      <c r="G407" s="22">
        <f>(C407 * E407 + C407 * E407 * F407)</f>
      </c>
    </row>
    <row r="408">
      <c r="A408" s="5"/>
      <c r="B408" s="16" t="s">
        <v>415</v>
      </c>
      <c r="C408" s="22">
        <f>(88)*(1)*(1)*(1)*(1 + (0))</f>
      </c>
      <c r="D408" s="22" t="s">
        <v>153</v>
      </c>
      <c r="E408" s="22"/>
      <c r="F408" s="22">
        <f>(0)</f>
      </c>
      <c r="G408" s="22">
        <f>(C408 * E408 + C408 * E408 * F408)</f>
      </c>
    </row>
    <row r="409">
      <c r="A409" s="5"/>
      <c r="B409" s="16" t="s">
        <v>416</v>
      </c>
      <c r="C409" s="22">
        <f>(1302)*(1)*(1)*(1)*(1 + (0))</f>
      </c>
      <c r="D409" s="22" t="s">
        <v>24</v>
      </c>
      <c r="E409" s="22"/>
      <c r="F409" s="22">
        <f>(0)</f>
      </c>
      <c r="G409" s="22">
        <f>(C409 * E409 + C409 * E409 * F409)</f>
      </c>
    </row>
    <row r="410">
      <c r="A410" s="4"/>
      <c r="B410" s="12" t="s">
        <v>392</v>
      </c>
      <c r="C410" s="21"/>
      <c r="D410" s="21"/>
      <c r="E410" s="21"/>
      <c r="F410" s="21"/>
      <c r="G410" s="21"/>
    </row>
    <row r="411">
      <c r="A411" s="6"/>
      <c r="B411" s="15" t="s">
        <v>293</v>
      </c>
      <c r="C411" s="23"/>
      <c r="D411" s="23"/>
      <c r="E411" s="23"/>
      <c r="F411" s="23"/>
      <c r="G411" s="23"/>
    </row>
    <row r="412">
      <c r="A412" s="5"/>
      <c r="B412" s="16" t="s">
        <v>417</v>
      </c>
      <c r="C412" s="22">
        <f>(12)*(1)*(1)*(1)*(1 + (0))</f>
      </c>
      <c r="D412" s="22" t="s">
        <v>24</v>
      </c>
      <c r="E412" s="22"/>
      <c r="F412" s="22">
        <f>(0)</f>
      </c>
      <c r="G412" s="22">
        <f>(C412 * E412 + C412 * E412 * F412)</f>
      </c>
    </row>
    <row r="413">
      <c r="A413" s="5"/>
      <c r="B413" s="16" t="s">
        <v>418</v>
      </c>
      <c r="C413" s="22">
        <f>(36)*(1)*(1)*(1)*(1 + (0))</f>
      </c>
      <c r="D413" s="22" t="s">
        <v>24</v>
      </c>
      <c r="E413" s="22"/>
      <c r="F413" s="22">
        <f>(0)</f>
      </c>
      <c r="G413" s="22">
        <f>(C413 * E413 + C413 * E413 * F413)</f>
      </c>
    </row>
    <row r="414">
      <c r="A414" s="5"/>
      <c r="B414" s="16" t="s">
        <v>393</v>
      </c>
      <c r="C414" s="22">
        <f>(22)*(1)*(1)*(1)*(1 + (0))</f>
      </c>
      <c r="D414" s="22" t="s">
        <v>24</v>
      </c>
      <c r="E414" s="22"/>
      <c r="F414" s="22">
        <f>(0)</f>
      </c>
      <c r="G414" s="22">
        <f>(C414 * E414 + C414 * E414 * F414)</f>
      </c>
    </row>
    <row r="415">
      <c r="A415" s="6"/>
      <c r="B415" s="15" t="s">
        <v>298</v>
      </c>
      <c r="C415" s="23"/>
      <c r="D415" s="23"/>
      <c r="E415" s="23"/>
      <c r="F415" s="23"/>
      <c r="G415" s="23"/>
    </row>
    <row r="416">
      <c r="A416" s="5"/>
      <c r="B416" s="16" t="s">
        <v>417</v>
      </c>
      <c r="C416" s="22">
        <f>(9)*(1)*(1)*(1)*(1 + (0))</f>
      </c>
      <c r="D416" s="22" t="s">
        <v>24</v>
      </c>
      <c r="E416" s="22"/>
      <c r="F416" s="22">
        <f>(0)</f>
      </c>
      <c r="G416" s="22">
        <f>(C416 * E416 + C416 * E416 * F416)</f>
      </c>
    </row>
    <row r="417">
      <c r="A417" s="5"/>
      <c r="B417" s="16" t="s">
        <v>418</v>
      </c>
      <c r="C417" s="22">
        <f>(10)*(1)*(1)*(1)*(1 + (0))</f>
      </c>
      <c r="D417" s="22" t="s">
        <v>24</v>
      </c>
      <c r="E417" s="22"/>
      <c r="F417" s="22">
        <f>(0)</f>
      </c>
      <c r="G417" s="22">
        <f>(C417 * E417 + C417 * E417 * F417)</f>
      </c>
    </row>
    <row r="418">
      <c r="A418" s="5"/>
      <c r="B418" s="16" t="s">
        <v>419</v>
      </c>
      <c r="C418" s="22">
        <f>(11)*(1)*(1)*(1)*(1 + (0))</f>
      </c>
      <c r="D418" s="22" t="s">
        <v>24</v>
      </c>
      <c r="E418" s="22"/>
      <c r="F418" s="22">
        <f>(0)</f>
      </c>
      <c r="G418" s="22">
        <f>(C418 * E418 + C418 * E418 * F418)</f>
      </c>
    </row>
    <row r="419">
      <c r="A419" s="4"/>
      <c r="B419" s="12" t="s">
        <v>395</v>
      </c>
      <c r="C419" s="21"/>
      <c r="D419" s="21"/>
      <c r="E419" s="21"/>
      <c r="F419" s="21"/>
      <c r="G419" s="21"/>
    </row>
    <row r="420">
      <c r="A420" s="6"/>
      <c r="B420" s="15" t="s">
        <v>304</v>
      </c>
      <c r="C420" s="23"/>
      <c r="D420" s="23"/>
      <c r="E420" s="23"/>
      <c r="F420" s="23"/>
      <c r="G420" s="23"/>
    </row>
    <row r="421">
      <c r="A421" s="5"/>
      <c r="B421" s="16" t="s">
        <v>252</v>
      </c>
      <c r="C421" s="22"/>
      <c r="D421" s="22"/>
      <c r="E421" s="22"/>
      <c r="F421" s="22"/>
      <c r="G421" s="22"/>
    </row>
    <row r="422">
      <c r="A422" s="5"/>
      <c r="B422" s="17" t="s">
        <v>420</v>
      </c>
      <c r="C422" s="22">
        <f>(63)*(1)*(1)*(1)*(1 + (0))</f>
      </c>
      <c r="D422" s="22" t="s">
        <v>24</v>
      </c>
      <c r="E422" s="22"/>
      <c r="F422" s="22">
        <f>(0)</f>
      </c>
      <c r="G422" s="22">
        <f>(C422 * E422 + C422 * E422 * F422)</f>
      </c>
    </row>
    <row r="423">
      <c r="A423" s="6"/>
      <c r="B423" s="15" t="s">
        <v>307</v>
      </c>
      <c r="C423" s="23"/>
      <c r="D423" s="23"/>
      <c r="E423" s="23"/>
      <c r="F423" s="23"/>
      <c r="G423" s="23"/>
    </row>
    <row r="424">
      <c r="A424" s="5"/>
      <c r="B424" s="16" t="s">
        <v>308</v>
      </c>
      <c r="C424" s="22"/>
      <c r="D424" s="22"/>
      <c r="E424" s="22"/>
      <c r="F424" s="22"/>
      <c r="G424" s="22"/>
    </row>
    <row r="425">
      <c r="A425" s="5"/>
      <c r="B425" s="17" t="s">
        <v>421</v>
      </c>
      <c r="C425" s="22">
        <f>(33)*(1)*(1)*(1)*(1 + (0))</f>
      </c>
      <c r="D425" s="22" t="s">
        <v>24</v>
      </c>
      <c r="E425" s="22"/>
      <c r="F425" s="22">
        <f>(0)</f>
      </c>
      <c r="G425" s="22">
        <f>(C425 * E425 + C425 * E425 * F425)</f>
      </c>
    </row>
    <row r="426">
      <c r="A426" s="5"/>
      <c r="B426" s="16" t="s">
        <v>293</v>
      </c>
      <c r="C426" s="22"/>
      <c r="D426" s="22"/>
      <c r="E426" s="22"/>
      <c r="F426" s="22"/>
      <c r="G426" s="22"/>
    </row>
    <row r="427">
      <c r="A427" s="5"/>
      <c r="B427" s="17" t="s">
        <v>422</v>
      </c>
      <c r="C427" s="22">
        <f>(78)*(1)*(1)*(1)*(1 + (0))</f>
      </c>
      <c r="D427" s="22" t="s">
        <v>24</v>
      </c>
      <c r="E427" s="22"/>
      <c r="F427" s="22">
        <f>(0)</f>
      </c>
      <c r="G427" s="22">
        <f>(C427 * E427 + C427 * E427 * F427)</f>
      </c>
    </row>
    <row r="428">
      <c r="A428" s="5"/>
      <c r="B428" s="16" t="s">
        <v>311</v>
      </c>
      <c r="C428" s="22"/>
      <c r="D428" s="22"/>
      <c r="E428" s="22"/>
      <c r="F428" s="22"/>
      <c r="G428" s="22"/>
    </row>
    <row r="429">
      <c r="A429" s="5"/>
      <c r="B429" s="17" t="s">
        <v>423</v>
      </c>
      <c r="C429" s="22">
        <f>(83)*(1)*(1)*(1)*(1 + (0))</f>
      </c>
      <c r="D429" s="22" t="s">
        <v>24</v>
      </c>
      <c r="E429" s="22"/>
      <c r="F429" s="22">
        <f>(0)</f>
      </c>
      <c r="G429" s="22">
        <f>(C429 * E429 + C429 * E429 * F429)</f>
      </c>
    </row>
    <row r="430">
      <c r="A430" s="4"/>
      <c r="B430" s="12" t="s">
        <v>424</v>
      </c>
      <c r="C430" s="21"/>
      <c r="D430" s="21"/>
      <c r="E430" s="21"/>
      <c r="F430" s="21"/>
      <c r="G430" s="21"/>
    </row>
    <row r="431">
      <c r="A431" s="6"/>
      <c r="B431" s="15" t="s">
        <v>323</v>
      </c>
      <c r="C431" s="23"/>
      <c r="D431" s="23"/>
      <c r="E431" s="23"/>
      <c r="F431" s="23"/>
      <c r="G431" s="23"/>
    </row>
    <row r="432">
      <c r="A432" s="5"/>
      <c r="B432" s="16" t="s">
        <v>425</v>
      </c>
      <c r="C432" s="22">
        <f>(16)*(1)*(1)*(1)*(1 + (0))</f>
      </c>
      <c r="D432" s="22" t="s">
        <v>24</v>
      </c>
      <c r="E432" s="22"/>
      <c r="F432" s="22">
        <f>(0)</f>
      </c>
      <c r="G432" s="22">
        <f>(C432 * E432 + C432 * E432 * F432)</f>
      </c>
    </row>
    <row r="433">
      <c r="A433" s="5"/>
      <c r="B433" s="16" t="s">
        <v>426</v>
      </c>
      <c r="C433" s="22">
        <f>(14)*(1)*(1)*(1)*(1 + (0))</f>
      </c>
      <c r="D433" s="22" t="s">
        <v>153</v>
      </c>
      <c r="E433" s="22"/>
      <c r="F433" s="22">
        <f>(0)</f>
      </c>
      <c r="G433" s="22">
        <f>(C433 * E433 + C433 * E433 * F433)</f>
      </c>
    </row>
    <row r="434">
      <c r="A434" s="5"/>
      <c r="B434" s="16" t="s">
        <v>427</v>
      </c>
      <c r="C434" s="22">
        <f>(51)*(1)*(1)*(1)*(1 + (0))</f>
      </c>
      <c r="D434" s="22" t="s">
        <v>153</v>
      </c>
      <c r="E434" s="22"/>
      <c r="F434" s="22">
        <f>(0)</f>
      </c>
      <c r="G434" s="22">
        <f>(C434 * E434 + C434 * E434 * F434)</f>
      </c>
    </row>
    <row r="435">
      <c r="A435" s="5"/>
      <c r="B435" s="16" t="s">
        <v>428</v>
      </c>
      <c r="C435" s="22">
        <f>(27)*(1)*(1)*(1)*(1 + (0))</f>
      </c>
      <c r="D435" s="22" t="s">
        <v>24</v>
      </c>
      <c r="E435" s="22"/>
      <c r="F435" s="22">
        <f>(0)</f>
      </c>
      <c r="G435" s="22">
        <f>(C435 * E435 + C435 * E435 * F435)</f>
      </c>
    </row>
    <row r="436">
      <c r="A436" s="5"/>
      <c r="B436" s="16" t="s">
        <v>429</v>
      </c>
      <c r="C436" s="22">
        <f>(31)*(1)*(1)*(1)*(1 + (0))</f>
      </c>
      <c r="D436" s="22" t="s">
        <v>153</v>
      </c>
      <c r="E436" s="22"/>
      <c r="F436" s="22">
        <f>(0)</f>
      </c>
      <c r="G436" s="22">
        <f>(C436 * E436 + C436 * E436 * F436)</f>
      </c>
    </row>
    <row r="437">
      <c r="A437" s="5"/>
      <c r="B437" s="16" t="s">
        <v>430</v>
      </c>
      <c r="C437" s="22">
        <f>(8)*(1)*(1)*(1)*(1 + (0))</f>
      </c>
      <c r="D437" s="22" t="s">
        <v>153</v>
      </c>
      <c r="E437" s="22"/>
      <c r="F437" s="22">
        <f>(0)</f>
      </c>
      <c r="G437" s="22">
        <f>(C437 * E437 + C437 * E437 * F437)</f>
      </c>
    </row>
    <row r="438">
      <c r="A438" s="6"/>
      <c r="B438" s="15" t="s">
        <v>324</v>
      </c>
      <c r="C438" s="23"/>
      <c r="D438" s="23"/>
      <c r="E438" s="23"/>
      <c r="F438" s="23"/>
      <c r="G438" s="23"/>
    </row>
    <row r="439">
      <c r="A439" s="5"/>
      <c r="B439" s="16" t="s">
        <v>425</v>
      </c>
      <c r="C439" s="22">
        <f>(16)*(1)*(1)*(1)*(1 + (0))</f>
      </c>
      <c r="D439" s="22" t="s">
        <v>24</v>
      </c>
      <c r="E439" s="22"/>
      <c r="F439" s="22">
        <f>(0)</f>
      </c>
      <c r="G439" s="22">
        <f>(C439 * E439 + C439 * E439 * F439)</f>
      </c>
    </row>
    <row r="440">
      <c r="A440" s="5"/>
      <c r="B440" s="16" t="s">
        <v>426</v>
      </c>
      <c r="C440" s="22">
        <f>(14)*(1)*(1)*(1)*(1 + (0))</f>
      </c>
      <c r="D440" s="22" t="s">
        <v>153</v>
      </c>
      <c r="E440" s="22"/>
      <c r="F440" s="22">
        <f>(0)</f>
      </c>
      <c r="G440" s="22">
        <f>(C440 * E440 + C440 * E440 * F440)</f>
      </c>
    </row>
    <row r="441">
      <c r="A441" s="5"/>
      <c r="B441" s="16" t="s">
        <v>427</v>
      </c>
      <c r="C441" s="22">
        <f>(51)*(1)*(1)*(1)*(1 + (0))</f>
      </c>
      <c r="D441" s="22" t="s">
        <v>153</v>
      </c>
      <c r="E441" s="22"/>
      <c r="F441" s="22">
        <f>(0)</f>
      </c>
      <c r="G441" s="22">
        <f>(C441 * E441 + C441 * E441 * F441)</f>
      </c>
    </row>
    <row r="442">
      <c r="A442" s="5"/>
      <c r="B442" s="16" t="s">
        <v>428</v>
      </c>
      <c r="C442" s="22">
        <f>(32)*(1)*(1)*(1)*(1 + (0))</f>
      </c>
      <c r="D442" s="22" t="s">
        <v>24</v>
      </c>
      <c r="E442" s="22"/>
      <c r="F442" s="22">
        <f>(0)</f>
      </c>
      <c r="G442" s="22">
        <f>(C442 * E442 + C442 * E442 * F442)</f>
      </c>
    </row>
    <row r="443">
      <c r="A443" s="5"/>
      <c r="B443" s="16" t="s">
        <v>429</v>
      </c>
      <c r="C443" s="22">
        <f>(32)*(1)*(1)*(1)*(1 + (0))</f>
      </c>
      <c r="D443" s="22" t="s">
        <v>153</v>
      </c>
      <c r="E443" s="22"/>
      <c r="F443" s="22">
        <f>(0)</f>
      </c>
      <c r="G443" s="22">
        <f>(C443 * E443 + C443 * E443 * F443)</f>
      </c>
    </row>
    <row r="444">
      <c r="A444" s="5"/>
      <c r="B444" s="16" t="s">
        <v>430</v>
      </c>
      <c r="C444" s="22">
        <f>(12)*(1)*(1)*(1)*(1 + (0))</f>
      </c>
      <c r="D444" s="22" t="s">
        <v>153</v>
      </c>
      <c r="E444" s="22"/>
      <c r="F444" s="22">
        <f>(0)</f>
      </c>
      <c r="G444" s="22">
        <f>(C444 * E444 + C444 * E444 * F444)</f>
      </c>
    </row>
    <row r="445">
      <c r="A445" s="2"/>
      <c r="B445" s="10" t="s">
        <v>178</v>
      </c>
      <c r="C445" s="19"/>
      <c r="D445" s="19"/>
      <c r="E445" s="19"/>
      <c r="F445" s="19"/>
      <c r="G445" s="19"/>
    </row>
    <row r="446">
      <c r="A446" s="3"/>
      <c r="B446" s="11" t="s">
        <v>37</v>
      </c>
      <c r="C446" s="20"/>
      <c r="D446" s="20"/>
      <c r="E446" s="20"/>
      <c r="F446" s="20"/>
      <c r="G446" s="20"/>
    </row>
    <row r="447">
      <c r="A447" s="5" t="s">
        <v>431</v>
      </c>
      <c r="B447" s="14" t="s">
        <v>39</v>
      </c>
      <c r="C447" s="22"/>
      <c r="D447" s="22" t="s">
        <v>10</v>
      </c>
      <c r="E447" s="22"/>
      <c r="F447" s="22">
        <f>(0)</f>
      </c>
      <c r="G447" s="22">
        <f>(C447 * E447 + C447 * E447 * F447)</f>
      </c>
    </row>
    <row r="448">
      <c r="A448" s="5" t="s">
        <v>432</v>
      </c>
      <c r="B448" s="14" t="s">
        <v>41</v>
      </c>
      <c r="C448" s="22"/>
      <c r="D448" s="22" t="s">
        <v>10</v>
      </c>
      <c r="E448" s="22"/>
      <c r="F448" s="22">
        <f>(0)</f>
      </c>
      <c r="G448" s="22">
        <f>(C448 * E448 + C448 * E448 * F448)</f>
      </c>
    </row>
    <row r="449">
      <c r="A449" s="3"/>
      <c r="B449" s="11" t="s">
        <v>42</v>
      </c>
      <c r="C449" s="20"/>
      <c r="D449" s="20"/>
      <c r="E449" s="20"/>
      <c r="F449" s="20"/>
      <c r="G449" s="20"/>
    </row>
    <row r="450">
      <c r="A450" s="5"/>
      <c r="B450" s="14" t="s">
        <v>118</v>
      </c>
      <c r="C450" s="22"/>
      <c r="D450" s="22" t="s">
        <v>10</v>
      </c>
      <c r="E450" s="22"/>
      <c r="F450" s="22">
        <f>(0)</f>
      </c>
      <c r="G450" s="22">
        <f>(C450 * E450 + C450 * E450 * F450)</f>
      </c>
    </row>
    <row r="451">
      <c r="A451" s="5"/>
      <c r="B451" s="14" t="s">
        <v>43</v>
      </c>
      <c r="C451" s="22"/>
      <c r="D451" s="22" t="s">
        <v>10</v>
      </c>
      <c r="E451" s="22"/>
      <c r="F451" s="22">
        <f>(0)</f>
      </c>
      <c r="G451" s="22">
        <f>(C451 * E451 + C451 * E451 * F451)</f>
      </c>
    </row>
    <row r="452">
      <c r="A452" s="5"/>
      <c r="B452" s="14" t="s">
        <v>210</v>
      </c>
      <c r="C452" s="22"/>
      <c r="D452" s="22" t="s">
        <v>10</v>
      </c>
      <c r="E452" s="22"/>
      <c r="F452" s="22">
        <f>(0)</f>
      </c>
      <c r="G452" s="22">
        <f>(C452 * E452 + C452 * E452 * F452)</f>
      </c>
    </row>
    <row r="453">
      <c r="A453" s="3"/>
      <c r="B453" s="11" t="s">
        <v>44</v>
      </c>
      <c r="C453" s="20"/>
      <c r="D453" s="20"/>
      <c r="E453" s="20"/>
      <c r="F453" s="20"/>
      <c r="G453" s="20"/>
    </row>
    <row r="454">
      <c r="A454" s="4"/>
      <c r="B454" s="12" t="s">
        <v>45</v>
      </c>
      <c r="C454" s="21"/>
      <c r="D454" s="21"/>
      <c r="E454" s="21"/>
      <c r="F454" s="21"/>
      <c r="G454" s="21"/>
    </row>
    <row r="455">
      <c r="A455" s="5" t="s">
        <v>433</v>
      </c>
      <c r="B455" s="13" t="s">
        <v>434</v>
      </c>
      <c r="C455" s="22"/>
      <c r="D455" s="22" t="s">
        <v>10</v>
      </c>
      <c r="E455" s="22"/>
      <c r="F455" s="22">
        <f>(0)</f>
      </c>
      <c r="G455" s="22">
        <f>(C455 * E455 + C455 * E455 * F455)</f>
      </c>
    </row>
    <row r="456">
      <c r="A456" s="5" t="s">
        <v>435</v>
      </c>
      <c r="B456" s="13" t="s">
        <v>436</v>
      </c>
      <c r="C456" s="22"/>
      <c r="D456" s="22" t="s">
        <v>10</v>
      </c>
      <c r="E456" s="22"/>
      <c r="F456" s="22">
        <f>(0)</f>
      </c>
      <c r="G456" s="22">
        <f>(C456 * E456 + C456 * E456 * F456)</f>
      </c>
    </row>
    <row r="457">
      <c r="A457" s="5" t="s">
        <v>437</v>
      </c>
      <c r="B457" s="13" t="s">
        <v>438</v>
      </c>
      <c r="C457" s="22"/>
      <c r="D457" s="22" t="s">
        <v>10</v>
      </c>
      <c r="E457" s="22"/>
      <c r="F457" s="22">
        <f>(0)</f>
      </c>
      <c r="G457" s="22">
        <f>(C457 * E457 + C457 * E457 * F457)</f>
      </c>
    </row>
    <row r="458">
      <c r="A458" s="5" t="s">
        <v>439</v>
      </c>
      <c r="B458" s="13" t="s">
        <v>440</v>
      </c>
      <c r="C458" s="22"/>
      <c r="D458" s="22" t="s">
        <v>10</v>
      </c>
      <c r="E458" s="22"/>
      <c r="F458" s="22">
        <f>(0)</f>
      </c>
      <c r="G458" s="22">
        <f>(C458 * E458 + C458 * E458 * F458)</f>
      </c>
    </row>
    <row r="459">
      <c r="A459" s="5" t="s">
        <v>441</v>
      </c>
      <c r="B459" s="13" t="s">
        <v>123</v>
      </c>
      <c r="C459" s="22"/>
      <c r="D459" s="22" t="s">
        <v>10</v>
      </c>
      <c r="E459" s="22"/>
      <c r="F459" s="22">
        <f>(0)</f>
      </c>
      <c r="G459" s="22">
        <f>(C459 * E459 + C459 * E459 * F459)</f>
      </c>
    </row>
    <row r="460">
      <c r="A460" s="3"/>
      <c r="B460" s="11" t="s">
        <v>68</v>
      </c>
      <c r="C460" s="20"/>
      <c r="D460" s="20"/>
      <c r="E460" s="20"/>
      <c r="F460" s="20"/>
      <c r="G460" s="20"/>
    </row>
    <row r="461">
      <c r="A461" s="5" t="s">
        <v>442</v>
      </c>
      <c r="B461" s="14" t="s">
        <v>70</v>
      </c>
      <c r="C461" s="22">
        <f>(1)*(1)*(1)*(1)*(1 + (0))</f>
      </c>
      <c r="D461" s="22" t="s">
        <v>71</v>
      </c>
      <c r="E461" s="22"/>
      <c r="F461" s="22">
        <f>(0)</f>
      </c>
      <c r="G461" s="22">
        <f>(C461 * E461 + C461 * E461 * F461)</f>
      </c>
    </row>
    <row r="462">
      <c r="A462" s="5" t="s">
        <v>443</v>
      </c>
      <c r="B462" s="14" t="s">
        <v>73</v>
      </c>
      <c r="C462" s="22">
        <f>(1)*(1)*(1)*(1)*(1 + (0))</f>
      </c>
      <c r="D462" s="22" t="s">
        <v>71</v>
      </c>
      <c r="E462" s="22"/>
      <c r="F462" s="22">
        <f>(0)</f>
      </c>
      <c r="G462" s="22">
        <f>(C462 * E462 + C462 * E462 * F462)</f>
      </c>
    </row>
    <row r="463">
      <c r="A463" s="5" t="s">
        <v>444</v>
      </c>
      <c r="B463" s="14" t="s">
        <v>445</v>
      </c>
      <c r="C463" s="22">
        <f>(1)*(1)*(1)*(1)*(1 + (0))</f>
      </c>
      <c r="D463" s="22" t="s">
        <v>71</v>
      </c>
      <c r="E463" s="22"/>
      <c r="F463" s="22">
        <f>(0)</f>
      </c>
      <c r="G463" s="22">
        <f>(C463 * E463 + C463 * E463 * F463)</f>
      </c>
    </row>
    <row r="464">
      <c r="A464" s="5" t="s">
        <v>446</v>
      </c>
      <c r="B464" s="14" t="s">
        <v>447</v>
      </c>
      <c r="C464" s="22">
        <f>(1)*(1)*(1)*(1)*(1 + (0))</f>
      </c>
      <c r="D464" s="22" t="s">
        <v>71</v>
      </c>
      <c r="E464" s="22"/>
      <c r="F464" s="22">
        <f>(0)</f>
      </c>
      <c r="G464" s="22">
        <f>(C464 * E464 + C464 * E464 * F464)</f>
      </c>
    </row>
    <row r="465">
      <c r="A465" s="5" t="s">
        <v>448</v>
      </c>
      <c r="B465" s="14" t="s">
        <v>449</v>
      </c>
      <c r="C465" s="22">
        <f>(1)*(1)*(1)*(1)*(1 + (0))</f>
      </c>
      <c r="D465" s="22" t="s">
        <v>71</v>
      </c>
      <c r="E465" s="22"/>
      <c r="F465" s="22">
        <f>(0)</f>
      </c>
      <c r="G465" s="22">
        <f>(C465 * E465 + C465 * E465 * F465)</f>
      </c>
    </row>
    <row r="466">
      <c r="A466" s="5" t="s">
        <v>450</v>
      </c>
      <c r="B466" s="14" t="s">
        <v>451</v>
      </c>
      <c r="C466" s="22">
        <f>(1)*(1)*(1)*(1)*(1 + (0))</f>
      </c>
      <c r="D466" s="22" t="s">
        <v>71</v>
      </c>
      <c r="E466" s="22"/>
      <c r="F466" s="22">
        <f>(0)</f>
      </c>
      <c r="G466" s="22">
        <f>(C466 * E466 + C466 * E466 * F466)</f>
      </c>
    </row>
    <row r="467">
      <c r="A467" s="3"/>
      <c r="B467" s="11" t="s">
        <v>106</v>
      </c>
      <c r="C467" s="20"/>
      <c r="D467" s="20"/>
      <c r="E467" s="20"/>
      <c r="F467" s="20"/>
      <c r="G467" s="20"/>
    </row>
    <row r="468">
      <c r="A468" s="5"/>
      <c r="B468" s="14" t="s">
        <v>452</v>
      </c>
      <c r="C468" s="22"/>
      <c r="D468" s="22" t="s">
        <v>10</v>
      </c>
      <c r="E468" s="22"/>
      <c r="F468" s="22">
        <f>(0)</f>
      </c>
      <c r="G468" s="22">
        <f>(C468 * E468 + C468 * E468 * F468)</f>
      </c>
    </row>
    <row r="469">
      <c r="A469" s="3"/>
      <c r="B469" s="11" t="s">
        <v>453</v>
      </c>
      <c r="C469" s="20"/>
      <c r="D469" s="20"/>
      <c r="E469" s="20"/>
      <c r="F469" s="20"/>
      <c r="G469" s="20"/>
    </row>
    <row r="470">
      <c r="A470" s="5"/>
      <c r="B470" s="14" t="s">
        <v>454</v>
      </c>
      <c r="C470" s="22">
        <f>(1.25)*(1)*(1)*(1)*(1 + (0))</f>
      </c>
      <c r="D470" s="22" t="s">
        <v>182</v>
      </c>
      <c r="E470" s="22"/>
      <c r="F470" s="22">
        <f>(0)</f>
      </c>
      <c r="G470" s="22">
        <f>(C470 * E470 + C470 * E470 * F470)</f>
      </c>
    </row>
    <row r="471">
      <c r="A471" s="5"/>
      <c r="B471" s="14" t="s">
        <v>455</v>
      </c>
      <c r="C471" s="22">
        <f>(98.63)*(1)*(1)*(1)*(1 + (0))</f>
      </c>
      <c r="D471" s="22" t="s">
        <v>182</v>
      </c>
      <c r="E471" s="22"/>
      <c r="F471" s="22">
        <f>(0)</f>
      </c>
      <c r="G471" s="22">
        <f>(C471 * E471 + C471 * E471 * F471)</f>
      </c>
    </row>
    <row r="472">
      <c r="A472" s="5"/>
      <c r="B472" s="14" t="s">
        <v>456</v>
      </c>
      <c r="C472" s="22">
        <f>(31)*(1)*(1)*(1)*(1 + (0))</f>
      </c>
      <c r="D472" s="22" t="s">
        <v>24</v>
      </c>
      <c r="E472" s="22"/>
      <c r="F472" s="22">
        <f>(0)</f>
      </c>
      <c r="G472" s="22">
        <f>(C472 * E472 + C472 * E472 * F472)</f>
      </c>
    </row>
    <row r="473">
      <c r="A473" s="3"/>
      <c r="B473" s="11" t="s">
        <v>457</v>
      </c>
      <c r="C473" s="20"/>
      <c r="D473" s="20"/>
      <c r="E473" s="20"/>
      <c r="F473" s="20"/>
      <c r="G473" s="20"/>
    </row>
    <row r="474">
      <c r="A474" s="4"/>
      <c r="B474" s="12" t="s">
        <v>397</v>
      </c>
      <c r="C474" s="21"/>
      <c r="D474" s="21"/>
      <c r="E474" s="21"/>
      <c r="F474" s="21"/>
      <c r="G474" s="21"/>
    </row>
    <row r="475">
      <c r="A475" s="6"/>
      <c r="B475" s="15" t="s">
        <v>313</v>
      </c>
      <c r="C475" s="23"/>
      <c r="D475" s="23"/>
      <c r="E475" s="23"/>
      <c r="F475" s="23"/>
      <c r="G475" s="23"/>
    </row>
    <row r="476">
      <c r="A476" s="5"/>
      <c r="B476" s="16" t="s">
        <v>458</v>
      </c>
      <c r="C476" s="22">
        <f>(1.020775822)*(1)*(1)*(1)*(1 + (0))</f>
      </c>
      <c r="D476" s="22" t="s">
        <v>182</v>
      </c>
      <c r="E476" s="22"/>
      <c r="F476" s="22">
        <f>(0)</f>
      </c>
      <c r="G476" s="22">
        <f>(C476 * E476 + C476 * E476 * F476)</f>
      </c>
    </row>
    <row r="477">
      <c r="A477" s="6"/>
      <c r="B477" s="15" t="s">
        <v>316</v>
      </c>
      <c r="C477" s="23"/>
      <c r="D477" s="23"/>
      <c r="E477" s="23"/>
      <c r="F477" s="23"/>
      <c r="G477" s="23"/>
    </row>
    <row r="478">
      <c r="A478" s="5"/>
      <c r="B478" s="16" t="s">
        <v>458</v>
      </c>
      <c r="C478" s="22">
        <f>(0.23256705)*(1)*(1)*(1)*(1 + (0))</f>
      </c>
      <c r="D478" s="22" t="s">
        <v>182</v>
      </c>
      <c r="E478" s="22"/>
      <c r="F478" s="22">
        <f>(0)</f>
      </c>
      <c r="G478" s="22">
        <f>(C478 * E478 + C478 * E478 * F478)</f>
      </c>
    </row>
    <row r="479">
      <c r="A479" s="3"/>
      <c r="B479" s="11" t="s">
        <v>459</v>
      </c>
      <c r="C479" s="20"/>
      <c r="D479" s="20"/>
      <c r="E479" s="20"/>
      <c r="F479" s="20"/>
      <c r="G479" s="20"/>
    </row>
    <row r="480">
      <c r="A480" s="4"/>
      <c r="B480" s="12" t="s">
        <v>400</v>
      </c>
      <c r="C480" s="21"/>
      <c r="D480" s="21"/>
      <c r="E480" s="21"/>
      <c r="F480" s="21"/>
      <c r="G480" s="21"/>
    </row>
    <row r="481">
      <c r="A481" s="6"/>
      <c r="B481" s="15" t="s">
        <v>247</v>
      </c>
      <c r="C481" s="23"/>
      <c r="D481" s="23"/>
      <c r="E481" s="23"/>
      <c r="F481" s="23"/>
      <c r="G481" s="23"/>
    </row>
    <row r="482">
      <c r="A482" s="5"/>
      <c r="B482" s="16" t="s">
        <v>460</v>
      </c>
      <c r="C482" s="22">
        <f>(3.7179)*(1)*(1)*(1)*(1 + (0))</f>
      </c>
      <c r="D482" s="22" t="s">
        <v>182</v>
      </c>
      <c r="E482" s="22"/>
      <c r="F482" s="22">
        <f>(0)</f>
      </c>
      <c r="G482" s="22">
        <f>(C482 * E482 + C482 * E482 * F482)</f>
      </c>
    </row>
    <row r="483">
      <c r="A483" s="4"/>
      <c r="B483" s="12" t="s">
        <v>404</v>
      </c>
      <c r="C483" s="21"/>
      <c r="D483" s="21"/>
      <c r="E483" s="21"/>
      <c r="F483" s="21"/>
      <c r="G483" s="21"/>
    </row>
    <row r="484">
      <c r="A484" s="6"/>
      <c r="B484" s="15" t="s">
        <v>252</v>
      </c>
      <c r="C484" s="23"/>
      <c r="D484" s="23"/>
      <c r="E484" s="23"/>
      <c r="F484" s="23"/>
      <c r="G484" s="23"/>
    </row>
    <row r="485">
      <c r="A485" s="5"/>
      <c r="B485" s="16" t="s">
        <v>461</v>
      </c>
      <c r="C485" s="22">
        <f>(3.19979360675)*(1)*(1)*(1)*(1 + (0))</f>
      </c>
      <c r="D485" s="22" t="s">
        <v>182</v>
      </c>
      <c r="E485" s="22"/>
      <c r="F485" s="22">
        <f>(0)</f>
      </c>
      <c r="G485" s="22">
        <f>(C485 * E485 + C485 * E485 * F485)</f>
      </c>
    </row>
    <row r="486">
      <c r="A486" s="4"/>
      <c r="B486" s="12" t="s">
        <v>406</v>
      </c>
      <c r="C486" s="21"/>
      <c r="D486" s="21"/>
      <c r="E486" s="21"/>
      <c r="F486" s="21"/>
      <c r="G486" s="21"/>
    </row>
    <row r="487">
      <c r="A487" s="6"/>
      <c r="B487" s="15" t="s">
        <v>252</v>
      </c>
      <c r="C487" s="23"/>
      <c r="D487" s="23"/>
      <c r="E487" s="23"/>
      <c r="F487" s="23"/>
      <c r="G487" s="23"/>
    </row>
    <row r="488">
      <c r="A488" s="5"/>
      <c r="B488" s="16" t="s">
        <v>462</v>
      </c>
      <c r="C488" s="22">
        <f>(1.54184159815368)*(1)*(1)*(1)*(1 + (0))</f>
      </c>
      <c r="D488" s="22" t="s">
        <v>182</v>
      </c>
      <c r="E488" s="22"/>
      <c r="F488" s="22">
        <f>(0)</f>
      </c>
      <c r="G488" s="22">
        <f>(C488 * E488 + C488 * E488 * F488)</f>
      </c>
    </row>
    <row r="489">
      <c r="A489" s="4"/>
      <c r="B489" s="12" t="s">
        <v>408</v>
      </c>
      <c r="C489" s="21"/>
      <c r="D489" s="21"/>
      <c r="E489" s="21"/>
      <c r="F489" s="21"/>
      <c r="G489" s="21"/>
    </row>
    <row r="490">
      <c r="A490" s="6"/>
      <c r="B490" s="15" t="s">
        <v>247</v>
      </c>
      <c r="C490" s="23"/>
      <c r="D490" s="23"/>
      <c r="E490" s="23"/>
      <c r="F490" s="23"/>
      <c r="G490" s="23"/>
    </row>
    <row r="491">
      <c r="A491" s="5"/>
      <c r="B491" s="16" t="s">
        <v>463</v>
      </c>
      <c r="C491" s="22">
        <f>(19.4151045507172)*(1)*(1)*(1)*(1 + (0))</f>
      </c>
      <c r="D491" s="22" t="s">
        <v>182</v>
      </c>
      <c r="E491" s="22"/>
      <c r="F491" s="22">
        <f>(0)</f>
      </c>
      <c r="G491" s="22">
        <f>(C491 * E491 + C491 * E491 * F491)</f>
      </c>
    </row>
    <row r="492">
      <c r="A492" s="4"/>
      <c r="B492" s="12" t="s">
        <v>411</v>
      </c>
      <c r="C492" s="21"/>
      <c r="D492" s="21"/>
      <c r="E492" s="21"/>
      <c r="F492" s="21"/>
      <c r="G492" s="21"/>
    </row>
    <row r="493">
      <c r="A493" s="6"/>
      <c r="B493" s="15" t="s">
        <v>247</v>
      </c>
      <c r="C493" s="23"/>
      <c r="D493" s="23"/>
      <c r="E493" s="23"/>
      <c r="F493" s="23"/>
      <c r="G493" s="23"/>
    </row>
    <row r="494">
      <c r="A494" s="5"/>
      <c r="B494" s="16" t="s">
        <v>464</v>
      </c>
      <c r="C494" s="22">
        <f>(19.5885274923284)*(1)*(1)*(1)*(1 + (0))</f>
      </c>
      <c r="D494" s="22" t="s">
        <v>182</v>
      </c>
      <c r="E494" s="22"/>
      <c r="F494" s="22">
        <f>(0)</f>
      </c>
      <c r="G494" s="22">
        <f>(C494 * E494 + C494 * E494 * F494)</f>
      </c>
    </row>
    <row r="495">
      <c r="A495" s="5"/>
      <c r="B495" s="16" t="s">
        <v>465</v>
      </c>
      <c r="C495" s="22">
        <f>(0.358027848908734)*(1)*(1)*(1)*(1 + (0))</f>
      </c>
      <c r="D495" s="22" t="s">
        <v>182</v>
      </c>
      <c r="E495" s="22"/>
      <c r="F495" s="22">
        <f>(0)</f>
      </c>
      <c r="G495" s="22">
        <f>(C495 * E495 + C495 * E495 * F495)</f>
      </c>
    </row>
    <row r="496">
      <c r="A496" s="4"/>
      <c r="B496" s="12" t="s">
        <v>382</v>
      </c>
      <c r="C496" s="21"/>
      <c r="D496" s="21"/>
      <c r="E496" s="21"/>
      <c r="F496" s="21"/>
      <c r="G496" s="21"/>
    </row>
    <row r="497">
      <c r="A497" s="6"/>
      <c r="B497" s="15" t="s">
        <v>272</v>
      </c>
      <c r="C497" s="23"/>
      <c r="D497" s="23"/>
      <c r="E497" s="23"/>
      <c r="F497" s="23"/>
      <c r="G497" s="23"/>
    </row>
    <row r="498">
      <c r="A498" s="5"/>
      <c r="B498" s="16" t="s">
        <v>466</v>
      </c>
      <c r="C498" s="22">
        <f>(17.6655491338234)*(1)*(1)*(1)*(1 + (0))</f>
      </c>
      <c r="D498" s="22" t="s">
        <v>182</v>
      </c>
      <c r="E498" s="22"/>
      <c r="F498" s="22">
        <f>(0)</f>
      </c>
      <c r="G498" s="22">
        <f>(C498 * E498 + C498 * E498 * F498)</f>
      </c>
    </row>
    <row r="499">
      <c r="A499" s="5"/>
      <c r="B499" s="16" t="s">
        <v>467</v>
      </c>
      <c r="C499" s="22">
        <f>(0.299058458538398)*(1)*(1)*(1)*(1 + (0))</f>
      </c>
      <c r="D499" s="22" t="s">
        <v>182</v>
      </c>
      <c r="E499" s="22"/>
      <c r="F499" s="22">
        <f>(0)</f>
      </c>
      <c r="G499" s="22">
        <f>(C499 * E499 + C499 * E499 * F499)</f>
      </c>
    </row>
    <row r="500">
      <c r="A500" s="5"/>
      <c r="B500" s="16" t="s">
        <v>468</v>
      </c>
      <c r="C500" s="22">
        <f>(0.183678759488453)*(1)*(1)*(1)*(1 + (0))</f>
      </c>
      <c r="D500" s="22" t="s">
        <v>182</v>
      </c>
      <c r="E500" s="22"/>
      <c r="F500" s="22">
        <f>(0)</f>
      </c>
      <c r="G500" s="22">
        <f>(C500 * E500 + C500 * E500 * F500)</f>
      </c>
    </row>
    <row r="501">
      <c r="A501" s="6"/>
      <c r="B501" s="15" t="s">
        <v>287</v>
      </c>
      <c r="C501" s="23"/>
      <c r="D501" s="23"/>
      <c r="E501" s="23"/>
      <c r="F501" s="23"/>
      <c r="G501" s="23"/>
    </row>
    <row r="502">
      <c r="A502" s="5"/>
      <c r="B502" s="16" t="s">
        <v>468</v>
      </c>
      <c r="C502" s="22">
        <f>(0.6995470629721)*(1)*(1)*(1)*(1 + (0))</f>
      </c>
      <c r="D502" s="22" t="s">
        <v>182</v>
      </c>
      <c r="E502" s="22"/>
      <c r="F502" s="22">
        <f>(0)</f>
      </c>
      <c r="G502" s="22">
        <f>(C502 * E502 + C502 * E502 * F502)</f>
      </c>
    </row>
    <row r="503">
      <c r="A503" s="4"/>
      <c r="B503" s="12" t="s">
        <v>389</v>
      </c>
      <c r="C503" s="21"/>
      <c r="D503" s="21"/>
      <c r="E503" s="21"/>
      <c r="F503" s="21"/>
      <c r="G503" s="21"/>
    </row>
    <row r="504">
      <c r="A504" s="6"/>
      <c r="B504" s="15" t="s">
        <v>272</v>
      </c>
      <c r="C504" s="23"/>
      <c r="D504" s="23"/>
      <c r="E504" s="23"/>
      <c r="F504" s="23"/>
      <c r="G504" s="23"/>
    </row>
    <row r="505">
      <c r="A505" s="5"/>
      <c r="B505" s="16" t="s">
        <v>469</v>
      </c>
      <c r="C505" s="22">
        <f>(0.0451686478869637)*(1)*(1)*(1)*(1 + (0))</f>
      </c>
      <c r="D505" s="22" t="s">
        <v>182</v>
      </c>
      <c r="E505" s="22"/>
      <c r="F505" s="22">
        <f>(0)</f>
      </c>
      <c r="G505" s="22">
        <f>(C505 * E505 + C505 * E505 * F505)</f>
      </c>
    </row>
    <row r="506">
      <c r="A506" s="5"/>
      <c r="B506" s="16" t="s">
        <v>470</v>
      </c>
      <c r="C506" s="22">
        <f>(1.22773583105604)*(1)*(1)*(1)*(1 + (0))</f>
      </c>
      <c r="D506" s="22" t="s">
        <v>182</v>
      </c>
      <c r="E506" s="22"/>
      <c r="F506" s="22">
        <f>(0)</f>
      </c>
      <c r="G506" s="22">
        <f>(C506 * E506 + C506 * E506 * F506)</f>
      </c>
    </row>
    <row r="507">
      <c r="A507" s="4"/>
      <c r="B507" s="12" t="s">
        <v>392</v>
      </c>
      <c r="C507" s="21"/>
      <c r="D507" s="21"/>
      <c r="E507" s="21"/>
      <c r="F507" s="21"/>
      <c r="G507" s="21"/>
    </row>
    <row r="508">
      <c r="A508" s="6"/>
      <c r="B508" s="15" t="s">
        <v>293</v>
      </c>
      <c r="C508" s="23"/>
      <c r="D508" s="23"/>
      <c r="E508" s="23"/>
      <c r="F508" s="23"/>
      <c r="G508" s="23"/>
    </row>
    <row r="509">
      <c r="A509" s="5"/>
      <c r="B509" s="16" t="s">
        <v>471</v>
      </c>
      <c r="C509" s="22">
        <f>(0.2419375)*(1)*(1)*(1)*(1 + (0))</f>
      </c>
      <c r="D509" s="22" t="s">
        <v>182</v>
      </c>
      <c r="E509" s="22"/>
      <c r="F509" s="22">
        <f>(0)</f>
      </c>
      <c r="G509" s="22">
        <f>(C509 * E509 + C509 * E509 * F509)</f>
      </c>
    </row>
    <row r="510">
      <c r="A510" s="5"/>
      <c r="B510" s="16" t="s">
        <v>472</v>
      </c>
      <c r="C510" s="22">
        <f>(5.589)*(1)*(1)*(1)*(1 + (0))</f>
      </c>
      <c r="D510" s="22" t="s">
        <v>182</v>
      </c>
      <c r="E510" s="22"/>
      <c r="F510" s="22">
        <f>(0)</f>
      </c>
      <c r="G510" s="22">
        <f>(C510 * E510 + C510 * E510 * F510)</f>
      </c>
    </row>
    <row r="511">
      <c r="A511" s="5"/>
      <c r="B511" s="16" t="s">
        <v>473</v>
      </c>
      <c r="C511" s="22">
        <f>(1.172)*(1)*(1)*(1)*(1 + (0))</f>
      </c>
      <c r="D511" s="22" t="s">
        <v>182</v>
      </c>
      <c r="E511" s="22"/>
      <c r="F511" s="22">
        <f>(0)</f>
      </c>
      <c r="G511" s="22">
        <f>(C511 * E511 + C511 * E511 * F511)</f>
      </c>
    </row>
    <row r="512">
      <c r="A512" s="5"/>
      <c r="B512" s="16" t="s">
        <v>474</v>
      </c>
      <c r="C512" s="22">
        <f>(0.3156)*(1)*(1)*(1)*(1 + (0))</f>
      </c>
      <c r="D512" s="22" t="s">
        <v>182</v>
      </c>
      <c r="E512" s="22"/>
      <c r="F512" s="22">
        <f>(0)</f>
      </c>
      <c r="G512" s="22">
        <f>(C512 * E512 + C512 * E512 * F512)</f>
      </c>
    </row>
    <row r="513">
      <c r="A513" s="6"/>
      <c r="B513" s="15" t="s">
        <v>298</v>
      </c>
      <c r="C513" s="23"/>
      <c r="D513" s="23"/>
      <c r="E513" s="23"/>
      <c r="F513" s="23"/>
      <c r="G513" s="23"/>
    </row>
    <row r="514">
      <c r="A514" s="5"/>
      <c r="B514" s="16" t="s">
        <v>474</v>
      </c>
      <c r="C514" s="22">
        <f>(0.192)*(1)*(1)*(1)*(1 + (0))</f>
      </c>
      <c r="D514" s="22" t="s">
        <v>182</v>
      </c>
      <c r="E514" s="22"/>
      <c r="F514" s="22">
        <f>(0)</f>
      </c>
      <c r="G514" s="22">
        <f>(C514 * E514 + C514 * E514 * F514)</f>
      </c>
    </row>
    <row r="515">
      <c r="A515" s="5"/>
      <c r="B515" s="16" t="s">
        <v>475</v>
      </c>
      <c r="C515" s="22">
        <f>(0.4)*(1)*(1)*(1)*(1 + (0))</f>
      </c>
      <c r="D515" s="22" t="s">
        <v>182</v>
      </c>
      <c r="E515" s="22"/>
      <c r="F515" s="22">
        <f>(0)</f>
      </c>
      <c r="G515" s="22">
        <f>(C515 * E515 + C515 * E515 * F515)</f>
      </c>
    </row>
    <row r="516">
      <c r="A516" s="5"/>
      <c r="B516" s="16" t="s">
        <v>473</v>
      </c>
      <c r="C516" s="22">
        <f>(0.32)*(1)*(1)*(1)*(1 + (0))</f>
      </c>
      <c r="D516" s="22" t="s">
        <v>182</v>
      </c>
      <c r="E516" s="22"/>
      <c r="F516" s="22">
        <f>(0)</f>
      </c>
      <c r="G516" s="22">
        <f>(C516 * E516 + C516 * E516 * F516)</f>
      </c>
    </row>
    <row r="517">
      <c r="A517" s="5"/>
      <c r="B517" s="16" t="s">
        <v>472</v>
      </c>
      <c r="C517" s="22">
        <f>(6.37875)*(1)*(1)*(1)*(1 + (0))</f>
      </c>
      <c r="D517" s="22" t="s">
        <v>182</v>
      </c>
      <c r="E517" s="22"/>
      <c r="F517" s="22">
        <f>(0)</f>
      </c>
      <c r="G517" s="22">
        <f>(C517 * E517 + C517 * E517 * F517)</f>
      </c>
    </row>
    <row r="518">
      <c r="A518" s="5"/>
      <c r="B518" s="16" t="s">
        <v>471</v>
      </c>
      <c r="C518" s="22">
        <f>(0.189875)*(1)*(1)*(1)*(1 + (0))</f>
      </c>
      <c r="D518" s="22" t="s">
        <v>182</v>
      </c>
      <c r="E518" s="22"/>
      <c r="F518" s="22">
        <f>(0)</f>
      </c>
      <c r="G518" s="22">
        <f>(C518 * E518 + C518 * E518 * F518)</f>
      </c>
    </row>
    <row r="519">
      <c r="A519" s="4"/>
      <c r="B519" s="12" t="s">
        <v>395</v>
      </c>
      <c r="C519" s="21"/>
      <c r="D519" s="21"/>
      <c r="E519" s="21"/>
      <c r="F519" s="21"/>
      <c r="G519" s="21"/>
    </row>
    <row r="520">
      <c r="A520" s="6"/>
      <c r="B520" s="15" t="s">
        <v>304</v>
      </c>
      <c r="C520" s="23"/>
      <c r="D520" s="23"/>
      <c r="E520" s="23"/>
      <c r="F520" s="23"/>
      <c r="G520" s="23"/>
    </row>
    <row r="521">
      <c r="A521" s="5"/>
      <c r="B521" s="16" t="s">
        <v>293</v>
      </c>
      <c r="C521" s="22"/>
      <c r="D521" s="22"/>
      <c r="E521" s="22"/>
      <c r="F521" s="22"/>
      <c r="G521" s="22"/>
    </row>
    <row r="522">
      <c r="A522" s="5"/>
      <c r="B522" s="17" t="s">
        <v>476</v>
      </c>
      <c r="C522" s="22">
        <f>(1.66563417153819)*(1)*(1)*(1)*(1 + (0))</f>
      </c>
      <c r="D522" s="22" t="s">
        <v>182</v>
      </c>
      <c r="E522" s="22"/>
      <c r="F522" s="22">
        <f>(0)</f>
      </c>
      <c r="G522" s="22">
        <f>(C522 * E522 + C522 * E522 * F522)</f>
      </c>
    </row>
    <row r="523">
      <c r="A523" s="5"/>
      <c r="B523" s="17" t="s">
        <v>477</v>
      </c>
      <c r="C523" s="22">
        <f>(1.48832269083085)*(1)*(1)*(1)*(1 + (0))</f>
      </c>
      <c r="D523" s="22" t="s">
        <v>182</v>
      </c>
      <c r="E523" s="22"/>
      <c r="F523" s="22">
        <f>(0)</f>
      </c>
      <c r="G523" s="22">
        <f>(C523 * E523 + C523 * E523 * F523)</f>
      </c>
    </row>
    <row r="524">
      <c r="A524" s="6"/>
      <c r="B524" s="15" t="s">
        <v>307</v>
      </c>
      <c r="C524" s="23"/>
      <c r="D524" s="23"/>
      <c r="E524" s="23"/>
      <c r="F524" s="23"/>
      <c r="G524" s="23"/>
    </row>
    <row r="525">
      <c r="A525" s="5"/>
      <c r="B525" s="16" t="s">
        <v>478</v>
      </c>
      <c r="C525" s="22"/>
      <c r="D525" s="22"/>
      <c r="E525" s="22"/>
      <c r="F525" s="22"/>
      <c r="G525" s="22"/>
    </row>
    <row r="526">
      <c r="A526" s="5"/>
      <c r="B526" s="17" t="s">
        <v>479</v>
      </c>
      <c r="C526" s="22">
        <f>(0.851709723998937)*(1)*(1)*(1)*(1 + (0))</f>
      </c>
      <c r="D526" s="22" t="s">
        <v>182</v>
      </c>
      <c r="E526" s="22"/>
      <c r="F526" s="22">
        <f>(0)</f>
      </c>
      <c r="G526" s="22">
        <f>(C526 * E526 + C526 * E526 * F526)</f>
      </c>
    </row>
    <row r="527">
      <c r="A527" s="5"/>
      <c r="B527" s="16" t="s">
        <v>293</v>
      </c>
      <c r="C527" s="22"/>
      <c r="D527" s="22"/>
      <c r="E527" s="22"/>
      <c r="F527" s="22"/>
      <c r="G527" s="22"/>
    </row>
    <row r="528">
      <c r="A528" s="5"/>
      <c r="B528" s="17" t="s">
        <v>479</v>
      </c>
      <c r="C528" s="22">
        <f>(2.04592587642436)*(1)*(1)*(1)*(1 + (0))</f>
      </c>
      <c r="D528" s="22" t="s">
        <v>182</v>
      </c>
      <c r="E528" s="22"/>
      <c r="F528" s="22">
        <f>(0)</f>
      </c>
      <c r="G528" s="22">
        <f>(C528 * E528 + C528 * E528 * F528)</f>
      </c>
    </row>
    <row r="529">
      <c r="A529" s="5"/>
      <c r="B529" s="17" t="s">
        <v>477</v>
      </c>
      <c r="C529" s="22">
        <f>(4.19598568849543)*(1)*(1)*(1)*(1 + (0))</f>
      </c>
      <c r="D529" s="22" t="s">
        <v>182</v>
      </c>
      <c r="E529" s="22"/>
      <c r="F529" s="22">
        <f>(0)</f>
      </c>
      <c r="G529" s="22">
        <f>(C529 * E529 + C529 * E529 * F529)</f>
      </c>
    </row>
    <row r="530">
      <c r="A530" s="5"/>
      <c r="B530" s="16" t="s">
        <v>311</v>
      </c>
      <c r="C530" s="22"/>
      <c r="D530" s="22"/>
      <c r="E530" s="22"/>
      <c r="F530" s="22"/>
      <c r="G530" s="22"/>
    </row>
    <row r="531">
      <c r="A531" s="5"/>
      <c r="B531" s="17" t="s">
        <v>479</v>
      </c>
      <c r="C531" s="22">
        <f>(2.1875985034986)*(1)*(1)*(1)*(1 + (0))</f>
      </c>
      <c r="D531" s="22" t="s">
        <v>182</v>
      </c>
      <c r="E531" s="22"/>
      <c r="F531" s="22">
        <f>(0)</f>
      </c>
      <c r="G531" s="22">
        <f>(C531 * E531 + C531 * E531 * F531)</f>
      </c>
    </row>
    <row r="532">
      <c r="A532" s="4"/>
      <c r="B532" s="12" t="s">
        <v>424</v>
      </c>
      <c r="C532" s="21"/>
      <c r="D532" s="21"/>
      <c r="E532" s="21"/>
      <c r="F532" s="21"/>
      <c r="G532" s="21"/>
    </row>
    <row r="533">
      <c r="A533" s="5"/>
      <c r="B533" s="13" t="s">
        <v>480</v>
      </c>
      <c r="C533" s="22">
        <f>(1.63407766643645)*(1)*(1)*(1)*(1 + (0))</f>
      </c>
      <c r="D533" s="22" t="s">
        <v>182</v>
      </c>
      <c r="E533" s="22"/>
      <c r="F533" s="22">
        <f>(0)</f>
      </c>
      <c r="G533" s="22">
        <f>(C533 * E533 + C533 * E533 * F533)</f>
      </c>
    </row>
    <row r="534">
      <c r="A534" s="5"/>
      <c r="B534" s="13" t="s">
        <v>481</v>
      </c>
      <c r="C534" s="22">
        <f>(1.81026470018505)*(1)*(1)*(1)*(1 + (0))</f>
      </c>
      <c r="D534" s="22" t="s">
        <v>182</v>
      </c>
      <c r="E534" s="22"/>
      <c r="F534" s="22">
        <f>(0)</f>
      </c>
      <c r="G534" s="22">
        <f>(C534 * E534 + C534 * E534 * F534)</f>
      </c>
    </row>
    <row r="535">
      <c r="A535" s="3"/>
      <c r="B535" s="11" t="s">
        <v>482</v>
      </c>
      <c r="C535" s="20"/>
      <c r="D535" s="20"/>
      <c r="E535" s="20"/>
      <c r="F535" s="20"/>
      <c r="G535" s="20"/>
    </row>
    <row r="536">
      <c r="A536" s="4"/>
      <c r="B536" s="12" t="s">
        <v>411</v>
      </c>
      <c r="C536" s="21"/>
      <c r="D536" s="21"/>
      <c r="E536" s="21"/>
      <c r="F536" s="21"/>
      <c r="G536" s="21"/>
    </row>
    <row r="537">
      <c r="A537" s="6"/>
      <c r="B537" s="15" t="s">
        <v>252</v>
      </c>
      <c r="C537" s="23"/>
      <c r="D537" s="23"/>
      <c r="E537" s="23"/>
      <c r="F537" s="23"/>
      <c r="G537" s="23"/>
    </row>
    <row r="538">
      <c r="A538" s="5"/>
      <c r="B538" s="16" t="s">
        <v>483</v>
      </c>
      <c r="C538" s="22">
        <f>(31)*(1)*(1)*(1)*(1 + (0))</f>
      </c>
      <c r="D538" s="22" t="s">
        <v>24</v>
      </c>
      <c r="E538" s="22"/>
      <c r="F538" s="22">
        <f>(0)</f>
      </c>
      <c r="G538" s="22">
        <f>(C538 * E538 + C538 * E538 * F538)</f>
      </c>
    </row>
    <row r="539">
      <c r="A539" s="2"/>
      <c r="B539" s="10" t="s">
        <v>484</v>
      </c>
      <c r="C539" s="19"/>
      <c r="D539" s="19"/>
      <c r="E539" s="19"/>
      <c r="F539" s="19"/>
      <c r="G539" s="19"/>
    </row>
    <row r="540">
      <c r="A540" s="3"/>
      <c r="B540" s="11" t="s">
        <v>37</v>
      </c>
      <c r="C540" s="20"/>
      <c r="D540" s="20"/>
      <c r="E540" s="20"/>
      <c r="F540" s="20"/>
      <c r="G540" s="20"/>
    </row>
    <row r="541">
      <c r="A541" s="5" t="s">
        <v>485</v>
      </c>
      <c r="B541" s="14" t="s">
        <v>39</v>
      </c>
      <c r="C541" s="22"/>
      <c r="D541" s="22" t="s">
        <v>10</v>
      </c>
      <c r="E541" s="22"/>
      <c r="F541" s="22">
        <f>(0)</f>
      </c>
      <c r="G541" s="22">
        <f>(C541 * E541 + C541 * E541 * F541)</f>
      </c>
    </row>
    <row r="542">
      <c r="A542" s="5" t="s">
        <v>486</v>
      </c>
      <c r="B542" s="14" t="s">
        <v>41</v>
      </c>
      <c r="C542" s="22"/>
      <c r="D542" s="22" t="s">
        <v>10</v>
      </c>
      <c r="E542" s="22"/>
      <c r="F542" s="22">
        <f>(0)</f>
      </c>
      <c r="G542" s="22">
        <f>(C542 * E542 + C542 * E542 * F542)</f>
      </c>
    </row>
    <row r="543">
      <c r="A543" s="3"/>
      <c r="B543" s="11" t="s">
        <v>42</v>
      </c>
      <c r="C543" s="20"/>
      <c r="D543" s="20"/>
      <c r="E543" s="20"/>
      <c r="F543" s="20"/>
      <c r="G543" s="20"/>
    </row>
    <row r="544">
      <c r="A544" s="5"/>
      <c r="B544" s="14" t="s">
        <v>118</v>
      </c>
      <c r="C544" s="22"/>
      <c r="D544" s="22" t="s">
        <v>10</v>
      </c>
      <c r="E544" s="22"/>
      <c r="F544" s="22">
        <f>(0)</f>
      </c>
      <c r="G544" s="22">
        <f>(C544 * E544 + C544 * E544 * F544)</f>
      </c>
    </row>
    <row r="545">
      <c r="A545" s="5"/>
      <c r="B545" s="14" t="s">
        <v>43</v>
      </c>
      <c r="C545" s="22"/>
      <c r="D545" s="22" t="s">
        <v>10</v>
      </c>
      <c r="E545" s="22"/>
      <c r="F545" s="22">
        <f>(0)</f>
      </c>
      <c r="G545" s="22">
        <f>(C545 * E545 + C545 * E545 * F545)</f>
      </c>
    </row>
    <row r="546">
      <c r="A546" s="3"/>
      <c r="B546" s="11" t="s">
        <v>44</v>
      </c>
      <c r="C546" s="20"/>
      <c r="D546" s="20"/>
      <c r="E546" s="20"/>
      <c r="F546" s="20"/>
      <c r="G546" s="20"/>
    </row>
    <row r="547">
      <c r="A547" s="4"/>
      <c r="B547" s="12" t="s">
        <v>45</v>
      </c>
      <c r="C547" s="21"/>
      <c r="D547" s="21"/>
      <c r="E547" s="21"/>
      <c r="F547" s="21"/>
      <c r="G547" s="21"/>
    </row>
    <row r="548">
      <c r="A548" s="5" t="s">
        <v>487</v>
      </c>
      <c r="B548" s="13" t="s">
        <v>488</v>
      </c>
      <c r="C548" s="22"/>
      <c r="D548" s="22" t="s">
        <v>10</v>
      </c>
      <c r="E548" s="22"/>
      <c r="F548" s="22">
        <f>(0)</f>
      </c>
      <c r="G548" s="22">
        <f>(C548 * E548 + C548 * E548 * F548)</f>
      </c>
    </row>
    <row r="549">
      <c r="A549" s="5" t="s">
        <v>489</v>
      </c>
      <c r="B549" s="13" t="s">
        <v>123</v>
      </c>
      <c r="C549" s="22"/>
      <c r="D549" s="22" t="s">
        <v>10</v>
      </c>
      <c r="E549" s="22"/>
      <c r="F549" s="22">
        <f>(0)</f>
      </c>
      <c r="G549" s="22">
        <f>(C549 * E549 + C549 * E549 * F549)</f>
      </c>
    </row>
    <row r="550">
      <c r="A550" s="3"/>
      <c r="B550" s="11" t="s">
        <v>68</v>
      </c>
      <c r="C550" s="20"/>
      <c r="D550" s="20"/>
      <c r="E550" s="20"/>
      <c r="F550" s="20"/>
      <c r="G550" s="20"/>
    </row>
    <row r="551">
      <c r="A551" s="5" t="s">
        <v>490</v>
      </c>
      <c r="B551" s="14" t="s">
        <v>70</v>
      </c>
      <c r="C551" s="22">
        <f>(1)*(1)*(1)*(1)*(1 + (0))</f>
      </c>
      <c r="D551" s="22" t="s">
        <v>71</v>
      </c>
      <c r="E551" s="22"/>
      <c r="F551" s="22">
        <f>(0)</f>
      </c>
      <c r="G551" s="22">
        <f>(C551 * E551 + C551 * E551 * F551)</f>
      </c>
    </row>
    <row r="552">
      <c r="A552" s="5" t="s">
        <v>491</v>
      </c>
      <c r="B552" s="14" t="s">
        <v>492</v>
      </c>
      <c r="C552" s="22">
        <f>(1)*(1)*(1)*(1)*(1 + (0))</f>
      </c>
      <c r="D552" s="22" t="s">
        <v>71</v>
      </c>
      <c r="E552" s="22"/>
      <c r="F552" s="22">
        <f>(0)</f>
      </c>
      <c r="G552" s="22">
        <f>(C552 * E552 + C552 * E552 * F552)</f>
      </c>
    </row>
    <row r="553">
      <c r="A553" s="5" t="s">
        <v>493</v>
      </c>
      <c r="B553" s="14" t="s">
        <v>73</v>
      </c>
      <c r="C553" s="22">
        <f>(1)*(1)*(1)*(1)*(1 + (0))</f>
      </c>
      <c r="D553" s="22" t="s">
        <v>71</v>
      </c>
      <c r="E553" s="22"/>
      <c r="F553" s="22">
        <f>(0)</f>
      </c>
      <c r="G553" s="22">
        <f>(C553 * E553 + C553 * E553 * F553)</f>
      </c>
    </row>
    <row r="554">
      <c r="A554" s="5" t="s">
        <v>494</v>
      </c>
      <c r="B554" s="14" t="s">
        <v>495</v>
      </c>
      <c r="C554" s="22">
        <f>(1)*(1)*(1)*(1)*(1 + (0))</f>
      </c>
      <c r="D554" s="22" t="s">
        <v>71</v>
      </c>
      <c r="E554" s="22"/>
      <c r="F554" s="22">
        <f>(0)</f>
      </c>
      <c r="G554" s="22">
        <f>(C554 * E554 + C554 * E554 * F554)</f>
      </c>
    </row>
    <row r="555">
      <c r="A555" s="5" t="s">
        <v>496</v>
      </c>
      <c r="B555" s="14" t="s">
        <v>497</v>
      </c>
      <c r="C555" s="22">
        <f>(1)*(1)*(1)*(1)*(1 + (0))</f>
      </c>
      <c r="D555" s="22" t="s">
        <v>71</v>
      </c>
      <c r="E555" s="22"/>
      <c r="F555" s="22">
        <f>(0)</f>
      </c>
      <c r="G555" s="22">
        <f>(C555 * E555 + C555 * E555 * F555)</f>
      </c>
    </row>
    <row r="556">
      <c r="A556" s="5" t="s">
        <v>498</v>
      </c>
      <c r="B556" s="14" t="s">
        <v>499</v>
      </c>
      <c r="C556" s="22">
        <f>(1)*(1)*(1)*(1)*(1 + (0))</f>
      </c>
      <c r="D556" s="22" t="s">
        <v>71</v>
      </c>
      <c r="E556" s="22"/>
      <c r="F556" s="22">
        <f>(0)</f>
      </c>
      <c r="G556" s="22">
        <f>(C556 * E556 + C556 * E556 * F556)</f>
      </c>
    </row>
    <row r="557">
      <c r="A557" s="5" t="s">
        <v>500</v>
      </c>
      <c r="B557" s="14" t="s">
        <v>501</v>
      </c>
      <c r="C557" s="22">
        <f>(1)*(1)*(1)*(1)*(1 + (0))</f>
      </c>
      <c r="D557" s="22" t="s">
        <v>71</v>
      </c>
      <c r="E557" s="22"/>
      <c r="F557" s="22">
        <f>(0)</f>
      </c>
      <c r="G557" s="22">
        <f>(C557 * E557 + C557 * E557 * F557)</f>
      </c>
    </row>
    <row r="558">
      <c r="A558" s="5" t="s">
        <v>502</v>
      </c>
      <c r="B558" s="14" t="s">
        <v>503</v>
      </c>
      <c r="C558" s="22">
        <f>(1)*(1)*(1)*(1)*(1 + (0))</f>
      </c>
      <c r="D558" s="22" t="s">
        <v>71</v>
      </c>
      <c r="E558" s="22"/>
      <c r="F558" s="22">
        <f>(0)</f>
      </c>
      <c r="G558" s="22">
        <f>(C558 * E558 + C558 * E558 * F558)</f>
      </c>
    </row>
    <row r="559">
      <c r="A559" s="5" t="s">
        <v>504</v>
      </c>
      <c r="B559" s="14" t="s">
        <v>505</v>
      </c>
      <c r="C559" s="22">
        <f>(1)*(1)*(1)*(1)*(1 + (0))</f>
      </c>
      <c r="D559" s="22" t="s">
        <v>71</v>
      </c>
      <c r="E559" s="22"/>
      <c r="F559" s="22">
        <f>(0)</f>
      </c>
      <c r="G559" s="22">
        <f>(C559 * E559 + C559 * E559 * F559)</f>
      </c>
    </row>
    <row r="560">
      <c r="A560" s="5" t="s">
        <v>506</v>
      </c>
      <c r="B560" s="14" t="s">
        <v>507</v>
      </c>
      <c r="C560" s="22">
        <f>(1)*(1)*(1)*(1)*(1 + (0))</f>
      </c>
      <c r="D560" s="22" t="s">
        <v>71</v>
      </c>
      <c r="E560" s="22"/>
      <c r="F560" s="22">
        <f>(0)</f>
      </c>
      <c r="G560" s="22">
        <f>(C560 * E560 + C560 * E560 * F560)</f>
      </c>
    </row>
    <row r="561">
      <c r="A561" s="5" t="s">
        <v>508</v>
      </c>
      <c r="B561" s="14" t="s">
        <v>509</v>
      </c>
      <c r="C561" s="22">
        <f>(1)*(1)*(1)*(1)*(1 + (0))</f>
      </c>
      <c r="D561" s="22" t="s">
        <v>71</v>
      </c>
      <c r="E561" s="22"/>
      <c r="F561" s="22">
        <f>(0)</f>
      </c>
      <c r="G561" s="22">
        <f>(C561 * E561 + C561 * E561 * F561)</f>
      </c>
    </row>
    <row r="562">
      <c r="A562" s="5" t="s">
        <v>510</v>
      </c>
      <c r="B562" s="14" t="s">
        <v>511</v>
      </c>
      <c r="C562" s="22">
        <f>(1)*(1)*(1)*(1)*(1 + (0))</f>
      </c>
      <c r="D562" s="22" t="s">
        <v>71</v>
      </c>
      <c r="E562" s="22"/>
      <c r="F562" s="22">
        <f>(0)</f>
      </c>
      <c r="G562" s="22">
        <f>(C562 * E562 + C562 * E562 * F562)</f>
      </c>
    </row>
    <row r="563">
      <c r="A563" s="5" t="s">
        <v>512</v>
      </c>
      <c r="B563" s="14" t="s">
        <v>513</v>
      </c>
      <c r="C563" s="22">
        <f>(1)*(1)*(1)*(1)*(1 + (0))</f>
      </c>
      <c r="D563" s="22" t="s">
        <v>71</v>
      </c>
      <c r="E563" s="22"/>
      <c r="F563" s="22">
        <f>(0)</f>
      </c>
      <c r="G563" s="22">
        <f>(C563 * E563 + C563 * E563 * F563)</f>
      </c>
    </row>
    <row r="564">
      <c r="A564" s="3"/>
      <c r="B564" s="11" t="s">
        <v>514</v>
      </c>
      <c r="C564" s="20"/>
      <c r="D564" s="20"/>
      <c r="E564" s="20"/>
      <c r="F564" s="20"/>
      <c r="G564" s="20"/>
    </row>
    <row r="565">
      <c r="A565" s="5"/>
      <c r="B565" s="14" t="s">
        <v>515</v>
      </c>
      <c r="C565" s="22">
        <f>(9.56)*(1)*(1)*(1)*(1 + (0))</f>
      </c>
      <c r="D565" s="22" t="s">
        <v>182</v>
      </c>
      <c r="E565" s="22"/>
      <c r="F565" s="22">
        <f>(0)</f>
      </c>
      <c r="G565" s="22">
        <f>(C565 * E565 + C565 * E565 * F565)</f>
      </c>
    </row>
    <row r="566">
      <c r="A566" s="3"/>
      <c r="B566" s="11" t="s">
        <v>516</v>
      </c>
      <c r="C566" s="20"/>
      <c r="D566" s="20"/>
      <c r="E566" s="20"/>
      <c r="F566" s="20"/>
      <c r="G566" s="20"/>
    </row>
    <row r="567">
      <c r="A567" s="4"/>
      <c r="B567" s="12" t="s">
        <v>382</v>
      </c>
      <c r="C567" s="21"/>
      <c r="D567" s="21"/>
      <c r="E567" s="21"/>
      <c r="F567" s="21"/>
      <c r="G567" s="21"/>
    </row>
    <row r="568">
      <c r="A568" s="6"/>
      <c r="B568" s="15" t="s">
        <v>272</v>
      </c>
      <c r="C568" s="23"/>
      <c r="D568" s="23"/>
      <c r="E568" s="23"/>
      <c r="F568" s="23"/>
      <c r="G568" s="23"/>
    </row>
    <row r="569">
      <c r="A569" s="5"/>
      <c r="B569" s="16" t="s">
        <v>517</v>
      </c>
      <c r="C569" s="22">
        <f>(9.53939653226463)*(1)*(1)*(1)*(1 + (0))</f>
      </c>
      <c r="D569" s="22" t="s">
        <v>182</v>
      </c>
      <c r="E569" s="22"/>
      <c r="F569" s="22">
        <f>(0)</f>
      </c>
      <c r="G569" s="22">
        <f>(C569 * E569 + C569 * E569 * F569)</f>
      </c>
    </row>
    <row r="570">
      <c r="A570" s="4"/>
      <c r="B570" s="12" t="s">
        <v>389</v>
      </c>
      <c r="C570" s="21"/>
      <c r="D570" s="21"/>
      <c r="E570" s="21"/>
      <c r="F570" s="21"/>
      <c r="G570" s="21"/>
    </row>
    <row r="571">
      <c r="A571" s="6"/>
      <c r="B571" s="15" t="s">
        <v>272</v>
      </c>
      <c r="C571" s="23"/>
      <c r="D571" s="23"/>
      <c r="E571" s="23"/>
      <c r="F571" s="23"/>
      <c r="G571" s="23"/>
    </row>
    <row r="572">
      <c r="A572" s="5"/>
      <c r="B572" s="16" t="s">
        <v>518</v>
      </c>
      <c r="C572" s="22">
        <f>(0.0162607132393069)*(1)*(1)*(1)*(1 + (0))</f>
      </c>
      <c r="D572" s="22" t="s">
        <v>182</v>
      </c>
      <c r="E572" s="22"/>
      <c r="F572" s="22">
        <f>(0)</f>
      </c>
      <c r="G572" s="22">
        <f>(C572 * E572 + C572 * E572 * F572)</f>
      </c>
    </row>
    <row r="573">
      <c r="A573" s="5"/>
      <c r="B573" s="7" t="s">
        <v>519</v>
      </c>
      <c r="C573" s="22"/>
      <c r="D573" s="22"/>
      <c r="E573" s="22"/>
      <c r="F573" s="22">
        <f>(0)</f>
      </c>
      <c r="G573" s="22">
        <f>(C573 * E573 + C573 * E573 * F573)</f>
      </c>
    </row>
    <row r="574">
      <c r="A574" s="2"/>
      <c r="B574" s="10" t="s">
        <v>520</v>
      </c>
      <c r="C574" s="19"/>
      <c r="D574" s="19"/>
      <c r="E574" s="19"/>
      <c r="F574" s="19"/>
      <c r="G574" s="19"/>
    </row>
    <row r="575">
      <c r="A575" s="3"/>
      <c r="B575" s="11" t="s">
        <v>37</v>
      </c>
      <c r="C575" s="20"/>
      <c r="D575" s="20"/>
      <c r="E575" s="20"/>
      <c r="F575" s="20"/>
      <c r="G575" s="20"/>
    </row>
    <row r="576">
      <c r="A576" s="5" t="s">
        <v>521</v>
      </c>
      <c r="B576" s="14" t="s">
        <v>39</v>
      </c>
      <c r="C576" s="22"/>
      <c r="D576" s="22" t="s">
        <v>10</v>
      </c>
      <c r="E576" s="22"/>
      <c r="F576" s="22">
        <f>(0)</f>
      </c>
      <c r="G576" s="22">
        <f>(C576 * E576 + C576 * E576 * F576)</f>
      </c>
    </row>
    <row r="577">
      <c r="A577" s="5" t="s">
        <v>522</v>
      </c>
      <c r="B577" s="14" t="s">
        <v>41</v>
      </c>
      <c r="C577" s="22"/>
      <c r="D577" s="22" t="s">
        <v>10</v>
      </c>
      <c r="E577" s="22"/>
      <c r="F577" s="22">
        <f>(0)</f>
      </c>
      <c r="G577" s="22">
        <f>(C577 * E577 + C577 * E577 * F577)</f>
      </c>
    </row>
    <row r="578">
      <c r="A578" s="3"/>
      <c r="B578" s="11" t="s">
        <v>523</v>
      </c>
      <c r="C578" s="20"/>
      <c r="D578" s="20"/>
      <c r="E578" s="20"/>
      <c r="F578" s="20"/>
      <c r="G578" s="20"/>
    </row>
    <row r="579">
      <c r="A579" s="5"/>
      <c r="B579" s="14" t="s">
        <v>524</v>
      </c>
      <c r="C579" s="22"/>
      <c r="D579" s="22" t="s">
        <v>10</v>
      </c>
      <c r="E579" s="22"/>
      <c r="F579" s="22">
        <f>(0)</f>
      </c>
      <c r="G579" s="22">
        <f>(C579 * E579 + C579 * E579 * F579)</f>
      </c>
    </row>
    <row r="580">
      <c r="A580" s="5"/>
      <c r="B580" s="14" t="s">
        <v>525</v>
      </c>
      <c r="C580" s="22"/>
      <c r="D580" s="22" t="s">
        <v>10</v>
      </c>
      <c r="E580" s="22"/>
      <c r="F580" s="22">
        <f>(0)</f>
      </c>
      <c r="G580" s="22">
        <f>(C580 * E580 + C580 * E580 * F580)</f>
      </c>
    </row>
    <row r="581">
      <c r="A581" s="5"/>
      <c r="B581" s="14" t="s">
        <v>526</v>
      </c>
      <c r="C581" s="22"/>
      <c r="D581" s="22" t="s">
        <v>10</v>
      </c>
      <c r="E581" s="22"/>
      <c r="F581" s="22">
        <f>(0)</f>
      </c>
      <c r="G581" s="22">
        <f>(C581 * E581 + C581 * E581 * F581)</f>
      </c>
    </row>
    <row r="582">
      <c r="A582" s="3"/>
      <c r="B582" s="11" t="s">
        <v>44</v>
      </c>
      <c r="C582" s="20"/>
      <c r="D582" s="20"/>
      <c r="E582" s="20"/>
      <c r="F582" s="20"/>
      <c r="G582" s="20"/>
    </row>
    <row r="583">
      <c r="A583" s="4"/>
      <c r="B583" s="12" t="s">
        <v>45</v>
      </c>
      <c r="C583" s="21"/>
      <c r="D583" s="21"/>
      <c r="E583" s="21"/>
      <c r="F583" s="21"/>
      <c r="G583" s="21"/>
    </row>
    <row r="584">
      <c r="A584" s="5" t="s">
        <v>527</v>
      </c>
      <c r="B584" s="13" t="s">
        <v>528</v>
      </c>
      <c r="C584" s="22"/>
      <c r="D584" s="22" t="s">
        <v>10</v>
      </c>
      <c r="E584" s="22"/>
      <c r="F584" s="22">
        <f>(0)</f>
      </c>
      <c r="G584" s="22">
        <f>(C584 * E584 + C584 * E584 * F584)</f>
      </c>
    </row>
    <row r="585">
      <c r="A585" s="5" t="s">
        <v>529</v>
      </c>
      <c r="B585" s="13" t="s">
        <v>530</v>
      </c>
      <c r="C585" s="22"/>
      <c r="D585" s="22" t="s">
        <v>10</v>
      </c>
      <c r="E585" s="22"/>
      <c r="F585" s="22">
        <f>(0)</f>
      </c>
      <c r="G585" s="22">
        <f>(C585 * E585 + C585 * E585 * F585)</f>
      </c>
    </row>
    <row r="586">
      <c r="A586" s="5" t="s">
        <v>531</v>
      </c>
      <c r="B586" s="13" t="s">
        <v>532</v>
      </c>
      <c r="C586" s="22"/>
      <c r="D586" s="22" t="s">
        <v>10</v>
      </c>
      <c r="E586" s="22"/>
      <c r="F586" s="22">
        <f>(0)</f>
      </c>
      <c r="G586" s="22">
        <f>(C586 * E586 + C586 * E586 * F586)</f>
      </c>
    </row>
    <row r="587">
      <c r="A587" s="5" t="s">
        <v>533</v>
      </c>
      <c r="B587" s="13" t="s">
        <v>534</v>
      </c>
      <c r="C587" s="22"/>
      <c r="D587" s="22" t="s">
        <v>10</v>
      </c>
      <c r="E587" s="22"/>
      <c r="F587" s="22">
        <f>(0)</f>
      </c>
      <c r="G587" s="22">
        <f>(C587 * E587 + C587 * E587 * F587)</f>
      </c>
    </row>
    <row r="588">
      <c r="A588" s="5" t="s">
        <v>535</v>
      </c>
      <c r="B588" s="13" t="s">
        <v>536</v>
      </c>
      <c r="C588" s="22"/>
      <c r="D588" s="22" t="s">
        <v>10</v>
      </c>
      <c r="E588" s="22"/>
      <c r="F588" s="22">
        <f>(0)</f>
      </c>
      <c r="G588" s="22">
        <f>(C588 * E588 + C588 * E588 * F588)</f>
      </c>
    </row>
    <row r="589">
      <c r="A589" s="5" t="s">
        <v>537</v>
      </c>
      <c r="B589" s="13" t="s">
        <v>538</v>
      </c>
      <c r="C589" s="22"/>
      <c r="D589" s="22" t="s">
        <v>10</v>
      </c>
      <c r="E589" s="22"/>
      <c r="F589" s="22">
        <f>(0)</f>
      </c>
      <c r="G589" s="22">
        <f>(C589 * E589 + C589 * E589 * F589)</f>
      </c>
    </row>
    <row r="590">
      <c r="A590" s="5" t="s">
        <v>539</v>
      </c>
      <c r="B590" s="13" t="s">
        <v>123</v>
      </c>
      <c r="C590" s="22"/>
      <c r="D590" s="22" t="s">
        <v>10</v>
      </c>
      <c r="E590" s="22"/>
      <c r="F590" s="22">
        <f>(0)</f>
      </c>
      <c r="G590" s="22">
        <f>(C590 * E590 + C590 * E590 * F590)</f>
      </c>
    </row>
    <row r="591">
      <c r="A591" s="3"/>
      <c r="B591" s="11" t="s">
        <v>68</v>
      </c>
      <c r="C591" s="20"/>
      <c r="D591" s="20"/>
      <c r="E591" s="20"/>
      <c r="F591" s="20"/>
      <c r="G591" s="20"/>
    </row>
    <row r="592">
      <c r="A592" s="5" t="s">
        <v>540</v>
      </c>
      <c r="B592" s="14" t="s">
        <v>70</v>
      </c>
      <c r="C592" s="22">
        <f>(1)*(1)*(1)*(1)*(1 + (0))</f>
      </c>
      <c r="D592" s="22" t="s">
        <v>71</v>
      </c>
      <c r="E592" s="22"/>
      <c r="F592" s="22">
        <f>(0)</f>
      </c>
      <c r="G592" s="22">
        <f>(C592 * E592 + C592 * E592 * F592)</f>
      </c>
    </row>
    <row r="593">
      <c r="A593" s="5" t="s">
        <v>541</v>
      </c>
      <c r="B593" s="14" t="s">
        <v>73</v>
      </c>
      <c r="C593" s="22">
        <f>(1)*(1)*(1)*(1)*(1 + (0))</f>
      </c>
      <c r="D593" s="22" t="s">
        <v>71</v>
      </c>
      <c r="E593" s="22"/>
      <c r="F593" s="22">
        <f>(0)</f>
      </c>
      <c r="G593" s="22">
        <f>(C593 * E593 + C593 * E593 * F593)</f>
      </c>
    </row>
    <row r="594">
      <c r="A594" s="5" t="s">
        <v>542</v>
      </c>
      <c r="B594" s="14" t="s">
        <v>543</v>
      </c>
      <c r="C594" s="22">
        <f>(1)*(1)*(1)*(1)*(1 + (0))</f>
      </c>
      <c r="D594" s="22" t="s">
        <v>71</v>
      </c>
      <c r="E594" s="22"/>
      <c r="F594" s="22">
        <f>(0)</f>
      </c>
      <c r="G594" s="22">
        <f>(C594 * E594 + C594 * E594 * F594)</f>
      </c>
    </row>
    <row r="595">
      <c r="A595" s="5" t="s">
        <v>544</v>
      </c>
      <c r="B595" s="14" t="s">
        <v>545</v>
      </c>
      <c r="C595" s="22">
        <f>(1)*(1)*(1)*(1)*(1 + (0))</f>
      </c>
      <c r="D595" s="22" t="s">
        <v>71</v>
      </c>
      <c r="E595" s="22"/>
      <c r="F595" s="22">
        <f>(0)</f>
      </c>
      <c r="G595" s="22">
        <f>(C595 * E595 + C595 * E595 * F595)</f>
      </c>
    </row>
    <row r="596">
      <c r="A596" s="5" t="s">
        <v>546</v>
      </c>
      <c r="B596" s="14" t="s">
        <v>547</v>
      </c>
      <c r="C596" s="22">
        <f>(1)*(1)*(1)*(1)*(1 + (0))</f>
      </c>
      <c r="D596" s="22" t="s">
        <v>71</v>
      </c>
      <c r="E596" s="22"/>
      <c r="F596" s="22">
        <f>(0)</f>
      </c>
      <c r="G596" s="22">
        <f>(C596 * E596 + C596 * E596 * F596)</f>
      </c>
    </row>
    <row r="597">
      <c r="A597" s="5" t="s">
        <v>548</v>
      </c>
      <c r="B597" s="14" t="s">
        <v>549</v>
      </c>
      <c r="C597" s="22">
        <f>(1)*(1)*(1)*(1)*(1 + (0))</f>
      </c>
      <c r="D597" s="22" t="s">
        <v>71</v>
      </c>
      <c r="E597" s="22"/>
      <c r="F597" s="22">
        <f>(0)</f>
      </c>
      <c r="G597" s="22">
        <f>(C597 * E597 + C597 * E597 * F597)</f>
      </c>
    </row>
    <row r="598">
      <c r="A598" s="5" t="s">
        <v>550</v>
      </c>
      <c r="B598" s="14" t="s">
        <v>551</v>
      </c>
      <c r="C598" s="22">
        <f>(1)*(1)*(1)*(1)*(1 + (0))</f>
      </c>
      <c r="D598" s="22" t="s">
        <v>71</v>
      </c>
      <c r="E598" s="22"/>
      <c r="F598" s="22">
        <f>(0)</f>
      </c>
      <c r="G598" s="22">
        <f>(C598 * E598 + C598 * E598 * F598)</f>
      </c>
    </row>
    <row r="599">
      <c r="A599" s="5" t="s">
        <v>552</v>
      </c>
      <c r="B599" s="14" t="s">
        <v>553</v>
      </c>
      <c r="C599" s="22">
        <f>(1)*(1)*(1)*(1)*(1 + (0))</f>
      </c>
      <c r="D599" s="22" t="s">
        <v>71</v>
      </c>
      <c r="E599" s="22"/>
      <c r="F599" s="22">
        <f>(0)</f>
      </c>
      <c r="G599" s="22">
        <f>(C599 * E599 + C599 * E599 * F599)</f>
      </c>
    </row>
    <row r="600">
      <c r="A600" s="5" t="s">
        <v>554</v>
      </c>
      <c r="B600" s="14" t="s">
        <v>555</v>
      </c>
      <c r="C600" s="22">
        <f>(1)*(1)*(1)*(1)*(1 + (0))</f>
      </c>
      <c r="D600" s="22" t="s">
        <v>71</v>
      </c>
      <c r="E600" s="22"/>
      <c r="F600" s="22">
        <f>(0)</f>
      </c>
      <c r="G600" s="22">
        <f>(C600 * E600 + C600 * E600 * F600)</f>
      </c>
    </row>
    <row r="601">
      <c r="A601" s="5" t="s">
        <v>556</v>
      </c>
      <c r="B601" s="14" t="s">
        <v>447</v>
      </c>
      <c r="C601" s="22">
        <f>(1)*(1)*(1)*(1)*(1 + (0))</f>
      </c>
      <c r="D601" s="22" t="s">
        <v>71</v>
      </c>
      <c r="E601" s="22"/>
      <c r="F601" s="22">
        <f>(0)</f>
      </c>
      <c r="G601" s="22">
        <f>(C601 * E601 + C601 * E601 * F601)</f>
      </c>
    </row>
    <row r="602">
      <c r="A602" s="5" t="s">
        <v>557</v>
      </c>
      <c r="B602" s="14" t="s">
        <v>558</v>
      </c>
      <c r="C602" s="22">
        <f>(1)*(1)*(1)*(1)*(1 + (0))</f>
      </c>
      <c r="D602" s="22" t="s">
        <v>71</v>
      </c>
      <c r="E602" s="22"/>
      <c r="F602" s="22">
        <f>(0)</f>
      </c>
      <c r="G602" s="22">
        <f>(C602 * E602 + C602 * E602 * F602)</f>
      </c>
    </row>
    <row r="603">
      <c r="A603" s="3"/>
      <c r="B603" s="11" t="s">
        <v>106</v>
      </c>
      <c r="C603" s="20"/>
      <c r="D603" s="20"/>
      <c r="E603" s="20"/>
      <c r="F603" s="20"/>
      <c r="G603" s="20"/>
    </row>
    <row r="604">
      <c r="A604" s="5"/>
      <c r="B604" s="14" t="s">
        <v>559</v>
      </c>
      <c r="C604" s="22"/>
      <c r="D604" s="22" t="s">
        <v>10</v>
      </c>
      <c r="E604" s="22"/>
      <c r="F604" s="22">
        <f>(0)</f>
      </c>
      <c r="G604" s="22">
        <f>(C604 * E604 + C604 * E604 * F604)</f>
      </c>
    </row>
    <row r="605">
      <c r="A605" s="3"/>
      <c r="B605" s="11" t="s">
        <v>560</v>
      </c>
      <c r="C605" s="20"/>
      <c r="D605" s="20"/>
      <c r="E605" s="20"/>
      <c r="F605" s="20"/>
      <c r="G605" s="20"/>
    </row>
    <row r="606">
      <c r="A606" s="4"/>
      <c r="B606" s="12" t="s">
        <v>392</v>
      </c>
      <c r="C606" s="21"/>
      <c r="D606" s="21"/>
      <c r="E606" s="21"/>
      <c r="F606" s="21"/>
      <c r="G606" s="21"/>
    </row>
    <row r="607">
      <c r="A607" s="6"/>
      <c r="B607" s="15" t="s">
        <v>561</v>
      </c>
      <c r="C607" s="23"/>
      <c r="D607" s="23"/>
      <c r="E607" s="23"/>
      <c r="F607" s="23"/>
      <c r="G607" s="23"/>
    </row>
    <row r="608">
      <c r="A608" s="5"/>
      <c r="B608" s="16" t="s">
        <v>562</v>
      </c>
      <c r="C608" s="22">
        <f>(0.42804)*(1)*(1)*(1)*(1 + (0))</f>
      </c>
      <c r="D608" s="22" t="s">
        <v>182</v>
      </c>
      <c r="E608" s="22"/>
      <c r="F608" s="22">
        <f>(0)</f>
      </c>
      <c r="G608" s="22">
        <f>(C608 * E608 + C608 * E608 * F608)</f>
      </c>
    </row>
    <row r="609">
      <c r="A609" s="5"/>
      <c r="B609" s="16" t="s">
        <v>563</v>
      </c>
      <c r="C609" s="22">
        <f>(0.0645)*(1)*(1)*(1)*(1 + (0))</f>
      </c>
      <c r="D609" s="22" t="s">
        <v>182</v>
      </c>
      <c r="E609" s="22"/>
      <c r="F609" s="22">
        <f>(0)</f>
      </c>
      <c r="G609" s="22">
        <f>(C609 * E609 + C609 * E609 * F609)</f>
      </c>
    </row>
    <row r="610">
      <c r="A610" s="5"/>
      <c r="B610" s="16" t="s">
        <v>564</v>
      </c>
      <c r="C610" s="22">
        <f>(3)*(1)*(1)*(1)*(1 + (0))</f>
      </c>
      <c r="D610" s="22" t="s">
        <v>162</v>
      </c>
      <c r="E610" s="22"/>
      <c r="F610" s="22">
        <f>(0)</f>
      </c>
      <c r="G610" s="22">
        <f>(C610 * E610 + C610 * E610 * F610)</f>
      </c>
    </row>
    <row r="611">
      <c r="A611" s="4"/>
      <c r="B611" s="12" t="s">
        <v>565</v>
      </c>
      <c r="C611" s="21"/>
      <c r="D611" s="21"/>
      <c r="E611" s="21"/>
      <c r="F611" s="21"/>
      <c r="G611" s="21"/>
    </row>
    <row r="612">
      <c r="A612" s="6"/>
      <c r="B612" s="15" t="s">
        <v>566</v>
      </c>
      <c r="C612" s="23"/>
      <c r="D612" s="23"/>
      <c r="E612" s="23"/>
      <c r="F612" s="23"/>
      <c r="G612" s="23"/>
    </row>
    <row r="613">
      <c r="A613" s="5"/>
      <c r="B613" s="16" t="s">
        <v>567</v>
      </c>
      <c r="C613" s="22">
        <f>(0.595035253327095)*(1)*(1)*(1)*(1 + (0))</f>
      </c>
      <c r="D613" s="22" t="s">
        <v>182</v>
      </c>
      <c r="E613" s="22"/>
      <c r="F613" s="22">
        <f>(0)</f>
      </c>
      <c r="G613" s="22">
        <f>(C613 * E613 + C613 * E613 * F613)</f>
      </c>
    </row>
    <row r="614">
      <c r="A614" s="5"/>
      <c r="B614" s="16" t="s">
        <v>568</v>
      </c>
      <c r="C614" s="22">
        <f>(0.290912777149301)*(1)*(1)*(1)*(1 + (0))</f>
      </c>
      <c r="D614" s="22" t="s">
        <v>182</v>
      </c>
      <c r="E614" s="22"/>
      <c r="F614" s="22">
        <f>(0)</f>
      </c>
      <c r="G614" s="22">
        <f>(C614 * E614 + C614 * E614 * F614)</f>
      </c>
    </row>
    <row r="615">
      <c r="A615" s="5"/>
      <c r="B615" s="16" t="s">
        <v>569</v>
      </c>
      <c r="C615" s="22">
        <f>(0.13164506873791)*(1)*(1)*(1)*(1 + (0))</f>
      </c>
      <c r="D615" s="22" t="s">
        <v>182</v>
      </c>
      <c r="E615" s="22"/>
      <c r="F615" s="22">
        <f>(0)</f>
      </c>
      <c r="G615" s="22">
        <f>(C615 * E615 + C615 * E615 * F615)</f>
      </c>
    </row>
    <row r="616">
      <c r="A616" s="5"/>
      <c r="B616" s="16" t="s">
        <v>570</v>
      </c>
      <c r="C616" s="22">
        <f>(0.792869113122414)*(1)*(1)*(1)*(1 + (0))</f>
      </c>
      <c r="D616" s="22" t="s">
        <v>182</v>
      </c>
      <c r="E616" s="22"/>
      <c r="F616" s="22">
        <f>(0)</f>
      </c>
      <c r="G616" s="22">
        <f>(C616 * E616 + C616 * E616 * F616)</f>
      </c>
    </row>
    <row r="617">
      <c r="A617" s="5"/>
      <c r="B617" s="16" t="s">
        <v>571</v>
      </c>
      <c r="C617" s="22">
        <f>(1)*(1)*(1)*(1)*(1 + (0))</f>
      </c>
      <c r="D617" s="22" t="s">
        <v>162</v>
      </c>
      <c r="E617" s="22"/>
      <c r="F617" s="22">
        <f>(0)</f>
      </c>
      <c r="G617" s="22">
        <f>(C617 * E617 + C617 * E617 * F617)</f>
      </c>
    </row>
    <row r="618">
      <c r="A618" s="5"/>
      <c r="B618" s="16" t="s">
        <v>572</v>
      </c>
      <c r="C618" s="22">
        <f>(1)*(1)*(1)*(1)*(1 + (0))</f>
      </c>
      <c r="D618" s="22" t="s">
        <v>162</v>
      </c>
      <c r="E618" s="22"/>
      <c r="F618" s="22">
        <f>(0)</f>
      </c>
      <c r="G618" s="22">
        <f>(C618 * E618 + C618 * E618 * F618)</f>
      </c>
    </row>
    <row r="619">
      <c r="A619" s="5"/>
      <c r="B619" s="16" t="s">
        <v>563</v>
      </c>
      <c r="C619" s="22">
        <f>(0.2715)*(1)*(1)*(1)*(1 + (0))</f>
      </c>
      <c r="D619" s="22" t="s">
        <v>182</v>
      </c>
      <c r="E619" s="22"/>
      <c r="F619" s="22">
        <f>(0)</f>
      </c>
      <c r="G619" s="22">
        <f>(C619 * E619 + C619 * E619 * F619)</f>
      </c>
    </row>
    <row r="620">
      <c r="A620" s="6"/>
      <c r="B620" s="15" t="s">
        <v>561</v>
      </c>
      <c r="C620" s="23"/>
      <c r="D620" s="23"/>
      <c r="E620" s="23"/>
      <c r="F620" s="23"/>
      <c r="G620" s="23"/>
    </row>
    <row r="621">
      <c r="A621" s="5"/>
      <c r="B621" s="16" t="s">
        <v>573</v>
      </c>
      <c r="C621" s="22">
        <f>(0.612877277085539)*(1)*(1)*(1)*(1 + (0))</f>
      </c>
      <c r="D621" s="22" t="s">
        <v>182</v>
      </c>
      <c r="E621" s="22"/>
      <c r="F621" s="22">
        <f>(0)</f>
      </c>
      <c r="G621" s="22">
        <f>(C621 * E621 + C621 * E621 * F621)</f>
      </c>
    </row>
    <row r="622">
      <c r="A622" s="5"/>
      <c r="B622" s="16" t="s">
        <v>574</v>
      </c>
      <c r="C622" s="22">
        <f>(0.526346035527528)*(1)*(1)*(1)*(1 + (0))</f>
      </c>
      <c r="D622" s="22" t="s">
        <v>182</v>
      </c>
      <c r="E622" s="22"/>
      <c r="F622" s="22">
        <f>(0)</f>
      </c>
      <c r="G622" s="22">
        <f>(C622 * E622 + C622 * E622 * F622)</f>
      </c>
    </row>
    <row r="623">
      <c r="A623" s="5"/>
      <c r="B623" s="16" t="s">
        <v>575</v>
      </c>
      <c r="C623" s="22">
        <f>(0.409986251821393)*(1)*(1)*(1)*(1 + (0))</f>
      </c>
      <c r="D623" s="22" t="s">
        <v>182</v>
      </c>
      <c r="E623" s="22"/>
      <c r="F623" s="22">
        <f>(0)</f>
      </c>
      <c r="G623" s="22">
        <f>(C623 * E623 + C623 * E623 * F623)</f>
      </c>
    </row>
    <row r="624">
      <c r="A624" s="5"/>
      <c r="B624" s="16" t="s">
        <v>576</v>
      </c>
      <c r="C624" s="22">
        <f>(0.564060083687712)*(1)*(1)*(1)*(1 + (0))</f>
      </c>
      <c r="D624" s="22" t="s">
        <v>182</v>
      </c>
      <c r="E624" s="22"/>
      <c r="F624" s="22">
        <f>(0)</f>
      </c>
      <c r="G624" s="22">
        <f>(C624 * E624 + C624 * E624 * F624)</f>
      </c>
    </row>
    <row r="625">
      <c r="A625" s="5"/>
      <c r="B625" s="16" t="s">
        <v>577</v>
      </c>
      <c r="C625" s="22">
        <f>(0.844376355215986)*(1)*(1)*(1)*(1 + (0))</f>
      </c>
      <c r="D625" s="22" t="s">
        <v>182</v>
      </c>
      <c r="E625" s="22"/>
      <c r="F625" s="22">
        <f>(0)</f>
      </c>
      <c r="G625" s="22">
        <f>(C625 * E625 + C625 * E625 * F625)</f>
      </c>
    </row>
    <row r="626">
      <c r="A626" s="5"/>
      <c r="B626" s="16" t="s">
        <v>578</v>
      </c>
      <c r="C626" s="22">
        <f>(0.416116702726785)*(1)*(1)*(1)*(1 + (0))</f>
      </c>
      <c r="D626" s="22" t="s">
        <v>182</v>
      </c>
      <c r="E626" s="22"/>
      <c r="F626" s="22">
        <f>(0)</f>
      </c>
      <c r="G626" s="22">
        <f>(C626 * E626 + C626 * E626 * F626)</f>
      </c>
    </row>
    <row r="627">
      <c r="A627" s="5"/>
      <c r="B627" s="16" t="s">
        <v>571</v>
      </c>
      <c r="C627" s="22">
        <f>(1)*(1)*(1)*(1)*(1 + (0))</f>
      </c>
      <c r="D627" s="22" t="s">
        <v>162</v>
      </c>
      <c r="E627" s="22"/>
      <c r="F627" s="22">
        <f>(0)</f>
      </c>
      <c r="G627" s="22">
        <f>(C627 * E627 + C627 * E627 * F627)</f>
      </c>
    </row>
    <row r="628">
      <c r="A628" s="5"/>
      <c r="B628" s="16" t="s">
        <v>563</v>
      </c>
      <c r="C628" s="22">
        <f>(0.5055)*(1)*(1)*(1)*(1 + (0))</f>
      </c>
      <c r="D628" s="22" t="s">
        <v>182</v>
      </c>
      <c r="E628" s="22"/>
      <c r="F628" s="22">
        <f>(0)</f>
      </c>
      <c r="G628" s="22">
        <f>(C628 * E628 + C628 * E628 * F628)</f>
      </c>
    </row>
    <row r="629">
      <c r="A629" s="6"/>
      <c r="B629" s="15" t="s">
        <v>579</v>
      </c>
      <c r="C629" s="23"/>
      <c r="D629" s="23"/>
      <c r="E629" s="23"/>
      <c r="F629" s="23"/>
      <c r="G629" s="23"/>
    </row>
    <row r="630">
      <c r="A630" s="5"/>
      <c r="B630" s="16" t="s">
        <v>580</v>
      </c>
      <c r="C630" s="22">
        <f>(4.80810957925541)*(1)*(1)*(1)*(1 + (0))</f>
      </c>
      <c r="D630" s="22" t="s">
        <v>182</v>
      </c>
      <c r="E630" s="22"/>
      <c r="F630" s="22">
        <f>(0)</f>
      </c>
      <c r="G630" s="22">
        <f>(C630 * E630 + C630 * E630 * F630)</f>
      </c>
    </row>
    <row r="631">
      <c r="A631" s="5"/>
      <c r="B631" s="16" t="s">
        <v>581</v>
      </c>
      <c r="C631" s="22">
        <f>(0.751678667729279)*(1)*(1)*(1)*(1 + (0))</f>
      </c>
      <c r="D631" s="22" t="s">
        <v>182</v>
      </c>
      <c r="E631" s="22"/>
      <c r="F631" s="22">
        <f>(0)</f>
      </c>
      <c r="G631" s="22">
        <f>(C631 * E631 + C631 * E631 * F631)</f>
      </c>
    </row>
    <row r="632">
      <c r="A632" s="5"/>
      <c r="B632" s="16" t="s">
        <v>582</v>
      </c>
      <c r="C632" s="22">
        <f>(0.537223361898717)*(1)*(1)*(1)*(1 + (0))</f>
      </c>
      <c r="D632" s="22" t="s">
        <v>182</v>
      </c>
      <c r="E632" s="22"/>
      <c r="F632" s="22">
        <f>(0)</f>
      </c>
      <c r="G632" s="22">
        <f>(C632 * E632 + C632 * E632 * F632)</f>
      </c>
    </row>
    <row r="633">
      <c r="A633" s="5"/>
      <c r="B633" s="16" t="s">
        <v>578</v>
      </c>
      <c r="C633" s="22">
        <f>(13.0185138211359)*(1)*(1)*(1)*(1 + (0))</f>
      </c>
      <c r="D633" s="22" t="s">
        <v>182</v>
      </c>
      <c r="E633" s="22"/>
      <c r="F633" s="22">
        <f>(0)</f>
      </c>
      <c r="G633" s="22">
        <f>(C633 * E633 + C633 * E633 * F633)</f>
      </c>
    </row>
    <row r="634">
      <c r="A634" s="5"/>
      <c r="B634" s="16" t="s">
        <v>563</v>
      </c>
      <c r="C634" s="22">
        <f>(2.868)*(1)*(1)*(1)*(1 + (0))</f>
      </c>
      <c r="D634" s="22" t="s">
        <v>182</v>
      </c>
      <c r="E634" s="22"/>
      <c r="F634" s="22">
        <f>(0)</f>
      </c>
      <c r="G634" s="22">
        <f>(C634 * E634 + C634 * E634 * F634)</f>
      </c>
    </row>
    <row r="635">
      <c r="A635" s="4"/>
      <c r="B635" s="12" t="s">
        <v>583</v>
      </c>
      <c r="C635" s="21"/>
      <c r="D635" s="21"/>
      <c r="E635" s="21"/>
      <c r="F635" s="21"/>
      <c r="G635" s="21"/>
    </row>
    <row r="636">
      <c r="A636" s="6"/>
      <c r="B636" s="15" t="s">
        <v>566</v>
      </c>
      <c r="C636" s="23"/>
      <c r="D636" s="23"/>
      <c r="E636" s="23"/>
      <c r="F636" s="23"/>
      <c r="G636" s="23"/>
    </row>
    <row r="637">
      <c r="A637" s="5"/>
      <c r="B637" s="16" t="s">
        <v>584</v>
      </c>
      <c r="C637" s="22">
        <f>(26)*(1)*(1)*(1)*(1 + (0))</f>
      </c>
      <c r="D637" s="22" t="s">
        <v>153</v>
      </c>
      <c r="E637" s="22"/>
      <c r="F637" s="22">
        <f>(0)</f>
      </c>
      <c r="G637" s="22">
        <f>(C637 * E637 + C637 * E637 * F637)</f>
      </c>
    </row>
    <row r="638">
      <c r="A638" s="5"/>
      <c r="B638" s="16" t="s">
        <v>585</v>
      </c>
      <c r="C638" s="22">
        <f>(0.02856)*(1)*(1)*(1)*(1 + (0))</f>
      </c>
      <c r="D638" s="22" t="s">
        <v>182</v>
      </c>
      <c r="E638" s="22"/>
      <c r="F638" s="22">
        <f>(0)</f>
      </c>
      <c r="G638" s="22">
        <f>(C638 * E638 + C638 * E638 * F638)</f>
      </c>
    </row>
    <row r="639">
      <c r="A639" s="6"/>
      <c r="B639" s="15" t="s">
        <v>561</v>
      </c>
      <c r="C639" s="23"/>
      <c r="D639" s="23"/>
      <c r="E639" s="23"/>
      <c r="F639" s="23"/>
      <c r="G639" s="23"/>
    </row>
    <row r="640">
      <c r="A640" s="5"/>
      <c r="B640" s="16" t="s">
        <v>584</v>
      </c>
      <c r="C640" s="22">
        <f>(55)*(1)*(1)*(1)*(1 + (0))</f>
      </c>
      <c r="D640" s="22" t="s">
        <v>153</v>
      </c>
      <c r="E640" s="22"/>
      <c r="F640" s="22">
        <f>(0)</f>
      </c>
      <c r="G640" s="22">
        <f>(C640 * E640 + C640 * E640 * F640)</f>
      </c>
    </row>
    <row r="641">
      <c r="A641" s="5"/>
      <c r="B641" s="16" t="s">
        <v>585</v>
      </c>
      <c r="C641" s="22">
        <f>(0.03808)*(1)*(1)*(1)*(1 + (0))</f>
      </c>
      <c r="D641" s="22" t="s">
        <v>182</v>
      </c>
      <c r="E641" s="22"/>
      <c r="F641" s="22">
        <f>(0)</f>
      </c>
      <c r="G641" s="22">
        <f>(C641 * E641 + C641 * E641 * F641)</f>
      </c>
    </row>
    <row r="642">
      <c r="A642" s="6"/>
      <c r="B642" s="15" t="s">
        <v>579</v>
      </c>
      <c r="C642" s="23"/>
      <c r="D642" s="23"/>
      <c r="E642" s="23"/>
      <c r="F642" s="23"/>
      <c r="G642" s="23"/>
    </row>
    <row r="643">
      <c r="A643" s="5"/>
      <c r="B643" s="16" t="s">
        <v>584</v>
      </c>
      <c r="C643" s="22">
        <f>(206)*(1)*(1)*(1)*(1 + (0))</f>
      </c>
      <c r="D643" s="22" t="s">
        <v>153</v>
      </c>
      <c r="E643" s="22"/>
      <c r="F643" s="22">
        <f>(0)</f>
      </c>
      <c r="G643" s="22">
        <f>(C643 * E643 + C643 * E643 * F643)</f>
      </c>
    </row>
    <row r="644">
      <c r="A644" s="5"/>
      <c r="B644" s="16" t="s">
        <v>585</v>
      </c>
      <c r="C644" s="22">
        <f>(0.3808)*(1)*(1)*(1)*(1 + (0))</f>
      </c>
      <c r="D644" s="22" t="s">
        <v>182</v>
      </c>
      <c r="E644" s="22"/>
      <c r="F644" s="22">
        <f>(0)</f>
      </c>
      <c r="G644" s="22">
        <f>(C644 * E644 + C644 * E644 * F644)</f>
      </c>
    </row>
    <row r="645">
      <c r="A645" s="4"/>
      <c r="B645" s="12" t="s">
        <v>586</v>
      </c>
      <c r="C645" s="21"/>
      <c r="D645" s="21"/>
      <c r="E645" s="21"/>
      <c r="F645" s="21"/>
      <c r="G645" s="21"/>
    </row>
    <row r="646">
      <c r="A646" s="6"/>
      <c r="B646" s="15" t="s">
        <v>566</v>
      </c>
      <c r="C646" s="23"/>
      <c r="D646" s="23"/>
      <c r="E646" s="23"/>
      <c r="F646" s="23"/>
      <c r="G646" s="23"/>
    </row>
    <row r="647">
      <c r="A647" s="5"/>
      <c r="B647" s="16" t="s">
        <v>587</v>
      </c>
      <c r="C647" s="22">
        <f>(15)*(1)*(1)*(1)*(1 + (0))</f>
      </c>
      <c r="D647" s="22" t="s">
        <v>153</v>
      </c>
      <c r="E647" s="22"/>
      <c r="F647" s="22">
        <f>(0)</f>
      </c>
      <c r="G647" s="22">
        <f>(C647 * E647 + C647 * E647 * F647)</f>
      </c>
    </row>
    <row r="648">
      <c r="A648" s="5"/>
      <c r="B648" s="16" t="s">
        <v>588</v>
      </c>
      <c r="C648" s="22">
        <f>(40)*(1)*(1)*(1)*(1 + (0))</f>
      </c>
      <c r="D648" s="22" t="s">
        <v>153</v>
      </c>
      <c r="E648" s="22"/>
      <c r="F648" s="22">
        <f>(0)</f>
      </c>
      <c r="G648" s="22">
        <f>(C648 * E648 + C648 * E648 * F648)</f>
      </c>
    </row>
    <row r="649">
      <c r="A649" s="5"/>
      <c r="B649" s="16" t="s">
        <v>589</v>
      </c>
      <c r="C649" s="22">
        <f>(10)*(1)*(1)*(1)*(1 + (0))</f>
      </c>
      <c r="D649" s="22" t="s">
        <v>153</v>
      </c>
      <c r="E649" s="22"/>
      <c r="F649" s="22">
        <f>(0)</f>
      </c>
      <c r="G649" s="22">
        <f>(C649 * E649 + C649 * E649 * F649)</f>
      </c>
    </row>
    <row r="650">
      <c r="A650" s="6"/>
      <c r="B650" s="15" t="s">
        <v>561</v>
      </c>
      <c r="C650" s="23"/>
      <c r="D650" s="23"/>
      <c r="E650" s="23"/>
      <c r="F650" s="23"/>
      <c r="G650" s="23"/>
    </row>
    <row r="651">
      <c r="A651" s="5"/>
      <c r="B651" s="16" t="s">
        <v>590</v>
      </c>
      <c r="C651" s="22">
        <f>(8)*(1)*(1)*(1)*(1 + (0))</f>
      </c>
      <c r="D651" s="22" t="s">
        <v>153</v>
      </c>
      <c r="E651" s="22"/>
      <c r="F651" s="22">
        <f>(0)</f>
      </c>
      <c r="G651" s="22">
        <f>(C651 * E651 + C651 * E651 * F651)</f>
      </c>
    </row>
    <row r="652">
      <c r="A652" s="5"/>
      <c r="B652" s="16" t="s">
        <v>591</v>
      </c>
      <c r="C652" s="22">
        <f>(11)*(1)*(1)*(1)*(1 + (0))</f>
      </c>
      <c r="D652" s="22" t="s">
        <v>153</v>
      </c>
      <c r="E652" s="22"/>
      <c r="F652" s="22">
        <f>(0)</f>
      </c>
      <c r="G652" s="22">
        <f>(C652 * E652 + C652 * E652 * F652)</f>
      </c>
    </row>
    <row r="653">
      <c r="A653" s="5"/>
      <c r="B653" s="16" t="s">
        <v>587</v>
      </c>
      <c r="C653" s="22">
        <f>(21)*(1)*(1)*(1)*(1 + (0))</f>
      </c>
      <c r="D653" s="22" t="s">
        <v>153</v>
      </c>
      <c r="E653" s="22"/>
      <c r="F653" s="22">
        <f>(0)</f>
      </c>
      <c r="G653" s="22">
        <f>(C653 * E653 + C653 * E653 * F653)</f>
      </c>
    </row>
    <row r="654">
      <c r="A654" s="5"/>
      <c r="B654" s="16" t="s">
        <v>588</v>
      </c>
      <c r="C654" s="22">
        <f>(15)*(1)*(1)*(1)*(1 + (0))</f>
      </c>
      <c r="D654" s="22" t="s">
        <v>153</v>
      </c>
      <c r="E654" s="22"/>
      <c r="F654" s="22">
        <f>(0)</f>
      </c>
      <c r="G654" s="22">
        <f>(C654 * E654 + C654 * E654 * F654)</f>
      </c>
    </row>
    <row r="655">
      <c r="A655" s="5"/>
      <c r="B655" s="16" t="s">
        <v>592</v>
      </c>
      <c r="C655" s="22">
        <f>(22)*(1)*(1)*(1)*(1 + (0))</f>
      </c>
      <c r="D655" s="22" t="s">
        <v>153</v>
      </c>
      <c r="E655" s="22"/>
      <c r="F655" s="22">
        <f>(0)</f>
      </c>
      <c r="G655" s="22">
        <f>(C655 * E655 + C655 * E655 * F655)</f>
      </c>
    </row>
    <row r="656">
      <c r="A656" s="5"/>
      <c r="B656" s="16" t="s">
        <v>593</v>
      </c>
      <c r="C656" s="22">
        <f>(22)*(1)*(1)*(1)*(1 + (0))</f>
      </c>
      <c r="D656" s="22" t="s">
        <v>153</v>
      </c>
      <c r="E656" s="22"/>
      <c r="F656" s="22">
        <f>(0)</f>
      </c>
      <c r="G656" s="22">
        <f>(C656 * E656 + C656 * E656 * F656)</f>
      </c>
    </row>
    <row r="657">
      <c r="A657" s="6"/>
      <c r="B657" s="15" t="s">
        <v>579</v>
      </c>
      <c r="C657" s="23"/>
      <c r="D657" s="23"/>
      <c r="E657" s="23"/>
      <c r="F657" s="23"/>
      <c r="G657" s="23"/>
    </row>
    <row r="658">
      <c r="A658" s="5"/>
      <c r="B658" s="16" t="s">
        <v>594</v>
      </c>
      <c r="C658" s="22">
        <f>(670)*(1)*(1)*(1)*(1 + (0))</f>
      </c>
      <c r="D658" s="22" t="s">
        <v>153</v>
      </c>
      <c r="E658" s="22"/>
      <c r="F658" s="22">
        <f>(0)</f>
      </c>
      <c r="G658" s="22">
        <f>(C658 * E658 + C658 * E658 * F658)</f>
      </c>
    </row>
    <row r="659">
      <c r="A659" s="5"/>
      <c r="B659" s="16" t="s">
        <v>595</v>
      </c>
      <c r="C659" s="22">
        <f>(48)*(1)*(1)*(1)*(1 + (0))</f>
      </c>
      <c r="D659" s="22" t="s">
        <v>153</v>
      </c>
      <c r="E659" s="22"/>
      <c r="F659" s="22">
        <f>(0)</f>
      </c>
      <c r="G659" s="22">
        <f>(C659 * E659 + C659 * E659 * F659)</f>
      </c>
    </row>
    <row r="660">
      <c r="A660" s="5"/>
      <c r="B660" s="16" t="s">
        <v>596</v>
      </c>
      <c r="C660" s="22">
        <f>(862)*(1)*(1)*(1)*(1 + (0))</f>
      </c>
      <c r="D660" s="22" t="s">
        <v>153</v>
      </c>
      <c r="E660" s="22"/>
      <c r="F660" s="22">
        <f>(0)</f>
      </c>
      <c r="G660" s="22">
        <f>(C660 * E660 + C660 * E660 * F660)</f>
      </c>
    </row>
    <row r="661">
      <c r="A661" s="5"/>
      <c r="B661" s="16" t="s">
        <v>597</v>
      </c>
      <c r="C661" s="22">
        <f>(1329)*(1)*(1)*(1)*(1 + (0))</f>
      </c>
      <c r="D661" s="22" t="s">
        <v>153</v>
      </c>
      <c r="E661" s="22"/>
      <c r="F661" s="22">
        <f>(0)</f>
      </c>
      <c r="G661" s="22">
        <f>(C661 * E661 + C661 * E661 * F661)</f>
      </c>
    </row>
    <row r="662">
      <c r="A662" s="4"/>
      <c r="B662" s="12" t="s">
        <v>598</v>
      </c>
      <c r="C662" s="21"/>
      <c r="D662" s="21"/>
      <c r="E662" s="21"/>
      <c r="F662" s="21"/>
      <c r="G662" s="21"/>
    </row>
    <row r="663">
      <c r="A663" s="6"/>
      <c r="B663" s="15" t="s">
        <v>599</v>
      </c>
      <c r="C663" s="23"/>
      <c r="D663" s="23"/>
      <c r="E663" s="23"/>
      <c r="F663" s="23"/>
      <c r="G663" s="23"/>
    </row>
    <row r="664">
      <c r="A664" s="5"/>
      <c r="B664" s="16" t="s">
        <v>600</v>
      </c>
      <c r="C664" s="22">
        <f>(2.16265)*(1)*(1)*(1)*(1 + (0))</f>
      </c>
      <c r="D664" s="22" t="s">
        <v>182</v>
      </c>
      <c r="E664" s="22"/>
      <c r="F664" s="22">
        <f>(0)</f>
      </c>
      <c r="G664" s="22">
        <f>(C664 * E664 + C664 * E664 * F664)</f>
      </c>
    </row>
    <row r="665">
      <c r="A665" s="5"/>
      <c r="B665" s="16" t="s">
        <v>576</v>
      </c>
      <c r="C665" s="22">
        <f>(0.4585)*(1)*(1)*(1)*(1 + (0))</f>
      </c>
      <c r="D665" s="22" t="s">
        <v>182</v>
      </c>
      <c r="E665" s="22"/>
      <c r="F665" s="22">
        <f>(0)</f>
      </c>
      <c r="G665" s="22">
        <f>(C665 * E665 + C665 * E665 * F665)</f>
      </c>
    </row>
    <row r="666">
      <c r="A666" s="5"/>
      <c r="B666" s="16" t="s">
        <v>601</v>
      </c>
      <c r="C666" s="22">
        <f>(0.06664)*(1)*(1)*(1)*(1 + (0))</f>
      </c>
      <c r="D666" s="22" t="s">
        <v>182</v>
      </c>
      <c r="E666" s="22"/>
      <c r="F666" s="22">
        <f>(0)</f>
      </c>
      <c r="G666" s="22">
        <f>(C666 * E666 + C666 * E666 * F666)</f>
      </c>
    </row>
    <row r="667">
      <c r="A667" s="5"/>
      <c r="B667" s="16" t="s">
        <v>577</v>
      </c>
      <c r="C667" s="22">
        <f>(0.799317210056494)*(1)*(1)*(1)*(1 + (0))</f>
      </c>
      <c r="D667" s="22" t="s">
        <v>182</v>
      </c>
      <c r="E667" s="22"/>
      <c r="F667" s="22">
        <f>(0)</f>
      </c>
      <c r="G667" s="22">
        <f>(C667 * E667 + C667 * E667 * F667)</f>
      </c>
    </row>
    <row r="668">
      <c r="A668" s="5"/>
      <c r="B668" s="16" t="s">
        <v>563</v>
      </c>
      <c r="C668" s="22">
        <f>(0.5235)*(1)*(1)*(1)*(1 + (0))</f>
      </c>
      <c r="D668" s="22" t="s">
        <v>182</v>
      </c>
      <c r="E668" s="22"/>
      <c r="F668" s="22">
        <f>(0)</f>
      </c>
      <c r="G668" s="22">
        <f>(C668 * E668 + C668 * E668 * F668)</f>
      </c>
    </row>
    <row r="669">
      <c r="A669" s="5"/>
      <c r="B669" s="16" t="s">
        <v>602</v>
      </c>
      <c r="C669" s="22">
        <f>(37)*(1)*(1)*(1)*(1 + (0))</f>
      </c>
      <c r="D669" s="22" t="s">
        <v>162</v>
      </c>
      <c r="E669" s="22"/>
      <c r="F669" s="22">
        <f>(0)</f>
      </c>
      <c r="G669" s="22">
        <f>(C669 * E669 + C669 * E669 * F669)</f>
      </c>
    </row>
    <row r="670">
      <c r="A670" s="5"/>
      <c r="B670" s="16" t="s">
        <v>603</v>
      </c>
      <c r="C670" s="22">
        <f>(5)*(1)*(1)*(1)*(1 + (0))</f>
      </c>
      <c r="D670" s="22" t="s">
        <v>162</v>
      </c>
      <c r="E670" s="22"/>
      <c r="F670" s="22">
        <f>(0)</f>
      </c>
      <c r="G670" s="22">
        <f>(C670 * E670 + C670 * E670 * F670)</f>
      </c>
    </row>
    <row r="671">
      <c r="A671" s="5"/>
      <c r="B671" s="16" t="s">
        <v>604</v>
      </c>
      <c r="C671" s="22">
        <f>(2)*(1)*(1)*(1)*(1 + (0))</f>
      </c>
      <c r="D671" s="22" t="s">
        <v>162</v>
      </c>
      <c r="E671" s="22"/>
      <c r="F671" s="22">
        <f>(0)</f>
      </c>
      <c r="G671" s="22">
        <f>(C671 * E671 + C671 * E671 * F671)</f>
      </c>
    </row>
    <row r="672">
      <c r="A672" s="5"/>
      <c r="B672" s="16" t="s">
        <v>605</v>
      </c>
      <c r="C672" s="22">
        <f>(1)*(1)*(1)*(1)*(1 + (0))</f>
      </c>
      <c r="D672" s="22" t="s">
        <v>606</v>
      </c>
      <c r="E672" s="22"/>
      <c r="F672" s="22">
        <f>(0)</f>
      </c>
      <c r="G672" s="22">
        <f>(C672 * E672 + C672 * E672 * F672)</f>
      </c>
    </row>
    <row r="673">
      <c r="A673" s="6"/>
      <c r="B673" s="15" t="s">
        <v>607</v>
      </c>
      <c r="C673" s="23"/>
      <c r="D673" s="23"/>
      <c r="E673" s="23"/>
      <c r="F673" s="23"/>
      <c r="G673" s="23"/>
    </row>
    <row r="674">
      <c r="A674" s="5"/>
      <c r="B674" s="16" t="s">
        <v>600</v>
      </c>
      <c r="C674" s="22">
        <f>(1.62324)*(1)*(1)*(1)*(1 + (0))</f>
      </c>
      <c r="D674" s="22" t="s">
        <v>182</v>
      </c>
      <c r="E674" s="22"/>
      <c r="F674" s="22">
        <f>(0)</f>
      </c>
      <c r="G674" s="22">
        <f>(C674 * E674 + C674 * E674 * F674)</f>
      </c>
    </row>
    <row r="675">
      <c r="A675" s="5"/>
      <c r="B675" s="16" t="s">
        <v>608</v>
      </c>
      <c r="C675" s="22">
        <f>(3.0456)*(1)*(1)*(1)*(1 + (0))</f>
      </c>
      <c r="D675" s="22" t="s">
        <v>182</v>
      </c>
      <c r="E675" s="22"/>
      <c r="F675" s="22">
        <f>(0)</f>
      </c>
      <c r="G675" s="22">
        <f>(C675 * E675 + C675 * E675 * F675)</f>
      </c>
    </row>
    <row r="676">
      <c r="A676" s="5"/>
      <c r="B676" s="16" t="s">
        <v>563</v>
      </c>
      <c r="C676" s="22">
        <f>(0.7005)*(1)*(1)*(1)*(1 + (0))</f>
      </c>
      <c r="D676" s="22" t="s">
        <v>182</v>
      </c>
      <c r="E676" s="22"/>
      <c r="F676" s="22">
        <f>(0)</f>
      </c>
      <c r="G676" s="22">
        <f>(C676 * E676 + C676 * E676 * F676)</f>
      </c>
    </row>
    <row r="677">
      <c r="A677" s="5"/>
      <c r="B677" s="16" t="s">
        <v>602</v>
      </c>
      <c r="C677" s="22">
        <f>(27)*(1)*(1)*(1)*(1 + (0))</f>
      </c>
      <c r="D677" s="22" t="s">
        <v>162</v>
      </c>
      <c r="E677" s="22"/>
      <c r="F677" s="22">
        <f>(0)</f>
      </c>
      <c r="G677" s="22">
        <f>(C677 * E677 + C677 * E677 * F677)</f>
      </c>
    </row>
    <row r="678">
      <c r="A678" s="5"/>
      <c r="B678" s="16" t="s">
        <v>609</v>
      </c>
      <c r="C678" s="22">
        <f>(27)*(1)*(1)*(1)*(1 + (0))</f>
      </c>
      <c r="D678" s="22" t="s">
        <v>162</v>
      </c>
      <c r="E678" s="22"/>
      <c r="F678" s="22">
        <f>(0)</f>
      </c>
      <c r="G678" s="22">
        <f>(C678 * E678 + C678 * E678 * F678)</f>
      </c>
    </row>
    <row r="679">
      <c r="A679" s="4"/>
      <c r="B679" s="12" t="s">
        <v>610</v>
      </c>
      <c r="C679" s="21"/>
      <c r="D679" s="21"/>
      <c r="E679" s="21"/>
      <c r="F679" s="21"/>
      <c r="G679" s="21"/>
    </row>
    <row r="680">
      <c r="A680" s="6"/>
      <c r="B680" s="15" t="s">
        <v>298</v>
      </c>
      <c r="C680" s="23"/>
      <c r="D680" s="23"/>
      <c r="E680" s="23"/>
      <c r="F680" s="23"/>
      <c r="G680" s="23"/>
    </row>
    <row r="681">
      <c r="A681" s="5"/>
      <c r="B681" s="16" t="s">
        <v>611</v>
      </c>
      <c r="C681" s="22">
        <f>(67)*(1)*(1)*(1)*(1 + (0))</f>
      </c>
      <c r="D681" s="22" t="s">
        <v>24</v>
      </c>
      <c r="E681" s="22"/>
      <c r="F681" s="22">
        <f>(0)</f>
      </c>
      <c r="G681" s="22">
        <f>(C681 * E681 + C681 * E681 * F681)</f>
      </c>
    </row>
    <row r="682">
      <c r="A682" s="6"/>
      <c r="B682" s="15" t="s">
        <v>566</v>
      </c>
      <c r="C682" s="23"/>
      <c r="D682" s="23"/>
      <c r="E682" s="23"/>
      <c r="F682" s="23"/>
      <c r="G682" s="23"/>
    </row>
    <row r="683">
      <c r="A683" s="5"/>
      <c r="B683" s="16" t="s">
        <v>611</v>
      </c>
      <c r="C683" s="22">
        <f>(80)*(1)*(1)*(1)*(1 + (0))</f>
      </c>
      <c r="D683" s="22" t="s">
        <v>24</v>
      </c>
      <c r="E683" s="22"/>
      <c r="F683" s="22">
        <f>(0)</f>
      </c>
      <c r="G683" s="22">
        <f>(C683 * E683 + C683 * E683 * F683)</f>
      </c>
    </row>
    <row r="684">
      <c r="A684" s="6"/>
      <c r="B684" s="15" t="s">
        <v>561</v>
      </c>
      <c r="C684" s="23"/>
      <c r="D684" s="23"/>
      <c r="E684" s="23"/>
      <c r="F684" s="23"/>
      <c r="G684" s="23"/>
    </row>
    <row r="685">
      <c r="A685" s="5"/>
      <c r="B685" s="16" t="s">
        <v>611</v>
      </c>
      <c r="C685" s="22">
        <f>(90)*(1)*(1)*(1)*(1 + (0))</f>
      </c>
      <c r="D685" s="22" t="s">
        <v>24</v>
      </c>
      <c r="E685" s="22"/>
      <c r="F685" s="22">
        <f>(0)</f>
      </c>
      <c r="G685" s="22">
        <f>(C685 * E685 + C685 * E685 * F685)</f>
      </c>
    </row>
    <row r="686">
      <c r="A686" s="4"/>
      <c r="B686" s="12" t="s">
        <v>612</v>
      </c>
      <c r="C686" s="21"/>
      <c r="D686" s="21"/>
      <c r="E686" s="21"/>
      <c r="F686" s="21"/>
      <c r="G686" s="21"/>
    </row>
    <row r="687">
      <c r="A687" s="6"/>
      <c r="B687" s="15" t="s">
        <v>613</v>
      </c>
      <c r="C687" s="23"/>
      <c r="D687" s="23"/>
      <c r="E687" s="23"/>
      <c r="F687" s="23"/>
      <c r="G687" s="23"/>
    </row>
    <row r="688">
      <c r="A688" s="5"/>
      <c r="B688" s="16" t="s">
        <v>614</v>
      </c>
      <c r="C688" s="22">
        <f>(2.85696)*(1)*(1)*(1)*(1 + (0))</f>
      </c>
      <c r="D688" s="22" t="s">
        <v>182</v>
      </c>
      <c r="E688" s="22"/>
      <c r="F688" s="22">
        <f>(0)</f>
      </c>
      <c r="G688" s="22">
        <f>(C688 * E688 + C688 * E688 * F688)</f>
      </c>
    </row>
    <row r="689">
      <c r="A689" s="5"/>
      <c r="B689" s="16" t="s">
        <v>615</v>
      </c>
      <c r="C689" s="22">
        <f>(1.47719933161092)*(1)*(1)*(1)*(1 + (0))</f>
      </c>
      <c r="D689" s="22" t="s">
        <v>182</v>
      </c>
      <c r="E689" s="22"/>
      <c r="F689" s="22">
        <f>(0)</f>
      </c>
      <c r="G689" s="22">
        <f>(C689 * E689 + C689 * E689 * F689)</f>
      </c>
    </row>
    <row r="690">
      <c r="A690" s="5"/>
      <c r="B690" s="16" t="s">
        <v>616</v>
      </c>
      <c r="C690" s="22">
        <f>(1.27659659635212)*(1)*(1)*(1)*(1 + (0))</f>
      </c>
      <c r="D690" s="22" t="s">
        <v>182</v>
      </c>
      <c r="E690" s="22"/>
      <c r="F690" s="22">
        <f>(0)</f>
      </c>
      <c r="G690" s="22">
        <f>(C690 * E690 + C690 * E690 * F690)</f>
      </c>
    </row>
    <row r="691">
      <c r="A691" s="5"/>
      <c r="B691" s="16" t="s">
        <v>617</v>
      </c>
      <c r="C691" s="22">
        <f>(18)*(1)*(1)*(1)*(1 + (0))</f>
      </c>
      <c r="D691" s="22" t="s">
        <v>162</v>
      </c>
      <c r="E691" s="22"/>
      <c r="F691" s="22">
        <f>(0)</f>
      </c>
      <c r="G691" s="22">
        <f>(C691 * E691 + C691 * E691 * F691)</f>
      </c>
    </row>
    <row r="692">
      <c r="A692" s="5"/>
      <c r="B692" s="16" t="s">
        <v>618</v>
      </c>
      <c r="C692" s="22">
        <f>(18)*(1)*(1)*(1)*(1 + (0))</f>
      </c>
      <c r="D692" s="22" t="s">
        <v>162</v>
      </c>
      <c r="E692" s="22"/>
      <c r="F692" s="22">
        <f>(0)</f>
      </c>
      <c r="G692" s="22">
        <f>(C692 * E692 + C692 * E692 * F692)</f>
      </c>
    </row>
    <row r="693">
      <c r="A693" s="5"/>
      <c r="B693" s="16" t="s">
        <v>563</v>
      </c>
      <c r="C693" s="22">
        <f>(0.843)*(1)*(1)*(1)*(1 + (0))</f>
      </c>
      <c r="D693" s="22" t="s">
        <v>182</v>
      </c>
      <c r="E693" s="22"/>
      <c r="F693" s="22">
        <f>(0)</f>
      </c>
      <c r="G693" s="22">
        <f>(C693 * E693 + C693 * E693 * F693)</f>
      </c>
    </row>
    <row r="694">
      <c r="A694" s="3"/>
      <c r="B694" s="11" t="s">
        <v>619</v>
      </c>
      <c r="C694" s="20"/>
      <c r="D694" s="20"/>
      <c r="E694" s="20"/>
      <c r="F694" s="20"/>
      <c r="G694" s="20"/>
    </row>
    <row r="695">
      <c r="A695" s="4"/>
      <c r="B695" s="12" t="s">
        <v>620</v>
      </c>
      <c r="C695" s="21"/>
      <c r="D695" s="21"/>
      <c r="E695" s="21"/>
      <c r="F695" s="21"/>
      <c r="G695" s="21"/>
    </row>
    <row r="696">
      <c r="A696" s="5"/>
      <c r="B696" s="13" t="s">
        <v>621</v>
      </c>
      <c r="C696" s="22">
        <f>(0.49)*(1)*(1)*(1)*(1 + (0))</f>
      </c>
      <c r="D696" s="22" t="s">
        <v>182</v>
      </c>
      <c r="E696" s="22"/>
      <c r="F696" s="22">
        <f>(0)</f>
      </c>
      <c r="G696" s="22">
        <f>(C696 * E696 + C696 * E696 * F696)</f>
      </c>
    </row>
    <row r="697">
      <c r="A697" s="5"/>
      <c r="B697" s="13" t="s">
        <v>622</v>
      </c>
      <c r="C697" s="22">
        <f>(9.38)*(1)*(1)*(1)*(1 + (0))</f>
      </c>
      <c r="D697" s="22" t="s">
        <v>182</v>
      </c>
      <c r="E697" s="22"/>
      <c r="F697" s="22">
        <f>(0)</f>
      </c>
      <c r="G697" s="22">
        <f>(C697 * E697 + C697 * E697 * F697)</f>
      </c>
    </row>
    <row r="698">
      <c r="A698" s="5"/>
      <c r="B698" s="13" t="s">
        <v>623</v>
      </c>
      <c r="C698" s="22">
        <f>(27.95)*(1)*(1)*(1)*(1 + (0))</f>
      </c>
      <c r="D698" s="22" t="s">
        <v>182</v>
      </c>
      <c r="E698" s="22"/>
      <c r="F698" s="22">
        <f>(0)</f>
      </c>
      <c r="G698" s="22">
        <f>(C698 * E698 + C698 * E698 * F698)</f>
      </c>
    </row>
    <row r="699">
      <c r="A699" s="5"/>
      <c r="B699" s="13" t="s">
        <v>624</v>
      </c>
      <c r="C699" s="22">
        <f>(6.46)*(1)*(1)*(1)*(1 + (0))</f>
      </c>
      <c r="D699" s="22" t="s">
        <v>182</v>
      </c>
      <c r="E699" s="22"/>
      <c r="F699" s="22">
        <f>(0)</f>
      </c>
      <c r="G699" s="22">
        <f>(C699 * E699 + C699 * E699 * F699)</f>
      </c>
    </row>
    <row r="700">
      <c r="A700" s="4"/>
      <c r="B700" s="12" t="s">
        <v>625</v>
      </c>
      <c r="C700" s="21"/>
      <c r="D700" s="21"/>
      <c r="E700" s="21"/>
      <c r="F700" s="21"/>
      <c r="G700" s="21"/>
    </row>
    <row r="701">
      <c r="A701" s="5"/>
      <c r="B701" s="13" t="s">
        <v>626</v>
      </c>
      <c r="C701" s="22">
        <f>(0.49)*(1)*(1)*(1)*(1 + (0))</f>
      </c>
      <c r="D701" s="22" t="s">
        <v>182</v>
      </c>
      <c r="E701" s="22"/>
      <c r="F701" s="22">
        <f>(0)</f>
      </c>
      <c r="G701" s="22">
        <f>(C701 * E701 + C701 * E701 * F701)</f>
      </c>
    </row>
    <row r="702">
      <c r="A702" s="5"/>
      <c r="B702" s="13" t="s">
        <v>627</v>
      </c>
      <c r="C702" s="22">
        <f>(9.38)*(1)*(1)*(1)*(1 + (0))</f>
      </c>
      <c r="D702" s="22" t="s">
        <v>182</v>
      </c>
      <c r="E702" s="22"/>
      <c r="F702" s="22">
        <f>(0)</f>
      </c>
      <c r="G702" s="22">
        <f>(C702 * E702 + C702 * E702 * F702)</f>
      </c>
    </row>
    <row r="703">
      <c r="A703" s="5"/>
      <c r="B703" s="13" t="s">
        <v>628</v>
      </c>
      <c r="C703" s="22">
        <f>(27.95)*(1)*(1)*(1)*(1 + (0))</f>
      </c>
      <c r="D703" s="22" t="s">
        <v>182</v>
      </c>
      <c r="E703" s="22"/>
      <c r="F703" s="22">
        <f>(0)</f>
      </c>
      <c r="G703" s="22">
        <f>(C703 * E703 + C703 * E703 * F703)</f>
      </c>
    </row>
    <row r="704">
      <c r="A704" s="4"/>
      <c r="B704" s="12" t="s">
        <v>629</v>
      </c>
      <c r="C704" s="21"/>
      <c r="D704" s="21"/>
      <c r="E704" s="21"/>
      <c r="F704" s="21"/>
      <c r="G704" s="21"/>
    </row>
    <row r="705">
      <c r="A705" s="5"/>
      <c r="B705" s="13" t="s">
        <v>630</v>
      </c>
      <c r="C705" s="22">
        <f>(6.46)*(1)*(1)*(1)*(1 + (0))</f>
      </c>
      <c r="D705" s="22" t="s">
        <v>182</v>
      </c>
      <c r="E705" s="22"/>
      <c r="F705" s="22">
        <f>(0)</f>
      </c>
      <c r="G705" s="22">
        <f>(C705 * E705 + C705 * E705 * F705)</f>
      </c>
    </row>
    <row r="706">
      <c r="A706" s="2"/>
      <c r="B706" s="10" t="s">
        <v>631</v>
      </c>
      <c r="C706" s="19"/>
      <c r="D706" s="19"/>
      <c r="E706" s="19"/>
      <c r="F706" s="19"/>
      <c r="G706" s="19"/>
    </row>
    <row r="707">
      <c r="A707" s="3"/>
      <c r="B707" s="11" t="s">
        <v>37</v>
      </c>
      <c r="C707" s="20"/>
      <c r="D707" s="20"/>
      <c r="E707" s="20"/>
      <c r="F707" s="20"/>
      <c r="G707" s="20"/>
    </row>
    <row r="708">
      <c r="A708" s="5" t="s">
        <v>632</v>
      </c>
      <c r="B708" s="14" t="s">
        <v>39</v>
      </c>
      <c r="C708" s="22"/>
      <c r="D708" s="22" t="s">
        <v>10</v>
      </c>
      <c r="E708" s="22"/>
      <c r="F708" s="22">
        <f>(0)</f>
      </c>
      <c r="G708" s="22">
        <f>(C708 * E708 + C708 * E708 * F708)</f>
      </c>
    </row>
    <row r="709">
      <c r="A709" s="5" t="s">
        <v>633</v>
      </c>
      <c r="B709" s="14" t="s">
        <v>41</v>
      </c>
      <c r="C709" s="22"/>
      <c r="D709" s="22" t="s">
        <v>10</v>
      </c>
      <c r="E709" s="22"/>
      <c r="F709" s="22">
        <f>(0)</f>
      </c>
      <c r="G709" s="22">
        <f>(C709 * E709 + C709 * E709 * F709)</f>
      </c>
    </row>
    <row r="710">
      <c r="A710" s="3"/>
      <c r="B710" s="11" t="s">
        <v>523</v>
      </c>
      <c r="C710" s="20"/>
      <c r="D710" s="20"/>
      <c r="E710" s="20"/>
      <c r="F710" s="20"/>
      <c r="G710" s="20"/>
    </row>
    <row r="711">
      <c r="A711" s="5"/>
      <c r="B711" s="14" t="s">
        <v>634</v>
      </c>
      <c r="C711" s="22"/>
      <c r="D711" s="22" t="s">
        <v>10</v>
      </c>
      <c r="E711" s="22"/>
      <c r="F711" s="22">
        <f>(0)</f>
      </c>
      <c r="G711" s="22">
        <f>(C711 * E711 + C711 * E711 * F711)</f>
      </c>
    </row>
    <row r="712">
      <c r="A712" s="5"/>
      <c r="B712" s="14" t="s">
        <v>635</v>
      </c>
      <c r="C712" s="22"/>
      <c r="D712" s="22" t="s">
        <v>10</v>
      </c>
      <c r="E712" s="22"/>
      <c r="F712" s="22">
        <f>(0)</f>
      </c>
      <c r="G712" s="22">
        <f>(C712 * E712 + C712 * E712 * F712)</f>
      </c>
    </row>
    <row r="713">
      <c r="A713" s="5"/>
      <c r="B713" s="14" t="s">
        <v>636</v>
      </c>
      <c r="C713" s="22"/>
      <c r="D713" s="22" t="s">
        <v>10</v>
      </c>
      <c r="E713" s="22"/>
      <c r="F713" s="22">
        <f>(0)</f>
      </c>
      <c r="G713" s="22">
        <f>(C713 * E713 + C713 * E713 * F713)</f>
      </c>
    </row>
    <row r="714">
      <c r="A714" s="3"/>
      <c r="B714" s="11" t="s">
        <v>44</v>
      </c>
      <c r="C714" s="20"/>
      <c r="D714" s="20"/>
      <c r="E714" s="20"/>
      <c r="F714" s="20"/>
      <c r="G714" s="20"/>
    </row>
    <row r="715">
      <c r="A715" s="4"/>
      <c r="B715" s="12" t="s">
        <v>45</v>
      </c>
      <c r="C715" s="21"/>
      <c r="D715" s="21"/>
      <c r="E715" s="21"/>
      <c r="F715" s="21"/>
      <c r="G715" s="21"/>
    </row>
    <row r="716">
      <c r="A716" s="5" t="s">
        <v>637</v>
      </c>
      <c r="B716" s="13" t="s">
        <v>638</v>
      </c>
      <c r="C716" s="22"/>
      <c r="D716" s="22" t="s">
        <v>10</v>
      </c>
      <c r="E716" s="22"/>
      <c r="F716" s="22">
        <f>(0)</f>
      </c>
      <c r="G716" s="22">
        <f>(C716 * E716 + C716 * E716 * F716)</f>
      </c>
    </row>
    <row r="717">
      <c r="A717" s="5" t="s">
        <v>639</v>
      </c>
      <c r="B717" s="13" t="s">
        <v>640</v>
      </c>
      <c r="C717" s="22"/>
      <c r="D717" s="22" t="s">
        <v>10</v>
      </c>
      <c r="E717" s="22"/>
      <c r="F717" s="22">
        <f>(0)</f>
      </c>
      <c r="G717" s="22">
        <f>(C717 * E717 + C717 * E717 * F717)</f>
      </c>
    </row>
    <row r="718">
      <c r="A718" s="5" t="s">
        <v>641</v>
      </c>
      <c r="B718" s="13" t="s">
        <v>642</v>
      </c>
      <c r="C718" s="22"/>
      <c r="D718" s="22" t="s">
        <v>10</v>
      </c>
      <c r="E718" s="22"/>
      <c r="F718" s="22">
        <f>(0)</f>
      </c>
      <c r="G718" s="22">
        <f>(C718 * E718 + C718 * E718 * F718)</f>
      </c>
    </row>
    <row r="719">
      <c r="A719" s="5" t="s">
        <v>643</v>
      </c>
      <c r="B719" s="13" t="s">
        <v>644</v>
      </c>
      <c r="C719" s="22"/>
      <c r="D719" s="22" t="s">
        <v>10</v>
      </c>
      <c r="E719" s="22"/>
      <c r="F719" s="22">
        <f>(0)</f>
      </c>
      <c r="G719" s="22">
        <f>(C719 * E719 + C719 * E719 * F719)</f>
      </c>
    </row>
    <row r="720">
      <c r="A720" s="5" t="s">
        <v>645</v>
      </c>
      <c r="B720" s="13" t="s">
        <v>646</v>
      </c>
      <c r="C720" s="22"/>
      <c r="D720" s="22" t="s">
        <v>10</v>
      </c>
      <c r="E720" s="22"/>
      <c r="F720" s="22">
        <f>(0)</f>
      </c>
      <c r="G720" s="22">
        <f>(C720 * E720 + C720 * E720 * F720)</f>
      </c>
    </row>
    <row r="721">
      <c r="A721" s="5" t="s">
        <v>647</v>
      </c>
      <c r="B721" s="13" t="s">
        <v>648</v>
      </c>
      <c r="C721" s="22"/>
      <c r="D721" s="22" t="s">
        <v>10</v>
      </c>
      <c r="E721" s="22"/>
      <c r="F721" s="22">
        <f>(0)</f>
      </c>
      <c r="G721" s="22">
        <f>(C721 * E721 + C721 * E721 * F721)</f>
      </c>
    </row>
    <row r="722">
      <c r="A722" s="5" t="s">
        <v>649</v>
      </c>
      <c r="B722" s="13" t="s">
        <v>650</v>
      </c>
      <c r="C722" s="22"/>
      <c r="D722" s="22" t="s">
        <v>10</v>
      </c>
      <c r="E722" s="22"/>
      <c r="F722" s="22">
        <f>(0)</f>
      </c>
      <c r="G722" s="22">
        <f>(C722 * E722 + C722 * E722 * F722)</f>
      </c>
    </row>
    <row r="723">
      <c r="A723" s="5" t="s">
        <v>651</v>
      </c>
      <c r="B723" s="13" t="s">
        <v>652</v>
      </c>
      <c r="C723" s="22"/>
      <c r="D723" s="22" t="s">
        <v>10</v>
      </c>
      <c r="E723" s="22"/>
      <c r="F723" s="22">
        <f>(0)</f>
      </c>
      <c r="G723" s="22">
        <f>(C723 * E723 + C723 * E723 * F723)</f>
      </c>
    </row>
    <row r="724">
      <c r="A724" s="5" t="s">
        <v>653</v>
      </c>
      <c r="B724" s="13" t="s">
        <v>654</v>
      </c>
      <c r="C724" s="22"/>
      <c r="D724" s="22" t="s">
        <v>10</v>
      </c>
      <c r="E724" s="22"/>
      <c r="F724" s="22">
        <f>(0)</f>
      </c>
      <c r="G724" s="22">
        <f>(C724 * E724 + C724 * E724 * F724)</f>
      </c>
    </row>
    <row r="725">
      <c r="A725" s="3"/>
      <c r="B725" s="11" t="s">
        <v>68</v>
      </c>
      <c r="C725" s="20"/>
      <c r="D725" s="20"/>
      <c r="E725" s="20"/>
      <c r="F725" s="20"/>
      <c r="G725" s="20"/>
    </row>
    <row r="726">
      <c r="A726" s="5" t="s">
        <v>655</v>
      </c>
      <c r="B726" s="14" t="s">
        <v>656</v>
      </c>
      <c r="C726" s="22">
        <f>(1)*(1)*(1)*(1)*(1 + (0))</f>
      </c>
      <c r="D726" s="22" t="s">
        <v>71</v>
      </c>
      <c r="E726" s="22"/>
      <c r="F726" s="22">
        <f>(0)</f>
      </c>
      <c r="G726" s="22">
        <f>(C726 * E726 + C726 * E726 * F726)</f>
      </c>
    </row>
    <row r="727">
      <c r="A727" s="5" t="s">
        <v>657</v>
      </c>
      <c r="B727" s="14" t="s">
        <v>658</v>
      </c>
      <c r="C727" s="22">
        <f>(1)*(1)*(1)*(1)*(1 + (0))</f>
      </c>
      <c r="D727" s="22" t="s">
        <v>71</v>
      </c>
      <c r="E727" s="22"/>
      <c r="F727" s="22">
        <f>(0)</f>
      </c>
      <c r="G727" s="22">
        <f>(C727 * E727 + C727 * E727 * F727)</f>
      </c>
    </row>
    <row r="728">
      <c r="A728" s="5" t="s">
        <v>659</v>
      </c>
      <c r="B728" s="14" t="s">
        <v>660</v>
      </c>
      <c r="C728" s="22">
        <f>(1)*(1)*(1)*(1)*(1 + (0))</f>
      </c>
      <c r="D728" s="22" t="s">
        <v>71</v>
      </c>
      <c r="E728" s="22"/>
      <c r="F728" s="22">
        <f>(0)</f>
      </c>
      <c r="G728" s="22">
        <f>(C728 * E728 + C728 * E728 * F728)</f>
      </c>
    </row>
    <row r="729">
      <c r="A729" s="5" t="s">
        <v>661</v>
      </c>
      <c r="B729" s="14" t="s">
        <v>77</v>
      </c>
      <c r="C729" s="22">
        <f>(1)*(1)*(1)*(1)*(1 + (0))</f>
      </c>
      <c r="D729" s="22" t="s">
        <v>71</v>
      </c>
      <c r="E729" s="22"/>
      <c r="F729" s="22">
        <f>(0)</f>
      </c>
      <c r="G729" s="22">
        <f>(C729 * E729 + C729 * E729 * F729)</f>
      </c>
    </row>
    <row r="730">
      <c r="A730" s="5" t="s">
        <v>662</v>
      </c>
      <c r="B730" s="14" t="s">
        <v>663</v>
      </c>
      <c r="C730" s="22">
        <f>(1)*(1)*(1)*(1)*(1 + (0))</f>
      </c>
      <c r="D730" s="22" t="s">
        <v>71</v>
      </c>
      <c r="E730" s="22"/>
      <c r="F730" s="22">
        <f>(0)</f>
      </c>
      <c r="G730" s="22">
        <f>(C730 * E730 + C730 * E730 * F730)</f>
      </c>
    </row>
    <row r="731">
      <c r="A731" s="5" t="s">
        <v>664</v>
      </c>
      <c r="B731" s="14" t="s">
        <v>665</v>
      </c>
      <c r="C731" s="22">
        <f>(1)*(1)*(1)*(1)*(1 + (0))</f>
      </c>
      <c r="D731" s="22" t="s">
        <v>71</v>
      </c>
      <c r="E731" s="22"/>
      <c r="F731" s="22">
        <f>(0)</f>
      </c>
      <c r="G731" s="22">
        <f>(C731 * E731 + C731 * E731 * F731)</f>
      </c>
    </row>
    <row r="732">
      <c r="A732" s="5" t="s">
        <v>666</v>
      </c>
      <c r="B732" s="14" t="s">
        <v>667</v>
      </c>
      <c r="C732" s="22">
        <f>(1)*(1)*(1)*(1)*(1 + (0))</f>
      </c>
      <c r="D732" s="22" t="s">
        <v>71</v>
      </c>
      <c r="E732" s="22"/>
      <c r="F732" s="22">
        <f>(0)</f>
      </c>
      <c r="G732" s="22">
        <f>(C732 * E732 + C732 * E732 * F732)</f>
      </c>
    </row>
    <row r="733">
      <c r="A733" s="5" t="s">
        <v>668</v>
      </c>
      <c r="B733" s="14" t="s">
        <v>669</v>
      </c>
      <c r="C733" s="22">
        <f>(1)*(1)*(1)*(1)*(1 + (0))</f>
      </c>
      <c r="D733" s="22" t="s">
        <v>71</v>
      </c>
      <c r="E733" s="22"/>
      <c r="F733" s="22">
        <f>(0)</f>
      </c>
      <c r="G733" s="22">
        <f>(C733 * E733 + C733 * E733 * F733)</f>
      </c>
    </row>
    <row r="734">
      <c r="A734" s="3"/>
      <c r="B734" s="11" t="s">
        <v>106</v>
      </c>
      <c r="C734" s="20"/>
      <c r="D734" s="20"/>
      <c r="E734" s="20"/>
      <c r="F734" s="20"/>
      <c r="G734" s="20"/>
    </row>
    <row r="735">
      <c r="A735" s="5"/>
      <c r="B735" s="14" t="s">
        <v>670</v>
      </c>
      <c r="C735" s="22"/>
      <c r="D735" s="22" t="s">
        <v>10</v>
      </c>
      <c r="E735" s="22"/>
      <c r="F735" s="22">
        <f>(0)</f>
      </c>
      <c r="G735" s="22">
        <f>(C735 * E735 + C735 * E735 * F735)</f>
      </c>
    </row>
    <row r="736">
      <c r="A736" s="5"/>
      <c r="B736" s="14" t="s">
        <v>671</v>
      </c>
      <c r="C736" s="22"/>
      <c r="D736" s="22" t="s">
        <v>10</v>
      </c>
      <c r="E736" s="22"/>
      <c r="F736" s="22">
        <f>(0)</f>
      </c>
      <c r="G736" s="22">
        <f>(C736 * E736 + C736 * E736 * F736)</f>
      </c>
    </row>
    <row r="737">
      <c r="A737" s="3"/>
      <c r="B737" s="11" t="s">
        <v>672</v>
      </c>
      <c r="C737" s="20"/>
      <c r="D737" s="20"/>
      <c r="E737" s="20"/>
      <c r="F737" s="20"/>
      <c r="G737" s="20"/>
    </row>
    <row r="738">
      <c r="A738" s="4"/>
      <c r="B738" s="12" t="s">
        <v>673</v>
      </c>
      <c r="C738" s="21"/>
      <c r="D738" s="21"/>
      <c r="E738" s="21"/>
      <c r="F738" s="21"/>
      <c r="G738" s="21"/>
    </row>
    <row r="739">
      <c r="A739" s="6"/>
      <c r="B739" s="15" t="s">
        <v>674</v>
      </c>
      <c r="C739" s="23"/>
      <c r="D739" s="23"/>
      <c r="E739" s="23"/>
      <c r="F739" s="23"/>
      <c r="G739" s="23"/>
    </row>
    <row r="740">
      <c r="A740" s="5"/>
      <c r="B740" s="16" t="s">
        <v>675</v>
      </c>
      <c r="C740" s="22"/>
      <c r="D740" s="22"/>
      <c r="E740" s="22"/>
      <c r="F740" s="22"/>
      <c r="G740" s="22"/>
    </row>
    <row r="741">
      <c r="A741" s="5"/>
      <c r="B741" s="17" t="s">
        <v>676</v>
      </c>
      <c r="C741" s="22">
        <f>(108)*(1)*(1)*(1)*(1 + (0))</f>
      </c>
      <c r="D741" s="22" t="s">
        <v>24</v>
      </c>
      <c r="E741" s="22"/>
      <c r="F741" s="22">
        <f>(0)</f>
      </c>
      <c r="G741" s="22">
        <f>(C741 * E741 + C741 * E741 * F741)</f>
      </c>
    </row>
    <row r="742">
      <c r="A742" s="5"/>
      <c r="B742" s="17" t="s">
        <v>613</v>
      </c>
      <c r="C742" s="22">
        <f>(13)*(1)*(1)*(1)*(1 + (0))</f>
      </c>
      <c r="D742" s="22" t="s">
        <v>24</v>
      </c>
      <c r="E742" s="22"/>
      <c r="F742" s="22">
        <f>(0)</f>
      </c>
      <c r="G742" s="22">
        <f>(C742 * E742 + C742 * E742 * F742)</f>
      </c>
    </row>
    <row r="743">
      <c r="A743" s="5"/>
      <c r="B743" s="16" t="s">
        <v>677</v>
      </c>
      <c r="C743" s="22"/>
      <c r="D743" s="22"/>
      <c r="E743" s="22"/>
      <c r="F743" s="22"/>
      <c r="G743" s="22"/>
    </row>
    <row r="744">
      <c r="A744" s="5"/>
      <c r="B744" s="17" t="s">
        <v>676</v>
      </c>
      <c r="C744" s="22">
        <f>(29)*(1)*(1)*(1)*(1 + (0))</f>
      </c>
      <c r="D744" s="22" t="s">
        <v>24</v>
      </c>
      <c r="E744" s="22"/>
      <c r="F744" s="22">
        <f>(0)</f>
      </c>
      <c r="G744" s="22">
        <f>(C744 * E744 + C744 * E744 * F744)</f>
      </c>
    </row>
    <row r="745">
      <c r="A745" s="5"/>
      <c r="B745" s="16" t="s">
        <v>678</v>
      </c>
      <c r="C745" s="22"/>
      <c r="D745" s="22"/>
      <c r="E745" s="22"/>
      <c r="F745" s="22"/>
      <c r="G745" s="22"/>
    </row>
    <row r="746">
      <c r="A746" s="5"/>
      <c r="B746" s="17" t="s">
        <v>676</v>
      </c>
      <c r="C746" s="22">
        <f>(129)*(1)*(1)*(1)*(1 + (0))</f>
      </c>
      <c r="D746" s="22" t="s">
        <v>153</v>
      </c>
      <c r="E746" s="22"/>
      <c r="F746" s="22">
        <f>(0)</f>
      </c>
      <c r="G746" s="22">
        <f>(C746 * E746 + C746 * E746 * F746)</f>
      </c>
    </row>
    <row r="747">
      <c r="A747" s="5"/>
      <c r="B747" s="17" t="s">
        <v>613</v>
      </c>
      <c r="C747" s="22">
        <f>(24)*(1)*(1)*(1)*(1 + (0))</f>
      </c>
      <c r="D747" s="22" t="s">
        <v>153</v>
      </c>
      <c r="E747" s="22"/>
      <c r="F747" s="22">
        <f>(0)</f>
      </c>
      <c r="G747" s="22">
        <f>(C747 * E747 + C747 * E747 * F747)</f>
      </c>
    </row>
    <row r="748">
      <c r="A748" s="4"/>
      <c r="B748" s="12" t="s">
        <v>679</v>
      </c>
      <c r="C748" s="21"/>
      <c r="D748" s="21"/>
      <c r="E748" s="21"/>
      <c r="F748" s="21"/>
      <c r="G748" s="21"/>
    </row>
    <row r="749">
      <c r="A749" s="6"/>
      <c r="B749" s="15" t="s">
        <v>680</v>
      </c>
      <c r="C749" s="23"/>
      <c r="D749" s="23"/>
      <c r="E749" s="23"/>
      <c r="F749" s="23"/>
      <c r="G749" s="23"/>
    </row>
    <row r="750">
      <c r="A750" s="5"/>
      <c r="B750" s="16" t="s">
        <v>681</v>
      </c>
      <c r="C750" s="22"/>
      <c r="D750" s="22"/>
      <c r="E750" s="22"/>
      <c r="F750" s="22"/>
      <c r="G750" s="22"/>
    </row>
    <row r="751">
      <c r="A751" s="5"/>
      <c r="B751" s="17" t="s">
        <v>613</v>
      </c>
      <c r="C751" s="22">
        <f>(220)*(1)*(1)*(1)*(1 + (0))</f>
      </c>
      <c r="D751" s="22" t="s">
        <v>24</v>
      </c>
      <c r="E751" s="22"/>
      <c r="F751" s="22">
        <f>(0)</f>
      </c>
      <c r="G751" s="22">
        <f>(C751 * E751 + C751 * E751 * F751)</f>
      </c>
    </row>
    <row r="752">
      <c r="A752" s="5"/>
      <c r="B752" s="16" t="s">
        <v>678</v>
      </c>
      <c r="C752" s="22"/>
      <c r="D752" s="22"/>
      <c r="E752" s="22"/>
      <c r="F752" s="22"/>
      <c r="G752" s="22"/>
    </row>
    <row r="753">
      <c r="A753" s="5"/>
      <c r="B753" s="17" t="s">
        <v>613</v>
      </c>
      <c r="C753" s="22">
        <f>(51)*(1)*(1)*(1)*(1 + (0))</f>
      </c>
      <c r="D753" s="22" t="s">
        <v>153</v>
      </c>
      <c r="E753" s="22"/>
      <c r="F753" s="22">
        <f>(0)</f>
      </c>
      <c r="G753" s="22">
        <f>(C753 * E753 + C753 * E753 * F753)</f>
      </c>
    </row>
    <row r="754">
      <c r="A754" s="4"/>
      <c r="B754" s="12" t="s">
        <v>682</v>
      </c>
      <c r="C754" s="21"/>
      <c r="D754" s="21"/>
      <c r="E754" s="21"/>
      <c r="F754" s="21"/>
      <c r="G754" s="21"/>
    </row>
    <row r="755">
      <c r="A755" s="6"/>
      <c r="B755" s="15" t="s">
        <v>680</v>
      </c>
      <c r="C755" s="23"/>
      <c r="D755" s="23"/>
      <c r="E755" s="23"/>
      <c r="F755" s="23"/>
      <c r="G755" s="23"/>
    </row>
    <row r="756">
      <c r="A756" s="5"/>
      <c r="B756" s="16" t="s">
        <v>683</v>
      </c>
      <c r="C756" s="22"/>
      <c r="D756" s="22"/>
      <c r="E756" s="22"/>
      <c r="F756" s="22"/>
      <c r="G756" s="22"/>
    </row>
    <row r="757">
      <c r="A757" s="5"/>
      <c r="B757" s="17" t="s">
        <v>684</v>
      </c>
      <c r="C757" s="22">
        <f>(76)*(1)*(1)*(1)*(1 + (0))</f>
      </c>
      <c r="D757" s="22" t="s">
        <v>24</v>
      </c>
      <c r="E757" s="22"/>
      <c r="F757" s="22">
        <f>(0)</f>
      </c>
      <c r="G757" s="22">
        <f>(C757 * E757 + C757 * E757 * F757)</f>
      </c>
    </row>
    <row r="758">
      <c r="A758" s="5"/>
      <c r="B758" s="16" t="s">
        <v>685</v>
      </c>
      <c r="C758" s="22"/>
      <c r="D758" s="22"/>
      <c r="E758" s="22"/>
      <c r="F758" s="22"/>
      <c r="G758" s="22"/>
    </row>
    <row r="759">
      <c r="A759" s="5"/>
      <c r="B759" s="17" t="s">
        <v>684</v>
      </c>
      <c r="C759" s="22">
        <f>(10)*(1)*(1)*(1)*(1 + (0))</f>
      </c>
      <c r="D759" s="22" t="s">
        <v>24</v>
      </c>
      <c r="E759" s="22"/>
      <c r="F759" s="22">
        <f>(0)</f>
      </c>
      <c r="G759" s="22">
        <f>(C759 * E759 + C759 * E759 * F759)</f>
      </c>
    </row>
    <row r="760">
      <c r="A760" s="3"/>
      <c r="B760" s="11" t="s">
        <v>686</v>
      </c>
      <c r="C760" s="20"/>
      <c r="D760" s="20"/>
      <c r="E760" s="20"/>
      <c r="F760" s="20"/>
      <c r="G760" s="20"/>
    </row>
    <row r="761">
      <c r="A761" s="4"/>
      <c r="B761" s="12" t="s">
        <v>687</v>
      </c>
      <c r="C761" s="21"/>
      <c r="D761" s="21"/>
      <c r="E761" s="21"/>
      <c r="F761" s="21"/>
      <c r="G761" s="21"/>
    </row>
    <row r="762">
      <c r="A762" s="6"/>
      <c r="B762" s="15" t="s">
        <v>308</v>
      </c>
      <c r="C762" s="23"/>
      <c r="D762" s="23"/>
      <c r="E762" s="23"/>
      <c r="F762" s="23"/>
      <c r="G762" s="23"/>
    </row>
    <row r="763">
      <c r="A763" s="5"/>
      <c r="B763" s="16" t="s">
        <v>688</v>
      </c>
      <c r="C763" s="22">
        <f>(17)*(1)*(1)*(1)*(1 + (0))</f>
      </c>
      <c r="D763" s="22" t="s">
        <v>24</v>
      </c>
      <c r="E763" s="22"/>
      <c r="F763" s="22">
        <f>(0)</f>
      </c>
      <c r="G763" s="22">
        <f>(C763 * E763 + C763 * E763 * F763)</f>
      </c>
    </row>
    <row r="764">
      <c r="A764" s="2"/>
      <c r="B764" s="10" t="s">
        <v>689</v>
      </c>
      <c r="C764" s="19"/>
      <c r="D764" s="19"/>
      <c r="E764" s="19"/>
      <c r="F764" s="19"/>
      <c r="G764" s="19"/>
    </row>
    <row r="765">
      <c r="A765" s="3"/>
      <c r="B765" s="11" t="s">
        <v>37</v>
      </c>
      <c r="C765" s="20"/>
      <c r="D765" s="20"/>
      <c r="E765" s="20"/>
      <c r="F765" s="20"/>
      <c r="G765" s="20"/>
    </row>
    <row r="766">
      <c r="A766" s="5" t="s">
        <v>690</v>
      </c>
      <c r="B766" s="14" t="s">
        <v>39</v>
      </c>
      <c r="C766" s="22"/>
      <c r="D766" s="22" t="s">
        <v>10</v>
      </c>
      <c r="E766" s="22"/>
      <c r="F766" s="22">
        <f>(0)</f>
      </c>
      <c r="G766" s="22">
        <f>(C766 * E766 + C766 * E766 * F766)</f>
      </c>
    </row>
    <row r="767">
      <c r="A767" s="5" t="s">
        <v>691</v>
      </c>
      <c r="B767" s="14" t="s">
        <v>41</v>
      </c>
      <c r="C767" s="22"/>
      <c r="D767" s="22" t="s">
        <v>10</v>
      </c>
      <c r="E767" s="22"/>
      <c r="F767" s="22">
        <f>(0)</f>
      </c>
      <c r="G767" s="22">
        <f>(C767 * E767 + C767 * E767 * F767)</f>
      </c>
    </row>
    <row r="768">
      <c r="A768" s="3"/>
      <c r="B768" s="11" t="s">
        <v>42</v>
      </c>
      <c r="C768" s="20"/>
      <c r="D768" s="20"/>
      <c r="E768" s="20"/>
      <c r="F768" s="20"/>
      <c r="G768" s="20"/>
    </row>
    <row r="769">
      <c r="A769" s="5"/>
      <c r="B769" s="14" t="s">
        <v>692</v>
      </c>
      <c r="C769" s="22"/>
      <c r="D769" s="22" t="s">
        <v>10</v>
      </c>
      <c r="E769" s="22"/>
      <c r="F769" s="22">
        <f>(0)</f>
      </c>
      <c r="G769" s="22">
        <f>(C769 * E769 + C769 * E769 * F769)</f>
      </c>
    </row>
    <row r="770">
      <c r="A770" s="5"/>
      <c r="B770" s="14" t="s">
        <v>693</v>
      </c>
      <c r="C770" s="22"/>
      <c r="D770" s="22" t="s">
        <v>10</v>
      </c>
      <c r="E770" s="22"/>
      <c r="F770" s="22">
        <f>(0)</f>
      </c>
      <c r="G770" s="22">
        <f>(C770 * E770 + C770 * E770 * F770)</f>
      </c>
    </row>
    <row r="771">
      <c r="A771" s="5"/>
      <c r="B771" s="14" t="s">
        <v>694</v>
      </c>
      <c r="C771" s="22"/>
      <c r="D771" s="22" t="s">
        <v>10</v>
      </c>
      <c r="E771" s="22"/>
      <c r="F771" s="22">
        <f>(0)</f>
      </c>
      <c r="G771" s="22">
        <f>(C771 * E771 + C771 * E771 * F771)</f>
      </c>
    </row>
    <row r="772">
      <c r="A772" s="3"/>
      <c r="B772" s="11" t="s">
        <v>44</v>
      </c>
      <c r="C772" s="20"/>
      <c r="D772" s="20"/>
      <c r="E772" s="20"/>
      <c r="F772" s="20"/>
      <c r="G772" s="20"/>
    </row>
    <row r="773">
      <c r="A773" s="4"/>
      <c r="B773" s="12" t="s">
        <v>45</v>
      </c>
      <c r="C773" s="21"/>
      <c r="D773" s="21"/>
      <c r="E773" s="21"/>
      <c r="F773" s="21"/>
      <c r="G773" s="21"/>
    </row>
    <row r="774">
      <c r="A774" s="5" t="s">
        <v>695</v>
      </c>
      <c r="B774" s="13" t="s">
        <v>696</v>
      </c>
      <c r="C774" s="22"/>
      <c r="D774" s="22" t="s">
        <v>10</v>
      </c>
      <c r="E774" s="22"/>
      <c r="F774" s="22">
        <f>(0)</f>
      </c>
      <c r="G774" s="22">
        <f>(C774 * E774 + C774 * E774 * F774)</f>
      </c>
    </row>
    <row r="775">
      <c r="A775" s="5" t="s">
        <v>697</v>
      </c>
      <c r="B775" s="13" t="s">
        <v>698</v>
      </c>
      <c r="C775" s="22"/>
      <c r="D775" s="22" t="s">
        <v>10</v>
      </c>
      <c r="E775" s="22"/>
      <c r="F775" s="22">
        <f>(0)</f>
      </c>
      <c r="G775" s="22">
        <f>(C775 * E775 + C775 * E775 * F775)</f>
      </c>
    </row>
    <row r="776">
      <c r="A776" s="5" t="s">
        <v>699</v>
      </c>
      <c r="B776" s="13" t="s">
        <v>700</v>
      </c>
      <c r="C776" s="22"/>
      <c r="D776" s="22" t="s">
        <v>10</v>
      </c>
      <c r="E776" s="22"/>
      <c r="F776" s="22">
        <f>(0)</f>
      </c>
      <c r="G776" s="22">
        <f>(C776 * E776 + C776 * E776 * F776)</f>
      </c>
    </row>
    <row r="777">
      <c r="A777" s="5" t="s">
        <v>701</v>
      </c>
      <c r="B777" s="13" t="s">
        <v>646</v>
      </c>
      <c r="C777" s="22"/>
      <c r="D777" s="22" t="s">
        <v>10</v>
      </c>
      <c r="E777" s="22"/>
      <c r="F777" s="22">
        <f>(0)</f>
      </c>
      <c r="G777" s="22">
        <f>(C777 * E777 + C777 * E777 * F777)</f>
      </c>
    </row>
    <row r="778">
      <c r="A778" s="5" t="s">
        <v>702</v>
      </c>
      <c r="B778" s="13" t="s">
        <v>648</v>
      </c>
      <c r="C778" s="22"/>
      <c r="D778" s="22" t="s">
        <v>10</v>
      </c>
      <c r="E778" s="22"/>
      <c r="F778" s="22">
        <f>(0)</f>
      </c>
      <c r="G778" s="22">
        <f>(C778 * E778 + C778 * E778 * F778)</f>
      </c>
    </row>
    <row r="779">
      <c r="A779" s="5" t="s">
        <v>703</v>
      </c>
      <c r="B779" s="13" t="s">
        <v>704</v>
      </c>
      <c r="C779" s="22"/>
      <c r="D779" s="22" t="s">
        <v>10</v>
      </c>
      <c r="E779" s="22"/>
      <c r="F779" s="22">
        <f>(0)</f>
      </c>
      <c r="G779" s="22">
        <f>(C779 * E779 + C779 * E779 * F779)</f>
      </c>
    </row>
    <row r="780">
      <c r="A780" s="5" t="s">
        <v>705</v>
      </c>
      <c r="B780" s="13" t="s">
        <v>123</v>
      </c>
      <c r="C780" s="22"/>
      <c r="D780" s="22" t="s">
        <v>10</v>
      </c>
      <c r="E780" s="22"/>
      <c r="F780" s="22">
        <f>(0)</f>
      </c>
      <c r="G780" s="22">
        <f>(C780 * E780 + C780 * E780 * F780)</f>
      </c>
    </row>
    <row r="781">
      <c r="A781" s="3"/>
      <c r="B781" s="11" t="s">
        <v>68</v>
      </c>
      <c r="C781" s="20"/>
      <c r="D781" s="20"/>
      <c r="E781" s="20"/>
      <c r="F781" s="20"/>
      <c r="G781" s="20"/>
    </row>
    <row r="782">
      <c r="A782" s="5" t="s">
        <v>706</v>
      </c>
      <c r="B782" s="14" t="s">
        <v>707</v>
      </c>
      <c r="C782" s="22">
        <f>(1)*(1)*(1)*(1)*(1 + (0))</f>
      </c>
      <c r="D782" s="22" t="s">
        <v>71</v>
      </c>
      <c r="E782" s="22"/>
      <c r="F782" s="22">
        <f>(0)</f>
      </c>
      <c r="G782" s="22">
        <f>(C782 * E782 + C782 * E782 * F782)</f>
      </c>
    </row>
    <row r="783">
      <c r="A783" s="5" t="s">
        <v>708</v>
      </c>
      <c r="B783" s="14" t="s">
        <v>709</v>
      </c>
      <c r="C783" s="22">
        <f>(1)*(1)*(1)*(1)*(1 + (0))</f>
      </c>
      <c r="D783" s="22" t="s">
        <v>71</v>
      </c>
      <c r="E783" s="22"/>
      <c r="F783" s="22">
        <f>(0)</f>
      </c>
      <c r="G783" s="22">
        <f>(C783 * E783 + C783 * E783 * F783)</f>
      </c>
    </row>
    <row r="784">
      <c r="A784" s="5" t="s">
        <v>710</v>
      </c>
      <c r="B784" s="14" t="s">
        <v>711</v>
      </c>
      <c r="C784" s="22">
        <f>(1)*(1)*(1)*(1)*(1 + (0))</f>
      </c>
      <c r="D784" s="22" t="s">
        <v>71</v>
      </c>
      <c r="E784" s="22"/>
      <c r="F784" s="22">
        <f>(0)</f>
      </c>
      <c r="G784" s="22">
        <f>(C784 * E784 + C784 * E784 * F784)</f>
      </c>
    </row>
    <row r="785">
      <c r="A785" s="5" t="s">
        <v>712</v>
      </c>
      <c r="B785" s="14" t="s">
        <v>79</v>
      </c>
      <c r="C785" s="22">
        <f>(1)*(1)*(1)*(1)*(1 + (0))</f>
      </c>
      <c r="D785" s="22" t="s">
        <v>71</v>
      </c>
      <c r="E785" s="22"/>
      <c r="F785" s="22">
        <f>(0)</f>
      </c>
      <c r="G785" s="22">
        <f>(C785 * E785 + C785 * E785 * F785)</f>
      </c>
    </row>
    <row r="786">
      <c r="A786" s="5" t="s">
        <v>713</v>
      </c>
      <c r="B786" s="14" t="s">
        <v>714</v>
      </c>
      <c r="C786" s="22">
        <f>(1)*(1)*(1)*(1)*(1 + (0))</f>
      </c>
      <c r="D786" s="22" t="s">
        <v>71</v>
      </c>
      <c r="E786" s="22"/>
      <c r="F786" s="22">
        <f>(0)</f>
      </c>
      <c r="G786" s="22">
        <f>(C786 * E786 + C786 * E786 * F786)</f>
      </c>
    </row>
    <row r="787">
      <c r="A787" s="5" t="s">
        <v>715</v>
      </c>
      <c r="B787" s="14" t="s">
        <v>716</v>
      </c>
      <c r="C787" s="22">
        <f>(1)*(1)*(1)*(1)*(1 + (0))</f>
      </c>
      <c r="D787" s="22" t="s">
        <v>71</v>
      </c>
      <c r="E787" s="22"/>
      <c r="F787" s="22">
        <f>(0)</f>
      </c>
      <c r="G787" s="22">
        <f>(C787 * E787 + C787 * E787 * F787)</f>
      </c>
    </row>
    <row r="788">
      <c r="A788" s="5" t="s">
        <v>717</v>
      </c>
      <c r="B788" s="14" t="s">
        <v>718</v>
      </c>
      <c r="C788" s="22">
        <f>(1)*(1)*(1)*(1)*(1 + (0))</f>
      </c>
      <c r="D788" s="22" t="s">
        <v>71</v>
      </c>
      <c r="E788" s="22"/>
      <c r="F788" s="22">
        <f>(0)</f>
      </c>
      <c r="G788" s="22">
        <f>(C788 * E788 + C788 * E788 * F788)</f>
      </c>
    </row>
    <row r="789">
      <c r="A789" s="5" t="s">
        <v>719</v>
      </c>
      <c r="B789" s="14" t="s">
        <v>720</v>
      </c>
      <c r="C789" s="22">
        <f>(1)*(1)*(1)*(1)*(1 + (0))</f>
      </c>
      <c r="D789" s="22" t="s">
        <v>71</v>
      </c>
      <c r="E789" s="22"/>
      <c r="F789" s="22">
        <f>(0)</f>
      </c>
      <c r="G789" s="22">
        <f>(C789 * E789 + C789 * E789 * F789)</f>
      </c>
    </row>
    <row r="790">
      <c r="A790" s="3"/>
      <c r="B790" s="11" t="s">
        <v>721</v>
      </c>
      <c r="C790" s="20"/>
      <c r="D790" s="20"/>
      <c r="E790" s="20"/>
      <c r="F790" s="20"/>
      <c r="G790" s="20"/>
    </row>
    <row r="791">
      <c r="A791" s="5"/>
      <c r="B791" s="14" t="s">
        <v>722</v>
      </c>
      <c r="C791" s="22">
        <f>(1902)*(1)*(1)*(1)*(1 + (0))</f>
      </c>
      <c r="D791" s="22" t="s">
        <v>24</v>
      </c>
      <c r="E791" s="22"/>
      <c r="F791" s="22">
        <f>(0)</f>
      </c>
      <c r="G791" s="22">
        <f>(C791 * E791 + C791 * E791 * F791)</f>
      </c>
    </row>
    <row r="792">
      <c r="A792" s="3"/>
      <c r="B792" s="11" t="s">
        <v>723</v>
      </c>
      <c r="C792" s="20"/>
      <c r="D792" s="20"/>
      <c r="E792" s="20"/>
      <c r="F792" s="20"/>
      <c r="G792" s="20"/>
    </row>
    <row r="793">
      <c r="A793" s="5"/>
      <c r="B793" s="14" t="s">
        <v>724</v>
      </c>
      <c r="C793" s="22">
        <f>(1902)*(1)*(1)*(1)*(1 + (0))</f>
      </c>
      <c r="D793" s="22" t="s">
        <v>24</v>
      </c>
      <c r="E793" s="22"/>
      <c r="F793" s="22">
        <f>(0)</f>
      </c>
      <c r="G793" s="22">
        <f>(C793 * E793 + C793 * E793 * F793)</f>
      </c>
    </row>
    <row r="794">
      <c r="A794" s="5"/>
      <c r="B794" s="14" t="s">
        <v>725</v>
      </c>
      <c r="C794" s="22">
        <f>(127)*(1)*(1)*(1)*(1 + (0))</f>
      </c>
      <c r="D794" s="22" t="s">
        <v>24</v>
      </c>
      <c r="E794" s="22"/>
      <c r="F794" s="22">
        <f>(0)</f>
      </c>
      <c r="G794" s="22">
        <f>(C794 * E794 + C794 * E794 * F794)</f>
      </c>
    </row>
    <row r="795">
      <c r="A795" s="5"/>
      <c r="B795" s="14" t="s">
        <v>726</v>
      </c>
      <c r="C795" s="22">
        <f>(593)*(1)*(1)*(1)*(1 + (0))</f>
      </c>
      <c r="D795" s="22" t="s">
        <v>24</v>
      </c>
      <c r="E795" s="22"/>
      <c r="F795" s="22">
        <f>(0)</f>
      </c>
      <c r="G795" s="22">
        <f>(C795 * E795 + C795 * E795 * F795)</f>
      </c>
    </row>
    <row r="796">
      <c r="A796" s="5"/>
      <c r="B796" s="14" t="s">
        <v>727</v>
      </c>
      <c r="C796" s="22">
        <f>(1902)*(1)*(1)*(1)*(1 + (0))</f>
      </c>
      <c r="D796" s="22" t="s">
        <v>24</v>
      </c>
      <c r="E796" s="22"/>
      <c r="F796" s="22">
        <f>(0)</f>
      </c>
      <c r="G796" s="22">
        <f>(C796 * E796 + C796 * E796 * F796)</f>
      </c>
    </row>
    <row r="797">
      <c r="A797" s="3"/>
      <c r="B797" s="11" t="s">
        <v>728</v>
      </c>
      <c r="C797" s="20"/>
      <c r="D797" s="20"/>
      <c r="E797" s="20"/>
      <c r="F797" s="20"/>
      <c r="G797" s="20"/>
    </row>
    <row r="798">
      <c r="A798" s="5"/>
      <c r="B798" s="14" t="s">
        <v>729</v>
      </c>
      <c r="C798" s="22">
        <f>(1902)*(1)*(1)*(1)*(1 + (0))</f>
      </c>
      <c r="D798" s="22" t="s">
        <v>24</v>
      </c>
      <c r="E798" s="22"/>
      <c r="F798" s="22">
        <f>(0)</f>
      </c>
      <c r="G798" s="22">
        <f>(C798 * E798 + C798 * E798 * F798)</f>
      </c>
    </row>
    <row r="799">
      <c r="A799" s="3"/>
      <c r="B799" s="11" t="s">
        <v>730</v>
      </c>
      <c r="C799" s="20"/>
      <c r="D799" s="20"/>
      <c r="E799" s="20"/>
      <c r="F799" s="20"/>
      <c r="G799" s="20"/>
    </row>
    <row r="800">
      <c r="A800" s="4"/>
      <c r="B800" s="12" t="s">
        <v>731</v>
      </c>
      <c r="C800" s="21"/>
      <c r="D800" s="21"/>
      <c r="E800" s="21"/>
      <c r="F800" s="21"/>
      <c r="G800" s="21"/>
    </row>
    <row r="801">
      <c r="A801" s="5"/>
      <c r="B801" s="13" t="s">
        <v>732</v>
      </c>
      <c r="C801" s="22">
        <f>(6)*(1)*(1)*(1)*(1 + (0))</f>
      </c>
      <c r="D801" s="22" t="s">
        <v>153</v>
      </c>
      <c r="E801" s="22"/>
      <c r="F801" s="22">
        <f>(0)</f>
      </c>
      <c r="G801" s="22">
        <f>(C801 * E801 + C801 * E801 * F801)</f>
      </c>
    </row>
    <row r="802">
      <c r="A802" s="5"/>
      <c r="B802" s="13" t="s">
        <v>733</v>
      </c>
      <c r="C802" s="22">
        <f>(71)*(1)*(1)*(1)*(1 + (0))</f>
      </c>
      <c r="D802" s="22" t="s">
        <v>153</v>
      </c>
      <c r="E802" s="22"/>
      <c r="F802" s="22">
        <f>(0)</f>
      </c>
      <c r="G802" s="22">
        <f>(C802 * E802 + C802 * E802 * F802)</f>
      </c>
    </row>
    <row r="803">
      <c r="A803" s="4"/>
      <c r="B803" s="12" t="s">
        <v>734</v>
      </c>
      <c r="C803" s="21"/>
      <c r="D803" s="21"/>
      <c r="E803" s="21"/>
      <c r="F803" s="21"/>
      <c r="G803" s="21"/>
    </row>
    <row r="804">
      <c r="A804" s="5"/>
      <c r="B804" s="13" t="s">
        <v>735</v>
      </c>
      <c r="C804" s="22">
        <f>(11)*(1)*(1)*(1)*(1 + (0))</f>
      </c>
      <c r="D804" s="22" t="s">
        <v>153</v>
      </c>
      <c r="E804" s="22"/>
      <c r="F804" s="22">
        <f>(0)</f>
      </c>
      <c r="G804" s="22">
        <f>(C804 * E804 + C804 * E804 * F804)</f>
      </c>
    </row>
    <row r="805">
      <c r="A805" s="5"/>
      <c r="B805" s="13" t="s">
        <v>736</v>
      </c>
      <c r="C805" s="22">
        <f>(17)*(1)*(1)*(1)*(1 + (0))</f>
      </c>
      <c r="D805" s="22" t="s">
        <v>153</v>
      </c>
      <c r="E805" s="22"/>
      <c r="F805" s="22">
        <f>(0)</f>
      </c>
      <c r="G805" s="22">
        <f>(C805 * E805 + C805 * E805 * F805)</f>
      </c>
    </row>
    <row r="806">
      <c r="A806" s="5"/>
      <c r="B806" s="13" t="s">
        <v>737</v>
      </c>
      <c r="C806" s="22">
        <f>(228)*(1)*(1)*(1)*(1 + (0))</f>
      </c>
      <c r="D806" s="22" t="s">
        <v>153</v>
      </c>
      <c r="E806" s="22"/>
      <c r="F806" s="22">
        <f>(0)</f>
      </c>
      <c r="G806" s="22">
        <f>(C806 * E806 + C806 * E806 * F806)</f>
      </c>
    </row>
    <row r="807">
      <c r="A807" s="4"/>
      <c r="B807" s="12" t="s">
        <v>738</v>
      </c>
      <c r="C807" s="21"/>
      <c r="D807" s="21"/>
      <c r="E807" s="21"/>
      <c r="F807" s="21"/>
      <c r="G807" s="21"/>
    </row>
    <row r="808">
      <c r="A808" s="5"/>
      <c r="B808" s="13" t="s">
        <v>739</v>
      </c>
      <c r="C808" s="22">
        <f>(99)*(1)*(1)*(1)*(1 + (0))</f>
      </c>
      <c r="D808" s="22" t="s">
        <v>24</v>
      </c>
      <c r="E808" s="22"/>
      <c r="F808" s="22">
        <f>(0)</f>
      </c>
      <c r="G808" s="22">
        <f>(C808 * E808 + C808 * E808 * F808)</f>
      </c>
    </row>
    <row r="809">
      <c r="A809" s="3"/>
      <c r="B809" s="11" t="s">
        <v>740</v>
      </c>
      <c r="C809" s="20"/>
      <c r="D809" s="20"/>
      <c r="E809" s="20"/>
      <c r="F809" s="20"/>
      <c r="G809" s="20"/>
    </row>
    <row r="810">
      <c r="A810" s="5"/>
      <c r="B810" s="14" t="s">
        <v>741</v>
      </c>
      <c r="C810" s="22">
        <f>(95)*(1)*(1)*(1)*(1 + (0))</f>
      </c>
      <c r="D810" s="22" t="s">
        <v>153</v>
      </c>
      <c r="E810" s="22"/>
      <c r="F810" s="22">
        <f>(0)</f>
      </c>
      <c r="G810" s="22">
        <f>(C810 * E810 + C810 * E810 * F810)</f>
      </c>
    </row>
    <row r="811">
      <c r="A811" s="5"/>
      <c r="B811" s="14" t="s">
        <v>742</v>
      </c>
      <c r="C811" s="22">
        <f>(11)*(1)*(1)*(1)*(1 + (0))</f>
      </c>
      <c r="D811" s="22" t="s">
        <v>153</v>
      </c>
      <c r="E811" s="22"/>
      <c r="F811" s="22">
        <f>(0)</f>
      </c>
      <c r="G811" s="22">
        <f>(C811 * E811 + C811 * E811 * F811)</f>
      </c>
    </row>
    <row r="812">
      <c r="A812" s="5"/>
      <c r="B812" s="14" t="s">
        <v>743</v>
      </c>
      <c r="C812" s="22">
        <f>(2)*(1)*(1)*(1)*(1 + (0))</f>
      </c>
      <c r="D812" s="22" t="s">
        <v>162</v>
      </c>
      <c r="E812" s="22"/>
      <c r="F812" s="22">
        <f>(0)</f>
      </c>
      <c r="G812" s="22">
        <f>(C812 * E812 + C812 * E812 * F812)</f>
      </c>
    </row>
    <row r="813">
      <c r="A813" s="5"/>
      <c r="B813" s="14" t="s">
        <v>744</v>
      </c>
      <c r="C813" s="22">
        <f>(10)*(1)*(1)*(1)*(1 + (0))</f>
      </c>
      <c r="D813" s="22" t="s">
        <v>153</v>
      </c>
      <c r="E813" s="22"/>
      <c r="F813" s="22">
        <f>(0)</f>
      </c>
      <c r="G813" s="22">
        <f>(C813 * E813 + C813 * E813 * F813)</f>
      </c>
    </row>
    <row r="814">
      <c r="A814" s="5"/>
      <c r="B814" s="14" t="s">
        <v>745</v>
      </c>
      <c r="C814" s="22">
        <f>(1)*(1)*(1)*(1)*(1 + (0))</f>
      </c>
      <c r="D814" s="22" t="s">
        <v>162</v>
      </c>
      <c r="E814" s="22"/>
      <c r="F814" s="22">
        <f>(0)</f>
      </c>
      <c r="G814" s="22">
        <f>(C814 * E814 + C814 * E814 * F814)</f>
      </c>
    </row>
    <row r="815">
      <c r="A815" s="5"/>
      <c r="B815" s="14" t="s">
        <v>746</v>
      </c>
      <c r="C815" s="22">
        <f>(1)*(1)*(1)*(1)*(1 + (0))</f>
      </c>
      <c r="D815" s="22" t="s">
        <v>162</v>
      </c>
      <c r="E815" s="22"/>
      <c r="F815" s="22">
        <f>(0)</f>
      </c>
      <c r="G815" s="22">
        <f>(C815 * E815 + C815 * E815 * F815)</f>
      </c>
    </row>
    <row r="816">
      <c r="A816" s="5"/>
      <c r="B816" s="14" t="s">
        <v>747</v>
      </c>
      <c r="C816" s="22">
        <f>(2)*(1)*(1)*(1)*(1 + (0))</f>
      </c>
      <c r="D816" s="22" t="s">
        <v>162</v>
      </c>
      <c r="E816" s="22"/>
      <c r="F816" s="22">
        <f>(0)</f>
      </c>
      <c r="G816" s="22">
        <f>(C816 * E816 + C816 * E816 * F816)</f>
      </c>
    </row>
    <row r="817">
      <c r="A817" s="5"/>
      <c r="B817" s="14" t="s">
        <v>748</v>
      </c>
      <c r="C817" s="22">
        <f>(13)*(1)*(1)*(1)*(1 + (0))</f>
      </c>
      <c r="D817" s="22" t="s">
        <v>162</v>
      </c>
      <c r="E817" s="22"/>
      <c r="F817" s="22">
        <f>(0)</f>
      </c>
      <c r="G817" s="22">
        <f>(C817 * E817 + C817 * E817 * F817)</f>
      </c>
    </row>
    <row r="818">
      <c r="A818" s="5"/>
      <c r="B818" s="14" t="s">
        <v>749</v>
      </c>
      <c r="C818" s="22">
        <f>(103)*(1)*(1)*(1)*(1 + (0))</f>
      </c>
      <c r="D818" s="22" t="s">
        <v>153</v>
      </c>
      <c r="E818" s="22"/>
      <c r="F818" s="22">
        <f>(0)</f>
      </c>
      <c r="G818" s="22">
        <f>(C818 * E818 + C818 * E818 * F818)</f>
      </c>
    </row>
    <row r="819">
      <c r="A819" s="5"/>
      <c r="B819" s="14" t="s">
        <v>750</v>
      </c>
      <c r="C819" s="22">
        <f>(2)*(1)*(1)*(1)*(1 + (0))</f>
      </c>
      <c r="D819" s="22" t="s">
        <v>162</v>
      </c>
      <c r="E819" s="22"/>
      <c r="F819" s="22">
        <f>(0)</f>
      </c>
      <c r="G819" s="22">
        <f>(C819 * E819 + C819 * E819 * F819)</f>
      </c>
    </row>
    <row r="820">
      <c r="A820" s="5"/>
      <c r="B820" s="14" t="s">
        <v>751</v>
      </c>
      <c r="C820" s="22">
        <f>(12)*(1)*(1)*(1)*(1 + (0))</f>
      </c>
      <c r="D820" s="22" t="s">
        <v>162</v>
      </c>
      <c r="E820" s="22"/>
      <c r="F820" s="22">
        <f>(0)</f>
      </c>
      <c r="G820" s="22">
        <f>(C820 * E820 + C820 * E820 * F820)</f>
      </c>
    </row>
    <row r="821">
      <c r="A821" s="5"/>
      <c r="B821" s="14" t="s">
        <v>752</v>
      </c>
      <c r="C821" s="22">
        <f>(2)*(1)*(1)*(1)*(1 + (0))</f>
      </c>
      <c r="D821" s="22" t="s">
        <v>162</v>
      </c>
      <c r="E821" s="22"/>
      <c r="F821" s="22">
        <f>(0)</f>
      </c>
      <c r="G821" s="22">
        <f>(C821 * E821 + C821 * E821 * F821)</f>
      </c>
    </row>
    <row r="822">
      <c r="A822" s="3"/>
      <c r="B822" s="11" t="s">
        <v>753</v>
      </c>
      <c r="C822" s="20"/>
      <c r="D822" s="20"/>
      <c r="E822" s="20"/>
      <c r="F822" s="20"/>
      <c r="G822" s="20"/>
    </row>
    <row r="823">
      <c r="A823" s="5"/>
      <c r="B823" s="14" t="s">
        <v>754</v>
      </c>
      <c r="C823" s="22">
        <f>(1)*(1)*(1)*(1)*(1 + (0))</f>
      </c>
      <c r="D823" s="22" t="s">
        <v>162</v>
      </c>
      <c r="E823" s="22"/>
      <c r="F823" s="22">
        <f>(0)</f>
      </c>
      <c r="G823" s="22">
        <f>(C823 * E823 + C823 * E823 * F823)</f>
      </c>
    </row>
    <row r="824">
      <c r="A824" s="5"/>
      <c r="B824" s="14" t="s">
        <v>755</v>
      </c>
      <c r="C824" s="22">
        <f>(1)*(1)*(1)*(1)*(1 + (0))</f>
      </c>
      <c r="D824" s="22" t="s">
        <v>162</v>
      </c>
      <c r="E824" s="22"/>
      <c r="F824" s="22">
        <f>(0)</f>
      </c>
      <c r="G824" s="22">
        <f>(C824 * E824 + C824 * E824 * F824)</f>
      </c>
    </row>
    <row r="825">
      <c r="A825" s="5"/>
      <c r="B825" s="14" t="s">
        <v>756</v>
      </c>
      <c r="C825" s="22">
        <f>(1)*(1)*(1)*(1)*(1 + (0))</f>
      </c>
      <c r="D825" s="22" t="s">
        <v>71</v>
      </c>
      <c r="E825" s="22"/>
      <c r="F825" s="22">
        <f>(0)</f>
      </c>
      <c r="G825" s="22">
        <f>(C825 * E825 + C825 * E825 * F825)</f>
      </c>
    </row>
    <row r="826">
      <c r="A826" s="2"/>
      <c r="B826" s="10" t="s">
        <v>757</v>
      </c>
      <c r="C826" s="19"/>
      <c r="D826" s="19"/>
      <c r="E826" s="19"/>
      <c r="F826" s="19"/>
      <c r="G826" s="19"/>
    </row>
    <row r="827">
      <c r="A827" s="3"/>
      <c r="B827" s="11" t="s">
        <v>37</v>
      </c>
      <c r="C827" s="20"/>
      <c r="D827" s="20"/>
      <c r="E827" s="20"/>
      <c r="F827" s="20"/>
      <c r="G827" s="20"/>
    </row>
    <row r="828">
      <c r="A828" s="5" t="s">
        <v>758</v>
      </c>
      <c r="B828" s="14" t="s">
        <v>759</v>
      </c>
      <c r="C828" s="22"/>
      <c r="D828" s="22" t="s">
        <v>10</v>
      </c>
      <c r="E828" s="22"/>
      <c r="F828" s="22">
        <f>(0)</f>
      </c>
      <c r="G828" s="22">
        <f>(C828 * E828 + C828 * E828 * F828)</f>
      </c>
    </row>
    <row r="829">
      <c r="A829" s="5" t="s">
        <v>760</v>
      </c>
      <c r="B829" s="14" t="s">
        <v>41</v>
      </c>
      <c r="C829" s="22"/>
      <c r="D829" s="22" t="s">
        <v>10</v>
      </c>
      <c r="E829" s="22"/>
      <c r="F829" s="22">
        <f>(0)</f>
      </c>
      <c r="G829" s="22">
        <f>(C829 * E829 + C829 * E829 * F829)</f>
      </c>
    </row>
    <row r="830">
      <c r="A830" s="3"/>
      <c r="B830" s="11" t="s">
        <v>42</v>
      </c>
      <c r="C830" s="20"/>
      <c r="D830" s="20"/>
      <c r="E830" s="20"/>
      <c r="F830" s="20"/>
      <c r="G830" s="20"/>
    </row>
    <row r="831">
      <c r="A831" s="5"/>
      <c r="B831" s="14" t="s">
        <v>761</v>
      </c>
      <c r="C831" s="22"/>
      <c r="D831" s="22" t="s">
        <v>10</v>
      </c>
      <c r="E831" s="22"/>
      <c r="F831" s="22">
        <f>(0)</f>
      </c>
      <c r="G831" s="22">
        <f>(C831 * E831 + C831 * E831 * F831)</f>
      </c>
    </row>
    <row r="832">
      <c r="A832" s="5"/>
      <c r="B832" s="14" t="s">
        <v>762</v>
      </c>
      <c r="C832" s="22"/>
      <c r="D832" s="22" t="s">
        <v>10</v>
      </c>
      <c r="E832" s="22"/>
      <c r="F832" s="22">
        <f>(0)</f>
      </c>
      <c r="G832" s="22">
        <f>(C832 * E832 + C832 * E832 * F832)</f>
      </c>
    </row>
    <row r="833">
      <c r="A833" s="5"/>
      <c r="B833" s="14" t="s">
        <v>763</v>
      </c>
      <c r="C833" s="22"/>
      <c r="D833" s="22" t="s">
        <v>10</v>
      </c>
      <c r="E833" s="22"/>
      <c r="F833" s="22">
        <f>(0)</f>
      </c>
      <c r="G833" s="22">
        <f>(C833 * E833 + C833 * E833 * F833)</f>
      </c>
    </row>
    <row r="834">
      <c r="A834" s="5"/>
      <c r="B834" s="14" t="s">
        <v>764</v>
      </c>
      <c r="C834" s="22"/>
      <c r="D834" s="22" t="s">
        <v>10</v>
      </c>
      <c r="E834" s="22"/>
      <c r="F834" s="22">
        <f>(0)</f>
      </c>
      <c r="G834" s="22">
        <f>(C834 * E834 + C834 * E834 * F834)</f>
      </c>
    </row>
    <row r="835">
      <c r="A835" s="3"/>
      <c r="B835" s="11" t="s">
        <v>44</v>
      </c>
      <c r="C835" s="20"/>
      <c r="D835" s="20"/>
      <c r="E835" s="20"/>
      <c r="F835" s="20"/>
      <c r="G835" s="20"/>
    </row>
    <row r="836">
      <c r="A836" s="4"/>
      <c r="B836" s="12" t="s">
        <v>45</v>
      </c>
      <c r="C836" s="21"/>
      <c r="D836" s="21"/>
      <c r="E836" s="21"/>
      <c r="F836" s="21"/>
      <c r="G836" s="21"/>
    </row>
    <row r="837">
      <c r="A837" s="5" t="s">
        <v>765</v>
      </c>
      <c r="B837" s="13" t="s">
        <v>696</v>
      </c>
      <c r="C837" s="22"/>
      <c r="D837" s="22" t="s">
        <v>10</v>
      </c>
      <c r="E837" s="22"/>
      <c r="F837" s="22">
        <f>(0)</f>
      </c>
      <c r="G837" s="22">
        <f>(C837 * E837 + C837 * E837 * F837)</f>
      </c>
    </row>
    <row r="838">
      <c r="A838" s="5" t="s">
        <v>766</v>
      </c>
      <c r="B838" s="13" t="s">
        <v>767</v>
      </c>
      <c r="C838" s="22"/>
      <c r="D838" s="22" t="s">
        <v>10</v>
      </c>
      <c r="E838" s="22"/>
      <c r="F838" s="22">
        <f>(0)</f>
      </c>
      <c r="G838" s="22">
        <f>(C838 * E838 + C838 * E838 * F838)</f>
      </c>
    </row>
    <row r="839">
      <c r="A839" s="5" t="s">
        <v>768</v>
      </c>
      <c r="B839" s="13" t="s">
        <v>769</v>
      </c>
      <c r="C839" s="22"/>
      <c r="D839" s="22" t="s">
        <v>10</v>
      </c>
      <c r="E839" s="22"/>
      <c r="F839" s="22">
        <f>(0)</f>
      </c>
      <c r="G839" s="22">
        <f>(C839 * E839 + C839 * E839 * F839)</f>
      </c>
    </row>
    <row r="840">
      <c r="A840" s="5" t="s">
        <v>770</v>
      </c>
      <c r="B840" s="13" t="s">
        <v>654</v>
      </c>
      <c r="C840" s="22"/>
      <c r="D840" s="22" t="s">
        <v>10</v>
      </c>
      <c r="E840" s="22"/>
      <c r="F840" s="22">
        <f>(0)</f>
      </c>
      <c r="G840" s="22">
        <f>(C840 * E840 + C840 * E840 * F840)</f>
      </c>
    </row>
    <row r="841">
      <c r="A841" s="6"/>
      <c r="B841" s="15" t="s">
        <v>771</v>
      </c>
      <c r="C841" s="23"/>
      <c r="D841" s="23"/>
      <c r="E841" s="23"/>
      <c r="F841" s="23"/>
      <c r="G841" s="23"/>
    </row>
    <row r="842">
      <c r="A842" s="5" t="s">
        <v>772</v>
      </c>
      <c r="B842" s="16" t="s">
        <v>528</v>
      </c>
      <c r="C842" s="22"/>
      <c r="D842" s="22" t="s">
        <v>10</v>
      </c>
      <c r="E842" s="22"/>
      <c r="F842" s="22">
        <f>(0)</f>
      </c>
      <c r="G842" s="22">
        <f>(C842 * E842 + C842 * E842 * F842)</f>
      </c>
    </row>
    <row r="843">
      <c r="A843" s="5" t="s">
        <v>773</v>
      </c>
      <c r="B843" s="16" t="s">
        <v>530</v>
      </c>
      <c r="C843" s="22"/>
      <c r="D843" s="22" t="s">
        <v>10</v>
      </c>
      <c r="E843" s="22"/>
      <c r="F843" s="22">
        <f>(0)</f>
      </c>
      <c r="G843" s="22">
        <f>(C843 * E843 + C843 * E843 * F843)</f>
      </c>
    </row>
    <row r="844">
      <c r="A844" s="5" t="s">
        <v>774</v>
      </c>
      <c r="B844" s="16" t="s">
        <v>532</v>
      </c>
      <c r="C844" s="22"/>
      <c r="D844" s="22" t="s">
        <v>10</v>
      </c>
      <c r="E844" s="22"/>
      <c r="F844" s="22">
        <f>(0)</f>
      </c>
      <c r="G844" s="22">
        <f>(C844 * E844 + C844 * E844 * F844)</f>
      </c>
    </row>
    <row r="845">
      <c r="A845" s="5" t="s">
        <v>775</v>
      </c>
      <c r="B845" s="16" t="s">
        <v>536</v>
      </c>
      <c r="C845" s="22"/>
      <c r="D845" s="22" t="s">
        <v>10</v>
      </c>
      <c r="E845" s="22"/>
      <c r="F845" s="22">
        <f>(0)</f>
      </c>
      <c r="G845" s="22">
        <f>(C845 * E845 + C845 * E845 * F845)</f>
      </c>
    </row>
    <row r="846">
      <c r="A846" s="5" t="s">
        <v>776</v>
      </c>
      <c r="B846" s="16" t="s">
        <v>777</v>
      </c>
      <c r="C846" s="22"/>
      <c r="D846" s="22" t="s">
        <v>10</v>
      </c>
      <c r="E846" s="22"/>
      <c r="F846" s="22">
        <f>(0)</f>
      </c>
      <c r="G846" s="22">
        <f>(C846 * E846 + C846 * E846 * F846)</f>
      </c>
    </row>
    <row r="847">
      <c r="A847" s="6"/>
      <c r="B847" s="15" t="s">
        <v>778</v>
      </c>
      <c r="C847" s="23"/>
      <c r="D847" s="23"/>
      <c r="E847" s="23"/>
      <c r="F847" s="23"/>
      <c r="G847" s="23"/>
    </row>
    <row r="848">
      <c r="A848" s="5" t="s">
        <v>779</v>
      </c>
      <c r="B848" s="16" t="s">
        <v>780</v>
      </c>
      <c r="C848" s="22"/>
      <c r="D848" s="22" t="s">
        <v>10</v>
      </c>
      <c r="E848" s="22"/>
      <c r="F848" s="22">
        <f>(0)</f>
      </c>
      <c r="G848" s="22">
        <f>(C848 * E848 + C848 * E848 * F848)</f>
      </c>
    </row>
    <row r="849">
      <c r="A849" s="5" t="s">
        <v>781</v>
      </c>
      <c r="B849" s="16" t="s">
        <v>782</v>
      </c>
      <c r="C849" s="22"/>
      <c r="D849" s="22" t="s">
        <v>10</v>
      </c>
      <c r="E849" s="22"/>
      <c r="F849" s="22">
        <f>(0)</f>
      </c>
      <c r="G849" s="22">
        <f>(C849 * E849 + C849 * E849 * F849)</f>
      </c>
    </row>
    <row r="850">
      <c r="A850" s="5" t="s">
        <v>783</v>
      </c>
      <c r="B850" s="16" t="s">
        <v>784</v>
      </c>
      <c r="C850" s="22"/>
      <c r="D850" s="22" t="s">
        <v>10</v>
      </c>
      <c r="E850" s="22"/>
      <c r="F850" s="22">
        <f>(0)</f>
      </c>
      <c r="G850" s="22">
        <f>(C850 * E850 + C850 * E850 * F850)</f>
      </c>
    </row>
    <row r="851">
      <c r="A851" s="5" t="s">
        <v>785</v>
      </c>
      <c r="B851" s="16" t="s">
        <v>786</v>
      </c>
      <c r="C851" s="22"/>
      <c r="D851" s="22" t="s">
        <v>10</v>
      </c>
      <c r="E851" s="22"/>
      <c r="F851" s="22">
        <f>(0)</f>
      </c>
      <c r="G851" s="22">
        <f>(C851 * E851 + C851 * E851 * F851)</f>
      </c>
    </row>
    <row r="852">
      <c r="A852" s="5" t="s">
        <v>787</v>
      </c>
      <c r="B852" s="16" t="s">
        <v>788</v>
      </c>
      <c r="C852" s="22"/>
      <c r="D852" s="22" t="s">
        <v>10</v>
      </c>
      <c r="E852" s="22"/>
      <c r="F852" s="22">
        <f>(0)</f>
      </c>
      <c r="G852" s="22">
        <f>(C852 * E852 + C852 * E852 * F852)</f>
      </c>
    </row>
    <row r="853">
      <c r="A853" s="5" t="s">
        <v>789</v>
      </c>
      <c r="B853" s="16" t="s">
        <v>769</v>
      </c>
      <c r="C853" s="22"/>
      <c r="D853" s="22" t="s">
        <v>10</v>
      </c>
      <c r="E853" s="22"/>
      <c r="F853" s="22">
        <f>(0)</f>
      </c>
      <c r="G853" s="22">
        <f>(C853 * E853 + C853 * E853 * F853)</f>
      </c>
    </row>
    <row r="854">
      <c r="A854" s="6"/>
      <c r="B854" s="15" t="s">
        <v>790</v>
      </c>
      <c r="C854" s="23"/>
      <c r="D854" s="23"/>
      <c r="E854" s="23"/>
      <c r="F854" s="23"/>
      <c r="G854" s="23"/>
    </row>
    <row r="855">
      <c r="A855" s="5" t="s">
        <v>791</v>
      </c>
      <c r="B855" s="16" t="s">
        <v>652</v>
      </c>
      <c r="C855" s="22"/>
      <c r="D855" s="22" t="s">
        <v>10</v>
      </c>
      <c r="E855" s="22"/>
      <c r="F855" s="22">
        <f>(0)</f>
      </c>
      <c r="G855" s="22">
        <f>(C855 * E855 + C855 * E855 * F855)</f>
      </c>
    </row>
    <row r="856">
      <c r="A856" s="5" t="s">
        <v>792</v>
      </c>
      <c r="B856" s="16" t="s">
        <v>700</v>
      </c>
      <c r="C856" s="22"/>
      <c r="D856" s="22" t="s">
        <v>10</v>
      </c>
      <c r="E856" s="22"/>
      <c r="F856" s="22">
        <f>(0)</f>
      </c>
      <c r="G856" s="22">
        <f>(C856 * E856 + C856 * E856 * F856)</f>
      </c>
    </row>
    <row r="857">
      <c r="A857" s="5" t="s">
        <v>793</v>
      </c>
      <c r="B857" s="16" t="s">
        <v>650</v>
      </c>
      <c r="C857" s="22"/>
      <c r="D857" s="22" t="s">
        <v>10</v>
      </c>
      <c r="E857" s="22"/>
      <c r="F857" s="22">
        <f>(0)</f>
      </c>
      <c r="G857" s="22">
        <f>(C857 * E857 + C857 * E857 * F857)</f>
      </c>
    </row>
    <row r="858">
      <c r="A858" s="3"/>
      <c r="B858" s="11" t="s">
        <v>68</v>
      </c>
      <c r="C858" s="20"/>
      <c r="D858" s="20"/>
      <c r="E858" s="20"/>
      <c r="F858" s="20"/>
      <c r="G858" s="20"/>
    </row>
    <row r="859">
      <c r="A859" s="5" t="s">
        <v>794</v>
      </c>
      <c r="B859" s="14" t="s">
        <v>70</v>
      </c>
      <c r="C859" s="22">
        <f>(1)*(1)*(1)*(1)*(1 + (0))</f>
      </c>
      <c r="D859" s="22" t="s">
        <v>71</v>
      </c>
      <c r="E859" s="22"/>
      <c r="F859" s="22">
        <f>(0)</f>
      </c>
      <c r="G859" s="22">
        <f>(C859 * E859 + C859 * E859 * F859)</f>
      </c>
    </row>
    <row r="860">
      <c r="A860" s="5" t="s">
        <v>795</v>
      </c>
      <c r="B860" s="14" t="s">
        <v>796</v>
      </c>
      <c r="C860" s="22">
        <f>(1)*(1)*(1)*(1)*(1 + (0))</f>
      </c>
      <c r="D860" s="22" t="s">
        <v>71</v>
      </c>
      <c r="E860" s="22"/>
      <c r="F860" s="22">
        <f>(0)</f>
      </c>
      <c r="G860" s="22">
        <f>(C860 * E860 + C860 * E860 * F860)</f>
      </c>
    </row>
    <row r="861">
      <c r="A861" s="5" t="s">
        <v>797</v>
      </c>
      <c r="B861" s="14" t="s">
        <v>798</v>
      </c>
      <c r="C861" s="22">
        <f>(1)*(1)*(1)*(1)*(1 + (0))</f>
      </c>
      <c r="D861" s="22" t="s">
        <v>71</v>
      </c>
      <c r="E861" s="22"/>
      <c r="F861" s="22">
        <f>(0)</f>
      </c>
      <c r="G861" s="22">
        <f>(C861 * E861 + C861 * E861 * F861)</f>
      </c>
    </row>
    <row r="862">
      <c r="A862" s="5" t="s">
        <v>799</v>
      </c>
      <c r="B862" s="14" t="s">
        <v>800</v>
      </c>
      <c r="C862" s="22">
        <f>(1)*(1)*(1)*(1)*(1 + (0))</f>
      </c>
      <c r="D862" s="22" t="s">
        <v>71</v>
      </c>
      <c r="E862" s="22"/>
      <c r="F862" s="22">
        <f>(0)</f>
      </c>
      <c r="G862" s="22">
        <f>(C862 * E862 + C862 * E862 * F862)</f>
      </c>
    </row>
    <row r="863">
      <c r="A863" s="5" t="s">
        <v>801</v>
      </c>
      <c r="B863" s="14" t="s">
        <v>73</v>
      </c>
      <c r="C863" s="22">
        <f>(1)*(1)*(1)*(1)*(1 + (0))</f>
      </c>
      <c r="D863" s="22" t="s">
        <v>71</v>
      </c>
      <c r="E863" s="22"/>
      <c r="F863" s="22">
        <f>(0)</f>
      </c>
      <c r="G863" s="22">
        <f>(C863 * E863 + C863 * E863 * F863)</f>
      </c>
    </row>
    <row r="864">
      <c r="A864" s="5" t="s">
        <v>802</v>
      </c>
      <c r="B864" s="14" t="s">
        <v>803</v>
      </c>
      <c r="C864" s="22">
        <f>(1)*(1)*(1)*(1)*(1 + (0))</f>
      </c>
      <c r="D864" s="22" t="s">
        <v>71</v>
      </c>
      <c r="E864" s="22"/>
      <c r="F864" s="22">
        <f>(0)</f>
      </c>
      <c r="G864" s="22">
        <f>(C864 * E864 + C864 * E864 * F864)</f>
      </c>
    </row>
    <row r="865">
      <c r="A865" s="5" t="s">
        <v>804</v>
      </c>
      <c r="B865" s="14" t="s">
        <v>805</v>
      </c>
      <c r="C865" s="22">
        <f>(1)*(1)*(1)*(1)*(1 + (0))</f>
      </c>
      <c r="D865" s="22" t="s">
        <v>71</v>
      </c>
      <c r="E865" s="22"/>
      <c r="F865" s="22">
        <f>(0)</f>
      </c>
      <c r="G865" s="22">
        <f>(C865 * E865 + C865 * E865 * F865)</f>
      </c>
    </row>
    <row r="866">
      <c r="A866" s="5" t="s">
        <v>806</v>
      </c>
      <c r="B866" s="14" t="s">
        <v>230</v>
      </c>
      <c r="C866" s="22">
        <f>(1)*(1)*(1)*(1)*(1 + (0))</f>
      </c>
      <c r="D866" s="22" t="s">
        <v>71</v>
      </c>
      <c r="E866" s="22"/>
      <c r="F866" s="22">
        <f>(0)</f>
      </c>
      <c r="G866" s="22">
        <f>(C866 * E866 + C866 * E866 * F866)</f>
      </c>
    </row>
    <row r="867">
      <c r="A867" s="5" t="s">
        <v>807</v>
      </c>
      <c r="B867" s="14" t="s">
        <v>808</v>
      </c>
      <c r="C867" s="22">
        <f>(1)*(1)*(1)*(1)*(1 + (0))</f>
      </c>
      <c r="D867" s="22" t="s">
        <v>71</v>
      </c>
      <c r="E867" s="22"/>
      <c r="F867" s="22">
        <f>(0)</f>
      </c>
      <c r="G867" s="22">
        <f>(C867 * E867 + C867 * E867 * F867)</f>
      </c>
    </row>
    <row r="868">
      <c r="A868" s="5" t="s">
        <v>809</v>
      </c>
      <c r="B868" s="14" t="s">
        <v>810</v>
      </c>
      <c r="C868" s="22">
        <f>(1)*(1)*(1)*(1)*(1 + (0))</f>
      </c>
      <c r="D868" s="22" t="s">
        <v>71</v>
      </c>
      <c r="E868" s="22"/>
      <c r="F868" s="22">
        <f>(0)</f>
      </c>
      <c r="G868" s="22">
        <f>(C868 * E868 + C868 * E868 * F868)</f>
      </c>
    </row>
    <row r="869">
      <c r="A869" s="5" t="s">
        <v>811</v>
      </c>
      <c r="B869" s="14" t="s">
        <v>812</v>
      </c>
      <c r="C869" s="22">
        <f>(1)*(1)*(1)*(1)*(1 + (0))</f>
      </c>
      <c r="D869" s="22" t="s">
        <v>71</v>
      </c>
      <c r="E869" s="22"/>
      <c r="F869" s="22">
        <f>(0)</f>
      </c>
      <c r="G869" s="22">
        <f>(C869 * E869 + C869 * E869 * F869)</f>
      </c>
    </row>
    <row r="870">
      <c r="A870" s="5" t="s">
        <v>813</v>
      </c>
      <c r="B870" s="14" t="s">
        <v>814</v>
      </c>
      <c r="C870" s="22">
        <f>(1)*(1)*(1)*(1)*(1 + (0))</f>
      </c>
      <c r="D870" s="22" t="s">
        <v>71</v>
      </c>
      <c r="E870" s="22"/>
      <c r="F870" s="22">
        <f>(0)</f>
      </c>
      <c r="G870" s="22">
        <f>(C870 * E870 + C870 * E870 * F870)</f>
      </c>
    </row>
    <row r="871">
      <c r="A871" s="5" t="s">
        <v>815</v>
      </c>
      <c r="B871" s="14" t="s">
        <v>816</v>
      </c>
      <c r="C871" s="22">
        <f>(1)*(1)*(1)*(1)*(1 + (0))</f>
      </c>
      <c r="D871" s="22" t="s">
        <v>71</v>
      </c>
      <c r="E871" s="22"/>
      <c r="F871" s="22">
        <f>(0)</f>
      </c>
      <c r="G871" s="22">
        <f>(C871 * E871 + C871 * E871 * F871)</f>
      </c>
    </row>
    <row r="872">
      <c r="A872" s="5" t="s">
        <v>817</v>
      </c>
      <c r="B872" s="14" t="s">
        <v>667</v>
      </c>
      <c r="C872" s="22">
        <f>(1)*(1)*(1)*(1)*(1 + (0))</f>
      </c>
      <c r="D872" s="22" t="s">
        <v>71</v>
      </c>
      <c r="E872" s="22"/>
      <c r="F872" s="22">
        <f>(0)</f>
      </c>
      <c r="G872" s="22">
        <f>(C872 * E872 + C872 * E872 * F872)</f>
      </c>
    </row>
    <row r="873">
      <c r="A873" s="3"/>
      <c r="B873" s="11" t="s">
        <v>106</v>
      </c>
      <c r="C873" s="20"/>
      <c r="D873" s="20"/>
      <c r="E873" s="20"/>
      <c r="F873" s="20"/>
      <c r="G873" s="20"/>
    </row>
    <row r="874">
      <c r="A874" s="5"/>
      <c r="B874" s="14" t="s">
        <v>818</v>
      </c>
      <c r="C874" s="22"/>
      <c r="D874" s="22" t="s">
        <v>10</v>
      </c>
      <c r="E874" s="22"/>
      <c r="F874" s="22">
        <f>(0)</f>
      </c>
      <c r="G874" s="22">
        <f>(C874 * E874 + C874 * E874 * F874)</f>
      </c>
    </row>
    <row r="875">
      <c r="A875" s="3"/>
      <c r="B875" s="11" t="s">
        <v>819</v>
      </c>
      <c r="C875" s="20"/>
      <c r="D875" s="20"/>
      <c r="E875" s="20"/>
      <c r="F875" s="20"/>
      <c r="G875" s="20"/>
    </row>
    <row r="876">
      <c r="A876" s="4"/>
      <c r="B876" s="12" t="s">
        <v>820</v>
      </c>
      <c r="C876" s="21"/>
      <c r="D876" s="21"/>
      <c r="E876" s="21"/>
      <c r="F876" s="21"/>
      <c r="G876" s="21"/>
    </row>
    <row r="877">
      <c r="A877" s="5"/>
      <c r="B877" s="13" t="s">
        <v>821</v>
      </c>
      <c r="C877" s="22">
        <f>(495)*(1)*(1)*(1)*(1 + (0))</f>
      </c>
      <c r="D877" s="22" t="s">
        <v>24</v>
      </c>
      <c r="E877" s="22"/>
      <c r="F877" s="22">
        <f>(0)</f>
      </c>
      <c r="G877" s="22">
        <f>(C877 * E877 + C877 * E877 * F877)</f>
      </c>
    </row>
    <row r="878">
      <c r="A878" s="5"/>
      <c r="B878" s="13" t="s">
        <v>822</v>
      </c>
      <c r="C878" s="22">
        <f>(470)*(1)*(1)*(1)*(1 + (0))</f>
      </c>
      <c r="D878" s="22" t="s">
        <v>24</v>
      </c>
      <c r="E878" s="22"/>
      <c r="F878" s="22">
        <f>(0)</f>
      </c>
      <c r="G878" s="22">
        <f>(C878 * E878 + C878 * E878 * F878)</f>
      </c>
    </row>
    <row r="879">
      <c r="A879" s="4"/>
      <c r="B879" s="12" t="s">
        <v>823</v>
      </c>
      <c r="C879" s="21"/>
      <c r="D879" s="21"/>
      <c r="E879" s="21"/>
      <c r="F879" s="21"/>
      <c r="G879" s="21"/>
    </row>
    <row r="880">
      <c r="A880" s="5"/>
      <c r="B880" s="13" t="s">
        <v>821</v>
      </c>
      <c r="C880" s="22">
        <f>(86)*(1)*(1)*(1)*(1 + (0))</f>
      </c>
      <c r="D880" s="22" t="s">
        <v>24</v>
      </c>
      <c r="E880" s="22"/>
      <c r="F880" s="22">
        <f>(0)</f>
      </c>
      <c r="G880" s="22">
        <f>(C880 * E880 + C880 * E880 * F880)</f>
      </c>
    </row>
    <row r="881">
      <c r="A881" s="5"/>
      <c r="B881" s="13" t="s">
        <v>822</v>
      </c>
      <c r="C881" s="22">
        <f>(26)*(1)*(1)*(1)*(1 + (0))</f>
      </c>
      <c r="D881" s="22" t="s">
        <v>24</v>
      </c>
      <c r="E881" s="22"/>
      <c r="F881" s="22">
        <f>(0)</f>
      </c>
      <c r="G881" s="22">
        <f>(C881 * E881 + C881 * E881 * F881)</f>
      </c>
    </row>
    <row r="882">
      <c r="A882" s="4"/>
      <c r="B882" s="12" t="s">
        <v>824</v>
      </c>
      <c r="C882" s="21"/>
      <c r="D882" s="21"/>
      <c r="E882" s="21"/>
      <c r="F882" s="21"/>
      <c r="G882" s="21"/>
    </row>
    <row r="883">
      <c r="A883" s="5"/>
      <c r="B883" s="13" t="s">
        <v>822</v>
      </c>
      <c r="C883" s="22">
        <f>(55)*(1)*(1)*(1)*(1 + (0))</f>
      </c>
      <c r="D883" s="22" t="s">
        <v>24</v>
      </c>
      <c r="E883" s="22"/>
      <c r="F883" s="22">
        <f>(0)</f>
      </c>
      <c r="G883" s="22">
        <f>(C883 * E883 + C883 * E883 * F883)</f>
      </c>
    </row>
    <row r="884">
      <c r="A884" s="4"/>
      <c r="B884" s="12" t="s">
        <v>825</v>
      </c>
      <c r="C884" s="21"/>
      <c r="D884" s="21"/>
      <c r="E884" s="21"/>
      <c r="F884" s="21"/>
      <c r="G884" s="21"/>
    </row>
    <row r="885">
      <c r="A885" s="5"/>
      <c r="B885" s="13" t="s">
        <v>822</v>
      </c>
      <c r="C885" s="22">
        <f>(3)*(1)*(1)*(1)*(1 + (0))</f>
      </c>
      <c r="D885" s="22" t="s">
        <v>24</v>
      </c>
      <c r="E885" s="22"/>
      <c r="F885" s="22">
        <f>(0)</f>
      </c>
      <c r="G885" s="22">
        <f>(C885 * E885 + C885 * E885 * F885)</f>
      </c>
    </row>
    <row r="886">
      <c r="A886" s="4"/>
      <c r="B886" s="12" t="s">
        <v>826</v>
      </c>
      <c r="C886" s="21"/>
      <c r="D886" s="21"/>
      <c r="E886" s="21"/>
      <c r="F886" s="21"/>
      <c r="G886" s="21"/>
    </row>
    <row r="887">
      <c r="A887" s="5"/>
      <c r="B887" s="13" t="s">
        <v>821</v>
      </c>
      <c r="C887" s="22">
        <f>(114)*(1)*(1)*(1)*(1 + (0))</f>
      </c>
      <c r="D887" s="22" t="s">
        <v>24</v>
      </c>
      <c r="E887" s="22"/>
      <c r="F887" s="22">
        <f>(0)</f>
      </c>
      <c r="G887" s="22">
        <f>(C887 * E887 + C887 * E887 * F887)</f>
      </c>
    </row>
    <row r="888">
      <c r="A888" s="5"/>
      <c r="B888" s="13" t="s">
        <v>822</v>
      </c>
      <c r="C888" s="22">
        <f>(287)*(1)*(1)*(1)*(1 + (0))</f>
      </c>
      <c r="D888" s="22" t="s">
        <v>24</v>
      </c>
      <c r="E888" s="22"/>
      <c r="F888" s="22">
        <f>(0)</f>
      </c>
      <c r="G888" s="22">
        <f>(C888 * E888 + C888 * E888 * F888)</f>
      </c>
    </row>
    <row r="889">
      <c r="A889" s="4"/>
      <c r="B889" s="12" t="s">
        <v>827</v>
      </c>
      <c r="C889" s="21"/>
      <c r="D889" s="21"/>
      <c r="E889" s="21"/>
      <c r="F889" s="21"/>
      <c r="G889" s="21"/>
    </row>
    <row r="890">
      <c r="A890" s="5"/>
      <c r="B890" s="13" t="s">
        <v>821</v>
      </c>
      <c r="C890" s="22">
        <f>(67)*(1)*(1)*(1)*(1 + (0))</f>
      </c>
      <c r="D890" s="22" t="s">
        <v>24</v>
      </c>
      <c r="E890" s="22"/>
      <c r="F890" s="22">
        <f>(0)</f>
      </c>
      <c r="G890" s="22">
        <f>(C890 * E890 + C890 * E890 * F890)</f>
      </c>
    </row>
    <row r="891">
      <c r="A891" s="2"/>
      <c r="B891" s="10" t="s">
        <v>828</v>
      </c>
      <c r="C891" s="19"/>
      <c r="D891" s="19"/>
      <c r="E891" s="19"/>
      <c r="F891" s="19"/>
      <c r="G891" s="19"/>
    </row>
    <row r="892">
      <c r="A892" s="3"/>
      <c r="B892" s="11" t="s">
        <v>37</v>
      </c>
      <c r="C892" s="20"/>
      <c r="D892" s="20"/>
      <c r="E892" s="20"/>
      <c r="F892" s="20"/>
      <c r="G892" s="20"/>
    </row>
    <row r="893">
      <c r="A893" s="5" t="s">
        <v>829</v>
      </c>
      <c r="B893" s="14" t="s">
        <v>39</v>
      </c>
      <c r="C893" s="22"/>
      <c r="D893" s="22" t="s">
        <v>10</v>
      </c>
      <c r="E893" s="22"/>
      <c r="F893" s="22">
        <f>(0)</f>
      </c>
      <c r="G893" s="22">
        <f>(C893 * E893 + C893 * E893 * F893)</f>
      </c>
    </row>
    <row r="894">
      <c r="A894" s="5" t="s">
        <v>830</v>
      </c>
      <c r="B894" s="14" t="s">
        <v>41</v>
      </c>
      <c r="C894" s="22"/>
      <c r="D894" s="22" t="s">
        <v>10</v>
      </c>
      <c r="E894" s="22"/>
      <c r="F894" s="22">
        <f>(0)</f>
      </c>
      <c r="G894" s="22">
        <f>(C894 * E894 + C894 * E894 * F894)</f>
      </c>
    </row>
    <row r="895">
      <c r="A895" s="3"/>
      <c r="B895" s="11" t="s">
        <v>44</v>
      </c>
      <c r="C895" s="20"/>
      <c r="D895" s="20"/>
      <c r="E895" s="20"/>
      <c r="F895" s="20"/>
      <c r="G895" s="20"/>
    </row>
    <row r="896">
      <c r="A896" s="4"/>
      <c r="B896" s="12" t="s">
        <v>45</v>
      </c>
      <c r="C896" s="21"/>
      <c r="D896" s="21"/>
      <c r="E896" s="21"/>
      <c r="F896" s="21"/>
      <c r="G896" s="21"/>
    </row>
    <row r="897">
      <c r="A897" s="5" t="s">
        <v>831</v>
      </c>
      <c r="B897" s="13" t="s">
        <v>832</v>
      </c>
      <c r="C897" s="22"/>
      <c r="D897" s="22" t="s">
        <v>10</v>
      </c>
      <c r="E897" s="22"/>
      <c r="F897" s="22">
        <f>(0)</f>
      </c>
      <c r="G897" s="22">
        <f>(C897 * E897 + C897 * E897 * F897)</f>
      </c>
    </row>
    <row r="898">
      <c r="A898" s="5" t="s">
        <v>833</v>
      </c>
      <c r="B898" s="13" t="s">
        <v>530</v>
      </c>
      <c r="C898" s="22"/>
      <c r="D898" s="22" t="s">
        <v>10</v>
      </c>
      <c r="E898" s="22"/>
      <c r="F898" s="22">
        <f>(0)</f>
      </c>
      <c r="G898" s="22">
        <f>(C898 * E898 + C898 * E898 * F898)</f>
      </c>
    </row>
    <row r="899">
      <c r="A899" s="5" t="s">
        <v>834</v>
      </c>
      <c r="B899" s="13" t="s">
        <v>835</v>
      </c>
      <c r="C899" s="22"/>
      <c r="D899" s="22" t="s">
        <v>10</v>
      </c>
      <c r="E899" s="22"/>
      <c r="F899" s="22">
        <f>(0)</f>
      </c>
      <c r="G899" s="22">
        <f>(C899 * E899 + C899 * E899 * F899)</f>
      </c>
    </row>
    <row r="900">
      <c r="A900" s="5" t="s">
        <v>836</v>
      </c>
      <c r="B900" s="13" t="s">
        <v>837</v>
      </c>
      <c r="C900" s="22"/>
      <c r="D900" s="22" t="s">
        <v>10</v>
      </c>
      <c r="E900" s="22"/>
      <c r="F900" s="22">
        <f>(0)</f>
      </c>
      <c r="G900" s="22">
        <f>(C900 * E900 + C900 * E900 * F900)</f>
      </c>
    </row>
    <row r="901">
      <c r="A901" s="5" t="s">
        <v>838</v>
      </c>
      <c r="B901" s="13" t="s">
        <v>839</v>
      </c>
      <c r="C901" s="22"/>
      <c r="D901" s="22" t="s">
        <v>10</v>
      </c>
      <c r="E901" s="22"/>
      <c r="F901" s="22">
        <f>(0)</f>
      </c>
      <c r="G901" s="22">
        <f>(C901 * E901 + C901 * E901 * F901)</f>
      </c>
    </row>
    <row r="902">
      <c r="A902" s="5" t="s">
        <v>840</v>
      </c>
      <c r="B902" s="13" t="s">
        <v>841</v>
      </c>
      <c r="C902" s="22"/>
      <c r="D902" s="22" t="s">
        <v>10</v>
      </c>
      <c r="E902" s="22"/>
      <c r="F902" s="22">
        <f>(0)</f>
      </c>
      <c r="G902" s="22">
        <f>(C902 * E902 + C902 * E902 * F902)</f>
      </c>
    </row>
    <row r="903">
      <c r="A903" s="5" t="s">
        <v>842</v>
      </c>
      <c r="B903" s="13" t="s">
        <v>843</v>
      </c>
      <c r="C903" s="22"/>
      <c r="D903" s="22" t="s">
        <v>10</v>
      </c>
      <c r="E903" s="22"/>
      <c r="F903" s="22">
        <f>(0)</f>
      </c>
      <c r="G903" s="22">
        <f>(C903 * E903 + C903 * E903 * F903)</f>
      </c>
    </row>
    <row r="904">
      <c r="A904" s="5" t="s">
        <v>844</v>
      </c>
      <c r="B904" s="13" t="s">
        <v>845</v>
      </c>
      <c r="C904" s="22"/>
      <c r="D904" s="22" t="s">
        <v>10</v>
      </c>
      <c r="E904" s="22"/>
      <c r="F904" s="22">
        <f>(0)</f>
      </c>
      <c r="G904" s="22">
        <f>(C904 * E904 + C904 * E904 * F904)</f>
      </c>
    </row>
    <row r="905">
      <c r="A905" s="5" t="s">
        <v>846</v>
      </c>
      <c r="B905" s="13" t="s">
        <v>847</v>
      </c>
      <c r="C905" s="22"/>
      <c r="D905" s="22" t="s">
        <v>10</v>
      </c>
      <c r="E905" s="22"/>
      <c r="F905" s="22">
        <f>(0)</f>
      </c>
      <c r="G905" s="22">
        <f>(C905 * E905 + C905 * E905 * F905)</f>
      </c>
    </row>
    <row r="906">
      <c r="A906" s="5" t="s">
        <v>848</v>
      </c>
      <c r="B906" s="13" t="s">
        <v>849</v>
      </c>
      <c r="C906" s="22"/>
      <c r="D906" s="22" t="s">
        <v>10</v>
      </c>
      <c r="E906" s="22"/>
      <c r="F906" s="22">
        <f>(0)</f>
      </c>
      <c r="G906" s="22">
        <f>(C906 * E906 + C906 * E906 * F906)</f>
      </c>
    </row>
    <row r="907">
      <c r="A907" s="5" t="s">
        <v>850</v>
      </c>
      <c r="B907" s="13" t="s">
        <v>851</v>
      </c>
      <c r="C907" s="22"/>
      <c r="D907" s="22" t="s">
        <v>10</v>
      </c>
      <c r="E907" s="22"/>
      <c r="F907" s="22">
        <f>(0)</f>
      </c>
      <c r="G907" s="22">
        <f>(C907 * E907 + C907 * E907 * F907)</f>
      </c>
    </row>
    <row r="908">
      <c r="A908" s="5" t="s">
        <v>852</v>
      </c>
      <c r="B908" s="13" t="s">
        <v>853</v>
      </c>
      <c r="C908" s="22"/>
      <c r="D908" s="22" t="s">
        <v>10</v>
      </c>
      <c r="E908" s="22"/>
      <c r="F908" s="22">
        <f>(0)</f>
      </c>
      <c r="G908" s="22">
        <f>(C908 * E908 + C908 * E908 * F908)</f>
      </c>
    </row>
    <row r="909">
      <c r="A909" s="5" t="s">
        <v>854</v>
      </c>
      <c r="B909" s="13" t="s">
        <v>123</v>
      </c>
      <c r="C909" s="22"/>
      <c r="D909" s="22" t="s">
        <v>10</v>
      </c>
      <c r="E909" s="22"/>
      <c r="F909" s="22">
        <f>(0)</f>
      </c>
      <c r="G909" s="22">
        <f>(C909 * E909 + C909 * E909 * F909)</f>
      </c>
    </row>
    <row r="910">
      <c r="A910" s="3"/>
      <c r="B910" s="11" t="s">
        <v>42</v>
      </c>
      <c r="C910" s="20"/>
      <c r="D910" s="20"/>
      <c r="E910" s="20"/>
      <c r="F910" s="20"/>
      <c r="G910" s="20"/>
    </row>
    <row r="911">
      <c r="A911" s="5"/>
      <c r="B911" s="14" t="s">
        <v>855</v>
      </c>
      <c r="C911" s="22"/>
      <c r="D911" s="22" t="s">
        <v>10</v>
      </c>
      <c r="E911" s="22"/>
      <c r="F911" s="22">
        <f>(0)</f>
      </c>
      <c r="G911" s="22">
        <f>(C911 * E911 + C911 * E911 * F911)</f>
      </c>
    </row>
    <row r="912">
      <c r="A912" s="5"/>
      <c r="B912" s="14" t="s">
        <v>762</v>
      </c>
      <c r="C912" s="22"/>
      <c r="D912" s="22" t="s">
        <v>10</v>
      </c>
      <c r="E912" s="22"/>
      <c r="F912" s="22">
        <f>(0)</f>
      </c>
      <c r="G912" s="22">
        <f>(C912 * E912 + C912 * E912 * F912)</f>
      </c>
    </row>
    <row r="913">
      <c r="A913" s="5"/>
      <c r="B913" s="14" t="s">
        <v>856</v>
      </c>
      <c r="C913" s="22"/>
      <c r="D913" s="22" t="s">
        <v>10</v>
      </c>
      <c r="E913" s="22"/>
      <c r="F913" s="22">
        <f>(0)</f>
      </c>
      <c r="G913" s="22">
        <f>(C913 * E913 + C913 * E913 * F913)</f>
      </c>
    </row>
    <row r="914">
      <c r="A914" s="3"/>
      <c r="B914" s="11" t="s">
        <v>68</v>
      </c>
      <c r="C914" s="20"/>
      <c r="D914" s="20"/>
      <c r="E914" s="20"/>
      <c r="F914" s="20"/>
      <c r="G914" s="20"/>
    </row>
    <row r="915">
      <c r="A915" s="5" t="s">
        <v>857</v>
      </c>
      <c r="B915" s="14" t="s">
        <v>858</v>
      </c>
      <c r="C915" s="22">
        <f>(1)*(1)*(1)*(1)*(1 + (0))</f>
      </c>
      <c r="D915" s="22" t="s">
        <v>71</v>
      </c>
      <c r="E915" s="22"/>
      <c r="F915" s="22">
        <f>(0)</f>
      </c>
      <c r="G915" s="22">
        <f>(C915 * E915 + C915 * E915 * F915)</f>
      </c>
    </row>
    <row r="916">
      <c r="A916" s="5" t="s">
        <v>859</v>
      </c>
      <c r="B916" s="14" t="s">
        <v>136</v>
      </c>
      <c r="C916" s="22">
        <f>(1)*(1)*(1)*(1)*(1 + (0))</f>
      </c>
      <c r="D916" s="22" t="s">
        <v>71</v>
      </c>
      <c r="E916" s="22"/>
      <c r="F916" s="22">
        <f>(0)</f>
      </c>
      <c r="G916" s="22">
        <f>(C916 * E916 + C916 * E916 * F916)</f>
      </c>
    </row>
    <row r="917">
      <c r="A917" s="5" t="s">
        <v>860</v>
      </c>
      <c r="B917" s="14" t="s">
        <v>77</v>
      </c>
      <c r="C917" s="22">
        <f>(1)*(1)*(1)*(1)*(1 + (0))</f>
      </c>
      <c r="D917" s="22" t="s">
        <v>71</v>
      </c>
      <c r="E917" s="22"/>
      <c r="F917" s="22">
        <f>(0)</f>
      </c>
      <c r="G917" s="22">
        <f>(C917 * E917 + C917 * E917 * F917)</f>
      </c>
    </row>
    <row r="918">
      <c r="A918" s="5" t="s">
        <v>861</v>
      </c>
      <c r="B918" s="14" t="s">
        <v>70</v>
      </c>
      <c r="C918" s="22">
        <f>(1)*(1)*(1)*(1)*(1 + (0))</f>
      </c>
      <c r="D918" s="22" t="s">
        <v>71</v>
      </c>
      <c r="E918" s="22"/>
      <c r="F918" s="22">
        <f>(0)</f>
      </c>
      <c r="G918" s="22">
        <f>(C918 * E918 + C918 * E918 * F918)</f>
      </c>
    </row>
    <row r="919">
      <c r="A919" s="5" t="s">
        <v>862</v>
      </c>
      <c r="B919" s="14" t="s">
        <v>863</v>
      </c>
      <c r="C919" s="22">
        <f>(1)*(1)*(1)*(1)*(1 + (0))</f>
      </c>
      <c r="D919" s="22" t="s">
        <v>71</v>
      </c>
      <c r="E919" s="22"/>
      <c r="F919" s="22">
        <f>(0)</f>
      </c>
      <c r="G919" s="22">
        <f>(C919 * E919 + C919 * E919 * F919)</f>
      </c>
    </row>
    <row r="920">
      <c r="A920" s="5" t="s">
        <v>864</v>
      </c>
      <c r="B920" s="14" t="s">
        <v>816</v>
      </c>
      <c r="C920" s="22">
        <f>(1)*(1)*(1)*(1)*(1 + (0))</f>
      </c>
      <c r="D920" s="22" t="s">
        <v>71</v>
      </c>
      <c r="E920" s="22"/>
      <c r="F920" s="22">
        <f>(0)</f>
      </c>
      <c r="G920" s="22">
        <f>(C920 * E920 + C920 * E920 * F920)</f>
      </c>
    </row>
    <row r="921">
      <c r="A921" s="5" t="s">
        <v>865</v>
      </c>
      <c r="B921" s="14" t="s">
        <v>798</v>
      </c>
      <c r="C921" s="22">
        <f>(1)*(1)*(1)*(1)*(1 + (0))</f>
      </c>
      <c r="D921" s="22" t="s">
        <v>71</v>
      </c>
      <c r="E921" s="22"/>
      <c r="F921" s="22">
        <f>(0)</f>
      </c>
      <c r="G921" s="22">
        <f>(C921 * E921 + C921 * E921 * F921)</f>
      </c>
    </row>
    <row r="922">
      <c r="A922" s="5" t="s">
        <v>866</v>
      </c>
      <c r="B922" s="14" t="s">
        <v>230</v>
      </c>
      <c r="C922" s="22">
        <f>(1)*(1)*(1)*(1)*(1 + (0))</f>
      </c>
      <c r="D922" s="22" t="s">
        <v>71</v>
      </c>
      <c r="E922" s="22"/>
      <c r="F922" s="22">
        <f>(0)</f>
      </c>
      <c r="G922" s="22">
        <f>(C922 * E922 + C922 * E922 * F922)</f>
      </c>
    </row>
    <row r="923">
      <c r="A923" s="5" t="s">
        <v>867</v>
      </c>
      <c r="B923" s="14" t="s">
        <v>665</v>
      </c>
      <c r="C923" s="22">
        <f>(1)*(1)*(1)*(1)*(1 + (0))</f>
      </c>
      <c r="D923" s="22" t="s">
        <v>71</v>
      </c>
      <c r="E923" s="22"/>
      <c r="F923" s="22">
        <f>(0)</f>
      </c>
      <c r="G923" s="22">
        <f>(C923 * E923 + C923 * E923 * F923)</f>
      </c>
    </row>
    <row r="924">
      <c r="A924" s="3"/>
      <c r="B924" s="11" t="s">
        <v>106</v>
      </c>
      <c r="C924" s="20"/>
      <c r="D924" s="20"/>
      <c r="E924" s="20"/>
      <c r="F924" s="20"/>
      <c r="G924" s="20"/>
    </row>
    <row r="925">
      <c r="A925" s="5"/>
      <c r="B925" s="14" t="s">
        <v>868</v>
      </c>
      <c r="C925" s="22"/>
      <c r="D925" s="22" t="s">
        <v>10</v>
      </c>
      <c r="E925" s="22"/>
      <c r="F925" s="22">
        <f>(0)</f>
      </c>
      <c r="G925" s="22">
        <f>(C925 * E925 + C925 * E925 * F925)</f>
      </c>
    </row>
    <row r="926">
      <c r="A926" s="3"/>
      <c r="B926" s="11" t="s">
        <v>869</v>
      </c>
      <c r="C926" s="20"/>
      <c r="D926" s="20"/>
      <c r="E926" s="20"/>
      <c r="F926" s="20"/>
      <c r="G926" s="20"/>
    </row>
    <row r="927">
      <c r="A927" s="4"/>
      <c r="B927" s="12" t="s">
        <v>870</v>
      </c>
      <c r="C927" s="21"/>
      <c r="D927" s="21"/>
      <c r="E927" s="21"/>
      <c r="F927" s="21"/>
      <c r="G927" s="21"/>
    </row>
    <row r="928">
      <c r="A928" s="6"/>
      <c r="B928" s="15" t="s">
        <v>871</v>
      </c>
      <c r="C928" s="23"/>
      <c r="D928" s="23"/>
      <c r="E928" s="23"/>
      <c r="F928" s="23"/>
      <c r="G928" s="23"/>
    </row>
    <row r="929">
      <c r="A929" s="5"/>
      <c r="B929" s="16" t="s">
        <v>872</v>
      </c>
      <c r="C929" s="22">
        <f>(13)*(1)*(1)*(1)*(1 + (0))</f>
      </c>
      <c r="D929" s="22" t="s">
        <v>162</v>
      </c>
      <c r="E929" s="22"/>
      <c r="F929" s="22">
        <f>(0)</f>
      </c>
      <c r="G929" s="22">
        <f>(C929 * E929 + C929 * E929 * F929)</f>
      </c>
    </row>
    <row r="930">
      <c r="A930" s="5"/>
      <c r="B930" s="16" t="s">
        <v>873</v>
      </c>
      <c r="C930" s="22">
        <f>(1)*(1)*(1)*(1)*(1 + (0))</f>
      </c>
      <c r="D930" s="22" t="s">
        <v>162</v>
      </c>
      <c r="E930" s="22"/>
      <c r="F930" s="22">
        <f>(0)</f>
      </c>
      <c r="G930" s="22">
        <f>(C930 * E930 + C930 * E930 * F930)</f>
      </c>
    </row>
    <row r="931">
      <c r="A931" s="6"/>
      <c r="B931" s="15" t="s">
        <v>874</v>
      </c>
      <c r="C931" s="23"/>
      <c r="D931" s="23"/>
      <c r="E931" s="23"/>
      <c r="F931" s="23"/>
      <c r="G931" s="23"/>
    </row>
    <row r="932">
      <c r="A932" s="5"/>
      <c r="B932" s="16" t="s">
        <v>875</v>
      </c>
      <c r="C932" s="22">
        <f>(6)*(1)*(1)*(1)*(1 + (0))</f>
      </c>
      <c r="D932" s="22" t="s">
        <v>162</v>
      </c>
      <c r="E932" s="22"/>
      <c r="F932" s="22">
        <f>(0)</f>
      </c>
      <c r="G932" s="22">
        <f>(C932 * E932 + C932 * E932 * F932)</f>
      </c>
    </row>
    <row r="933">
      <c r="A933" s="5"/>
      <c r="B933" s="16" t="s">
        <v>876</v>
      </c>
      <c r="C933" s="22">
        <f>(7)*(1)*(1)*(1)*(1 + (0))</f>
      </c>
      <c r="D933" s="22" t="s">
        <v>162</v>
      </c>
      <c r="E933" s="22"/>
      <c r="F933" s="22">
        <f>(0)</f>
      </c>
      <c r="G933" s="22">
        <f>(C933 * E933 + C933 * E933 * F933)</f>
      </c>
    </row>
    <row r="934">
      <c r="A934" s="4"/>
      <c r="B934" s="12" t="s">
        <v>877</v>
      </c>
      <c r="C934" s="21"/>
      <c r="D934" s="21"/>
      <c r="E934" s="21"/>
      <c r="F934" s="21"/>
      <c r="G934" s="21"/>
    </row>
    <row r="935">
      <c r="A935" s="6"/>
      <c r="B935" s="15" t="s">
        <v>871</v>
      </c>
      <c r="C935" s="23"/>
      <c r="D935" s="23"/>
      <c r="E935" s="23"/>
      <c r="F935" s="23"/>
      <c r="G935" s="23"/>
    </row>
    <row r="936">
      <c r="A936" s="5"/>
      <c r="B936" s="16" t="s">
        <v>872</v>
      </c>
      <c r="C936" s="22">
        <f>(18)*(1)*(1)*(1)*(1 + (0))</f>
      </c>
      <c r="D936" s="22" t="s">
        <v>162</v>
      </c>
      <c r="E936" s="22"/>
      <c r="F936" s="22">
        <f>(0)</f>
      </c>
      <c r="G936" s="22">
        <f>(C936 * E936 + C936 * E936 * F936)</f>
      </c>
    </row>
    <row r="937">
      <c r="A937" s="6"/>
      <c r="B937" s="15" t="s">
        <v>874</v>
      </c>
      <c r="C937" s="23"/>
      <c r="D937" s="23"/>
      <c r="E937" s="23"/>
      <c r="F937" s="23"/>
      <c r="G937" s="23"/>
    </row>
    <row r="938">
      <c r="A938" s="5"/>
      <c r="B938" s="16" t="s">
        <v>876</v>
      </c>
      <c r="C938" s="22">
        <f>(12)*(1)*(1)*(1)*(1 + (0))</f>
      </c>
      <c r="D938" s="22" t="s">
        <v>162</v>
      </c>
      <c r="E938" s="22"/>
      <c r="F938" s="22">
        <f>(0)</f>
      </c>
      <c r="G938" s="22">
        <f>(C938 * E938 + C938 * E938 * F938)</f>
      </c>
    </row>
    <row r="939">
      <c r="A939" s="5"/>
      <c r="B939" s="16" t="s">
        <v>878</v>
      </c>
      <c r="C939" s="22">
        <f>(1)*(1)*(1)*(1)*(1 + (0))</f>
      </c>
      <c r="D939" s="22" t="s">
        <v>162</v>
      </c>
      <c r="E939" s="22"/>
      <c r="F939" s="22">
        <f>(0)</f>
      </c>
      <c r="G939" s="22">
        <f>(C939 * E939 + C939 * E939 * F939)</f>
      </c>
    </row>
    <row r="940">
      <c r="A940" s="3"/>
      <c r="B940" s="11" t="s">
        <v>879</v>
      </c>
      <c r="C940" s="20"/>
      <c r="D940" s="20"/>
      <c r="E940" s="20"/>
      <c r="F940" s="20"/>
      <c r="G940" s="20"/>
    </row>
    <row r="941">
      <c r="A941" s="4"/>
      <c r="B941" s="12" t="s">
        <v>870</v>
      </c>
      <c r="C941" s="21"/>
      <c r="D941" s="21"/>
      <c r="E941" s="21"/>
      <c r="F941" s="21"/>
      <c r="G941" s="21"/>
    </row>
    <row r="942">
      <c r="A942" s="6"/>
      <c r="B942" s="15" t="s">
        <v>871</v>
      </c>
      <c r="C942" s="23"/>
      <c r="D942" s="23"/>
      <c r="E942" s="23"/>
      <c r="F942" s="23"/>
      <c r="G942" s="23"/>
    </row>
    <row r="943">
      <c r="A943" s="5"/>
      <c r="B943" s="16" t="s">
        <v>880</v>
      </c>
      <c r="C943" s="22">
        <f>(1)*(1)*(1)*(1)*(1 + (0))</f>
      </c>
      <c r="D943" s="22" t="s">
        <v>162</v>
      </c>
      <c r="E943" s="22"/>
      <c r="F943" s="22">
        <f>(0)</f>
      </c>
      <c r="G943" s="22">
        <f>(C943 * E943 + C943 * E943 * F943)</f>
      </c>
    </row>
    <row r="944">
      <c r="A944" s="5"/>
      <c r="B944" s="16" t="s">
        <v>881</v>
      </c>
      <c r="C944" s="22">
        <f>(1)*(1)*(1)*(1)*(1 + (0))</f>
      </c>
      <c r="D944" s="22" t="s">
        <v>162</v>
      </c>
      <c r="E944" s="22"/>
      <c r="F944" s="22">
        <f>(0)</f>
      </c>
      <c r="G944" s="22">
        <f>(C944 * E944 + C944 * E944 * F944)</f>
      </c>
    </row>
    <row r="945">
      <c r="A945" s="6"/>
      <c r="B945" s="15" t="s">
        <v>874</v>
      </c>
      <c r="C945" s="23"/>
      <c r="D945" s="23"/>
      <c r="E945" s="23"/>
      <c r="F945" s="23"/>
      <c r="G945" s="23"/>
    </row>
    <row r="946">
      <c r="A946" s="5"/>
      <c r="B946" s="16" t="s">
        <v>882</v>
      </c>
      <c r="C946" s="22">
        <f>(1)*(1)*(1)*(1)*(1 + (0))</f>
      </c>
      <c r="D946" s="22" t="s">
        <v>162</v>
      </c>
      <c r="E946" s="22"/>
      <c r="F946" s="22">
        <f>(0)</f>
      </c>
      <c r="G946" s="22">
        <f>(C946 * E946 + C946 * E946 * F946)</f>
      </c>
    </row>
    <row r="947">
      <c r="A947" s="5"/>
      <c r="B947" s="16" t="s">
        <v>883</v>
      </c>
      <c r="C947" s="22">
        <f>(1)*(1)*(1)*(1)*(1 + (0))</f>
      </c>
      <c r="D947" s="22" t="s">
        <v>162</v>
      </c>
      <c r="E947" s="22"/>
      <c r="F947" s="22">
        <f>(0)</f>
      </c>
      <c r="G947" s="22">
        <f>(C947 * E947 + C947 * E947 * F947)</f>
      </c>
    </row>
    <row r="948">
      <c r="A948" s="3"/>
      <c r="B948" s="11" t="s">
        <v>884</v>
      </c>
      <c r="C948" s="20"/>
      <c r="D948" s="20"/>
      <c r="E948" s="20"/>
      <c r="F948" s="20"/>
      <c r="G948" s="20"/>
    </row>
    <row r="949">
      <c r="A949" s="4"/>
      <c r="B949" s="12" t="s">
        <v>870</v>
      </c>
      <c r="C949" s="21"/>
      <c r="D949" s="21"/>
      <c r="E949" s="21"/>
      <c r="F949" s="21"/>
      <c r="G949" s="21"/>
    </row>
    <row r="950">
      <c r="A950" s="6"/>
      <c r="B950" s="15" t="s">
        <v>885</v>
      </c>
      <c r="C950" s="23"/>
      <c r="D950" s="23"/>
      <c r="E950" s="23"/>
      <c r="F950" s="23"/>
      <c r="G950" s="23"/>
    </row>
    <row r="951">
      <c r="A951" s="5"/>
      <c r="B951" s="16" t="s">
        <v>886</v>
      </c>
      <c r="C951" s="22">
        <f>(3)*(1)*(1)*(1)*(1 + (0))</f>
      </c>
      <c r="D951" s="22" t="s">
        <v>162</v>
      </c>
      <c r="E951" s="22"/>
      <c r="F951" s="22">
        <f>(0)</f>
      </c>
      <c r="G951" s="22">
        <f>(C951 * E951 + C951 * E951 * F951)</f>
      </c>
    </row>
    <row r="952">
      <c r="A952" s="5"/>
      <c r="B952" s="16" t="s">
        <v>887</v>
      </c>
      <c r="C952" s="22">
        <f>(2)*(1)*(1)*(1)*(1 + (0))</f>
      </c>
      <c r="D952" s="22" t="s">
        <v>162</v>
      </c>
      <c r="E952" s="22"/>
      <c r="F952" s="22">
        <f>(0)</f>
      </c>
      <c r="G952" s="22">
        <f>(C952 * E952 + C952 * E952 * F952)</f>
      </c>
    </row>
    <row r="953">
      <c r="A953" s="5"/>
      <c r="B953" s="16" t="s">
        <v>888</v>
      </c>
      <c r="C953" s="22">
        <f>(1)*(1)*(1)*(1)*(1 + (0))</f>
      </c>
      <c r="D953" s="22" t="s">
        <v>162</v>
      </c>
      <c r="E953" s="22"/>
      <c r="F953" s="22">
        <f>(0)</f>
      </c>
      <c r="G953" s="22">
        <f>(C953 * E953 + C953 * E953 * F953)</f>
      </c>
    </row>
    <row r="954">
      <c r="A954" s="4"/>
      <c r="B954" s="12" t="s">
        <v>889</v>
      </c>
      <c r="C954" s="21"/>
      <c r="D954" s="21"/>
      <c r="E954" s="21"/>
      <c r="F954" s="21"/>
      <c r="G954" s="21"/>
    </row>
    <row r="955">
      <c r="A955" s="6"/>
      <c r="B955" s="15" t="s">
        <v>885</v>
      </c>
      <c r="C955" s="23"/>
      <c r="D955" s="23"/>
      <c r="E955" s="23"/>
      <c r="F955" s="23"/>
      <c r="G955" s="23"/>
    </row>
    <row r="956">
      <c r="A956" s="5"/>
      <c r="B956" s="16" t="s">
        <v>886</v>
      </c>
      <c r="C956" s="22">
        <f>(6)*(1)*(1)*(1)*(1 + (0))</f>
      </c>
      <c r="D956" s="22" t="s">
        <v>162</v>
      </c>
      <c r="E956" s="22"/>
      <c r="F956" s="22">
        <f>(0)</f>
      </c>
      <c r="G956" s="22">
        <f>(C956 * E956 + C956 * E956 * F956)</f>
      </c>
    </row>
    <row r="957">
      <c r="A957" s="5"/>
      <c r="B957" s="16" t="s">
        <v>888</v>
      </c>
      <c r="C957" s="22">
        <f>(6)*(1)*(1)*(1)*(1 + (0))</f>
      </c>
      <c r="D957" s="22" t="s">
        <v>162</v>
      </c>
      <c r="E957" s="22"/>
      <c r="F957" s="22">
        <f>(0)</f>
      </c>
      <c r="G957" s="22">
        <f>(C957 * E957 + C957 * E957 * F957)</f>
      </c>
    </row>
    <row r="958">
      <c r="A958" s="3"/>
      <c r="B958" s="11" t="s">
        <v>890</v>
      </c>
      <c r="C958" s="20"/>
      <c r="D958" s="20"/>
      <c r="E958" s="20"/>
      <c r="F958" s="20"/>
      <c r="G958" s="20"/>
    </row>
    <row r="959">
      <c r="A959" s="4"/>
      <c r="B959" s="12" t="s">
        <v>870</v>
      </c>
      <c r="C959" s="21"/>
      <c r="D959" s="21"/>
      <c r="E959" s="21"/>
      <c r="F959" s="21"/>
      <c r="G959" s="21"/>
    </row>
    <row r="960">
      <c r="A960" s="6"/>
      <c r="B960" s="15" t="s">
        <v>885</v>
      </c>
      <c r="C960" s="23"/>
      <c r="D960" s="23"/>
      <c r="E960" s="23"/>
      <c r="F960" s="23"/>
      <c r="G960" s="23"/>
    </row>
    <row r="961">
      <c r="A961" s="5"/>
      <c r="B961" s="16" t="s">
        <v>891</v>
      </c>
      <c r="C961" s="22">
        <f>(9)*(1)*(1)*(1)*(1 + (0))</f>
      </c>
      <c r="D961" s="22" t="s">
        <v>162</v>
      </c>
      <c r="E961" s="22"/>
      <c r="F961" s="22">
        <f>(0)</f>
      </c>
      <c r="G961" s="22">
        <f>(C961 * E961 + C961 * E961 * F961)</f>
      </c>
    </row>
    <row r="962">
      <c r="A962" s="4"/>
      <c r="B962" s="12" t="s">
        <v>889</v>
      </c>
      <c r="C962" s="21"/>
      <c r="D962" s="21"/>
      <c r="E962" s="21"/>
      <c r="F962" s="21"/>
      <c r="G962" s="21"/>
    </row>
    <row r="963">
      <c r="A963" s="6"/>
      <c r="B963" s="15" t="s">
        <v>892</v>
      </c>
      <c r="C963" s="23"/>
      <c r="D963" s="23"/>
      <c r="E963" s="23"/>
      <c r="F963" s="23"/>
      <c r="G963" s="23"/>
    </row>
    <row r="964">
      <c r="A964" s="5"/>
      <c r="B964" s="16" t="s">
        <v>893</v>
      </c>
      <c r="C964" s="22">
        <f>(3)*(1)*(1)*(1)*(1 + (0))</f>
      </c>
      <c r="D964" s="22" t="s">
        <v>162</v>
      </c>
      <c r="E964" s="22"/>
      <c r="F964" s="22">
        <f>(0)</f>
      </c>
      <c r="G964" s="22">
        <f>(C964 * E964 + C964 * E964 * F964)</f>
      </c>
    </row>
    <row r="965">
      <c r="A965" s="5"/>
      <c r="B965" s="16" t="s">
        <v>894</v>
      </c>
      <c r="C965" s="22">
        <f>(6)*(1)*(1)*(1)*(1 + (0))</f>
      </c>
      <c r="D965" s="22" t="s">
        <v>162</v>
      </c>
      <c r="E965" s="22"/>
      <c r="F965" s="22">
        <f>(0)</f>
      </c>
      <c r="G965" s="22">
        <f>(C965 * E965 + C965 * E965 * F965)</f>
      </c>
    </row>
    <row r="966">
      <c r="A966" s="5"/>
      <c r="B966" s="16" t="s">
        <v>895</v>
      </c>
      <c r="C966" s="22">
        <f>(6)*(1)*(1)*(1)*(1 + (0))</f>
      </c>
      <c r="D966" s="22" t="s">
        <v>162</v>
      </c>
      <c r="E966" s="22"/>
      <c r="F966" s="22">
        <f>(0)</f>
      </c>
      <c r="G966" s="22">
        <f>(C966 * E966 + C966 * E966 * F966)</f>
      </c>
    </row>
    <row r="967">
      <c r="A967" s="5"/>
      <c r="B967" s="16" t="s">
        <v>896</v>
      </c>
      <c r="C967" s="22">
        <f>(3)*(1)*(1)*(1)*(1 + (0))</f>
      </c>
      <c r="D967" s="22" t="s">
        <v>162</v>
      </c>
      <c r="E967" s="22"/>
      <c r="F967" s="22">
        <f>(0)</f>
      </c>
      <c r="G967" s="22">
        <f>(C967 * E967 + C967 * E967 * F967)</f>
      </c>
    </row>
    <row r="968">
      <c r="A968" s="2"/>
      <c r="B968" s="10" t="s">
        <v>897</v>
      </c>
      <c r="C968" s="19"/>
      <c r="D968" s="19"/>
      <c r="E968" s="19"/>
      <c r="F968" s="19"/>
      <c r="G968" s="19"/>
    </row>
    <row r="969">
      <c r="A969" s="3"/>
      <c r="B969" s="11" t="s">
        <v>37</v>
      </c>
      <c r="C969" s="20"/>
      <c r="D969" s="20"/>
      <c r="E969" s="20"/>
      <c r="F969" s="20"/>
      <c r="G969" s="20"/>
    </row>
    <row r="970">
      <c r="A970" s="5" t="s">
        <v>758</v>
      </c>
      <c r="B970" s="14" t="s">
        <v>39</v>
      </c>
      <c r="C970" s="22"/>
      <c r="D970" s="22" t="s">
        <v>10</v>
      </c>
      <c r="E970" s="22"/>
      <c r="F970" s="22">
        <f>(0)</f>
      </c>
      <c r="G970" s="22">
        <f>(C970 * E970 + C970 * E970 * F970)</f>
      </c>
    </row>
    <row r="971">
      <c r="A971" s="5" t="s">
        <v>760</v>
      </c>
      <c r="B971" s="14" t="s">
        <v>41</v>
      </c>
      <c r="C971" s="22"/>
      <c r="D971" s="22" t="s">
        <v>10</v>
      </c>
      <c r="E971" s="22"/>
      <c r="F971" s="22">
        <f>(0)</f>
      </c>
      <c r="G971" s="22">
        <f>(C971 * E971 + C971 * E971 * F971)</f>
      </c>
    </row>
    <row r="972">
      <c r="A972" s="3"/>
      <c r="B972" s="11" t="s">
        <v>44</v>
      </c>
      <c r="C972" s="20"/>
      <c r="D972" s="20"/>
      <c r="E972" s="20"/>
      <c r="F972" s="20"/>
      <c r="G972" s="20"/>
    </row>
    <row r="973">
      <c r="A973" s="4"/>
      <c r="B973" s="12" t="s">
        <v>45</v>
      </c>
      <c r="C973" s="21"/>
      <c r="D973" s="21"/>
      <c r="E973" s="21"/>
      <c r="F973" s="21"/>
      <c r="G973" s="21"/>
    </row>
    <row r="974">
      <c r="A974" s="5" t="s">
        <v>765</v>
      </c>
      <c r="B974" s="13" t="s">
        <v>898</v>
      </c>
      <c r="C974" s="22"/>
      <c r="D974" s="22" t="s">
        <v>10</v>
      </c>
      <c r="E974" s="22"/>
      <c r="F974" s="22">
        <f>(0)</f>
      </c>
      <c r="G974" s="22">
        <f>(C974 * E974 + C974 * E974 * F974)</f>
      </c>
    </row>
    <row r="975">
      <c r="A975" s="5" t="s">
        <v>766</v>
      </c>
      <c r="B975" s="13" t="s">
        <v>899</v>
      </c>
      <c r="C975" s="22"/>
      <c r="D975" s="22" t="s">
        <v>10</v>
      </c>
      <c r="E975" s="22"/>
      <c r="F975" s="22">
        <f>(0)</f>
      </c>
      <c r="G975" s="22">
        <f>(C975 * E975 + C975 * E975 * F975)</f>
      </c>
    </row>
    <row r="976">
      <c r="A976" s="5" t="s">
        <v>768</v>
      </c>
      <c r="B976" s="13" t="s">
        <v>767</v>
      </c>
      <c r="C976" s="22"/>
      <c r="D976" s="22" t="s">
        <v>10</v>
      </c>
      <c r="E976" s="22"/>
      <c r="F976" s="22">
        <f>(0)</f>
      </c>
      <c r="G976" s="22">
        <f>(C976 * E976 + C976 * E976 * F976)</f>
      </c>
    </row>
    <row r="977">
      <c r="A977" s="5" t="s">
        <v>770</v>
      </c>
      <c r="B977" s="13" t="s">
        <v>900</v>
      </c>
      <c r="C977" s="22"/>
      <c r="D977" s="22" t="s">
        <v>10</v>
      </c>
      <c r="E977" s="22"/>
      <c r="F977" s="22">
        <f>(0)</f>
      </c>
      <c r="G977" s="22">
        <f>(C977 * E977 + C977 * E977 * F977)</f>
      </c>
    </row>
    <row r="978">
      <c r="A978" s="5" t="s">
        <v>794</v>
      </c>
      <c r="B978" s="13" t="s">
        <v>901</v>
      </c>
      <c r="C978" s="22"/>
      <c r="D978" s="22" t="s">
        <v>10</v>
      </c>
      <c r="E978" s="22"/>
      <c r="F978" s="22">
        <f>(0)</f>
      </c>
      <c r="G978" s="22">
        <f>(C978 * E978 + C978 * E978 * F978)</f>
      </c>
    </row>
    <row r="979">
      <c r="A979" s="5" t="s">
        <v>795</v>
      </c>
      <c r="B979" s="13" t="s">
        <v>123</v>
      </c>
      <c r="C979" s="22"/>
      <c r="D979" s="22" t="s">
        <v>10</v>
      </c>
      <c r="E979" s="22"/>
      <c r="F979" s="22">
        <f>(0)</f>
      </c>
      <c r="G979" s="22">
        <f>(C979 * E979 + C979 * E979 * F979)</f>
      </c>
    </row>
    <row r="980">
      <c r="A980" s="3"/>
      <c r="B980" s="11" t="s">
        <v>42</v>
      </c>
      <c r="C980" s="20"/>
      <c r="D980" s="20"/>
      <c r="E980" s="20"/>
      <c r="F980" s="20"/>
      <c r="G980" s="20"/>
    </row>
    <row r="981">
      <c r="A981" s="5"/>
      <c r="B981" s="14" t="s">
        <v>902</v>
      </c>
      <c r="C981" s="22"/>
      <c r="D981" s="22" t="s">
        <v>10</v>
      </c>
      <c r="E981" s="22"/>
      <c r="F981" s="22">
        <f>(0)</f>
      </c>
      <c r="G981" s="22">
        <f>(C981 * E981 + C981 * E981 * F981)</f>
      </c>
    </row>
    <row r="982">
      <c r="A982" s="5"/>
      <c r="B982" s="14" t="s">
        <v>762</v>
      </c>
      <c r="C982" s="22"/>
      <c r="D982" s="22" t="s">
        <v>10</v>
      </c>
      <c r="E982" s="22"/>
      <c r="F982" s="22">
        <f>(0)</f>
      </c>
      <c r="G982" s="22">
        <f>(C982 * E982 + C982 * E982 * F982)</f>
      </c>
    </row>
    <row r="983">
      <c r="A983" s="5"/>
      <c r="B983" s="14" t="s">
        <v>856</v>
      </c>
      <c r="C983" s="22"/>
      <c r="D983" s="22" t="s">
        <v>10</v>
      </c>
      <c r="E983" s="22"/>
      <c r="F983" s="22">
        <f>(0)</f>
      </c>
      <c r="G983" s="22">
        <f>(C983 * E983 + C983 * E983 * F983)</f>
      </c>
    </row>
    <row r="984">
      <c r="A984" s="3"/>
      <c r="B984" s="11" t="s">
        <v>68</v>
      </c>
      <c r="C984" s="20"/>
      <c r="D984" s="20"/>
      <c r="E984" s="20"/>
      <c r="F984" s="20"/>
      <c r="G984" s="20"/>
    </row>
    <row r="985">
      <c r="A985" s="5" t="s">
        <v>797</v>
      </c>
      <c r="B985" s="14" t="s">
        <v>903</v>
      </c>
      <c r="C985" s="22">
        <f>(1)*(1)*(1)*(1)*(1 + (0))</f>
      </c>
      <c r="D985" s="22" t="s">
        <v>71</v>
      </c>
      <c r="E985" s="22"/>
      <c r="F985" s="22">
        <f>(0)</f>
      </c>
      <c r="G985" s="22">
        <f>(C985 * E985 + C985 * E985 * F985)</f>
      </c>
    </row>
    <row r="986">
      <c r="A986" s="5" t="s">
        <v>799</v>
      </c>
      <c r="B986" s="14" t="s">
        <v>904</v>
      </c>
      <c r="C986" s="22">
        <f>(1)*(1)*(1)*(1)*(1 + (0))</f>
      </c>
      <c r="D986" s="22" t="s">
        <v>71</v>
      </c>
      <c r="E986" s="22"/>
      <c r="F986" s="22">
        <f>(0)</f>
      </c>
      <c r="G986" s="22">
        <f>(C986 * E986 + C986 * E986 * F986)</f>
      </c>
    </row>
    <row r="987">
      <c r="A987" s="5" t="s">
        <v>801</v>
      </c>
      <c r="B987" s="14" t="s">
        <v>77</v>
      </c>
      <c r="C987" s="22">
        <f>(1)*(1)*(1)*(1)*(1 + (0))</f>
      </c>
      <c r="D987" s="22" t="s">
        <v>71</v>
      </c>
      <c r="E987" s="22"/>
      <c r="F987" s="22">
        <f>(0)</f>
      </c>
      <c r="G987" s="22">
        <f>(C987 * E987 + C987 * E987 * F987)</f>
      </c>
    </row>
    <row r="988">
      <c r="A988" s="5" t="s">
        <v>905</v>
      </c>
      <c r="B988" s="14" t="s">
        <v>906</v>
      </c>
      <c r="C988" s="22">
        <f>(1)*(1)*(1)*(1)*(1 + (0))</f>
      </c>
      <c r="D988" s="22" t="s">
        <v>71</v>
      </c>
      <c r="E988" s="22"/>
      <c r="F988" s="22">
        <f>(0)</f>
      </c>
      <c r="G988" s="22">
        <f>(C988 * E988 + C988 * E988 * F988)</f>
      </c>
    </row>
    <row r="989">
      <c r="A989" s="5" t="s">
        <v>907</v>
      </c>
      <c r="B989" s="14" t="s">
        <v>447</v>
      </c>
      <c r="C989" s="22">
        <f>(1)*(1)*(1)*(1)*(1 + (0))</f>
      </c>
      <c r="D989" s="22" t="s">
        <v>71</v>
      </c>
      <c r="E989" s="22"/>
      <c r="F989" s="22">
        <f>(0)</f>
      </c>
      <c r="G989" s="22">
        <f>(C989 * E989 + C989 * E989 * F989)</f>
      </c>
    </row>
    <row r="990">
      <c r="A990" s="5" t="s">
        <v>908</v>
      </c>
      <c r="B990" s="14" t="s">
        <v>798</v>
      </c>
      <c r="C990" s="22">
        <f>(1)*(1)*(1)*(1)*(1 + (0))</f>
      </c>
      <c r="D990" s="22" t="s">
        <v>71</v>
      </c>
      <c r="E990" s="22"/>
      <c r="F990" s="22">
        <f>(0)</f>
      </c>
      <c r="G990" s="22">
        <f>(C990 * E990 + C990 * E990 * F990)</f>
      </c>
    </row>
    <row r="991">
      <c r="A991" s="5" t="s">
        <v>909</v>
      </c>
      <c r="B991" s="14" t="s">
        <v>910</v>
      </c>
      <c r="C991" s="22">
        <f>(1)*(1)*(1)*(1)*(1 + (0))</f>
      </c>
      <c r="D991" s="22" t="s">
        <v>71</v>
      </c>
      <c r="E991" s="22"/>
      <c r="F991" s="22">
        <f>(0)</f>
      </c>
      <c r="G991" s="22">
        <f>(C991 * E991 + C991 * E991 * F991)</f>
      </c>
    </row>
    <row r="992">
      <c r="A992" s="5" t="s">
        <v>911</v>
      </c>
      <c r="B992" s="14" t="s">
        <v>912</v>
      </c>
      <c r="C992" s="22">
        <f>(1)*(1)*(1)*(1)*(1 + (0))</f>
      </c>
      <c r="D992" s="22" t="s">
        <v>71</v>
      </c>
      <c r="E992" s="22"/>
      <c r="F992" s="22">
        <f>(0)</f>
      </c>
      <c r="G992" s="22">
        <f>(C992 * E992 + C992 * E992 * F992)</f>
      </c>
    </row>
    <row r="993">
      <c r="A993" s="5" t="s">
        <v>913</v>
      </c>
      <c r="B993" s="14" t="s">
        <v>665</v>
      </c>
      <c r="C993" s="22">
        <f>(1)*(1)*(1)*(1)*(1 + (0))</f>
      </c>
      <c r="D993" s="22" t="s">
        <v>71</v>
      </c>
      <c r="E993" s="22"/>
      <c r="F993" s="22">
        <f>(0)</f>
      </c>
      <c r="G993" s="22">
        <f>(C993 * E993 + C993 * E993 * F993)</f>
      </c>
    </row>
    <row r="994">
      <c r="A994" s="3"/>
      <c r="B994" s="11" t="s">
        <v>914</v>
      </c>
      <c r="C994" s="20"/>
      <c r="D994" s="20"/>
      <c r="E994" s="20"/>
      <c r="F994" s="20"/>
      <c r="G994" s="20"/>
    </row>
    <row r="995">
      <c r="A995" s="4"/>
      <c r="B995" s="12" t="s">
        <v>870</v>
      </c>
      <c r="C995" s="21"/>
      <c r="D995" s="21"/>
      <c r="E995" s="21"/>
      <c r="F995" s="21"/>
      <c r="G995" s="21"/>
    </row>
    <row r="996">
      <c r="A996" s="6"/>
      <c r="B996" s="15" t="s">
        <v>915</v>
      </c>
      <c r="C996" s="23"/>
      <c r="D996" s="23"/>
      <c r="E996" s="23"/>
      <c r="F996" s="23"/>
      <c r="G996" s="23"/>
    </row>
    <row r="997">
      <c r="A997" s="5"/>
      <c r="B997" s="16" t="s">
        <v>916</v>
      </c>
      <c r="C997" s="22">
        <f>(2)*(1)*(1)*(1)*(1 + (0))</f>
      </c>
      <c r="D997" s="22" t="s">
        <v>162</v>
      </c>
      <c r="E997" s="22"/>
      <c r="F997" s="22">
        <f>(0)</f>
      </c>
      <c r="G997" s="22">
        <f>(C997 * E997 + C997 * E997 * F997)</f>
      </c>
    </row>
    <row r="998">
      <c r="A998" s="5"/>
      <c r="B998" s="16" t="s">
        <v>917</v>
      </c>
      <c r="C998" s="22">
        <f>(2)*(1)*(1)*(1)*(1 + (0))</f>
      </c>
      <c r="D998" s="22" t="s">
        <v>162</v>
      </c>
      <c r="E998" s="22"/>
      <c r="F998" s="22">
        <f>(0)</f>
      </c>
      <c r="G998" s="22">
        <f>(C998 * E998 + C998 * E998 * F998)</f>
      </c>
    </row>
    <row r="999">
      <c r="A999" s="6"/>
      <c r="B999" s="15" t="s">
        <v>918</v>
      </c>
      <c r="C999" s="23"/>
      <c r="D999" s="23"/>
      <c r="E999" s="23"/>
      <c r="F999" s="23"/>
      <c r="G999" s="23"/>
    </row>
    <row r="1000">
      <c r="A1000" s="5"/>
      <c r="B1000" s="16" t="s">
        <v>919</v>
      </c>
      <c r="C1000" s="22">
        <f>(2)*(1)*(1)*(1)*(1 + (0))</f>
      </c>
      <c r="D1000" s="22" t="s">
        <v>162</v>
      </c>
      <c r="E1000" s="22"/>
      <c r="F1000" s="22">
        <f>(0)</f>
      </c>
      <c r="G1000" s="22">
        <f>(C1000 * E1000 + C1000 * E1000 * F1000)</f>
      </c>
    </row>
    <row r="1001">
      <c r="A1001" s="5"/>
      <c r="B1001" s="16" t="s">
        <v>920</v>
      </c>
      <c r="C1001" s="22">
        <f>(2)*(1)*(1)*(1)*(1 + (0))</f>
      </c>
      <c r="D1001" s="22" t="s">
        <v>162</v>
      </c>
      <c r="E1001" s="22"/>
      <c r="F1001" s="22">
        <f>(0)</f>
      </c>
      <c r="G1001" s="22">
        <f>(C1001 * E1001 + C1001 * E1001 * F1001)</f>
      </c>
    </row>
    <row r="1002">
      <c r="A1002" s="4"/>
      <c r="B1002" s="12" t="s">
        <v>889</v>
      </c>
      <c r="C1002" s="21"/>
      <c r="D1002" s="21"/>
      <c r="E1002" s="21"/>
      <c r="F1002" s="21"/>
      <c r="G1002" s="21"/>
    </row>
    <row r="1003">
      <c r="A1003" s="6"/>
      <c r="B1003" s="15" t="s">
        <v>915</v>
      </c>
      <c r="C1003" s="23"/>
      <c r="D1003" s="23"/>
      <c r="E1003" s="23"/>
      <c r="F1003" s="23"/>
      <c r="G1003" s="23"/>
    </row>
    <row r="1004">
      <c r="A1004" s="5"/>
      <c r="B1004" s="16" t="s">
        <v>916</v>
      </c>
      <c r="C1004" s="22">
        <f>(1)*(1)*(1)*(1)*(1 + (0))</f>
      </c>
      <c r="D1004" s="22" t="s">
        <v>162</v>
      </c>
      <c r="E1004" s="22"/>
      <c r="F1004" s="22">
        <f>(0)</f>
      </c>
      <c r="G1004" s="22">
        <f>(C1004 * E1004 + C1004 * E1004 * F1004)</f>
      </c>
    </row>
    <row r="1005">
      <c r="A1005" s="5"/>
      <c r="B1005" s="16" t="s">
        <v>917</v>
      </c>
      <c r="C1005" s="22">
        <f>(1)*(1)*(1)*(1)*(1 + (0))</f>
      </c>
      <c r="D1005" s="22" t="s">
        <v>162</v>
      </c>
      <c r="E1005" s="22"/>
      <c r="F1005" s="22">
        <f>(0)</f>
      </c>
      <c r="G1005" s="22">
        <f>(C1005 * E1005 + C1005 * E1005 * F1005)</f>
      </c>
    </row>
    <row r="1006">
      <c r="A1006" s="6"/>
      <c r="B1006" s="15" t="s">
        <v>918</v>
      </c>
      <c r="C1006" s="23"/>
      <c r="D1006" s="23"/>
      <c r="E1006" s="23"/>
      <c r="F1006" s="23"/>
      <c r="G1006" s="23"/>
    </row>
    <row r="1007">
      <c r="A1007" s="5"/>
      <c r="B1007" s="16" t="s">
        <v>921</v>
      </c>
      <c r="C1007" s="22">
        <f>(2)*(1)*(1)*(1)*(1 + (0))</f>
      </c>
      <c r="D1007" s="22" t="s">
        <v>162</v>
      </c>
      <c r="E1007" s="22"/>
      <c r="F1007" s="22">
        <f>(0)</f>
      </c>
      <c r="G1007" s="22">
        <f>(C1007 * E1007 + C1007 * E1007 * F1007)</f>
      </c>
    </row>
    <row r="1008">
      <c r="A1008" s="5"/>
      <c r="B1008" s="16" t="s">
        <v>919</v>
      </c>
      <c r="C1008" s="22">
        <f>(1)*(1)*(1)*(1)*(1 + (0))</f>
      </c>
      <c r="D1008" s="22" t="s">
        <v>162</v>
      </c>
      <c r="E1008" s="22"/>
      <c r="F1008" s="22">
        <f>(0)</f>
      </c>
      <c r="G1008" s="22">
        <f>(C1008 * E1008 + C1008 * E1008 * F1008)</f>
      </c>
    </row>
    <row r="1009">
      <c r="A1009" s="5"/>
      <c r="B1009" s="16" t="s">
        <v>922</v>
      </c>
      <c r="C1009" s="22">
        <f>(1)*(1)*(1)*(1)*(1 + (0))</f>
      </c>
      <c r="D1009" s="22" t="s">
        <v>162</v>
      </c>
      <c r="E1009" s="22"/>
      <c r="F1009" s="22">
        <f>(0)</f>
      </c>
      <c r="G1009" s="22">
        <f>(C1009 * E1009 + C1009 * E1009 * F1009)</f>
      </c>
    </row>
    <row r="1010">
      <c r="A1010" s="5"/>
      <c r="B1010" s="16" t="s">
        <v>923</v>
      </c>
      <c r="C1010" s="22">
        <f>(1)*(1)*(1)*(1)*(1 + (0))</f>
      </c>
      <c r="D1010" s="22" t="s">
        <v>162</v>
      </c>
      <c r="E1010" s="22"/>
      <c r="F1010" s="22">
        <f>(0)</f>
      </c>
      <c r="G1010" s="22">
        <f>(C1010 * E1010 + C1010 * E1010 * F1010)</f>
      </c>
    </row>
    <row r="1011">
      <c r="A1011" s="3"/>
      <c r="B1011" s="11" t="s">
        <v>924</v>
      </c>
      <c r="C1011" s="20"/>
      <c r="D1011" s="20"/>
      <c r="E1011" s="20"/>
      <c r="F1011" s="20"/>
      <c r="G1011" s="20"/>
    </row>
    <row r="1012">
      <c r="A1012" s="4"/>
      <c r="B1012" s="12" t="s">
        <v>870</v>
      </c>
      <c r="C1012" s="21"/>
      <c r="D1012" s="21"/>
      <c r="E1012" s="21"/>
      <c r="F1012" s="21"/>
      <c r="G1012" s="21"/>
    </row>
    <row r="1013">
      <c r="A1013" s="6"/>
      <c r="B1013" s="15" t="s">
        <v>918</v>
      </c>
      <c r="C1013" s="23"/>
      <c r="D1013" s="23"/>
      <c r="E1013" s="23"/>
      <c r="F1013" s="23"/>
      <c r="G1013" s="23"/>
    </row>
    <row r="1014">
      <c r="A1014" s="5"/>
      <c r="B1014" s="16" t="s">
        <v>925</v>
      </c>
      <c r="C1014" s="22">
        <f>(2)*(1)*(1)*(1)*(1 + (0))</f>
      </c>
      <c r="D1014" s="22" t="s">
        <v>162</v>
      </c>
      <c r="E1014" s="22"/>
      <c r="F1014" s="22">
        <f>(0)</f>
      </c>
      <c r="G1014" s="22">
        <f>(C1014 * E1014 + C1014 * E1014 * F1014)</f>
      </c>
    </row>
    <row r="1015">
      <c r="A1015" s="5"/>
      <c r="B1015" s="16" t="s">
        <v>926</v>
      </c>
      <c r="C1015" s="22">
        <f>(23)*(1)*(1)*(1)*(1 + (0))</f>
      </c>
      <c r="D1015" s="22" t="s">
        <v>162</v>
      </c>
      <c r="E1015" s="22"/>
      <c r="F1015" s="22">
        <f>(0)</f>
      </c>
      <c r="G1015" s="22">
        <f>(C1015 * E1015 + C1015 * E1015 * F1015)</f>
      </c>
    </row>
    <row r="1016">
      <c r="A1016" s="5"/>
      <c r="B1016" s="16" t="s">
        <v>927</v>
      </c>
      <c r="C1016" s="22">
        <f>(2)*(1)*(1)*(1)*(1 + (0))</f>
      </c>
      <c r="D1016" s="22" t="s">
        <v>162</v>
      </c>
      <c r="E1016" s="22"/>
      <c r="F1016" s="22">
        <f>(0)</f>
      </c>
      <c r="G1016" s="22">
        <f>(C1016 * E1016 + C1016 * E1016 * F1016)</f>
      </c>
    </row>
    <row r="1017">
      <c r="A1017" s="5"/>
      <c r="B1017" s="16" t="s">
        <v>928</v>
      </c>
      <c r="C1017" s="22">
        <f>(1)*(1)*(1)*(1)*(1 + (0))</f>
      </c>
      <c r="D1017" s="22" t="s">
        <v>162</v>
      </c>
      <c r="E1017" s="22"/>
      <c r="F1017" s="22">
        <f>(0)</f>
      </c>
      <c r="G1017" s="22">
        <f>(C1017 * E1017 + C1017 * E1017 * F1017)</f>
      </c>
    </row>
    <row r="1018">
      <c r="A1018" s="5"/>
      <c r="B1018" s="16" t="s">
        <v>929</v>
      </c>
      <c r="C1018" s="22">
        <f>(1)*(1)*(1)*(1)*(1 + (0))</f>
      </c>
      <c r="D1018" s="22" t="s">
        <v>162</v>
      </c>
      <c r="E1018" s="22"/>
      <c r="F1018" s="22">
        <f>(0)</f>
      </c>
      <c r="G1018" s="22">
        <f>(C1018 * E1018 + C1018 * E1018 * F1018)</f>
      </c>
    </row>
    <row r="1019">
      <c r="A1019" s="4"/>
      <c r="B1019" s="12" t="s">
        <v>889</v>
      </c>
      <c r="C1019" s="21"/>
      <c r="D1019" s="21"/>
      <c r="E1019" s="21"/>
      <c r="F1019" s="21"/>
      <c r="G1019" s="21"/>
    </row>
    <row r="1020">
      <c r="A1020" s="6"/>
      <c r="B1020" s="15" t="s">
        <v>915</v>
      </c>
      <c r="C1020" s="23"/>
      <c r="D1020" s="23"/>
      <c r="E1020" s="23"/>
      <c r="F1020" s="23"/>
      <c r="G1020" s="23"/>
    </row>
    <row r="1021">
      <c r="A1021" s="5"/>
      <c r="B1021" s="16" t="s">
        <v>930</v>
      </c>
      <c r="C1021" s="22">
        <f>(2)*(1)*(1)*(1)*(1 + (0))</f>
      </c>
      <c r="D1021" s="22" t="s">
        <v>162</v>
      </c>
      <c r="E1021" s="22"/>
      <c r="F1021" s="22">
        <f>(0)</f>
      </c>
      <c r="G1021" s="22">
        <f>(C1021 * E1021 + C1021 * E1021 * F1021)</f>
      </c>
    </row>
    <row r="1022">
      <c r="A1022" s="6"/>
      <c r="B1022" s="15" t="s">
        <v>918</v>
      </c>
      <c r="C1022" s="23"/>
      <c r="D1022" s="23"/>
      <c r="E1022" s="23"/>
      <c r="F1022" s="23"/>
      <c r="G1022" s="23"/>
    </row>
    <row r="1023">
      <c r="A1023" s="5"/>
      <c r="B1023" s="16" t="s">
        <v>926</v>
      </c>
      <c r="C1023" s="22">
        <f>(3)*(1)*(1)*(1)*(1 + (0))</f>
      </c>
      <c r="D1023" s="22" t="s">
        <v>162</v>
      </c>
      <c r="E1023" s="22"/>
      <c r="F1023" s="22">
        <f>(0)</f>
      </c>
      <c r="G1023" s="22">
        <f>(C1023 * E1023 + C1023 * E1023 * F1023)</f>
      </c>
    </row>
    <row r="1024">
      <c r="A1024" s="3"/>
      <c r="B1024" s="11" t="s">
        <v>931</v>
      </c>
      <c r="C1024" s="20"/>
      <c r="D1024" s="20"/>
      <c r="E1024" s="20"/>
      <c r="F1024" s="20"/>
      <c r="G1024" s="20"/>
    </row>
    <row r="1025">
      <c r="A1025" s="4"/>
      <c r="B1025" s="12" t="s">
        <v>870</v>
      </c>
      <c r="C1025" s="21"/>
      <c r="D1025" s="21"/>
      <c r="E1025" s="21"/>
      <c r="F1025" s="21"/>
      <c r="G1025" s="21"/>
    </row>
    <row r="1026">
      <c r="A1026" s="5"/>
      <c r="B1026" s="13" t="s">
        <v>932</v>
      </c>
      <c r="C1026" s="22">
        <f>(4)*(1)*(1)*(1)*(1 + (0))</f>
      </c>
      <c r="D1026" s="22" t="s">
        <v>162</v>
      </c>
      <c r="E1026" s="22"/>
      <c r="F1026" s="22">
        <f>(0)</f>
      </c>
      <c r="G1026" s="22">
        <f>(C1026 * E1026 + C1026 * E1026 * F1026)</f>
      </c>
    </row>
    <row r="1027">
      <c r="A1027" s="5"/>
      <c r="B1027" s="13" t="s">
        <v>933</v>
      </c>
      <c r="C1027" s="22">
        <f>(4)*(1)*(1)*(1)*(1 + (0))</f>
      </c>
      <c r="D1027" s="22" t="s">
        <v>162</v>
      </c>
      <c r="E1027" s="22"/>
      <c r="F1027" s="22">
        <f>(0)</f>
      </c>
      <c r="G1027" s="22">
        <f>(C1027 * E1027 + C1027 * E1027 * F1027)</f>
      </c>
    </row>
    <row r="1028">
      <c r="A1028" s="4"/>
      <c r="B1028" s="12" t="s">
        <v>889</v>
      </c>
      <c r="C1028" s="21"/>
      <c r="D1028" s="21"/>
      <c r="E1028" s="21"/>
      <c r="F1028" s="21"/>
      <c r="G1028" s="21"/>
    </row>
    <row r="1029">
      <c r="A1029" s="5"/>
      <c r="B1029" s="13" t="s">
        <v>932</v>
      </c>
      <c r="C1029" s="22">
        <f>(2)*(1)*(1)*(1)*(1 + (0))</f>
      </c>
      <c r="D1029" s="22" t="s">
        <v>162</v>
      </c>
      <c r="E1029" s="22"/>
      <c r="F1029" s="22">
        <f>(0)</f>
      </c>
      <c r="G1029" s="22">
        <f>(C1029 * E1029 + C1029 * E1029 * F1029)</f>
      </c>
    </row>
    <row r="1030">
      <c r="A1030" s="5"/>
      <c r="B1030" s="13" t="s">
        <v>933</v>
      </c>
      <c r="C1030" s="22">
        <f>(5)*(1)*(1)*(1)*(1 + (0))</f>
      </c>
      <c r="D1030" s="22" t="s">
        <v>162</v>
      </c>
      <c r="E1030" s="22"/>
      <c r="F1030" s="22">
        <f>(0)</f>
      </c>
      <c r="G1030" s="22">
        <f>(C1030 * E1030 + C1030 * E1030 * F1030)</f>
      </c>
    </row>
    <row r="1031">
      <c r="A1031" s="3"/>
      <c r="B1031" s="11" t="s">
        <v>934</v>
      </c>
      <c r="C1031" s="20"/>
      <c r="D1031" s="20"/>
      <c r="E1031" s="20"/>
      <c r="F1031" s="20"/>
      <c r="G1031" s="20"/>
    </row>
    <row r="1032">
      <c r="A1032" s="4"/>
      <c r="B1032" s="12" t="s">
        <v>870</v>
      </c>
      <c r="C1032" s="21"/>
      <c r="D1032" s="21"/>
      <c r="E1032" s="21"/>
      <c r="F1032" s="21"/>
      <c r="G1032" s="21"/>
    </row>
    <row r="1033">
      <c r="A1033" s="5"/>
      <c r="B1033" s="13" t="s">
        <v>933</v>
      </c>
      <c r="C1033" s="22">
        <f>(31)*(1)*(1)*(1)*(1 + (0))</f>
      </c>
      <c r="D1033" s="22" t="s">
        <v>162</v>
      </c>
      <c r="E1033" s="22"/>
      <c r="F1033" s="22">
        <f>(0)</f>
      </c>
      <c r="G1033" s="22">
        <f>(C1033 * E1033 + C1033 * E1033 * F1033)</f>
      </c>
    </row>
    <row r="1034">
      <c r="A1034" s="4"/>
      <c r="B1034" s="12" t="s">
        <v>889</v>
      </c>
      <c r="C1034" s="21"/>
      <c r="D1034" s="21"/>
      <c r="E1034" s="21"/>
      <c r="F1034" s="21"/>
      <c r="G1034" s="21"/>
    </row>
    <row r="1035">
      <c r="A1035" s="5"/>
      <c r="B1035" s="13" t="s">
        <v>932</v>
      </c>
      <c r="C1035" s="22">
        <f>(2)*(1)*(1)*(1)*(1 + (0))</f>
      </c>
      <c r="D1035" s="22" t="s">
        <v>162</v>
      </c>
      <c r="E1035" s="22"/>
      <c r="F1035" s="22">
        <f>(0)</f>
      </c>
      <c r="G1035" s="22">
        <f>(C1035 * E1035 + C1035 * E1035 * F1035)</f>
      </c>
    </row>
    <row r="1036">
      <c r="A1036" s="5"/>
      <c r="B1036" s="13" t="s">
        <v>933</v>
      </c>
      <c r="C1036" s="22">
        <f>(3)*(1)*(1)*(1)*(1 + (0))</f>
      </c>
      <c r="D1036" s="22" t="s">
        <v>162</v>
      </c>
      <c r="E1036" s="22"/>
      <c r="F1036" s="22">
        <f>(0)</f>
      </c>
      <c r="G1036" s="22">
        <f>(C1036 * E1036 + C1036 * E1036 * F1036)</f>
      </c>
    </row>
    <row r="1037">
      <c r="A1037" s="2"/>
      <c r="B1037" s="10" t="s">
        <v>935</v>
      </c>
      <c r="C1037" s="19"/>
      <c r="D1037" s="19"/>
      <c r="E1037" s="19"/>
      <c r="F1037" s="19"/>
      <c r="G1037" s="19"/>
    </row>
    <row r="1038">
      <c r="A1038" s="3"/>
      <c r="B1038" s="11" t="s">
        <v>37</v>
      </c>
      <c r="C1038" s="20"/>
      <c r="D1038" s="20"/>
      <c r="E1038" s="20"/>
      <c r="F1038" s="20"/>
      <c r="G1038" s="20"/>
    </row>
    <row r="1039">
      <c r="A1039" s="5" t="s">
        <v>936</v>
      </c>
      <c r="B1039" s="14" t="s">
        <v>39</v>
      </c>
      <c r="C1039" s="22"/>
      <c r="D1039" s="22" t="s">
        <v>10</v>
      </c>
      <c r="E1039" s="22"/>
      <c r="F1039" s="22">
        <f>(0)</f>
      </c>
      <c r="G1039" s="22">
        <f>(C1039 * E1039 + C1039 * E1039 * F1039)</f>
      </c>
    </row>
    <row r="1040">
      <c r="A1040" s="5" t="s">
        <v>937</v>
      </c>
      <c r="B1040" s="14" t="s">
        <v>41</v>
      </c>
      <c r="C1040" s="22"/>
      <c r="D1040" s="22" t="s">
        <v>10</v>
      </c>
      <c r="E1040" s="22"/>
      <c r="F1040" s="22">
        <f>(0)</f>
      </c>
      <c r="G1040" s="22">
        <f>(C1040 * E1040 + C1040 * E1040 * F1040)</f>
      </c>
    </row>
    <row r="1041">
      <c r="A1041" s="3"/>
      <c r="B1041" s="11" t="s">
        <v>42</v>
      </c>
      <c r="C1041" s="20"/>
      <c r="D1041" s="20"/>
      <c r="E1041" s="20"/>
      <c r="F1041" s="20"/>
      <c r="G1041" s="20"/>
    </row>
    <row r="1042">
      <c r="A1042" s="5"/>
      <c r="B1042" s="14" t="s">
        <v>938</v>
      </c>
      <c r="C1042" s="22"/>
      <c r="D1042" s="22" t="s">
        <v>10</v>
      </c>
      <c r="E1042" s="22"/>
      <c r="F1042" s="22">
        <f>(0)</f>
      </c>
      <c r="G1042" s="22">
        <f>(C1042 * E1042 + C1042 * E1042 * F1042)</f>
      </c>
    </row>
    <row r="1043">
      <c r="A1043" s="5"/>
      <c r="B1043" s="14" t="s">
        <v>762</v>
      </c>
      <c r="C1043" s="22"/>
      <c r="D1043" s="22" t="s">
        <v>10</v>
      </c>
      <c r="E1043" s="22"/>
      <c r="F1043" s="22">
        <f>(0)</f>
      </c>
      <c r="G1043" s="22">
        <f>(C1043 * E1043 + C1043 * E1043 * F1043)</f>
      </c>
    </row>
    <row r="1044">
      <c r="A1044" s="5"/>
      <c r="B1044" s="14" t="s">
        <v>763</v>
      </c>
      <c r="C1044" s="22"/>
      <c r="D1044" s="22" t="s">
        <v>10</v>
      </c>
      <c r="E1044" s="22"/>
      <c r="F1044" s="22">
        <f>(0)</f>
      </c>
      <c r="G1044" s="22">
        <f>(C1044 * E1044 + C1044 * E1044 * F1044)</f>
      </c>
    </row>
    <row r="1045">
      <c r="A1045" s="5"/>
      <c r="B1045" s="14" t="s">
        <v>939</v>
      </c>
      <c r="C1045" s="22"/>
      <c r="D1045" s="22" t="s">
        <v>10</v>
      </c>
      <c r="E1045" s="22"/>
      <c r="F1045" s="22">
        <f>(0)</f>
      </c>
      <c r="G1045" s="22">
        <f>(C1045 * E1045 + C1045 * E1045 * F1045)</f>
      </c>
    </row>
    <row r="1046">
      <c r="A1046" s="3"/>
      <c r="B1046" s="11" t="s">
        <v>44</v>
      </c>
      <c r="C1046" s="20"/>
      <c r="D1046" s="20"/>
      <c r="E1046" s="20"/>
      <c r="F1046" s="20"/>
      <c r="G1046" s="20"/>
    </row>
    <row r="1047">
      <c r="A1047" s="4"/>
      <c r="B1047" s="12" t="s">
        <v>45</v>
      </c>
      <c r="C1047" s="21"/>
      <c r="D1047" s="21"/>
      <c r="E1047" s="21"/>
      <c r="F1047" s="21"/>
      <c r="G1047" s="21"/>
    </row>
    <row r="1048">
      <c r="A1048" s="5" t="s">
        <v>940</v>
      </c>
      <c r="B1048" s="13" t="s">
        <v>123</v>
      </c>
      <c r="C1048" s="22"/>
      <c r="D1048" s="22" t="s">
        <v>10</v>
      </c>
      <c r="E1048" s="22"/>
      <c r="F1048" s="22">
        <f>(0)</f>
      </c>
      <c r="G1048" s="22">
        <f>(C1048 * E1048 + C1048 * E1048 * F1048)</f>
      </c>
    </row>
    <row r="1049">
      <c r="A1049" s="6"/>
      <c r="B1049" s="15" t="s">
        <v>771</v>
      </c>
      <c r="C1049" s="23"/>
      <c r="D1049" s="23"/>
      <c r="E1049" s="23"/>
      <c r="F1049" s="23"/>
      <c r="G1049" s="23"/>
    </row>
    <row r="1050">
      <c r="A1050" s="5" t="s">
        <v>772</v>
      </c>
      <c r="B1050" s="16" t="s">
        <v>528</v>
      </c>
      <c r="C1050" s="22"/>
      <c r="D1050" s="22" t="s">
        <v>10</v>
      </c>
      <c r="E1050" s="22"/>
      <c r="F1050" s="22">
        <f>(0)</f>
      </c>
      <c r="G1050" s="22">
        <f>(C1050 * E1050 + C1050 * E1050 * F1050)</f>
      </c>
    </row>
    <row r="1051">
      <c r="A1051" s="5" t="s">
        <v>773</v>
      </c>
      <c r="B1051" s="16" t="s">
        <v>530</v>
      </c>
      <c r="C1051" s="22"/>
      <c r="D1051" s="22" t="s">
        <v>10</v>
      </c>
      <c r="E1051" s="22"/>
      <c r="F1051" s="22">
        <f>(0)</f>
      </c>
      <c r="G1051" s="22">
        <f>(C1051 * E1051 + C1051 * E1051 * F1051)</f>
      </c>
    </row>
    <row r="1052">
      <c r="A1052" s="5" t="s">
        <v>774</v>
      </c>
      <c r="B1052" s="16" t="s">
        <v>532</v>
      </c>
      <c r="C1052" s="22"/>
      <c r="D1052" s="22" t="s">
        <v>10</v>
      </c>
      <c r="E1052" s="22"/>
      <c r="F1052" s="22">
        <f>(0)</f>
      </c>
      <c r="G1052" s="22">
        <f>(C1052 * E1052 + C1052 * E1052 * F1052)</f>
      </c>
    </row>
    <row r="1053">
      <c r="A1053" s="5" t="s">
        <v>775</v>
      </c>
      <c r="B1053" s="16" t="s">
        <v>536</v>
      </c>
      <c r="C1053" s="22"/>
      <c r="D1053" s="22" t="s">
        <v>10</v>
      </c>
      <c r="E1053" s="22"/>
      <c r="F1053" s="22">
        <f>(0)</f>
      </c>
      <c r="G1053" s="22">
        <f>(C1053 * E1053 + C1053 * E1053 * F1053)</f>
      </c>
    </row>
    <row r="1054">
      <c r="A1054" s="5" t="s">
        <v>776</v>
      </c>
      <c r="B1054" s="16" t="s">
        <v>777</v>
      </c>
      <c r="C1054" s="22"/>
      <c r="D1054" s="22" t="s">
        <v>10</v>
      </c>
      <c r="E1054" s="22"/>
      <c r="F1054" s="22">
        <f>(0)</f>
      </c>
      <c r="G1054" s="22">
        <f>(C1054 * E1054 + C1054 * E1054 * F1054)</f>
      </c>
    </row>
    <row r="1055">
      <c r="A1055" s="6"/>
      <c r="B1055" s="15" t="s">
        <v>778</v>
      </c>
      <c r="C1055" s="23"/>
      <c r="D1055" s="23"/>
      <c r="E1055" s="23"/>
      <c r="F1055" s="23"/>
      <c r="G1055" s="23"/>
    </row>
    <row r="1056">
      <c r="A1056" s="5" t="s">
        <v>779</v>
      </c>
      <c r="B1056" s="16" t="s">
        <v>780</v>
      </c>
      <c r="C1056" s="22"/>
      <c r="D1056" s="22" t="s">
        <v>10</v>
      </c>
      <c r="E1056" s="22"/>
      <c r="F1056" s="22">
        <f>(0)</f>
      </c>
      <c r="G1056" s="22">
        <f>(C1056 * E1056 + C1056 * E1056 * F1056)</f>
      </c>
    </row>
    <row r="1057">
      <c r="A1057" s="5" t="s">
        <v>781</v>
      </c>
      <c r="B1057" s="16" t="s">
        <v>782</v>
      </c>
      <c r="C1057" s="22"/>
      <c r="D1057" s="22" t="s">
        <v>10</v>
      </c>
      <c r="E1057" s="22"/>
      <c r="F1057" s="22">
        <f>(0)</f>
      </c>
      <c r="G1057" s="22">
        <f>(C1057 * E1057 + C1057 * E1057 * F1057)</f>
      </c>
    </row>
    <row r="1058">
      <c r="A1058" s="5" t="s">
        <v>783</v>
      </c>
      <c r="B1058" s="16" t="s">
        <v>784</v>
      </c>
      <c r="C1058" s="22"/>
      <c r="D1058" s="22" t="s">
        <v>10</v>
      </c>
      <c r="E1058" s="22"/>
      <c r="F1058" s="22">
        <f>(0)</f>
      </c>
      <c r="G1058" s="22">
        <f>(C1058 * E1058 + C1058 * E1058 * F1058)</f>
      </c>
    </row>
    <row r="1059">
      <c r="A1059" s="5" t="s">
        <v>785</v>
      </c>
      <c r="B1059" s="16" t="s">
        <v>786</v>
      </c>
      <c r="C1059" s="22"/>
      <c r="D1059" s="22" t="s">
        <v>10</v>
      </c>
      <c r="E1059" s="22"/>
      <c r="F1059" s="22">
        <f>(0)</f>
      </c>
      <c r="G1059" s="22">
        <f>(C1059 * E1059 + C1059 * E1059 * F1059)</f>
      </c>
    </row>
    <row r="1060">
      <c r="A1060" s="5" t="s">
        <v>787</v>
      </c>
      <c r="B1060" s="16" t="s">
        <v>788</v>
      </c>
      <c r="C1060" s="22"/>
      <c r="D1060" s="22" t="s">
        <v>10</v>
      </c>
      <c r="E1060" s="22"/>
      <c r="F1060" s="22">
        <f>(0)</f>
      </c>
      <c r="G1060" s="22">
        <f>(C1060 * E1060 + C1060 * E1060 * F1060)</f>
      </c>
    </row>
    <row r="1061">
      <c r="A1061" s="5" t="s">
        <v>789</v>
      </c>
      <c r="B1061" s="16" t="s">
        <v>769</v>
      </c>
      <c r="C1061" s="22"/>
      <c r="D1061" s="22" t="s">
        <v>10</v>
      </c>
      <c r="E1061" s="22"/>
      <c r="F1061" s="22">
        <f>(0)</f>
      </c>
      <c r="G1061" s="22">
        <f>(C1061 * E1061 + C1061 * E1061 * F1061)</f>
      </c>
    </row>
    <row r="1062">
      <c r="A1062" s="6"/>
      <c r="B1062" s="15" t="s">
        <v>790</v>
      </c>
      <c r="C1062" s="23"/>
      <c r="D1062" s="23"/>
      <c r="E1062" s="23"/>
      <c r="F1062" s="23"/>
      <c r="G1062" s="23"/>
    </row>
    <row r="1063">
      <c r="A1063" s="5" t="s">
        <v>791</v>
      </c>
      <c r="B1063" s="16" t="s">
        <v>652</v>
      </c>
      <c r="C1063" s="22"/>
      <c r="D1063" s="22" t="s">
        <v>10</v>
      </c>
      <c r="E1063" s="22"/>
      <c r="F1063" s="22">
        <f>(0)</f>
      </c>
      <c r="G1063" s="22">
        <f>(C1063 * E1063 + C1063 * E1063 * F1063)</f>
      </c>
    </row>
    <row r="1064">
      <c r="A1064" s="5" t="s">
        <v>792</v>
      </c>
      <c r="B1064" s="16" t="s">
        <v>700</v>
      </c>
      <c r="C1064" s="22"/>
      <c r="D1064" s="22" t="s">
        <v>10</v>
      </c>
      <c r="E1064" s="22"/>
      <c r="F1064" s="22">
        <f>(0)</f>
      </c>
      <c r="G1064" s="22">
        <f>(C1064 * E1064 + C1064 * E1064 * F1064)</f>
      </c>
    </row>
    <row r="1065">
      <c r="A1065" s="5" t="s">
        <v>793</v>
      </c>
      <c r="B1065" s="16" t="s">
        <v>650</v>
      </c>
      <c r="C1065" s="22"/>
      <c r="D1065" s="22" t="s">
        <v>10</v>
      </c>
      <c r="E1065" s="22"/>
      <c r="F1065" s="22">
        <f>(0)</f>
      </c>
      <c r="G1065" s="22">
        <f>(C1065 * E1065 + C1065 * E1065 * F1065)</f>
      </c>
    </row>
    <row r="1066">
      <c r="A1066" s="3"/>
      <c r="B1066" s="11" t="s">
        <v>68</v>
      </c>
      <c r="C1066" s="20"/>
      <c r="D1066" s="20"/>
      <c r="E1066" s="20"/>
      <c r="F1066" s="20"/>
      <c r="G1066" s="20"/>
    </row>
    <row r="1067">
      <c r="A1067" s="5" t="s">
        <v>807</v>
      </c>
      <c r="B1067" s="14" t="s">
        <v>808</v>
      </c>
      <c r="C1067" s="22">
        <f>(1)*(1)*(1)*(1)*(1 + (0))</f>
      </c>
      <c r="D1067" s="22" t="s">
        <v>71</v>
      </c>
      <c r="E1067" s="22"/>
      <c r="F1067" s="22">
        <f>(0)</f>
      </c>
      <c r="G1067" s="22">
        <f>(C1067 * E1067 + C1067 * E1067 * F1067)</f>
      </c>
    </row>
    <row r="1068">
      <c r="A1068" s="5" t="s">
        <v>809</v>
      </c>
      <c r="B1068" s="14" t="s">
        <v>810</v>
      </c>
      <c r="C1068" s="22">
        <f>(1)*(1)*(1)*(1)*(1 + (0))</f>
      </c>
      <c r="D1068" s="22" t="s">
        <v>71</v>
      </c>
      <c r="E1068" s="22"/>
      <c r="F1068" s="22">
        <f>(0)</f>
      </c>
      <c r="G1068" s="22">
        <f>(C1068 * E1068 + C1068 * E1068 * F1068)</f>
      </c>
    </row>
    <row r="1069">
      <c r="A1069" s="5" t="s">
        <v>811</v>
      </c>
      <c r="B1069" s="14" t="s">
        <v>812</v>
      </c>
      <c r="C1069" s="22">
        <f>(1)*(1)*(1)*(1)*(1 + (0))</f>
      </c>
      <c r="D1069" s="22" t="s">
        <v>71</v>
      </c>
      <c r="E1069" s="22"/>
      <c r="F1069" s="22">
        <f>(0)</f>
      </c>
      <c r="G1069" s="22">
        <f>(C1069 * E1069 + C1069 * E1069 * F1069)</f>
      </c>
    </row>
    <row r="1070">
      <c r="A1070" s="5" t="s">
        <v>941</v>
      </c>
      <c r="B1070" s="14" t="s">
        <v>447</v>
      </c>
      <c r="C1070" s="22">
        <f>(1)*(1)*(1)*(1)*(1 + (0))</f>
      </c>
      <c r="D1070" s="22" t="s">
        <v>71</v>
      </c>
      <c r="E1070" s="22"/>
      <c r="F1070" s="22">
        <f>(0)</f>
      </c>
      <c r="G1070" s="22">
        <f>(C1070 * E1070 + C1070 * E1070 * F1070)</f>
      </c>
    </row>
    <row r="1071">
      <c r="A1071" s="5" t="s">
        <v>942</v>
      </c>
      <c r="B1071" s="14" t="s">
        <v>70</v>
      </c>
      <c r="C1071" s="22">
        <f>(1)*(1)*(1)*(1)*(1 + (0))</f>
      </c>
      <c r="D1071" s="22" t="s">
        <v>71</v>
      </c>
      <c r="E1071" s="22"/>
      <c r="F1071" s="22">
        <f>(0)</f>
      </c>
      <c r="G1071" s="22">
        <f>(C1071 * E1071 + C1071 * E1071 * F1071)</f>
      </c>
    </row>
    <row r="1072">
      <c r="A1072" s="5" t="s">
        <v>813</v>
      </c>
      <c r="B1072" s="14" t="s">
        <v>814</v>
      </c>
      <c r="C1072" s="22">
        <f>(1)*(1)*(1)*(1)*(1 + (0))</f>
      </c>
      <c r="D1072" s="22" t="s">
        <v>71</v>
      </c>
      <c r="E1072" s="22"/>
      <c r="F1072" s="22">
        <f>(0)</f>
      </c>
      <c r="G1072" s="22">
        <f>(C1072 * E1072 + C1072 * E1072 * F1072)</f>
      </c>
    </row>
    <row r="1073">
      <c r="A1073" s="5" t="s">
        <v>815</v>
      </c>
      <c r="B1073" s="14" t="s">
        <v>816</v>
      </c>
      <c r="C1073" s="22">
        <f>(1)*(1)*(1)*(1)*(1 + (0))</f>
      </c>
      <c r="D1073" s="22" t="s">
        <v>71</v>
      </c>
      <c r="E1073" s="22"/>
      <c r="F1073" s="22">
        <f>(0)</f>
      </c>
      <c r="G1073" s="22">
        <f>(C1073 * E1073 + C1073 * E1073 * F1073)</f>
      </c>
    </row>
    <row r="1074">
      <c r="A1074" s="5" t="s">
        <v>943</v>
      </c>
      <c r="B1074" s="14" t="s">
        <v>798</v>
      </c>
      <c r="C1074" s="22">
        <f>(1)*(1)*(1)*(1)*(1 + (0))</f>
      </c>
      <c r="D1074" s="22" t="s">
        <v>71</v>
      </c>
      <c r="E1074" s="22"/>
      <c r="F1074" s="22">
        <f>(0)</f>
      </c>
      <c r="G1074" s="22">
        <f>(C1074 * E1074 + C1074 * E1074 * F1074)</f>
      </c>
    </row>
    <row r="1075">
      <c r="A1075" s="5" t="s">
        <v>944</v>
      </c>
      <c r="B1075" s="14" t="s">
        <v>800</v>
      </c>
      <c r="C1075" s="22">
        <f>(1)*(1)*(1)*(1)*(1 + (0))</f>
      </c>
      <c r="D1075" s="22" t="s">
        <v>71</v>
      </c>
      <c r="E1075" s="22"/>
      <c r="F1075" s="22">
        <f>(0)</f>
      </c>
      <c r="G1075" s="22">
        <f>(C1075 * E1075 + C1075 * E1075 * F1075)</f>
      </c>
    </row>
    <row r="1076">
      <c r="A1076" s="5" t="s">
        <v>817</v>
      </c>
      <c r="B1076" s="14" t="s">
        <v>667</v>
      </c>
      <c r="C1076" s="22">
        <f>(1)*(1)*(1)*(1)*(1 + (0))</f>
      </c>
      <c r="D1076" s="22" t="s">
        <v>71</v>
      </c>
      <c r="E1076" s="22"/>
      <c r="F1076" s="22">
        <f>(0)</f>
      </c>
      <c r="G1076" s="22">
        <f>(C1076 * E1076 + C1076 * E1076 * F1076)</f>
      </c>
    </row>
    <row r="1077">
      <c r="A1077" s="5" t="s">
        <v>945</v>
      </c>
      <c r="B1077" s="14" t="s">
        <v>665</v>
      </c>
      <c r="C1077" s="22">
        <f>(1)*(1)*(1)*(1)*(1 + (0))</f>
      </c>
      <c r="D1077" s="22" t="s">
        <v>71</v>
      </c>
      <c r="E1077" s="22"/>
      <c r="F1077" s="22">
        <f>(0)</f>
      </c>
      <c r="G1077" s="22">
        <f>(C1077 * E1077 + C1077 * E1077 * F1077)</f>
      </c>
    </row>
    <row r="1078">
      <c r="A1078" s="3"/>
      <c r="B1078" s="11" t="s">
        <v>106</v>
      </c>
      <c r="C1078" s="20"/>
      <c r="D1078" s="20"/>
      <c r="E1078" s="20"/>
      <c r="F1078" s="20"/>
      <c r="G1078" s="20"/>
    </row>
    <row r="1079">
      <c r="A1079" s="5"/>
      <c r="B1079" s="14" t="s">
        <v>946</v>
      </c>
      <c r="C1079" s="22"/>
      <c r="D1079" s="22" t="s">
        <v>10</v>
      </c>
      <c r="E1079" s="22"/>
      <c r="F1079" s="22">
        <f>(0)</f>
      </c>
      <c r="G1079" s="22">
        <f>(C1079 * E1079 + C1079 * E1079 * F1079)</f>
      </c>
    </row>
    <row r="1080">
      <c r="A1080" s="3"/>
      <c r="B1080" s="11" t="s">
        <v>947</v>
      </c>
      <c r="C1080" s="20"/>
      <c r="D1080" s="20"/>
      <c r="E1080" s="20"/>
      <c r="F1080" s="20"/>
      <c r="G1080" s="20"/>
    </row>
    <row r="1081">
      <c r="A1081" s="4"/>
      <c r="B1081" s="12" t="s">
        <v>948</v>
      </c>
      <c r="C1081" s="21"/>
      <c r="D1081" s="21"/>
      <c r="E1081" s="21"/>
      <c r="F1081" s="21"/>
      <c r="G1081" s="21"/>
    </row>
    <row r="1082">
      <c r="A1082" s="6"/>
      <c r="B1082" s="15" t="s">
        <v>949</v>
      </c>
      <c r="C1082" s="23"/>
      <c r="D1082" s="23"/>
      <c r="E1082" s="23"/>
      <c r="F1082" s="23"/>
      <c r="G1082" s="23"/>
    </row>
    <row r="1083">
      <c r="A1083" s="5"/>
      <c r="B1083" s="16" t="s">
        <v>950</v>
      </c>
      <c r="C1083" s="22">
        <f>(18)*(1)*(1)*(1)*(1 + (0))</f>
      </c>
      <c r="D1083" s="22" t="s">
        <v>24</v>
      </c>
      <c r="E1083" s="22"/>
      <c r="F1083" s="22">
        <f>(0)</f>
      </c>
      <c r="G1083" s="22">
        <f>(C1083 * E1083 + C1083 * E1083 * F1083)</f>
      </c>
    </row>
    <row r="1084">
      <c r="A1084" s="6"/>
      <c r="B1084" s="15" t="s">
        <v>951</v>
      </c>
      <c r="C1084" s="23"/>
      <c r="D1084" s="23"/>
      <c r="E1084" s="23"/>
      <c r="F1084" s="23"/>
      <c r="G1084" s="23"/>
    </row>
    <row r="1085">
      <c r="A1085" s="5"/>
      <c r="B1085" s="16" t="s">
        <v>950</v>
      </c>
      <c r="C1085" s="22">
        <f>(30)*(1)*(1)*(1)*(1 + (0))</f>
      </c>
      <c r="D1085" s="22" t="s">
        <v>24</v>
      </c>
      <c r="E1085" s="22"/>
      <c r="F1085" s="22">
        <f>(0)</f>
      </c>
      <c r="G1085" s="22">
        <f>(C1085 * E1085 + C1085 * E1085 * F1085)</f>
      </c>
    </row>
    <row r="1086">
      <c r="A1086" s="6"/>
      <c r="B1086" s="15" t="s">
        <v>952</v>
      </c>
      <c r="C1086" s="23"/>
      <c r="D1086" s="23"/>
      <c r="E1086" s="23"/>
      <c r="F1086" s="23"/>
      <c r="G1086" s="23"/>
    </row>
    <row r="1087">
      <c r="A1087" s="5"/>
      <c r="B1087" s="16" t="s">
        <v>950</v>
      </c>
      <c r="C1087" s="22">
        <f>(21)*(1)*(1)*(1)*(1 + (0))</f>
      </c>
      <c r="D1087" s="22" t="s">
        <v>24</v>
      </c>
      <c r="E1087" s="22"/>
      <c r="F1087" s="22">
        <f>(0)</f>
      </c>
      <c r="G1087" s="22">
        <f>(C1087 * E1087 + C1087 * E1087 * F1087)</f>
      </c>
    </row>
    <row r="1088">
      <c r="A1088" s="4"/>
      <c r="B1088" s="12" t="s">
        <v>953</v>
      </c>
      <c r="C1088" s="21"/>
      <c r="D1088" s="21"/>
      <c r="E1088" s="21"/>
      <c r="F1088" s="21"/>
      <c r="G1088" s="21"/>
    </row>
    <row r="1089">
      <c r="A1089" s="6"/>
      <c r="B1089" s="15" t="s">
        <v>954</v>
      </c>
      <c r="C1089" s="23"/>
      <c r="D1089" s="23"/>
      <c r="E1089" s="23"/>
      <c r="F1089" s="23"/>
      <c r="G1089" s="23"/>
    </row>
    <row r="1090">
      <c r="A1090" s="5"/>
      <c r="B1090" s="16" t="s">
        <v>822</v>
      </c>
      <c r="C1090" s="22">
        <f>(67)*(1)*(1)*(1)*(1 + (0))</f>
      </c>
      <c r="D1090" s="22" t="s">
        <v>24</v>
      </c>
      <c r="E1090" s="22"/>
      <c r="F1090" s="22">
        <f>(0)</f>
      </c>
      <c r="G1090" s="22">
        <f>(C1090 * E1090 + C1090 * E1090 * F1090)</f>
      </c>
    </row>
    <row r="1091">
      <c r="A1091" s="4"/>
      <c r="B1091" s="12" t="s">
        <v>955</v>
      </c>
      <c r="C1091" s="21"/>
      <c r="D1091" s="21"/>
      <c r="E1091" s="21"/>
      <c r="F1091" s="21"/>
      <c r="G1091" s="21"/>
    </row>
    <row r="1092">
      <c r="A1092" s="6"/>
      <c r="B1092" s="15" t="s">
        <v>956</v>
      </c>
      <c r="C1092" s="23"/>
      <c r="D1092" s="23"/>
      <c r="E1092" s="23"/>
      <c r="F1092" s="23"/>
      <c r="G1092" s="23"/>
    </row>
    <row r="1093">
      <c r="A1093" s="5"/>
      <c r="B1093" s="16" t="s">
        <v>957</v>
      </c>
      <c r="C1093" s="22">
        <f>(419)*(1)*(1)*(1)*(1 + (0))</f>
      </c>
      <c r="D1093" s="22" t="s">
        <v>24</v>
      </c>
      <c r="E1093" s="22"/>
      <c r="F1093" s="22">
        <f>(0)</f>
      </c>
      <c r="G1093" s="22">
        <f>(C1093 * E1093 + C1093 * E1093 * F1093)</f>
      </c>
    </row>
    <row r="1094">
      <c r="A1094" s="5"/>
      <c r="B1094" s="16" t="s">
        <v>822</v>
      </c>
      <c r="C1094" s="22">
        <f>(527)*(1)*(1)*(1)*(1 + (0))</f>
      </c>
      <c r="D1094" s="22" t="s">
        <v>24</v>
      </c>
      <c r="E1094" s="22"/>
      <c r="F1094" s="22">
        <f>(0)</f>
      </c>
      <c r="G1094" s="22">
        <f>(C1094 * E1094 + C1094 * E1094 * F1094)</f>
      </c>
    </row>
    <row r="1095">
      <c r="A1095" s="6"/>
      <c r="B1095" s="15" t="s">
        <v>958</v>
      </c>
      <c r="C1095" s="23"/>
      <c r="D1095" s="23"/>
      <c r="E1095" s="23"/>
      <c r="F1095" s="23"/>
      <c r="G1095" s="23"/>
    </row>
    <row r="1096">
      <c r="A1096" s="5"/>
      <c r="B1096" s="16" t="s">
        <v>950</v>
      </c>
      <c r="C1096" s="22">
        <f>(53)*(1)*(1)*(1)*(1 + (0))</f>
      </c>
      <c r="D1096" s="22" t="s">
        <v>24</v>
      </c>
      <c r="E1096" s="22"/>
      <c r="F1096" s="22">
        <f>(0)</f>
      </c>
      <c r="G1096" s="22">
        <f>(C1096 * E1096 + C1096 * E1096 * F1096)</f>
      </c>
    </row>
    <row r="1097">
      <c r="A1097" s="5"/>
      <c r="B1097" s="16" t="s">
        <v>822</v>
      </c>
      <c r="C1097" s="22">
        <f>(37)*(1)*(1)*(1)*(1 + (0))</f>
      </c>
      <c r="D1097" s="22" t="s">
        <v>24</v>
      </c>
      <c r="E1097" s="22"/>
      <c r="F1097" s="22">
        <f>(0)</f>
      </c>
      <c r="G1097" s="22">
        <f>(C1097 * E1097 + C1097 * E1097 * F1097)</f>
      </c>
    </row>
    <row r="1098">
      <c r="A1098" s="5"/>
      <c r="B1098" s="16" t="s">
        <v>959</v>
      </c>
      <c r="C1098" s="22">
        <f>(8)*(1)*(1)*(1)*(1 + (0))</f>
      </c>
      <c r="D1098" s="22" t="s">
        <v>24</v>
      </c>
      <c r="E1098" s="22"/>
      <c r="F1098" s="22">
        <f>(0)</f>
      </c>
      <c r="G1098" s="22">
        <f>(C1098 * E1098 + C1098 * E1098 * F1098)</f>
      </c>
    </row>
    <row r="1099">
      <c r="A1099" s="3"/>
      <c r="B1099" s="11" t="s">
        <v>960</v>
      </c>
      <c r="C1099" s="20"/>
      <c r="D1099" s="20"/>
      <c r="E1099" s="20"/>
      <c r="F1099" s="20"/>
      <c r="G1099" s="20"/>
    </row>
    <row r="1100">
      <c r="A1100" s="4"/>
      <c r="B1100" s="12" t="s">
        <v>948</v>
      </c>
      <c r="C1100" s="21"/>
      <c r="D1100" s="21"/>
      <c r="E1100" s="21"/>
      <c r="F1100" s="21"/>
      <c r="G1100" s="21"/>
    </row>
    <row r="1101">
      <c r="A1101" s="6"/>
      <c r="B1101" s="15" t="s">
        <v>961</v>
      </c>
      <c r="C1101" s="23"/>
      <c r="D1101" s="23"/>
      <c r="E1101" s="23"/>
      <c r="F1101" s="23"/>
      <c r="G1101" s="23"/>
    </row>
    <row r="1102">
      <c r="A1102" s="5"/>
      <c r="B1102" s="16" t="s">
        <v>950</v>
      </c>
      <c r="C1102" s="22">
        <f>(3)*(1)*(1)*(1)*(1 + (0))</f>
      </c>
      <c r="D1102" s="22" t="s">
        <v>24</v>
      </c>
      <c r="E1102" s="22"/>
      <c r="F1102" s="22">
        <f>(0)</f>
      </c>
      <c r="G1102" s="22">
        <f>(C1102 * E1102 + C1102 * E1102 * F1102)</f>
      </c>
    </row>
    <row r="1103">
      <c r="A1103" s="6"/>
      <c r="B1103" s="15" t="s">
        <v>962</v>
      </c>
      <c r="C1103" s="23"/>
      <c r="D1103" s="23"/>
      <c r="E1103" s="23"/>
      <c r="F1103" s="23"/>
      <c r="G1103" s="23"/>
    </row>
    <row r="1104">
      <c r="A1104" s="5"/>
      <c r="B1104" s="16" t="s">
        <v>950</v>
      </c>
      <c r="C1104" s="22">
        <f>(12)*(1)*(1)*(1)*(1 + (0))</f>
      </c>
      <c r="D1104" s="22" t="s">
        <v>24</v>
      </c>
      <c r="E1104" s="22"/>
      <c r="F1104" s="22">
        <f>(0)</f>
      </c>
      <c r="G1104" s="22">
        <f>(C1104 * E1104 + C1104 * E1104 * F1104)</f>
      </c>
    </row>
    <row r="1105">
      <c r="A1105" s="6"/>
      <c r="B1105" s="15" t="s">
        <v>963</v>
      </c>
      <c r="C1105" s="23"/>
      <c r="D1105" s="23"/>
      <c r="E1105" s="23"/>
      <c r="F1105" s="23"/>
      <c r="G1105" s="23"/>
    </row>
    <row r="1106">
      <c r="A1106" s="5"/>
      <c r="B1106" s="16" t="s">
        <v>950</v>
      </c>
      <c r="C1106" s="22">
        <f>(32)*(1)*(1)*(1)*(1 + (0))</f>
      </c>
      <c r="D1106" s="22" t="s">
        <v>24</v>
      </c>
      <c r="E1106" s="22"/>
      <c r="F1106" s="22">
        <f>(0)</f>
      </c>
      <c r="G1106" s="22">
        <f>(C1106 * E1106 + C1106 * E1106 * F1106)</f>
      </c>
    </row>
    <row r="1107">
      <c r="A1107" s="6"/>
      <c r="B1107" s="15" t="s">
        <v>964</v>
      </c>
      <c r="C1107" s="23"/>
      <c r="D1107" s="23"/>
      <c r="E1107" s="23"/>
      <c r="F1107" s="23"/>
      <c r="G1107" s="23"/>
    </row>
    <row r="1108">
      <c r="A1108" s="5"/>
      <c r="B1108" s="16" t="s">
        <v>950</v>
      </c>
      <c r="C1108" s="22">
        <f>(30)*(1)*(1)*(1)*(1 + (0))</f>
      </c>
      <c r="D1108" s="22" t="s">
        <v>24</v>
      </c>
      <c r="E1108" s="22"/>
      <c r="F1108" s="22">
        <f>(0)</f>
      </c>
      <c r="G1108" s="22">
        <f>(C1108 * E1108 + C1108 * E1108 * F1108)</f>
      </c>
    </row>
    <row r="1109">
      <c r="A1109" s="5"/>
      <c r="B1109" s="16" t="s">
        <v>822</v>
      </c>
      <c r="C1109" s="22">
        <f>(14)*(1)*(1)*(1)*(1 + (0))</f>
      </c>
      <c r="D1109" s="22" t="s">
        <v>24</v>
      </c>
      <c r="E1109" s="22"/>
      <c r="F1109" s="22">
        <f>(0)</f>
      </c>
      <c r="G1109" s="22">
        <f>(C1109 * E1109 + C1109 * E1109 * F1109)</f>
      </c>
    </row>
    <row r="1110">
      <c r="A1110" s="6"/>
      <c r="B1110" s="15" t="s">
        <v>965</v>
      </c>
      <c r="C1110" s="23"/>
      <c r="D1110" s="23"/>
      <c r="E1110" s="23"/>
      <c r="F1110" s="23"/>
      <c r="G1110" s="23"/>
    </row>
    <row r="1111">
      <c r="A1111" s="5"/>
      <c r="B1111" s="16" t="s">
        <v>950</v>
      </c>
      <c r="C1111" s="22">
        <f>(52)*(1)*(1)*(1)*(1 + (0))</f>
      </c>
      <c r="D1111" s="22" t="s">
        <v>24</v>
      </c>
      <c r="E1111" s="22"/>
      <c r="F1111" s="22">
        <f>(0)</f>
      </c>
      <c r="G1111" s="22">
        <f>(C1111 * E1111 + C1111 * E1111 * F1111)</f>
      </c>
    </row>
    <row r="1112">
      <c r="A1112" s="6"/>
      <c r="B1112" s="15" t="s">
        <v>966</v>
      </c>
      <c r="C1112" s="23"/>
      <c r="D1112" s="23"/>
      <c r="E1112" s="23"/>
      <c r="F1112" s="23"/>
      <c r="G1112" s="23"/>
    </row>
    <row r="1113">
      <c r="A1113" s="5"/>
      <c r="B1113" s="16" t="s">
        <v>950</v>
      </c>
      <c r="C1113" s="22">
        <f>(25)*(1)*(1)*(1)*(1 + (0))</f>
      </c>
      <c r="D1113" s="22" t="s">
        <v>24</v>
      </c>
      <c r="E1113" s="22"/>
      <c r="F1113" s="22">
        <f>(0)</f>
      </c>
      <c r="G1113" s="22">
        <f>(C1113 * E1113 + C1113 * E1113 * F1113)</f>
      </c>
    </row>
    <row r="1114">
      <c r="A1114" s="6"/>
      <c r="B1114" s="15" t="s">
        <v>967</v>
      </c>
      <c r="C1114" s="23"/>
      <c r="D1114" s="23"/>
      <c r="E1114" s="23"/>
      <c r="F1114" s="23"/>
      <c r="G1114" s="23"/>
    </row>
    <row r="1115">
      <c r="A1115" s="5"/>
      <c r="B1115" s="16" t="s">
        <v>950</v>
      </c>
      <c r="C1115" s="22">
        <f>(11)*(1)*(1)*(1)*(1 + (0))</f>
      </c>
      <c r="D1115" s="22" t="s">
        <v>24</v>
      </c>
      <c r="E1115" s="22"/>
      <c r="F1115" s="22">
        <f>(0)</f>
      </c>
      <c r="G1115" s="22">
        <f>(C1115 * E1115 + C1115 * E1115 * F1115)</f>
      </c>
    </row>
    <row r="1116">
      <c r="A1116" s="6"/>
      <c r="B1116" s="15" t="s">
        <v>968</v>
      </c>
      <c r="C1116" s="23"/>
      <c r="D1116" s="23"/>
      <c r="E1116" s="23"/>
      <c r="F1116" s="23"/>
      <c r="G1116" s="23"/>
    </row>
    <row r="1117">
      <c r="A1117" s="5"/>
      <c r="B1117" s="16" t="s">
        <v>822</v>
      </c>
      <c r="C1117" s="22">
        <f>(7)*(1)*(1)*(1)*(1 + (0))</f>
      </c>
      <c r="D1117" s="22" t="s">
        <v>24</v>
      </c>
      <c r="E1117" s="22"/>
      <c r="F1117" s="22">
        <f>(0)</f>
      </c>
      <c r="G1117" s="22">
        <f>(C1117 * E1117 + C1117 * E1117 * F1117)</f>
      </c>
    </row>
    <row r="1118">
      <c r="A1118" s="6"/>
      <c r="B1118" s="15" t="s">
        <v>969</v>
      </c>
      <c r="C1118" s="23"/>
      <c r="D1118" s="23"/>
      <c r="E1118" s="23"/>
      <c r="F1118" s="23"/>
      <c r="G1118" s="23"/>
    </row>
    <row r="1119">
      <c r="A1119" s="5"/>
      <c r="B1119" s="16" t="s">
        <v>822</v>
      </c>
      <c r="C1119" s="22">
        <f>(14)*(1)*(1)*(1)*(1 + (0))</f>
      </c>
      <c r="D1119" s="22" t="s">
        <v>24</v>
      </c>
      <c r="E1119" s="22"/>
      <c r="F1119" s="22">
        <f>(0)</f>
      </c>
      <c r="G1119" s="22">
        <f>(C1119 * E1119 + C1119 * E1119 * F1119)</f>
      </c>
    </row>
    <row r="1120">
      <c r="A1120" s="6"/>
      <c r="B1120" s="15" t="s">
        <v>970</v>
      </c>
      <c r="C1120" s="23"/>
      <c r="D1120" s="23"/>
      <c r="E1120" s="23"/>
      <c r="F1120" s="23"/>
      <c r="G1120" s="23"/>
    </row>
    <row r="1121">
      <c r="A1121" s="5"/>
      <c r="B1121" s="16" t="s">
        <v>950</v>
      </c>
      <c r="C1121" s="22">
        <f>(13)*(1)*(1)*(1)*(1 + (0))</f>
      </c>
      <c r="D1121" s="22" t="s">
        <v>24</v>
      </c>
      <c r="E1121" s="22"/>
      <c r="F1121" s="22">
        <f>(0)</f>
      </c>
      <c r="G1121" s="22">
        <f>(C1121 * E1121 + C1121 * E1121 * F1121)</f>
      </c>
    </row>
    <row r="1122">
      <c r="A1122" s="6"/>
      <c r="B1122" s="15" t="s">
        <v>971</v>
      </c>
      <c r="C1122" s="23"/>
      <c r="D1122" s="23"/>
      <c r="E1122" s="23"/>
      <c r="F1122" s="23"/>
      <c r="G1122" s="23"/>
    </row>
    <row r="1123">
      <c r="A1123" s="5"/>
      <c r="B1123" s="16" t="s">
        <v>822</v>
      </c>
      <c r="C1123" s="22">
        <f>(12)*(1)*(1)*(1)*(1 + (0))</f>
      </c>
      <c r="D1123" s="22" t="s">
        <v>24</v>
      </c>
      <c r="E1123" s="22"/>
      <c r="F1123" s="22">
        <f>(0)</f>
      </c>
      <c r="G1123" s="22">
        <f>(C1123 * E1123 + C1123 * E1123 * F1123)</f>
      </c>
    </row>
    <row r="1124">
      <c r="A1124" s="6"/>
      <c r="B1124" s="15" t="s">
        <v>972</v>
      </c>
      <c r="C1124" s="23"/>
      <c r="D1124" s="23"/>
      <c r="E1124" s="23"/>
      <c r="F1124" s="23"/>
      <c r="G1124" s="23"/>
    </row>
    <row r="1125">
      <c r="A1125" s="5"/>
      <c r="B1125" s="16" t="s">
        <v>950</v>
      </c>
      <c r="C1125" s="22">
        <f>(24)*(1)*(1)*(1)*(1 + (0))</f>
      </c>
      <c r="D1125" s="22" t="s">
        <v>24</v>
      </c>
      <c r="E1125" s="22"/>
      <c r="F1125" s="22">
        <f>(0)</f>
      </c>
      <c r="G1125" s="22">
        <f>(C1125 * E1125 + C1125 * E1125 * F1125)</f>
      </c>
    </row>
    <row r="1126">
      <c r="A1126" s="5"/>
      <c r="B1126" s="16" t="s">
        <v>822</v>
      </c>
      <c r="C1126" s="22">
        <f>(15)*(1)*(1)*(1)*(1 + (0))</f>
      </c>
      <c r="D1126" s="22" t="s">
        <v>24</v>
      </c>
      <c r="E1126" s="22"/>
      <c r="F1126" s="22">
        <f>(0)</f>
      </c>
      <c r="G1126" s="22">
        <f>(C1126 * E1126 + C1126 * E1126 * F1126)</f>
      </c>
    </row>
    <row r="1127">
      <c r="A1127" s="4"/>
      <c r="B1127" s="12" t="s">
        <v>953</v>
      </c>
      <c r="C1127" s="21"/>
      <c r="D1127" s="21"/>
      <c r="E1127" s="21"/>
      <c r="F1127" s="21"/>
      <c r="G1127" s="21"/>
    </row>
    <row r="1128">
      <c r="A1128" s="6"/>
      <c r="B1128" s="15" t="s">
        <v>973</v>
      </c>
      <c r="C1128" s="23"/>
      <c r="D1128" s="23"/>
      <c r="E1128" s="23"/>
      <c r="F1128" s="23"/>
      <c r="G1128" s="23"/>
    </row>
    <row r="1129">
      <c r="A1129" s="5"/>
      <c r="B1129" s="16" t="s">
        <v>950</v>
      </c>
      <c r="C1129" s="22">
        <f>(15)*(1)*(1)*(1)*(1 + (0))</f>
      </c>
      <c r="D1129" s="22" t="s">
        <v>24</v>
      </c>
      <c r="E1129" s="22"/>
      <c r="F1129" s="22">
        <f>(0)</f>
      </c>
      <c r="G1129" s="22">
        <f>(C1129 * E1129 + C1129 * E1129 * F1129)</f>
      </c>
    </row>
    <row r="1130">
      <c r="A1130" s="5"/>
      <c r="B1130" s="16" t="s">
        <v>822</v>
      </c>
      <c r="C1130" s="22">
        <f>(4)*(1)*(1)*(1)*(1 + (0))</f>
      </c>
      <c r="D1130" s="22" t="s">
        <v>24</v>
      </c>
      <c r="E1130" s="22"/>
      <c r="F1130" s="22">
        <f>(0)</f>
      </c>
      <c r="G1130" s="22">
        <f>(C1130 * E1130 + C1130 * E1130 * F1130)</f>
      </c>
    </row>
    <row r="1131">
      <c r="A1131" s="6"/>
      <c r="B1131" s="15" t="s">
        <v>974</v>
      </c>
      <c r="C1131" s="23"/>
      <c r="D1131" s="23"/>
      <c r="E1131" s="23"/>
      <c r="F1131" s="23"/>
      <c r="G1131" s="23"/>
    </row>
    <row r="1132">
      <c r="A1132" s="5"/>
      <c r="B1132" s="16" t="s">
        <v>950</v>
      </c>
      <c r="C1132" s="22">
        <f>(309)*(1)*(1)*(1)*(1 + (0))</f>
      </c>
      <c r="D1132" s="22" t="s">
        <v>24</v>
      </c>
      <c r="E1132" s="22"/>
      <c r="F1132" s="22">
        <f>(0)</f>
      </c>
      <c r="G1132" s="22">
        <f>(C1132 * E1132 + C1132 * E1132 * F1132)</f>
      </c>
    </row>
    <row r="1133">
      <c r="A1133" s="6"/>
      <c r="B1133" s="15" t="s">
        <v>975</v>
      </c>
      <c r="C1133" s="23"/>
      <c r="D1133" s="23"/>
      <c r="E1133" s="23"/>
      <c r="F1133" s="23"/>
      <c r="G1133" s="23"/>
    </row>
    <row r="1134">
      <c r="A1134" s="5"/>
      <c r="B1134" s="16" t="s">
        <v>950</v>
      </c>
      <c r="C1134" s="22">
        <f>(33)*(1)*(1)*(1)*(1 + (0))</f>
      </c>
      <c r="D1134" s="22" t="s">
        <v>24</v>
      </c>
      <c r="E1134" s="22"/>
      <c r="F1134" s="22">
        <f>(0)</f>
      </c>
      <c r="G1134" s="22">
        <f>(C1134 * E1134 + C1134 * E1134 * F1134)</f>
      </c>
    </row>
    <row r="1135">
      <c r="A1135" s="6"/>
      <c r="B1135" s="15" t="s">
        <v>976</v>
      </c>
      <c r="C1135" s="23"/>
      <c r="D1135" s="23"/>
      <c r="E1135" s="23"/>
      <c r="F1135" s="23"/>
      <c r="G1135" s="23"/>
    </row>
    <row r="1136">
      <c r="A1136" s="5"/>
      <c r="B1136" s="16" t="s">
        <v>950</v>
      </c>
      <c r="C1136" s="22">
        <f>(85)*(1)*(1)*(1)*(1 + (0))</f>
      </c>
      <c r="D1136" s="22" t="s">
        <v>24</v>
      </c>
      <c r="E1136" s="22"/>
      <c r="F1136" s="22">
        <f>(0)</f>
      </c>
      <c r="G1136" s="22">
        <f>(C1136 * E1136 + C1136 * E1136 * F1136)</f>
      </c>
    </row>
    <row r="1137">
      <c r="A1137" s="5"/>
      <c r="B1137" s="16" t="s">
        <v>822</v>
      </c>
      <c r="C1137" s="22">
        <f>(81)*(1)*(1)*(1)*(1 + (0))</f>
      </c>
      <c r="D1137" s="22" t="s">
        <v>24</v>
      </c>
      <c r="E1137" s="22"/>
      <c r="F1137" s="22">
        <f>(0)</f>
      </c>
      <c r="G1137" s="22">
        <f>(C1137 * E1137 + C1137 * E1137 * F1137)</f>
      </c>
    </row>
    <row r="1138">
      <c r="A1138" s="6"/>
      <c r="B1138" s="15" t="s">
        <v>977</v>
      </c>
      <c r="C1138" s="23"/>
      <c r="D1138" s="23"/>
      <c r="E1138" s="23"/>
      <c r="F1138" s="23"/>
      <c r="G1138" s="23"/>
    </row>
    <row r="1139">
      <c r="A1139" s="5"/>
      <c r="B1139" s="16" t="s">
        <v>822</v>
      </c>
      <c r="C1139" s="22">
        <f>(88)*(1)*(1)*(1)*(1 + (0))</f>
      </c>
      <c r="D1139" s="22" t="s">
        <v>24</v>
      </c>
      <c r="E1139" s="22"/>
      <c r="F1139" s="22">
        <f>(0)</f>
      </c>
      <c r="G1139" s="22">
        <f>(C1139 * E1139 + C1139 * E1139 * F1139)</f>
      </c>
    </row>
    <row r="1140">
      <c r="A1140" s="6"/>
      <c r="B1140" s="15" t="s">
        <v>978</v>
      </c>
      <c r="C1140" s="23"/>
      <c r="D1140" s="23"/>
      <c r="E1140" s="23"/>
      <c r="F1140" s="23"/>
      <c r="G1140" s="23"/>
    </row>
    <row r="1141">
      <c r="A1141" s="5"/>
      <c r="B1141" s="16" t="s">
        <v>822</v>
      </c>
      <c r="C1141" s="22">
        <f>(23)*(1)*(1)*(1)*(1 + (0))</f>
      </c>
      <c r="D1141" s="22" t="s">
        <v>24</v>
      </c>
      <c r="E1141" s="22"/>
      <c r="F1141" s="22">
        <f>(0)</f>
      </c>
      <c r="G1141" s="22">
        <f>(C1141 * E1141 + C1141 * E1141 * F1141)</f>
      </c>
    </row>
    <row r="1142">
      <c r="A1142" s="6"/>
      <c r="B1142" s="15" t="s">
        <v>979</v>
      </c>
      <c r="C1142" s="23"/>
      <c r="D1142" s="23"/>
      <c r="E1142" s="23"/>
      <c r="F1142" s="23"/>
      <c r="G1142" s="23"/>
    </row>
    <row r="1143">
      <c r="A1143" s="5"/>
      <c r="B1143" s="16" t="s">
        <v>950</v>
      </c>
      <c r="C1143" s="22">
        <f>(13)*(1)*(1)*(1)*(1 + (0))</f>
      </c>
      <c r="D1143" s="22" t="s">
        <v>24</v>
      </c>
      <c r="E1143" s="22"/>
      <c r="F1143" s="22">
        <f>(0)</f>
      </c>
      <c r="G1143" s="22">
        <f>(C1143 * E1143 + C1143 * E1143 * F1143)</f>
      </c>
    </row>
    <row r="1144">
      <c r="A1144" s="6"/>
      <c r="B1144" s="15" t="s">
        <v>980</v>
      </c>
      <c r="C1144" s="23"/>
      <c r="D1144" s="23"/>
      <c r="E1144" s="23"/>
      <c r="F1144" s="23"/>
      <c r="G1144" s="23"/>
    </row>
    <row r="1145">
      <c r="A1145" s="5"/>
      <c r="B1145" s="16" t="s">
        <v>950</v>
      </c>
      <c r="C1145" s="22">
        <f>(44)*(1)*(1)*(1)*(1 + (0))</f>
      </c>
      <c r="D1145" s="22" t="s">
        <v>24</v>
      </c>
      <c r="E1145" s="22"/>
      <c r="F1145" s="22">
        <f>(0)</f>
      </c>
      <c r="G1145" s="22">
        <f>(C1145 * E1145 + C1145 * E1145 * F1145)</f>
      </c>
    </row>
    <row r="1146">
      <c r="A1146" s="5"/>
      <c r="B1146" s="16" t="s">
        <v>822</v>
      </c>
      <c r="C1146" s="22">
        <f>(9)*(1)*(1)*(1)*(1 + (0))</f>
      </c>
      <c r="D1146" s="22" t="s">
        <v>24</v>
      </c>
      <c r="E1146" s="22"/>
      <c r="F1146" s="22">
        <f>(0)</f>
      </c>
      <c r="G1146" s="22">
        <f>(C1146 * E1146 + C1146 * E1146 * F1146)</f>
      </c>
    </row>
    <row r="1147">
      <c r="A1147" s="6"/>
      <c r="B1147" s="15" t="s">
        <v>981</v>
      </c>
      <c r="C1147" s="23"/>
      <c r="D1147" s="23"/>
      <c r="E1147" s="23"/>
      <c r="F1147" s="23"/>
      <c r="G1147" s="23"/>
    </row>
    <row r="1148">
      <c r="A1148" s="5"/>
      <c r="B1148" s="16" t="s">
        <v>950</v>
      </c>
      <c r="C1148" s="22">
        <f>(146)*(1)*(1)*(1)*(1 + (0))</f>
      </c>
      <c r="D1148" s="22" t="s">
        <v>24</v>
      </c>
      <c r="E1148" s="22"/>
      <c r="F1148" s="22">
        <f>(0)</f>
      </c>
      <c r="G1148" s="22">
        <f>(C1148 * E1148 + C1148 * E1148 * F1148)</f>
      </c>
    </row>
    <row r="1149">
      <c r="A1149" s="5"/>
      <c r="B1149" s="16" t="s">
        <v>822</v>
      </c>
      <c r="C1149" s="22">
        <f>(17)*(1)*(1)*(1)*(1 + (0))</f>
      </c>
      <c r="D1149" s="22" t="s">
        <v>24</v>
      </c>
      <c r="E1149" s="22"/>
      <c r="F1149" s="22">
        <f>(0)</f>
      </c>
      <c r="G1149" s="22">
        <f>(C1149 * E1149 + C1149 * E1149 * F1149)</f>
      </c>
    </row>
    <row r="1150">
      <c r="A1150" s="6"/>
      <c r="B1150" s="15" t="s">
        <v>982</v>
      </c>
      <c r="C1150" s="23"/>
      <c r="D1150" s="23"/>
      <c r="E1150" s="23"/>
      <c r="F1150" s="23"/>
      <c r="G1150" s="23"/>
    </row>
    <row r="1151">
      <c r="A1151" s="5"/>
      <c r="B1151" s="16" t="s">
        <v>822</v>
      </c>
      <c r="C1151" s="22">
        <f>(9)*(1)*(1)*(1)*(1 + (0))</f>
      </c>
      <c r="D1151" s="22" t="s">
        <v>24</v>
      </c>
      <c r="E1151" s="22"/>
      <c r="F1151" s="22">
        <f>(0)</f>
      </c>
      <c r="G1151" s="22">
        <f>(C1151 * E1151 + C1151 * E1151 * F1151)</f>
      </c>
    </row>
    <row r="1152">
      <c r="A1152" s="6"/>
      <c r="B1152" s="15" t="s">
        <v>983</v>
      </c>
      <c r="C1152" s="23"/>
      <c r="D1152" s="23"/>
      <c r="E1152" s="23"/>
      <c r="F1152" s="23"/>
      <c r="G1152" s="23"/>
    </row>
    <row r="1153">
      <c r="A1153" s="5"/>
      <c r="B1153" s="16" t="s">
        <v>950</v>
      </c>
      <c r="C1153" s="22">
        <f>(19)*(1)*(1)*(1)*(1 + (0))</f>
      </c>
      <c r="D1153" s="22" t="s">
        <v>24</v>
      </c>
      <c r="E1153" s="22"/>
      <c r="F1153" s="22">
        <f>(0)</f>
      </c>
      <c r="G1153" s="22">
        <f>(C1153 * E1153 + C1153 * E1153 * F1153)</f>
      </c>
    </row>
    <row r="1154">
      <c r="A1154" s="6"/>
      <c r="B1154" s="15" t="s">
        <v>984</v>
      </c>
      <c r="C1154" s="23"/>
      <c r="D1154" s="23"/>
      <c r="E1154" s="23"/>
      <c r="F1154" s="23"/>
      <c r="G1154" s="23"/>
    </row>
    <row r="1155">
      <c r="A1155" s="5"/>
      <c r="B1155" s="16" t="s">
        <v>822</v>
      </c>
      <c r="C1155" s="22">
        <f>(81)*(1)*(1)*(1)*(1 + (0))</f>
      </c>
      <c r="D1155" s="22" t="s">
        <v>24</v>
      </c>
      <c r="E1155" s="22"/>
      <c r="F1155" s="22">
        <f>(0)</f>
      </c>
      <c r="G1155" s="22">
        <f>(C1155 * E1155 + C1155 * E1155 * F1155)</f>
      </c>
    </row>
    <row r="1156">
      <c r="A1156" s="6"/>
      <c r="B1156" s="15" t="s">
        <v>985</v>
      </c>
      <c r="C1156" s="23"/>
      <c r="D1156" s="23"/>
      <c r="E1156" s="23"/>
      <c r="F1156" s="23"/>
      <c r="G1156" s="23"/>
    </row>
    <row r="1157">
      <c r="A1157" s="5"/>
      <c r="B1157" s="16" t="s">
        <v>822</v>
      </c>
      <c r="C1157" s="22">
        <f>(210)*(1)*(1)*(1)*(1 + (0))</f>
      </c>
      <c r="D1157" s="22" t="s">
        <v>24</v>
      </c>
      <c r="E1157" s="22"/>
      <c r="F1157" s="22">
        <f>(0)</f>
      </c>
      <c r="G1157" s="22">
        <f>(C1157 * E1157 + C1157 * E1157 * F1157)</f>
      </c>
    </row>
    <row r="1158">
      <c r="A1158" s="4"/>
      <c r="B1158" s="12" t="s">
        <v>955</v>
      </c>
      <c r="C1158" s="21"/>
      <c r="D1158" s="21"/>
      <c r="E1158" s="21"/>
      <c r="F1158" s="21"/>
      <c r="G1158" s="21"/>
    </row>
    <row r="1159">
      <c r="A1159" s="6"/>
      <c r="B1159" s="15" t="s">
        <v>986</v>
      </c>
      <c r="C1159" s="23"/>
      <c r="D1159" s="23"/>
      <c r="E1159" s="23"/>
      <c r="F1159" s="23"/>
      <c r="G1159" s="23"/>
    </row>
    <row r="1160">
      <c r="A1160" s="5"/>
      <c r="B1160" s="16" t="s">
        <v>950</v>
      </c>
      <c r="C1160" s="22">
        <f>(2)*(1)*(1)*(1)*(1 + (0))</f>
      </c>
      <c r="D1160" s="22" t="s">
        <v>24</v>
      </c>
      <c r="E1160" s="22"/>
      <c r="F1160" s="22">
        <f>(0)</f>
      </c>
      <c r="G1160" s="22">
        <f>(C1160 * E1160 + C1160 * E1160 * F1160)</f>
      </c>
    </row>
    <row r="1161">
      <c r="A1161" s="6"/>
      <c r="B1161" s="15" t="s">
        <v>987</v>
      </c>
      <c r="C1161" s="23"/>
      <c r="D1161" s="23"/>
      <c r="E1161" s="23"/>
      <c r="F1161" s="23"/>
      <c r="G1161" s="23"/>
    </row>
    <row r="1162">
      <c r="A1162" s="5"/>
      <c r="B1162" s="16" t="s">
        <v>950</v>
      </c>
      <c r="C1162" s="22">
        <f>(26)*(1)*(1)*(1)*(1 + (0))</f>
      </c>
      <c r="D1162" s="22" t="s">
        <v>24</v>
      </c>
      <c r="E1162" s="22"/>
      <c r="F1162" s="22">
        <f>(0)</f>
      </c>
      <c r="G1162" s="22">
        <f>(C1162 * E1162 + C1162 * E1162 * F1162)</f>
      </c>
    </row>
    <row r="1163">
      <c r="A1163" s="5"/>
      <c r="B1163" s="16" t="s">
        <v>822</v>
      </c>
      <c r="C1163" s="22">
        <f>(16)*(1)*(1)*(1)*(1 + (0))</f>
      </c>
      <c r="D1163" s="22" t="s">
        <v>24</v>
      </c>
      <c r="E1163" s="22"/>
      <c r="F1163" s="22">
        <f>(0)</f>
      </c>
      <c r="G1163" s="22">
        <f>(C1163 * E1163 + C1163 * E1163 * F1163)</f>
      </c>
    </row>
    <row r="1164">
      <c r="A1164" s="6"/>
      <c r="B1164" s="15" t="s">
        <v>988</v>
      </c>
      <c r="C1164" s="23"/>
      <c r="D1164" s="23"/>
      <c r="E1164" s="23"/>
      <c r="F1164" s="23"/>
      <c r="G1164" s="23"/>
    </row>
    <row r="1165">
      <c r="A1165" s="5"/>
      <c r="B1165" s="16" t="s">
        <v>822</v>
      </c>
      <c r="C1165" s="22">
        <f>(24)*(1)*(1)*(1)*(1 + (0))</f>
      </c>
      <c r="D1165" s="22" t="s">
        <v>24</v>
      </c>
      <c r="E1165" s="22"/>
      <c r="F1165" s="22">
        <f>(0)</f>
      </c>
      <c r="G1165" s="22">
        <f>(C1165 * E1165 + C1165 * E1165 * F1165)</f>
      </c>
    </row>
    <row r="1166">
      <c r="A1166" s="3"/>
      <c r="B1166" s="11" t="s">
        <v>989</v>
      </c>
      <c r="C1166" s="20"/>
      <c r="D1166" s="20"/>
      <c r="E1166" s="20"/>
      <c r="F1166" s="20"/>
      <c r="G1166" s="20"/>
    </row>
    <row r="1167">
      <c r="A1167" s="4"/>
      <c r="B1167" s="12" t="s">
        <v>990</v>
      </c>
      <c r="C1167" s="21"/>
      <c r="D1167" s="21"/>
      <c r="E1167" s="21"/>
      <c r="F1167" s="21"/>
      <c r="G1167" s="21"/>
    </row>
    <row r="1168">
      <c r="A1168" s="5"/>
      <c r="B1168" s="13" t="s">
        <v>991</v>
      </c>
      <c r="C1168" s="22">
        <f>(145)*(1)*(1)*(1)*(1 + (0))</f>
      </c>
      <c r="D1168" s="22" t="s">
        <v>24</v>
      </c>
      <c r="E1168" s="22"/>
      <c r="F1168" s="22">
        <f>(0)</f>
      </c>
      <c r="G1168" s="22">
        <f>(C1168 * E1168 + C1168 * E1168 * F1168)</f>
      </c>
    </row>
    <row r="1169">
      <c r="A1169" s="4"/>
      <c r="B1169" s="12" t="s">
        <v>992</v>
      </c>
      <c r="C1169" s="21"/>
      <c r="D1169" s="21"/>
      <c r="E1169" s="21"/>
      <c r="F1169" s="21"/>
      <c r="G1169" s="21"/>
    </row>
    <row r="1170">
      <c r="A1170" s="5"/>
      <c r="B1170" s="13" t="s">
        <v>993</v>
      </c>
      <c r="C1170" s="22">
        <f>(147)*(1)*(1)*(1)*(1 + (0))</f>
      </c>
      <c r="D1170" s="22" t="s">
        <v>24</v>
      </c>
      <c r="E1170" s="22"/>
      <c r="F1170" s="22">
        <f>(0)</f>
      </c>
      <c r="G1170" s="22">
        <f>(C1170 * E1170 + C1170 * E1170 * F1170)</f>
      </c>
    </row>
    <row r="1171">
      <c r="A1171" s="4"/>
      <c r="B1171" s="12" t="s">
        <v>994</v>
      </c>
      <c r="C1171" s="21"/>
      <c r="D1171" s="21"/>
      <c r="E1171" s="21"/>
      <c r="F1171" s="21"/>
      <c r="G1171" s="21"/>
    </row>
    <row r="1172">
      <c r="A1172" s="5"/>
      <c r="B1172" s="13" t="s">
        <v>993</v>
      </c>
      <c r="C1172" s="22">
        <f>(46)*(1)*(1)*(1)*(1 + (0))</f>
      </c>
      <c r="D1172" s="22" t="s">
        <v>24</v>
      </c>
      <c r="E1172" s="22"/>
      <c r="F1172" s="22">
        <f>(0)</f>
      </c>
      <c r="G1172" s="22">
        <f>(C1172 * E1172 + C1172 * E1172 * F1172)</f>
      </c>
    </row>
    <row r="1173">
      <c r="A1173" s="5"/>
      <c r="B1173" s="13" t="s">
        <v>991</v>
      </c>
      <c r="C1173" s="22">
        <f>(297)*(1)*(1)*(1)*(1 + (0))</f>
      </c>
      <c r="D1173" s="22" t="s">
        <v>24</v>
      </c>
      <c r="E1173" s="22"/>
      <c r="F1173" s="22">
        <f>(0)</f>
      </c>
      <c r="G1173" s="22">
        <f>(C1173 * E1173 + C1173 * E1173 * F1173)</f>
      </c>
    </row>
    <row r="1174">
      <c r="A1174" s="4"/>
      <c r="B1174" s="12" t="s">
        <v>995</v>
      </c>
      <c r="C1174" s="21"/>
      <c r="D1174" s="21"/>
      <c r="E1174" s="21"/>
      <c r="F1174" s="21"/>
      <c r="G1174" s="21"/>
    </row>
    <row r="1175">
      <c r="A1175" s="5"/>
      <c r="B1175" s="13" t="s">
        <v>993</v>
      </c>
      <c r="C1175" s="22">
        <f>(57)*(1)*(1)*(1)*(1 + (0))</f>
      </c>
      <c r="D1175" s="22" t="s">
        <v>24</v>
      </c>
      <c r="E1175" s="22"/>
      <c r="F1175" s="22">
        <f>(0)</f>
      </c>
      <c r="G1175" s="22">
        <f>(C1175 * E1175 + C1175 * E1175 * F1175)</f>
      </c>
    </row>
    <row r="1176">
      <c r="A1176" s="3"/>
      <c r="B1176" s="11" t="s">
        <v>996</v>
      </c>
      <c r="C1176" s="20"/>
      <c r="D1176" s="20"/>
      <c r="E1176" s="20"/>
      <c r="F1176" s="20"/>
      <c r="G1176" s="20"/>
    </row>
    <row r="1177">
      <c r="A1177" s="4"/>
      <c r="B1177" s="12" t="s">
        <v>997</v>
      </c>
      <c r="C1177" s="21"/>
      <c r="D1177" s="21"/>
      <c r="E1177" s="21"/>
      <c r="F1177" s="21"/>
      <c r="G1177" s="21"/>
    </row>
    <row r="1178">
      <c r="A1178" s="5"/>
      <c r="B1178" s="13" t="s">
        <v>993</v>
      </c>
      <c r="C1178" s="22">
        <f>(52)*(1)*(1)*(1)*(1 + (0))</f>
      </c>
      <c r="D1178" s="22" t="s">
        <v>24</v>
      </c>
      <c r="E1178" s="22"/>
      <c r="F1178" s="22">
        <f>(0)</f>
      </c>
      <c r="G1178" s="22">
        <f>(C1178 * E1178 + C1178 * E1178 * F1178)</f>
      </c>
    </row>
    <row r="1179">
      <c r="A1179" s="5"/>
      <c r="B1179" s="13" t="s">
        <v>991</v>
      </c>
      <c r="C1179" s="22">
        <f>(59)*(1)*(1)*(1)*(1 + (0))</f>
      </c>
      <c r="D1179" s="22" t="s">
        <v>24</v>
      </c>
      <c r="E1179" s="22"/>
      <c r="F1179" s="22">
        <f>(0)</f>
      </c>
      <c r="G1179" s="22">
        <f>(C1179 * E1179 + C1179 * E1179 * F1179)</f>
      </c>
    </row>
    <row r="1180">
      <c r="A1180" s="3"/>
      <c r="B1180" s="11" t="s">
        <v>998</v>
      </c>
      <c r="C1180" s="20"/>
      <c r="D1180" s="20"/>
      <c r="E1180" s="20"/>
      <c r="F1180" s="20"/>
      <c r="G1180" s="20"/>
    </row>
    <row r="1181">
      <c r="A1181" s="4"/>
      <c r="B1181" s="12" t="s">
        <v>999</v>
      </c>
      <c r="C1181" s="21"/>
      <c r="D1181" s="21"/>
      <c r="E1181" s="21"/>
      <c r="F1181" s="21"/>
      <c r="G1181" s="21"/>
    </row>
    <row r="1182">
      <c r="A1182" s="5"/>
      <c r="B1182" s="13" t="s">
        <v>23</v>
      </c>
      <c r="C1182" s="22">
        <f>(84)*(1)*(1)*(1)*(1 + (0))</f>
      </c>
      <c r="D1182" s="22" t="s">
        <v>24</v>
      </c>
      <c r="E1182" s="22"/>
      <c r="F1182" s="22">
        <f>(0)</f>
      </c>
      <c r="G1182" s="22">
        <f>(C1182 * E1182 + C1182 * E1182 * F1182)</f>
      </c>
    </row>
    <row r="1183">
      <c r="A1183" s="4"/>
      <c r="B1183" s="12" t="s">
        <v>1000</v>
      </c>
      <c r="C1183" s="21"/>
      <c r="D1183" s="21"/>
      <c r="E1183" s="21"/>
      <c r="F1183" s="21"/>
      <c r="G1183" s="21"/>
    </row>
    <row r="1184">
      <c r="A1184" s="5"/>
      <c r="B1184" s="13" t="s">
        <v>1001</v>
      </c>
      <c r="C1184" s="22">
        <f>(18)*(1)*(1)*(1)*(1 + (0))</f>
      </c>
      <c r="D1184" s="22" t="s">
        <v>24</v>
      </c>
      <c r="E1184" s="22"/>
      <c r="F1184" s="22">
        <f>(0)</f>
      </c>
      <c r="G1184" s="22">
        <f>(C1184 * E1184 + C1184 * E1184 * F1184)</f>
      </c>
    </row>
    <row r="1185">
      <c r="A1185" s="5"/>
      <c r="B1185" s="13" t="s">
        <v>1002</v>
      </c>
      <c r="C1185" s="22">
        <f>(118)*(1)*(1)*(1)*(1 + (0))</f>
      </c>
      <c r="D1185" s="22" t="s">
        <v>24</v>
      </c>
      <c r="E1185" s="22"/>
      <c r="F1185" s="22">
        <f>(0)</f>
      </c>
      <c r="G1185" s="22">
        <f>(C1185 * E1185 + C1185 * E1185 * F1185)</f>
      </c>
    </row>
    <row r="1186">
      <c r="A1186" s="2"/>
      <c r="B1186" s="10" t="s">
        <v>1003</v>
      </c>
      <c r="C1186" s="19"/>
      <c r="D1186" s="19"/>
      <c r="E1186" s="19"/>
      <c r="F1186" s="19"/>
      <c r="G1186" s="19"/>
    </row>
    <row r="1187">
      <c r="A1187" s="3"/>
      <c r="B1187" s="11" t="s">
        <v>37</v>
      </c>
      <c r="C1187" s="20"/>
      <c r="D1187" s="20"/>
      <c r="E1187" s="20"/>
      <c r="F1187" s="20"/>
      <c r="G1187" s="20"/>
    </row>
    <row r="1188">
      <c r="A1188" s="5" t="s">
        <v>758</v>
      </c>
      <c r="B1188" s="14" t="s">
        <v>39</v>
      </c>
      <c r="C1188" s="22"/>
      <c r="D1188" s="22" t="s">
        <v>10</v>
      </c>
      <c r="E1188" s="22"/>
      <c r="F1188" s="22">
        <f>(0)</f>
      </c>
      <c r="G1188" s="22">
        <f>(C1188 * E1188 + C1188 * E1188 * F1188)</f>
      </c>
    </row>
    <row r="1189">
      <c r="A1189" s="5" t="s">
        <v>760</v>
      </c>
      <c r="B1189" s="14" t="s">
        <v>41</v>
      </c>
      <c r="C1189" s="22"/>
      <c r="D1189" s="22" t="s">
        <v>10</v>
      </c>
      <c r="E1189" s="22"/>
      <c r="F1189" s="22">
        <f>(0)</f>
      </c>
      <c r="G1189" s="22">
        <f>(C1189 * E1189 + C1189 * E1189 * F1189)</f>
      </c>
    </row>
    <row r="1190">
      <c r="A1190" s="3"/>
      <c r="B1190" s="11" t="s">
        <v>44</v>
      </c>
      <c r="C1190" s="20"/>
      <c r="D1190" s="20"/>
      <c r="E1190" s="20"/>
      <c r="F1190" s="20"/>
      <c r="G1190" s="20"/>
    </row>
    <row r="1191">
      <c r="A1191" s="4"/>
      <c r="B1191" s="12" t="s">
        <v>45</v>
      </c>
      <c r="C1191" s="21"/>
      <c r="D1191" s="21"/>
      <c r="E1191" s="21"/>
      <c r="F1191" s="21"/>
      <c r="G1191" s="21"/>
    </row>
    <row r="1192">
      <c r="A1192" s="5" t="s">
        <v>765</v>
      </c>
      <c r="B1192" s="13" t="s">
        <v>898</v>
      </c>
      <c r="C1192" s="22"/>
      <c r="D1192" s="22" t="s">
        <v>10</v>
      </c>
      <c r="E1192" s="22"/>
      <c r="F1192" s="22">
        <f>(0)</f>
      </c>
      <c r="G1192" s="22">
        <f>(C1192 * E1192 + C1192 * E1192 * F1192)</f>
      </c>
    </row>
    <row r="1193">
      <c r="A1193" s="5" t="s">
        <v>766</v>
      </c>
      <c r="B1193" s="13" t="s">
        <v>899</v>
      </c>
      <c r="C1193" s="22"/>
      <c r="D1193" s="22" t="s">
        <v>10</v>
      </c>
      <c r="E1193" s="22"/>
      <c r="F1193" s="22">
        <f>(0)</f>
      </c>
      <c r="G1193" s="22">
        <f>(C1193 * E1193 + C1193 * E1193 * F1193)</f>
      </c>
    </row>
    <row r="1194">
      <c r="A1194" s="5" t="s">
        <v>768</v>
      </c>
      <c r="B1194" s="13" t="s">
        <v>767</v>
      </c>
      <c r="C1194" s="22"/>
      <c r="D1194" s="22" t="s">
        <v>10</v>
      </c>
      <c r="E1194" s="22"/>
      <c r="F1194" s="22">
        <f>(0)</f>
      </c>
      <c r="G1194" s="22">
        <f>(C1194 * E1194 + C1194 * E1194 * F1194)</f>
      </c>
    </row>
    <row r="1195">
      <c r="A1195" s="5" t="s">
        <v>770</v>
      </c>
      <c r="B1195" s="13" t="s">
        <v>900</v>
      </c>
      <c r="C1195" s="22"/>
      <c r="D1195" s="22" t="s">
        <v>10</v>
      </c>
      <c r="E1195" s="22"/>
      <c r="F1195" s="22">
        <f>(0)</f>
      </c>
      <c r="G1195" s="22">
        <f>(C1195 * E1195 + C1195 * E1195 * F1195)</f>
      </c>
    </row>
    <row r="1196">
      <c r="A1196" s="5" t="s">
        <v>794</v>
      </c>
      <c r="B1196" s="13" t="s">
        <v>901</v>
      </c>
      <c r="C1196" s="22"/>
      <c r="D1196" s="22" t="s">
        <v>10</v>
      </c>
      <c r="E1196" s="22"/>
      <c r="F1196" s="22">
        <f>(0)</f>
      </c>
      <c r="G1196" s="22">
        <f>(C1196 * E1196 + C1196 * E1196 * F1196)</f>
      </c>
    </row>
    <row r="1197">
      <c r="A1197" s="5" t="s">
        <v>795</v>
      </c>
      <c r="B1197" s="13" t="s">
        <v>123</v>
      </c>
      <c r="C1197" s="22"/>
      <c r="D1197" s="22" t="s">
        <v>10</v>
      </c>
      <c r="E1197" s="22"/>
      <c r="F1197" s="22">
        <f>(0)</f>
      </c>
      <c r="G1197" s="22">
        <f>(C1197 * E1197 + C1197 * E1197 * F1197)</f>
      </c>
    </row>
    <row r="1198">
      <c r="A1198" s="3"/>
      <c r="B1198" s="11" t="s">
        <v>42</v>
      </c>
      <c r="C1198" s="20"/>
      <c r="D1198" s="20"/>
      <c r="E1198" s="20"/>
      <c r="F1198" s="20"/>
      <c r="G1198" s="20"/>
    </row>
    <row r="1199">
      <c r="A1199" s="5"/>
      <c r="B1199" s="14" t="s">
        <v>902</v>
      </c>
      <c r="C1199" s="22"/>
      <c r="D1199" s="22" t="s">
        <v>10</v>
      </c>
      <c r="E1199" s="22"/>
      <c r="F1199" s="22">
        <f>(0)</f>
      </c>
      <c r="G1199" s="22">
        <f>(C1199 * E1199 + C1199 * E1199 * F1199)</f>
      </c>
    </row>
    <row r="1200">
      <c r="A1200" s="5"/>
      <c r="B1200" s="14" t="s">
        <v>762</v>
      </c>
      <c r="C1200" s="22"/>
      <c r="D1200" s="22" t="s">
        <v>10</v>
      </c>
      <c r="E1200" s="22"/>
      <c r="F1200" s="22">
        <f>(0)</f>
      </c>
      <c r="G1200" s="22">
        <f>(C1200 * E1200 + C1200 * E1200 * F1200)</f>
      </c>
    </row>
    <row r="1201">
      <c r="A1201" s="5"/>
      <c r="B1201" s="14" t="s">
        <v>856</v>
      </c>
      <c r="C1201" s="22"/>
      <c r="D1201" s="22" t="s">
        <v>10</v>
      </c>
      <c r="E1201" s="22"/>
      <c r="F1201" s="22">
        <f>(0)</f>
      </c>
      <c r="G1201" s="22">
        <f>(C1201 * E1201 + C1201 * E1201 * F1201)</f>
      </c>
    </row>
    <row r="1202">
      <c r="A1202" s="3"/>
      <c r="B1202" s="11" t="s">
        <v>68</v>
      </c>
      <c r="C1202" s="20"/>
      <c r="D1202" s="20"/>
      <c r="E1202" s="20"/>
      <c r="F1202" s="20"/>
      <c r="G1202" s="20"/>
    </row>
    <row r="1203">
      <c r="A1203" s="5" t="s">
        <v>797</v>
      </c>
      <c r="B1203" s="14" t="s">
        <v>903</v>
      </c>
      <c r="C1203" s="22">
        <f>(1)*(1)*(1)*(1)*(1 + (0))</f>
      </c>
      <c r="D1203" s="22" t="s">
        <v>71</v>
      </c>
      <c r="E1203" s="22"/>
      <c r="F1203" s="22">
        <f>(0)</f>
      </c>
      <c r="G1203" s="22">
        <f>(C1203 * E1203 + C1203 * E1203 * F1203)</f>
      </c>
    </row>
    <row r="1204">
      <c r="A1204" s="5" t="s">
        <v>799</v>
      </c>
      <c r="B1204" s="14" t="s">
        <v>904</v>
      </c>
      <c r="C1204" s="22">
        <f>(1)*(1)*(1)*(1)*(1 + (0))</f>
      </c>
      <c r="D1204" s="22" t="s">
        <v>71</v>
      </c>
      <c r="E1204" s="22"/>
      <c r="F1204" s="22">
        <f>(0)</f>
      </c>
      <c r="G1204" s="22">
        <f>(C1204 * E1204 + C1204 * E1204 * F1204)</f>
      </c>
    </row>
    <row r="1205">
      <c r="A1205" s="5" t="s">
        <v>801</v>
      </c>
      <c r="B1205" s="14" t="s">
        <v>77</v>
      </c>
      <c r="C1205" s="22">
        <f>(1)*(1)*(1)*(1)*(1 + (0))</f>
      </c>
      <c r="D1205" s="22" t="s">
        <v>71</v>
      </c>
      <c r="E1205" s="22"/>
      <c r="F1205" s="22">
        <f>(0)</f>
      </c>
      <c r="G1205" s="22">
        <f>(C1205 * E1205 + C1205 * E1205 * F1205)</f>
      </c>
    </row>
    <row r="1206">
      <c r="A1206" s="5" t="s">
        <v>905</v>
      </c>
      <c r="B1206" s="14" t="s">
        <v>906</v>
      </c>
      <c r="C1206" s="22">
        <f>(1)*(1)*(1)*(1)*(1 + (0))</f>
      </c>
      <c r="D1206" s="22" t="s">
        <v>71</v>
      </c>
      <c r="E1206" s="22"/>
      <c r="F1206" s="22">
        <f>(0)</f>
      </c>
      <c r="G1206" s="22">
        <f>(C1206 * E1206 + C1206 * E1206 * F1206)</f>
      </c>
    </row>
    <row r="1207">
      <c r="A1207" s="5" t="s">
        <v>907</v>
      </c>
      <c r="B1207" s="14" t="s">
        <v>447</v>
      </c>
      <c r="C1207" s="22">
        <f>(1)*(1)*(1)*(1)*(1 + (0))</f>
      </c>
      <c r="D1207" s="22" t="s">
        <v>71</v>
      </c>
      <c r="E1207" s="22"/>
      <c r="F1207" s="22">
        <f>(0)</f>
      </c>
      <c r="G1207" s="22">
        <f>(C1207 * E1207 + C1207 * E1207 * F1207)</f>
      </c>
    </row>
    <row r="1208">
      <c r="A1208" s="5" t="s">
        <v>908</v>
      </c>
      <c r="B1208" s="14" t="s">
        <v>798</v>
      </c>
      <c r="C1208" s="22">
        <f>(1)*(1)*(1)*(1)*(1 + (0))</f>
      </c>
      <c r="D1208" s="22" t="s">
        <v>71</v>
      </c>
      <c r="E1208" s="22"/>
      <c r="F1208" s="22">
        <f>(0)</f>
      </c>
      <c r="G1208" s="22">
        <f>(C1208 * E1208 + C1208 * E1208 * F1208)</f>
      </c>
    </row>
    <row r="1209">
      <c r="A1209" s="5" t="s">
        <v>909</v>
      </c>
      <c r="B1209" s="14" t="s">
        <v>910</v>
      </c>
      <c r="C1209" s="22">
        <f>(1)*(1)*(1)*(1)*(1 + (0))</f>
      </c>
      <c r="D1209" s="22" t="s">
        <v>71</v>
      </c>
      <c r="E1209" s="22"/>
      <c r="F1209" s="22">
        <f>(0)</f>
      </c>
      <c r="G1209" s="22">
        <f>(C1209 * E1209 + C1209 * E1209 * F1209)</f>
      </c>
    </row>
    <row r="1210">
      <c r="A1210" s="5" t="s">
        <v>911</v>
      </c>
      <c r="B1210" s="14" t="s">
        <v>912</v>
      </c>
      <c r="C1210" s="22">
        <f>(1)*(1)*(1)*(1)*(1 + (0))</f>
      </c>
      <c r="D1210" s="22" t="s">
        <v>71</v>
      </c>
      <c r="E1210" s="22"/>
      <c r="F1210" s="22">
        <f>(0)</f>
      </c>
      <c r="G1210" s="22">
        <f>(C1210 * E1210 + C1210 * E1210 * F1210)</f>
      </c>
    </row>
    <row r="1211">
      <c r="A1211" s="5" t="s">
        <v>913</v>
      </c>
      <c r="B1211" s="14" t="s">
        <v>665</v>
      </c>
      <c r="C1211" s="22">
        <f>(1)*(1)*(1)*(1)*(1 + (0))</f>
      </c>
      <c r="D1211" s="22" t="s">
        <v>71</v>
      </c>
      <c r="E1211" s="22"/>
      <c r="F1211" s="22">
        <f>(0)</f>
      </c>
      <c r="G1211" s="22">
        <f>(C1211 * E1211 + C1211 * E1211 * F1211)</f>
      </c>
    </row>
    <row r="1212">
      <c r="A1212" s="3"/>
      <c r="B1212" s="11" t="s">
        <v>924</v>
      </c>
      <c r="C1212" s="20"/>
      <c r="D1212" s="20"/>
      <c r="E1212" s="20"/>
      <c r="F1212" s="20"/>
      <c r="G1212" s="20"/>
    </row>
    <row r="1213">
      <c r="A1213" s="4"/>
      <c r="B1213" s="12" t="s">
        <v>870</v>
      </c>
      <c r="C1213" s="21"/>
      <c r="D1213" s="21"/>
      <c r="E1213" s="21"/>
      <c r="F1213" s="21"/>
      <c r="G1213" s="21"/>
    </row>
    <row r="1214">
      <c r="A1214" s="6"/>
      <c r="B1214" s="15" t="s">
        <v>1004</v>
      </c>
      <c r="C1214" s="23"/>
      <c r="D1214" s="23"/>
      <c r="E1214" s="23"/>
      <c r="F1214" s="23"/>
      <c r="G1214" s="23"/>
    </row>
    <row r="1215">
      <c r="A1215" s="5"/>
      <c r="B1215" s="16" t="s">
        <v>1005</v>
      </c>
      <c r="C1215" s="22">
        <f>(2)*(1)*(1)*(1)*(1 + (0))</f>
      </c>
      <c r="D1215" s="22" t="s">
        <v>162</v>
      </c>
      <c r="E1215" s="22"/>
      <c r="F1215" s="22">
        <f>(0)</f>
      </c>
      <c r="G1215" s="22">
        <f>(C1215 * E1215 + C1215 * E1215 * F1215)</f>
      </c>
    </row>
    <row r="1216">
      <c r="A1216" s="2"/>
      <c r="B1216" s="10" t="s">
        <v>1006</v>
      </c>
      <c r="C1216" s="19"/>
      <c r="D1216" s="19"/>
      <c r="E1216" s="19"/>
      <c r="F1216" s="19"/>
      <c r="G1216" s="19"/>
    </row>
    <row r="1217">
      <c r="A1217" s="3"/>
      <c r="B1217" s="11" t="s">
        <v>37</v>
      </c>
      <c r="C1217" s="20"/>
      <c r="D1217" s="20"/>
      <c r="E1217" s="20"/>
      <c r="F1217" s="20"/>
      <c r="G1217" s="20"/>
    </row>
    <row r="1218">
      <c r="A1218" s="5" t="s">
        <v>1007</v>
      </c>
      <c r="B1218" s="14" t="s">
        <v>39</v>
      </c>
      <c r="C1218" s="22"/>
      <c r="D1218" s="22" t="s">
        <v>10</v>
      </c>
      <c r="E1218" s="22"/>
      <c r="F1218" s="22">
        <f>(0)</f>
      </c>
      <c r="G1218" s="22">
        <f>(C1218 * E1218 + C1218 * E1218 * F1218)</f>
      </c>
    </row>
    <row r="1219">
      <c r="A1219" s="5" t="s">
        <v>1008</v>
      </c>
      <c r="B1219" s="14" t="s">
        <v>41</v>
      </c>
      <c r="C1219" s="22"/>
      <c r="D1219" s="22" t="s">
        <v>10</v>
      </c>
      <c r="E1219" s="22"/>
      <c r="F1219" s="22">
        <f>(0)</f>
      </c>
      <c r="G1219" s="22">
        <f>(C1219 * E1219 + C1219 * E1219 * F1219)</f>
      </c>
    </row>
    <row r="1220">
      <c r="A1220" s="3"/>
      <c r="B1220" s="11" t="s">
        <v>42</v>
      </c>
      <c r="C1220" s="20"/>
      <c r="D1220" s="20"/>
      <c r="E1220" s="20"/>
      <c r="F1220" s="20"/>
      <c r="G1220" s="20"/>
    </row>
    <row r="1221">
      <c r="A1221" s="5"/>
      <c r="B1221" s="14" t="s">
        <v>1009</v>
      </c>
      <c r="C1221" s="22"/>
      <c r="D1221" s="22" t="s">
        <v>10</v>
      </c>
      <c r="E1221" s="22"/>
      <c r="F1221" s="22">
        <f>(0)</f>
      </c>
      <c r="G1221" s="22">
        <f>(C1221 * E1221 + C1221 * E1221 * F1221)</f>
      </c>
    </row>
    <row r="1222">
      <c r="A1222" s="5"/>
      <c r="B1222" s="14" t="s">
        <v>1010</v>
      </c>
      <c r="C1222" s="22"/>
      <c r="D1222" s="22" t="s">
        <v>10</v>
      </c>
      <c r="E1222" s="22"/>
      <c r="F1222" s="22">
        <f>(0)</f>
      </c>
      <c r="G1222" s="22">
        <f>(C1222 * E1222 + C1222 * E1222 * F1222)</f>
      </c>
    </row>
    <row r="1223">
      <c r="A1223" s="5"/>
      <c r="B1223" s="14" t="s">
        <v>1011</v>
      </c>
      <c r="C1223" s="22"/>
      <c r="D1223" s="22" t="s">
        <v>10</v>
      </c>
      <c r="E1223" s="22"/>
      <c r="F1223" s="22">
        <f>(0)</f>
      </c>
      <c r="G1223" s="22">
        <f>(C1223 * E1223 + C1223 * E1223 * F1223)</f>
      </c>
    </row>
    <row r="1224">
      <c r="A1224" s="3"/>
      <c r="B1224" s="11" t="s">
        <v>44</v>
      </c>
      <c r="C1224" s="20"/>
      <c r="D1224" s="20"/>
      <c r="E1224" s="20"/>
      <c r="F1224" s="20"/>
      <c r="G1224" s="20"/>
    </row>
    <row r="1225">
      <c r="A1225" s="4"/>
      <c r="B1225" s="12" t="s">
        <v>45</v>
      </c>
      <c r="C1225" s="21"/>
      <c r="D1225" s="21"/>
      <c r="E1225" s="21"/>
      <c r="F1225" s="21"/>
      <c r="G1225" s="21"/>
    </row>
    <row r="1226">
      <c r="A1226" s="5" t="s">
        <v>1012</v>
      </c>
      <c r="B1226" s="13" t="s">
        <v>1013</v>
      </c>
      <c r="C1226" s="22"/>
      <c r="D1226" s="22" t="s">
        <v>10</v>
      </c>
      <c r="E1226" s="22"/>
      <c r="F1226" s="22">
        <f>(0)</f>
      </c>
      <c r="G1226" s="22">
        <f>(C1226 * E1226 + C1226 * E1226 * F1226)</f>
      </c>
    </row>
    <row r="1227">
      <c r="A1227" s="5" t="s">
        <v>1014</v>
      </c>
      <c r="B1227" s="13" t="s">
        <v>1015</v>
      </c>
      <c r="C1227" s="22"/>
      <c r="D1227" s="22" t="s">
        <v>10</v>
      </c>
      <c r="E1227" s="22"/>
      <c r="F1227" s="22">
        <f>(0)</f>
      </c>
      <c r="G1227" s="22">
        <f>(C1227 * E1227 + C1227 * E1227 * F1227)</f>
      </c>
    </row>
    <row r="1228">
      <c r="A1228" s="5" t="s">
        <v>1016</v>
      </c>
      <c r="B1228" s="13" t="s">
        <v>1017</v>
      </c>
      <c r="C1228" s="22"/>
      <c r="D1228" s="22" t="s">
        <v>10</v>
      </c>
      <c r="E1228" s="22"/>
      <c r="F1228" s="22">
        <f>(0)</f>
      </c>
      <c r="G1228" s="22">
        <f>(C1228 * E1228 + C1228 * E1228 * F1228)</f>
      </c>
    </row>
    <row r="1229">
      <c r="A1229" s="5" t="s">
        <v>1018</v>
      </c>
      <c r="B1229" s="13" t="s">
        <v>784</v>
      </c>
      <c r="C1229" s="22"/>
      <c r="D1229" s="22" t="s">
        <v>10</v>
      </c>
      <c r="E1229" s="22"/>
      <c r="F1229" s="22">
        <f>(0)</f>
      </c>
      <c r="G1229" s="22">
        <f>(C1229 * E1229 + C1229 * E1229 * F1229)</f>
      </c>
    </row>
    <row r="1230">
      <c r="A1230" s="5" t="s">
        <v>1019</v>
      </c>
      <c r="B1230" s="13" t="s">
        <v>123</v>
      </c>
      <c r="C1230" s="22"/>
      <c r="D1230" s="22" t="s">
        <v>10</v>
      </c>
      <c r="E1230" s="22"/>
      <c r="F1230" s="22">
        <f>(0)</f>
      </c>
      <c r="G1230" s="22">
        <f>(C1230 * E1230 + C1230 * E1230 * F1230)</f>
      </c>
    </row>
    <row r="1231">
      <c r="A1231" s="3"/>
      <c r="B1231" s="11" t="s">
        <v>68</v>
      </c>
      <c r="C1231" s="20"/>
      <c r="D1231" s="20"/>
      <c r="E1231" s="20"/>
      <c r="F1231" s="20"/>
      <c r="G1231" s="20"/>
    </row>
    <row r="1232">
      <c r="A1232" s="5" t="s">
        <v>1020</v>
      </c>
      <c r="B1232" s="14" t="s">
        <v>230</v>
      </c>
      <c r="C1232" s="22">
        <f>(1)*(1)*(1)*(1)*(1 + (0))</f>
      </c>
      <c r="D1232" s="22" t="s">
        <v>71</v>
      </c>
      <c r="E1232" s="22"/>
      <c r="F1232" s="22">
        <f>(0)</f>
      </c>
      <c r="G1232" s="22">
        <f>(C1232 * E1232 + C1232 * E1232 * F1232)</f>
      </c>
    </row>
    <row r="1233">
      <c r="A1233" s="5" t="s">
        <v>1021</v>
      </c>
      <c r="B1233" s="14" t="s">
        <v>1022</v>
      </c>
      <c r="C1233" s="22">
        <f>(1)*(1)*(1)*(1)*(1 + (0))</f>
      </c>
      <c r="D1233" s="22" t="s">
        <v>71</v>
      </c>
      <c r="E1233" s="22"/>
      <c r="F1233" s="22">
        <f>(0)</f>
      </c>
      <c r="G1233" s="22">
        <f>(C1233 * E1233 + C1233 * E1233 * F1233)</f>
      </c>
    </row>
    <row r="1234">
      <c r="A1234" s="5" t="s">
        <v>1023</v>
      </c>
      <c r="B1234" s="14" t="s">
        <v>812</v>
      </c>
      <c r="C1234" s="22">
        <f>(1)*(1)*(1)*(1)*(1 + (0))</f>
      </c>
      <c r="D1234" s="22" t="s">
        <v>71</v>
      </c>
      <c r="E1234" s="22"/>
      <c r="F1234" s="22">
        <f>(0)</f>
      </c>
      <c r="G1234" s="22">
        <f>(C1234 * E1234 + C1234 * E1234 * F1234)</f>
      </c>
    </row>
    <row r="1235">
      <c r="A1235" s="5" t="s">
        <v>1024</v>
      </c>
      <c r="B1235" s="14" t="s">
        <v>814</v>
      </c>
      <c r="C1235" s="22">
        <f>(1)*(1)*(1)*(1)*(1 + (0))</f>
      </c>
      <c r="D1235" s="22" t="s">
        <v>71</v>
      </c>
      <c r="E1235" s="22"/>
      <c r="F1235" s="22">
        <f>(0)</f>
      </c>
      <c r="G1235" s="22">
        <f>(C1235 * E1235 + C1235 * E1235 * F1235)</f>
      </c>
    </row>
    <row r="1236">
      <c r="A1236" s="5" t="s">
        <v>1025</v>
      </c>
      <c r="B1236" s="14" t="s">
        <v>798</v>
      </c>
      <c r="C1236" s="22">
        <f>(1)*(1)*(1)*(1)*(1 + (0))</f>
      </c>
      <c r="D1236" s="22" t="s">
        <v>71</v>
      </c>
      <c r="E1236" s="22"/>
      <c r="F1236" s="22">
        <f>(0)</f>
      </c>
      <c r="G1236" s="22">
        <f>(C1236 * E1236 + C1236 * E1236 * F1236)</f>
      </c>
    </row>
    <row r="1237">
      <c r="A1237" s="5" t="s">
        <v>1026</v>
      </c>
      <c r="B1237" s="14" t="s">
        <v>805</v>
      </c>
      <c r="C1237" s="22">
        <f>(1)*(1)*(1)*(1)*(1 + (0))</f>
      </c>
      <c r="D1237" s="22" t="s">
        <v>71</v>
      </c>
      <c r="E1237" s="22"/>
      <c r="F1237" s="22">
        <f>(0)</f>
      </c>
      <c r="G1237" s="22">
        <f>(C1237 * E1237 + C1237 * E1237 * F1237)</f>
      </c>
    </row>
    <row r="1238">
      <c r="A1238" s="5" t="s">
        <v>1027</v>
      </c>
      <c r="B1238" s="14" t="s">
        <v>800</v>
      </c>
      <c r="C1238" s="22">
        <f>(1)*(1)*(1)*(1)*(1 + (0))</f>
      </c>
      <c r="D1238" s="22" t="s">
        <v>71</v>
      </c>
      <c r="E1238" s="22"/>
      <c r="F1238" s="22">
        <f>(0)</f>
      </c>
      <c r="G1238" s="22">
        <f>(C1238 * E1238 + C1238 * E1238 * F1238)</f>
      </c>
    </row>
    <row r="1239">
      <c r="A1239" s="5" t="s">
        <v>1028</v>
      </c>
      <c r="B1239" s="14" t="s">
        <v>1029</v>
      </c>
      <c r="C1239" s="22">
        <f>(1)*(1)*(1)*(1)*(1 + (0))</f>
      </c>
      <c r="D1239" s="22" t="s">
        <v>71</v>
      </c>
      <c r="E1239" s="22"/>
      <c r="F1239" s="22">
        <f>(0)</f>
      </c>
      <c r="G1239" s="22">
        <f>(C1239 * E1239 + C1239 * E1239 * F1239)</f>
      </c>
    </row>
    <row r="1240">
      <c r="A1240" s="5" t="s">
        <v>1030</v>
      </c>
      <c r="B1240" s="14" t="s">
        <v>1031</v>
      </c>
      <c r="C1240" s="22">
        <f>(1)*(1)*(1)*(1)*(1 + (0))</f>
      </c>
      <c r="D1240" s="22" t="s">
        <v>71</v>
      </c>
      <c r="E1240" s="22"/>
      <c r="F1240" s="22">
        <f>(0)</f>
      </c>
      <c r="G1240" s="22">
        <f>(C1240 * E1240 + C1240 * E1240 * F1240)</f>
      </c>
    </row>
    <row r="1241">
      <c r="A1241" s="3"/>
      <c r="B1241" s="11" t="s">
        <v>106</v>
      </c>
      <c r="C1241" s="20"/>
      <c r="D1241" s="20"/>
      <c r="E1241" s="20"/>
      <c r="F1241" s="20"/>
      <c r="G1241" s="20"/>
    </row>
    <row r="1242">
      <c r="A1242" s="5"/>
      <c r="B1242" s="14" t="s">
        <v>1032</v>
      </c>
      <c r="C1242" s="22"/>
      <c r="D1242" s="22" t="s">
        <v>10</v>
      </c>
      <c r="E1242" s="22"/>
      <c r="F1242" s="22">
        <f>(0)</f>
      </c>
      <c r="G1242" s="22">
        <f>(C1242 * E1242 + C1242 * E1242 * F1242)</f>
      </c>
    </row>
    <row r="1243">
      <c r="A1243" s="3"/>
      <c r="B1243" s="11" t="s">
        <v>1033</v>
      </c>
      <c r="C1243" s="20"/>
      <c r="D1243" s="20"/>
      <c r="E1243" s="20"/>
      <c r="F1243" s="20"/>
      <c r="G1243" s="20"/>
    </row>
    <row r="1244">
      <c r="A1244" s="4"/>
      <c r="B1244" s="12" t="s">
        <v>1034</v>
      </c>
      <c r="C1244" s="21"/>
      <c r="D1244" s="21"/>
      <c r="E1244" s="21"/>
      <c r="F1244" s="21"/>
      <c r="G1244" s="21"/>
    </row>
    <row r="1245">
      <c r="A1245" s="6"/>
      <c r="B1245" s="15" t="s">
        <v>1035</v>
      </c>
      <c r="C1245" s="23"/>
      <c r="D1245" s="23"/>
      <c r="E1245" s="23"/>
      <c r="F1245" s="23"/>
      <c r="G1245" s="23"/>
    </row>
    <row r="1246">
      <c r="A1246" s="5"/>
      <c r="B1246" s="16" t="s">
        <v>23</v>
      </c>
      <c r="C1246" s="22">
        <f>(419)*(1)*(1)*(1)*(1 + (0))</f>
      </c>
      <c r="D1246" s="22" t="s">
        <v>24</v>
      </c>
      <c r="E1246" s="22"/>
      <c r="F1246" s="22">
        <f>(0)</f>
      </c>
      <c r="G1246" s="22">
        <f>(C1246 * E1246 + C1246 * E1246 * F1246)</f>
      </c>
    </row>
    <row r="1247">
      <c r="A1247" s="5"/>
      <c r="B1247" s="16" t="s">
        <v>25</v>
      </c>
      <c r="C1247" s="22">
        <f>(445)*(1)*(1)*(1)*(1 + (0))</f>
      </c>
      <c r="D1247" s="22" t="s">
        <v>24</v>
      </c>
      <c r="E1247" s="22"/>
      <c r="F1247" s="22">
        <f>(0)</f>
      </c>
      <c r="G1247" s="22">
        <f>(C1247 * E1247 + C1247 * E1247 * F1247)</f>
      </c>
    </row>
    <row r="1248">
      <c r="A1248" s="6"/>
      <c r="B1248" s="15" t="s">
        <v>1036</v>
      </c>
      <c r="C1248" s="23"/>
      <c r="D1248" s="23"/>
      <c r="E1248" s="23"/>
      <c r="F1248" s="23"/>
      <c r="G1248" s="23"/>
    </row>
    <row r="1249">
      <c r="A1249" s="5"/>
      <c r="B1249" s="16" t="s">
        <v>23</v>
      </c>
      <c r="C1249" s="22">
        <f>(119)*(1)*(1)*(1)*(1 + (0))</f>
      </c>
      <c r="D1249" s="22" t="s">
        <v>24</v>
      </c>
      <c r="E1249" s="22"/>
      <c r="F1249" s="22">
        <f>(0)</f>
      </c>
      <c r="G1249" s="22">
        <f>(C1249 * E1249 + C1249 * E1249 * F1249)</f>
      </c>
    </row>
    <row r="1250">
      <c r="A1250" s="5"/>
      <c r="B1250" s="16" t="s">
        <v>25</v>
      </c>
      <c r="C1250" s="22">
        <f>(18)*(1)*(1)*(1)*(1 + (0))</f>
      </c>
      <c r="D1250" s="22" t="s">
        <v>24</v>
      </c>
      <c r="E1250" s="22"/>
      <c r="F1250" s="22">
        <f>(0)</f>
      </c>
      <c r="G1250" s="22">
        <f>(C1250 * E1250 + C1250 * E1250 * F1250)</f>
      </c>
    </row>
    <row r="1251">
      <c r="A1251" s="6"/>
      <c r="B1251" s="15" t="s">
        <v>1037</v>
      </c>
      <c r="C1251" s="23"/>
      <c r="D1251" s="23"/>
      <c r="E1251" s="23"/>
      <c r="F1251" s="23"/>
      <c r="G1251" s="23"/>
    </row>
    <row r="1252">
      <c r="A1252" s="5"/>
      <c r="B1252" s="16" t="s">
        <v>23</v>
      </c>
      <c r="C1252" s="22">
        <f>(466)*(1)*(1)*(1)*(1 + (0))</f>
      </c>
      <c r="D1252" s="22" t="s">
        <v>24</v>
      </c>
      <c r="E1252" s="22"/>
      <c r="F1252" s="22">
        <f>(0)</f>
      </c>
      <c r="G1252" s="22">
        <f>(C1252 * E1252 + C1252 * E1252 * F1252)</f>
      </c>
    </row>
    <row r="1253">
      <c r="A1253" s="5"/>
      <c r="B1253" s="16" t="s">
        <v>25</v>
      </c>
      <c r="C1253" s="22">
        <f>(737)*(1)*(1)*(1)*(1 + (0))</f>
      </c>
      <c r="D1253" s="22" t="s">
        <v>24</v>
      </c>
      <c r="E1253" s="22"/>
      <c r="F1253" s="22">
        <f>(0)</f>
      </c>
      <c r="G1253" s="22">
        <f>(C1253 * E1253 + C1253 * E1253 * F1253)</f>
      </c>
    </row>
    <row r="1254">
      <c r="A1254" s="6"/>
      <c r="B1254" s="15" t="s">
        <v>1038</v>
      </c>
      <c r="C1254" s="23"/>
      <c r="D1254" s="23"/>
      <c r="E1254" s="23"/>
      <c r="F1254" s="23"/>
      <c r="G1254" s="23"/>
    </row>
    <row r="1255">
      <c r="A1255" s="5"/>
      <c r="B1255" s="16" t="s">
        <v>23</v>
      </c>
      <c r="C1255" s="22">
        <f>(132)*(1)*(1)*(1)*(1 + (0))</f>
      </c>
      <c r="D1255" s="22" t="s">
        <v>24</v>
      </c>
      <c r="E1255" s="22"/>
      <c r="F1255" s="22">
        <f>(0)</f>
      </c>
      <c r="G1255" s="22">
        <f>(C1255 * E1255 + C1255 * E1255 * F1255)</f>
      </c>
    </row>
    <row r="1256">
      <c r="A1256" s="6"/>
      <c r="B1256" s="15" t="s">
        <v>1039</v>
      </c>
      <c r="C1256" s="23"/>
      <c r="D1256" s="23"/>
      <c r="E1256" s="23"/>
      <c r="F1256" s="23"/>
      <c r="G1256" s="23"/>
    </row>
    <row r="1257">
      <c r="A1257" s="5"/>
      <c r="B1257" s="16" t="s">
        <v>23</v>
      </c>
      <c r="C1257" s="22">
        <f>(28)*(1)*(1)*(1)*(1 + (0))</f>
      </c>
      <c r="D1257" s="22" t="s">
        <v>24</v>
      </c>
      <c r="E1257" s="22"/>
      <c r="F1257" s="22">
        <f>(0)</f>
      </c>
      <c r="G1257" s="22">
        <f>(C1257 * E1257 + C1257 * E1257 * F1257)</f>
      </c>
    </row>
    <row r="1258">
      <c r="A1258" s="6"/>
      <c r="B1258" s="15" t="s">
        <v>1040</v>
      </c>
      <c r="C1258" s="23"/>
      <c r="D1258" s="23"/>
      <c r="E1258" s="23"/>
      <c r="F1258" s="23"/>
      <c r="G1258" s="23"/>
    </row>
    <row r="1259">
      <c r="A1259" s="5"/>
      <c r="B1259" s="16" t="s">
        <v>23</v>
      </c>
      <c r="C1259" s="22">
        <f>(11)*(1)*(1)*(1)*(1 + (0))</f>
      </c>
      <c r="D1259" s="22" t="s">
        <v>24</v>
      </c>
      <c r="E1259" s="22"/>
      <c r="F1259" s="22">
        <f>(0)</f>
      </c>
      <c r="G1259" s="22">
        <f>(C1259 * E1259 + C1259 * E1259 * F1259)</f>
      </c>
    </row>
    <row r="1260">
      <c r="A1260" s="5"/>
      <c r="B1260" s="16" t="s">
        <v>25</v>
      </c>
      <c r="C1260" s="22">
        <f>(143)*(1)*(1)*(1)*(1 + (0))</f>
      </c>
      <c r="D1260" s="22" t="s">
        <v>24</v>
      </c>
      <c r="E1260" s="22"/>
      <c r="F1260" s="22">
        <f>(0)</f>
      </c>
      <c r="G1260" s="22">
        <f>(C1260 * E1260 + C1260 * E1260 * F1260)</f>
      </c>
    </row>
    <row r="1261">
      <c r="A1261" s="6"/>
      <c r="B1261" s="15" t="s">
        <v>1041</v>
      </c>
      <c r="C1261" s="23"/>
      <c r="D1261" s="23"/>
      <c r="E1261" s="23"/>
      <c r="F1261" s="23"/>
      <c r="G1261" s="23"/>
    </row>
    <row r="1262">
      <c r="A1262" s="5"/>
      <c r="B1262" s="16" t="s">
        <v>23</v>
      </c>
      <c r="C1262" s="22">
        <f>(28)*(1)*(1)*(1)*(1 + (0))</f>
      </c>
      <c r="D1262" s="22" t="s">
        <v>24</v>
      </c>
      <c r="E1262" s="22"/>
      <c r="F1262" s="22">
        <f>(0)</f>
      </c>
      <c r="G1262" s="22">
        <f>(C1262 * E1262 + C1262 * E1262 * F1262)</f>
      </c>
    </row>
    <row r="1263">
      <c r="A1263" s="4"/>
      <c r="B1263" s="12" t="s">
        <v>1042</v>
      </c>
      <c r="C1263" s="21"/>
      <c r="D1263" s="21"/>
      <c r="E1263" s="21"/>
      <c r="F1263" s="21"/>
      <c r="G1263" s="21"/>
    </row>
    <row r="1264">
      <c r="A1264" s="6"/>
      <c r="B1264" s="15" t="s">
        <v>1043</v>
      </c>
      <c r="C1264" s="23"/>
      <c r="D1264" s="23"/>
      <c r="E1264" s="23"/>
      <c r="F1264" s="23"/>
      <c r="G1264" s="23"/>
    </row>
    <row r="1265">
      <c r="A1265" s="5"/>
      <c r="B1265" s="16" t="s">
        <v>25</v>
      </c>
      <c r="C1265" s="22">
        <f>(398)*(1)*(1)*(1)*(1 + (0))</f>
      </c>
      <c r="D1265" s="22" t="s">
        <v>24</v>
      </c>
      <c r="E1265" s="22"/>
      <c r="F1265" s="22">
        <f>(0)</f>
      </c>
      <c r="G1265" s="22">
        <f>(C1265 * E1265 + C1265 * E1265 * F1265)</f>
      </c>
    </row>
    <row r="1266">
      <c r="A1266" s="3"/>
      <c r="B1266" s="11" t="s">
        <v>1044</v>
      </c>
      <c r="C1266" s="20"/>
      <c r="D1266" s="20"/>
      <c r="E1266" s="20"/>
      <c r="F1266" s="20"/>
      <c r="G1266" s="20"/>
    </row>
    <row r="1267">
      <c r="A1267" s="4"/>
      <c r="B1267" s="12" t="s">
        <v>1045</v>
      </c>
      <c r="C1267" s="21"/>
      <c r="D1267" s="21"/>
      <c r="E1267" s="21"/>
      <c r="F1267" s="21"/>
      <c r="G1267" s="21"/>
    </row>
    <row r="1268">
      <c r="A1268" s="6"/>
      <c r="B1268" s="15" t="s">
        <v>1046</v>
      </c>
      <c r="C1268" s="23"/>
      <c r="D1268" s="23"/>
      <c r="E1268" s="23"/>
      <c r="F1268" s="23"/>
      <c r="G1268" s="23"/>
    </row>
    <row r="1269">
      <c r="A1269" s="5"/>
      <c r="B1269" s="16" t="s">
        <v>23</v>
      </c>
      <c r="C1269" s="22">
        <f>(25)*(1)*(1)*(1)*(1 + (0))</f>
      </c>
      <c r="D1269" s="22" t="s">
        <v>24</v>
      </c>
      <c r="E1269" s="22"/>
      <c r="F1269" s="22">
        <f>(0)</f>
      </c>
      <c r="G1269" s="22">
        <f>(C1269 * E1269 + C1269 * E1269 * F1269)</f>
      </c>
    </row>
    <row r="1270">
      <c r="A1270" s="5"/>
      <c r="B1270" s="16" t="s">
        <v>25</v>
      </c>
      <c r="C1270" s="22">
        <f>(15)*(1)*(1)*(1)*(1 + (0))</f>
      </c>
      <c r="D1270" s="22" t="s">
        <v>24</v>
      </c>
      <c r="E1270" s="22"/>
      <c r="F1270" s="22">
        <f>(0)</f>
      </c>
      <c r="G1270" s="22">
        <f>(C1270 * E1270 + C1270 * E1270 * F1270)</f>
      </c>
    </row>
    <row r="1271">
      <c r="A1271" s="4"/>
      <c r="B1271" s="12" t="s">
        <v>1047</v>
      </c>
      <c r="C1271" s="21"/>
      <c r="D1271" s="21"/>
      <c r="E1271" s="21"/>
      <c r="F1271" s="21"/>
      <c r="G1271" s="21"/>
    </row>
    <row r="1272">
      <c r="A1272" s="6"/>
      <c r="B1272" s="15" t="s">
        <v>1048</v>
      </c>
      <c r="C1272" s="23"/>
      <c r="D1272" s="23"/>
      <c r="E1272" s="23"/>
      <c r="F1272" s="23"/>
      <c r="G1272" s="23"/>
    </row>
    <row r="1273">
      <c r="A1273" s="5"/>
      <c r="B1273" s="16" t="s">
        <v>23</v>
      </c>
      <c r="C1273" s="22">
        <f>(76)*(1)*(1)*(1)*(1 + (0))</f>
      </c>
      <c r="D1273" s="22" t="s">
        <v>153</v>
      </c>
      <c r="E1273" s="22"/>
      <c r="F1273" s="22">
        <f>(0)</f>
      </c>
      <c r="G1273" s="22">
        <f>(C1273 * E1273 + C1273 * E1273 * F1273)</f>
      </c>
    </row>
    <row r="1274">
      <c r="A1274" s="5"/>
      <c r="B1274" s="16" t="s">
        <v>25</v>
      </c>
      <c r="C1274" s="22">
        <f>(69)*(1)*(1)*(1)*(1 + (0))</f>
      </c>
      <c r="D1274" s="22" t="s">
        <v>153</v>
      </c>
      <c r="E1274" s="22"/>
      <c r="F1274" s="22">
        <f>(0)</f>
      </c>
      <c r="G1274" s="22">
        <f>(C1274 * E1274 + C1274 * E1274 * F1274)</f>
      </c>
    </row>
    <row r="1275">
      <c r="A1275" s="6"/>
      <c r="B1275" s="15" t="s">
        <v>1049</v>
      </c>
      <c r="C1275" s="23"/>
      <c r="D1275" s="23"/>
      <c r="E1275" s="23"/>
      <c r="F1275" s="23"/>
      <c r="G1275" s="23"/>
    </row>
    <row r="1276">
      <c r="A1276" s="5"/>
      <c r="B1276" s="16" t="s">
        <v>23</v>
      </c>
      <c r="C1276" s="22">
        <f>(729)*(1)*(1)*(1)*(1 + (0))</f>
      </c>
      <c r="D1276" s="22" t="s">
        <v>153</v>
      </c>
      <c r="E1276" s="22"/>
      <c r="F1276" s="22">
        <f>(0)</f>
      </c>
      <c r="G1276" s="22">
        <f>(C1276 * E1276 + C1276 * E1276 * F1276)</f>
      </c>
    </row>
    <row r="1277">
      <c r="A1277" s="5"/>
      <c r="B1277" s="16" t="s">
        <v>25</v>
      </c>
      <c r="C1277" s="22">
        <f>(577)*(1)*(1)*(1)*(1 + (0))</f>
      </c>
      <c r="D1277" s="22" t="s">
        <v>153</v>
      </c>
      <c r="E1277" s="22"/>
      <c r="F1277" s="22">
        <f>(0)</f>
      </c>
      <c r="G1277" s="22">
        <f>(C1277 * E1277 + C1277 * E1277 * F1277)</f>
      </c>
    </row>
    <row r="1278">
      <c r="A1278" s="4"/>
      <c r="B1278" s="12" t="s">
        <v>1050</v>
      </c>
      <c r="C1278" s="21"/>
      <c r="D1278" s="21"/>
      <c r="E1278" s="21"/>
      <c r="F1278" s="21"/>
      <c r="G1278" s="21"/>
    </row>
    <row r="1279">
      <c r="A1279" s="6"/>
      <c r="B1279" s="15" t="s">
        <v>1051</v>
      </c>
      <c r="C1279" s="23"/>
      <c r="D1279" s="23"/>
      <c r="E1279" s="23"/>
      <c r="F1279" s="23"/>
      <c r="G1279" s="23"/>
    </row>
    <row r="1280">
      <c r="A1280" s="5"/>
      <c r="B1280" s="16" t="s">
        <v>23</v>
      </c>
      <c r="C1280" s="22">
        <f>(3)*(1)*(1)*(1)*(1 + (0))</f>
      </c>
      <c r="D1280" s="22" t="s">
        <v>162</v>
      </c>
      <c r="E1280" s="22"/>
      <c r="F1280" s="22">
        <f>(0)</f>
      </c>
      <c r="G1280" s="22">
        <f>(C1280 * E1280 + C1280 * E1280 * F1280)</f>
      </c>
    </row>
    <row r="1281">
      <c r="A1281" s="5"/>
      <c r="B1281" s="16" t="s">
        <v>25</v>
      </c>
      <c r="C1281" s="22"/>
      <c r="D1281" s="22" t="s">
        <v>162</v>
      </c>
      <c r="E1281" s="22"/>
      <c r="F1281" s="22">
        <f>(0)</f>
      </c>
      <c r="G1281" s="22">
        <f>(C1281 * E1281 + C1281 * E1281 * F1281)</f>
      </c>
    </row>
    <row r="1282">
      <c r="A1282" s="6"/>
      <c r="B1282" s="15" t="s">
        <v>1052</v>
      </c>
      <c r="C1282" s="23"/>
      <c r="D1282" s="23"/>
      <c r="E1282" s="23"/>
      <c r="F1282" s="23"/>
      <c r="G1282" s="23"/>
    </row>
    <row r="1283">
      <c r="A1283" s="5"/>
      <c r="B1283" s="16" t="s">
        <v>23</v>
      </c>
      <c r="C1283" s="22">
        <f>(7)*(1)*(1)*(1)*(1 + (0))</f>
      </c>
      <c r="D1283" s="22" t="s">
        <v>162</v>
      </c>
      <c r="E1283" s="22"/>
      <c r="F1283" s="22">
        <f>(0)</f>
      </c>
      <c r="G1283" s="22">
        <f>(C1283 * E1283 + C1283 * E1283 * F1283)</f>
      </c>
    </row>
    <row r="1284">
      <c r="A1284" s="5"/>
      <c r="B1284" s="16" t="s">
        <v>25</v>
      </c>
      <c r="C1284" s="22"/>
      <c r="D1284" s="22" t="s">
        <v>162</v>
      </c>
      <c r="E1284" s="22"/>
      <c r="F1284" s="22">
        <f>(0)</f>
      </c>
      <c r="G1284" s="22">
        <f>(C1284 * E1284 + C1284 * E1284 * F1284)</f>
      </c>
    </row>
    <row r="1285">
      <c r="A1285" s="6"/>
      <c r="B1285" s="15" t="s">
        <v>1053</v>
      </c>
      <c r="C1285" s="23"/>
      <c r="D1285" s="23"/>
      <c r="E1285" s="23"/>
      <c r="F1285" s="23"/>
      <c r="G1285" s="23"/>
    </row>
    <row r="1286">
      <c r="A1286" s="5"/>
      <c r="B1286" s="16" t="s">
        <v>23</v>
      </c>
      <c r="C1286" s="22">
        <f>(1)*(1)*(1)*(1)*(1 + (0))</f>
      </c>
      <c r="D1286" s="22" t="s">
        <v>162</v>
      </c>
      <c r="E1286" s="22"/>
      <c r="F1286" s="22">
        <f>(0)</f>
      </c>
      <c r="G1286" s="22">
        <f>(C1286 * E1286 + C1286 * E1286 * F1286)</f>
      </c>
    </row>
    <row r="1287">
      <c r="A1287" s="5"/>
      <c r="B1287" s="16" t="s">
        <v>25</v>
      </c>
      <c r="C1287" s="22"/>
      <c r="D1287" s="22" t="s">
        <v>162</v>
      </c>
      <c r="E1287" s="22"/>
      <c r="F1287" s="22">
        <f>(0)</f>
      </c>
      <c r="G1287" s="22">
        <f>(C1287 * E1287 + C1287 * E1287 * F1287)</f>
      </c>
    </row>
    <row r="1288">
      <c r="A1288" s="2"/>
      <c r="B1288" s="10" t="s">
        <v>1054</v>
      </c>
      <c r="C1288" s="19"/>
      <c r="D1288" s="19"/>
      <c r="E1288" s="19"/>
      <c r="F1288" s="19"/>
      <c r="G1288" s="19"/>
    </row>
    <row r="1289">
      <c r="A1289" s="3"/>
      <c r="B1289" s="11" t="s">
        <v>37</v>
      </c>
      <c r="C1289" s="20"/>
      <c r="D1289" s="20"/>
      <c r="E1289" s="20"/>
      <c r="F1289" s="20"/>
      <c r="G1289" s="20"/>
    </row>
    <row r="1290">
      <c r="A1290" s="5" t="s">
        <v>1055</v>
      </c>
      <c r="B1290" s="14" t="s">
        <v>39</v>
      </c>
      <c r="C1290" s="22"/>
      <c r="D1290" s="22" t="s">
        <v>10</v>
      </c>
      <c r="E1290" s="22"/>
      <c r="F1290" s="22">
        <f>(0)</f>
      </c>
      <c r="G1290" s="22">
        <f>(C1290 * E1290 + C1290 * E1290 * F1290)</f>
      </c>
    </row>
    <row r="1291">
      <c r="A1291" s="5" t="s">
        <v>1056</v>
      </c>
      <c r="B1291" s="14" t="s">
        <v>41</v>
      </c>
      <c r="C1291" s="22"/>
      <c r="D1291" s="22" t="s">
        <v>10</v>
      </c>
      <c r="E1291" s="22"/>
      <c r="F1291" s="22">
        <f>(0)</f>
      </c>
      <c r="G1291" s="22">
        <f>(C1291 * E1291 + C1291 * E1291 * F1291)</f>
      </c>
    </row>
    <row r="1292">
      <c r="A1292" s="3"/>
      <c r="B1292" s="11" t="s">
        <v>523</v>
      </c>
      <c r="C1292" s="20"/>
      <c r="D1292" s="20"/>
      <c r="E1292" s="20"/>
      <c r="F1292" s="20"/>
      <c r="G1292" s="20"/>
    </row>
    <row r="1293">
      <c r="A1293" s="5"/>
      <c r="B1293" s="14" t="s">
        <v>1057</v>
      </c>
      <c r="C1293" s="22"/>
      <c r="D1293" s="22" t="s">
        <v>10</v>
      </c>
      <c r="E1293" s="22"/>
      <c r="F1293" s="22">
        <f>(0)</f>
      </c>
      <c r="G1293" s="22">
        <f>(C1293 * E1293 + C1293 * E1293 * F1293)</f>
      </c>
    </row>
    <row r="1294">
      <c r="A1294" s="5"/>
      <c r="B1294" s="14" t="s">
        <v>1058</v>
      </c>
      <c r="C1294" s="22"/>
      <c r="D1294" s="22" t="s">
        <v>10</v>
      </c>
      <c r="E1294" s="22"/>
      <c r="F1294" s="22">
        <f>(0)</f>
      </c>
      <c r="G1294" s="22">
        <f>(C1294 * E1294 + C1294 * E1294 * F1294)</f>
      </c>
    </row>
    <row r="1295">
      <c r="A1295" s="5"/>
      <c r="B1295" s="14" t="s">
        <v>635</v>
      </c>
      <c r="C1295" s="22"/>
      <c r="D1295" s="22" t="s">
        <v>10</v>
      </c>
      <c r="E1295" s="22"/>
      <c r="F1295" s="22">
        <f>(0)</f>
      </c>
      <c r="G1295" s="22">
        <f>(C1295 * E1295 + C1295 * E1295 * F1295)</f>
      </c>
    </row>
    <row r="1296">
      <c r="A1296" s="3"/>
      <c r="B1296" s="11" t="s">
        <v>44</v>
      </c>
      <c r="C1296" s="20"/>
      <c r="D1296" s="20"/>
      <c r="E1296" s="20"/>
      <c r="F1296" s="20"/>
      <c r="G1296" s="20"/>
    </row>
    <row r="1297">
      <c r="A1297" s="4"/>
      <c r="B1297" s="12" t="s">
        <v>45</v>
      </c>
      <c r="C1297" s="21"/>
      <c r="D1297" s="21"/>
      <c r="E1297" s="21"/>
      <c r="F1297" s="21"/>
      <c r="G1297" s="21"/>
    </row>
    <row r="1298">
      <c r="A1298" s="5" t="s">
        <v>1059</v>
      </c>
      <c r="B1298" s="13" t="s">
        <v>1060</v>
      </c>
      <c r="C1298" s="22"/>
      <c r="D1298" s="22" t="s">
        <v>10</v>
      </c>
      <c r="E1298" s="22"/>
      <c r="F1298" s="22">
        <f>(0)</f>
      </c>
      <c r="G1298" s="22">
        <f>(C1298 * E1298 + C1298 * E1298 * F1298)</f>
      </c>
    </row>
    <row r="1299">
      <c r="A1299" s="5" t="s">
        <v>1061</v>
      </c>
      <c r="B1299" s="13" t="s">
        <v>1062</v>
      </c>
      <c r="C1299" s="22"/>
      <c r="D1299" s="22" t="s">
        <v>10</v>
      </c>
      <c r="E1299" s="22"/>
      <c r="F1299" s="22">
        <f>(0)</f>
      </c>
      <c r="G1299" s="22">
        <f>(C1299 * E1299 + C1299 * E1299 * F1299)</f>
      </c>
    </row>
    <row r="1300">
      <c r="A1300" s="5" t="s">
        <v>1063</v>
      </c>
      <c r="B1300" s="13" t="s">
        <v>1064</v>
      </c>
      <c r="C1300" s="22"/>
      <c r="D1300" s="22" t="s">
        <v>10</v>
      </c>
      <c r="E1300" s="22"/>
      <c r="F1300" s="22">
        <f>(0)</f>
      </c>
      <c r="G1300" s="22">
        <f>(C1300 * E1300 + C1300 * E1300 * F1300)</f>
      </c>
    </row>
    <row r="1301">
      <c r="A1301" s="5" t="s">
        <v>1065</v>
      </c>
      <c r="B1301" s="13" t="s">
        <v>1066</v>
      </c>
      <c r="C1301" s="22"/>
      <c r="D1301" s="22" t="s">
        <v>10</v>
      </c>
      <c r="E1301" s="22"/>
      <c r="F1301" s="22">
        <f>(0)</f>
      </c>
      <c r="G1301" s="22">
        <f>(C1301 * E1301 + C1301 * E1301 * F1301)</f>
      </c>
    </row>
    <row r="1302">
      <c r="A1302" s="5" t="s">
        <v>1067</v>
      </c>
      <c r="B1302" s="13" t="s">
        <v>1068</v>
      </c>
      <c r="C1302" s="22"/>
      <c r="D1302" s="22" t="s">
        <v>10</v>
      </c>
      <c r="E1302" s="22"/>
      <c r="F1302" s="22">
        <f>(0)</f>
      </c>
      <c r="G1302" s="22">
        <f>(C1302 * E1302 + C1302 * E1302 * F1302)</f>
      </c>
    </row>
    <row r="1303">
      <c r="A1303" s="5" t="s">
        <v>1069</v>
      </c>
      <c r="B1303" s="13" t="s">
        <v>123</v>
      </c>
      <c r="C1303" s="22"/>
      <c r="D1303" s="22" t="s">
        <v>10</v>
      </c>
      <c r="E1303" s="22"/>
      <c r="F1303" s="22">
        <f>(0)</f>
      </c>
      <c r="G1303" s="22">
        <f>(C1303 * E1303 + C1303 * E1303 * F1303)</f>
      </c>
    </row>
    <row r="1304">
      <c r="A1304" s="3"/>
      <c r="B1304" s="11" t="s">
        <v>68</v>
      </c>
      <c r="C1304" s="20"/>
      <c r="D1304" s="20"/>
      <c r="E1304" s="20"/>
      <c r="F1304" s="20"/>
      <c r="G1304" s="20"/>
    </row>
    <row r="1305">
      <c r="A1305" s="5" t="s">
        <v>1070</v>
      </c>
      <c r="B1305" s="14" t="s">
        <v>1071</v>
      </c>
      <c r="C1305" s="22">
        <f>(1)*(1)*(1)*(1)*(1 + (0))</f>
      </c>
      <c r="D1305" s="22" t="s">
        <v>71</v>
      </c>
      <c r="E1305" s="22"/>
      <c r="F1305" s="22">
        <f>(0)</f>
      </c>
      <c r="G1305" s="22">
        <f>(C1305 * E1305 + C1305 * E1305 * F1305)</f>
      </c>
    </row>
    <row r="1306">
      <c r="A1306" s="5" t="s">
        <v>1072</v>
      </c>
      <c r="B1306" s="14" t="s">
        <v>798</v>
      </c>
      <c r="C1306" s="22">
        <f>(1)*(1)*(1)*(1)*(1 + (0))</f>
      </c>
      <c r="D1306" s="22" t="s">
        <v>71</v>
      </c>
      <c r="E1306" s="22"/>
      <c r="F1306" s="22">
        <f>(0)</f>
      </c>
      <c r="G1306" s="22">
        <f>(C1306 * E1306 + C1306 * E1306 * F1306)</f>
      </c>
    </row>
    <row r="1307">
      <c r="A1307" s="5" t="s">
        <v>1073</v>
      </c>
      <c r="B1307" s="14" t="s">
        <v>230</v>
      </c>
      <c r="C1307" s="22">
        <f>(1)*(1)*(1)*(1)*(1 + (0))</f>
      </c>
      <c r="D1307" s="22" t="s">
        <v>71</v>
      </c>
      <c r="E1307" s="22"/>
      <c r="F1307" s="22">
        <f>(0)</f>
      </c>
      <c r="G1307" s="22">
        <f>(C1307 * E1307 + C1307 * E1307 * F1307)</f>
      </c>
    </row>
    <row r="1308">
      <c r="A1308" s="5" t="s">
        <v>1074</v>
      </c>
      <c r="B1308" s="14" t="s">
        <v>1075</v>
      </c>
      <c r="C1308" s="22">
        <f>(1)*(1)*(1)*(1)*(1 + (0))</f>
      </c>
      <c r="D1308" s="22" t="s">
        <v>71</v>
      </c>
      <c r="E1308" s="22"/>
      <c r="F1308" s="22">
        <f>(0)</f>
      </c>
      <c r="G1308" s="22">
        <f>(C1308 * E1308 + C1308 * E1308 * F1308)</f>
      </c>
    </row>
    <row r="1309">
      <c r="A1309" s="5" t="s">
        <v>1076</v>
      </c>
      <c r="B1309" s="14" t="s">
        <v>904</v>
      </c>
      <c r="C1309" s="22">
        <f>(1)*(1)*(1)*(1)*(1 + (0))</f>
      </c>
      <c r="D1309" s="22" t="s">
        <v>71</v>
      </c>
      <c r="E1309" s="22"/>
      <c r="F1309" s="22">
        <f>(0)</f>
      </c>
      <c r="G1309" s="22">
        <f>(C1309 * E1309 + C1309 * E1309 * F1309)</f>
      </c>
    </row>
    <row r="1310">
      <c r="A1310" s="5" t="s">
        <v>1077</v>
      </c>
      <c r="B1310" s="14" t="s">
        <v>1078</v>
      </c>
      <c r="C1310" s="22">
        <f>(1)*(1)*(1)*(1)*(1 + (0))</f>
      </c>
      <c r="D1310" s="22" t="s">
        <v>71</v>
      </c>
      <c r="E1310" s="22"/>
      <c r="F1310" s="22">
        <f>(0)</f>
      </c>
      <c r="G1310" s="22">
        <f>(C1310 * E1310 + C1310 * E1310 * F1310)</f>
      </c>
    </row>
    <row r="1311">
      <c r="A1311" s="5" t="s">
        <v>1079</v>
      </c>
      <c r="B1311" s="14" t="s">
        <v>1080</v>
      </c>
      <c r="C1311" s="22">
        <f>(1)*(1)*(1)*(1)*(1 + (0))</f>
      </c>
      <c r="D1311" s="22" t="s">
        <v>71</v>
      </c>
      <c r="E1311" s="22"/>
      <c r="F1311" s="22">
        <f>(0)</f>
      </c>
      <c r="G1311" s="22">
        <f>(C1311 * E1311 + C1311 * E1311 * F1311)</f>
      </c>
    </row>
    <row r="1312">
      <c r="A1312" s="5" t="s">
        <v>1081</v>
      </c>
      <c r="B1312" s="14" t="s">
        <v>1082</v>
      </c>
      <c r="C1312" s="22">
        <f>(1)*(1)*(1)*(1)*(1 + (0))</f>
      </c>
      <c r="D1312" s="22" t="s">
        <v>71</v>
      </c>
      <c r="E1312" s="22"/>
      <c r="F1312" s="22">
        <f>(0)</f>
      </c>
      <c r="G1312" s="22">
        <f>(C1312 * E1312 + C1312 * E1312 * F1312)</f>
      </c>
    </row>
    <row r="1313">
      <c r="A1313" s="5" t="s">
        <v>1083</v>
      </c>
      <c r="B1313" s="14" t="s">
        <v>1084</v>
      </c>
      <c r="C1313" s="22">
        <f>(1)*(1)*(1)*(1)*(1 + (0))</f>
      </c>
      <c r="D1313" s="22" t="s">
        <v>71</v>
      </c>
      <c r="E1313" s="22"/>
      <c r="F1313" s="22">
        <f>(0)</f>
      </c>
      <c r="G1313" s="22">
        <f>(C1313 * E1313 + C1313 * E1313 * F1313)</f>
      </c>
    </row>
    <row r="1314">
      <c r="A1314" s="5" t="s">
        <v>1085</v>
      </c>
      <c r="B1314" s="14" t="s">
        <v>665</v>
      </c>
      <c r="C1314" s="22">
        <f>(1)*(1)*(1)*(1)*(1 + (0))</f>
      </c>
      <c r="D1314" s="22" t="s">
        <v>71</v>
      </c>
      <c r="E1314" s="22"/>
      <c r="F1314" s="22">
        <f>(0)</f>
      </c>
      <c r="G1314" s="22">
        <f>(C1314 * E1314 + C1314 * E1314 * F1314)</f>
      </c>
    </row>
    <row r="1315">
      <c r="A1315" s="3"/>
      <c r="B1315" s="11" t="s">
        <v>106</v>
      </c>
      <c r="C1315" s="20"/>
      <c r="D1315" s="20"/>
      <c r="E1315" s="20"/>
      <c r="F1315" s="20"/>
      <c r="G1315" s="20"/>
    </row>
    <row r="1316">
      <c r="A1316" s="5"/>
      <c r="B1316" s="14" t="s">
        <v>1086</v>
      </c>
      <c r="C1316" s="22"/>
      <c r="D1316" s="22" t="s">
        <v>10</v>
      </c>
      <c r="E1316" s="22"/>
      <c r="F1316" s="22">
        <f>(0)</f>
      </c>
      <c r="G1316" s="22">
        <f>(C1316 * E1316 + C1316 * E1316 * F1316)</f>
      </c>
    </row>
    <row r="1317">
      <c r="A1317" s="3"/>
      <c r="B1317" s="11" t="s">
        <v>1087</v>
      </c>
      <c r="C1317" s="20"/>
      <c r="D1317" s="20"/>
      <c r="E1317" s="20"/>
      <c r="F1317" s="20"/>
      <c r="G1317" s="20"/>
    </row>
    <row r="1318">
      <c r="A1318" s="4"/>
      <c r="B1318" s="12" t="s">
        <v>1088</v>
      </c>
      <c r="C1318" s="21"/>
      <c r="D1318" s="21"/>
      <c r="E1318" s="21"/>
      <c r="F1318" s="21"/>
      <c r="G1318" s="21"/>
    </row>
    <row r="1319">
      <c r="A1319" s="5"/>
      <c r="B1319" s="13" t="s">
        <v>676</v>
      </c>
      <c r="C1319" s="22">
        <f>(108)*(1)*(1)*(1)*(1 + (0))</f>
      </c>
      <c r="D1319" s="22" t="s">
        <v>24</v>
      </c>
      <c r="E1319" s="22"/>
      <c r="F1319" s="22">
        <f>(0)</f>
      </c>
      <c r="G1319" s="22">
        <f>(C1319 * E1319 + C1319 * E1319 * F1319)</f>
      </c>
    </row>
    <row r="1320">
      <c r="A1320" s="5"/>
      <c r="B1320" s="13" t="s">
        <v>613</v>
      </c>
      <c r="C1320" s="22">
        <f>(13)*(1)*(1)*(1)*(1 + (0))</f>
      </c>
      <c r="D1320" s="22" t="s">
        <v>24</v>
      </c>
      <c r="E1320" s="22"/>
      <c r="F1320" s="22">
        <f>(0)</f>
      </c>
      <c r="G1320" s="22">
        <f>(C1320 * E1320 + C1320 * E1320 * F1320)</f>
      </c>
    </row>
    <row r="1321">
      <c r="A1321" s="3"/>
      <c r="B1321" s="11" t="s">
        <v>1089</v>
      </c>
      <c r="C1321" s="20"/>
      <c r="D1321" s="20"/>
      <c r="E1321" s="20"/>
      <c r="F1321" s="20"/>
      <c r="G1321" s="20"/>
    </row>
    <row r="1322">
      <c r="A1322" s="4"/>
      <c r="B1322" s="12" t="s">
        <v>1090</v>
      </c>
      <c r="C1322" s="21"/>
      <c r="D1322" s="21"/>
      <c r="E1322" s="21"/>
      <c r="F1322" s="21"/>
      <c r="G1322" s="21"/>
    </row>
    <row r="1323">
      <c r="A1323" s="5"/>
      <c r="B1323" s="13" t="s">
        <v>676</v>
      </c>
      <c r="C1323" s="22">
        <f>(108)*(1)*(1)*(1)*(1 + (0))</f>
      </c>
      <c r="D1323" s="22" t="s">
        <v>24</v>
      </c>
      <c r="E1323" s="22"/>
      <c r="F1323" s="22">
        <f>(0)</f>
      </c>
      <c r="G1323" s="22">
        <f>(C1323 * E1323 + C1323 * E1323 * F1323)</f>
      </c>
    </row>
    <row r="1324">
      <c r="A1324" s="5"/>
      <c r="B1324" s="13" t="s">
        <v>613</v>
      </c>
      <c r="C1324" s="22">
        <f>(13)*(1)*(1)*(1)*(1 + (0))</f>
      </c>
      <c r="D1324" s="22" t="s">
        <v>24</v>
      </c>
      <c r="E1324" s="22"/>
      <c r="F1324" s="22">
        <f>(0)</f>
      </c>
      <c r="G1324" s="22">
        <f>(C1324 * E1324 + C1324 * E1324 * F1324)</f>
      </c>
    </row>
    <row r="1325">
      <c r="A1325" s="3"/>
      <c r="B1325" s="11" t="s">
        <v>1091</v>
      </c>
      <c r="C1325" s="20"/>
      <c r="D1325" s="20"/>
      <c r="E1325" s="20"/>
      <c r="F1325" s="20"/>
      <c r="G1325" s="20"/>
    </row>
    <row r="1326">
      <c r="A1326" s="4"/>
      <c r="B1326" s="12" t="s">
        <v>1092</v>
      </c>
      <c r="C1326" s="21"/>
      <c r="D1326" s="21"/>
      <c r="E1326" s="21"/>
      <c r="F1326" s="21"/>
      <c r="G1326" s="21"/>
    </row>
    <row r="1327">
      <c r="A1327" s="5"/>
      <c r="B1327" s="13" t="s">
        <v>993</v>
      </c>
      <c r="C1327" s="22">
        <f>(360)*(1)*(1)*(1)*(1 + (0))</f>
      </c>
      <c r="D1327" s="22" t="s">
        <v>24</v>
      </c>
      <c r="E1327" s="22"/>
      <c r="F1327" s="22">
        <f>(0)</f>
      </c>
      <c r="G1327" s="22">
        <f>(C1327 * E1327 + C1327 * E1327 * F1327)</f>
      </c>
    </row>
    <row r="1328">
      <c r="A1328" s="5"/>
      <c r="B1328" s="13" t="s">
        <v>991</v>
      </c>
      <c r="C1328" s="22">
        <f>(88)*(1)*(1)*(1)*(1 + (0))</f>
      </c>
      <c r="D1328" s="22" t="s">
        <v>24</v>
      </c>
      <c r="E1328" s="22"/>
      <c r="F1328" s="22">
        <f>(0)</f>
      </c>
      <c r="G1328" s="22">
        <f>(C1328 * E1328 + C1328 * E1328 * F1328)</f>
      </c>
    </row>
    <row r="1329">
      <c r="A1329" s="3"/>
      <c r="B1329" s="11" t="s">
        <v>1093</v>
      </c>
      <c r="C1329" s="20"/>
      <c r="D1329" s="20"/>
      <c r="E1329" s="20"/>
      <c r="F1329" s="20"/>
      <c r="G1329" s="20"/>
    </row>
    <row r="1330">
      <c r="A1330" s="4"/>
      <c r="B1330" s="12" t="s">
        <v>1094</v>
      </c>
      <c r="C1330" s="21"/>
      <c r="D1330" s="21"/>
      <c r="E1330" s="21"/>
      <c r="F1330" s="21"/>
      <c r="G1330" s="21"/>
    </row>
    <row r="1331">
      <c r="A1331" s="5"/>
      <c r="B1331" s="13" t="s">
        <v>993</v>
      </c>
      <c r="C1331" s="22">
        <f>(139)*(1)*(1)*(1)*(1 + (0))</f>
      </c>
      <c r="D1331" s="22" t="s">
        <v>153</v>
      </c>
      <c r="E1331" s="22"/>
      <c r="F1331" s="22">
        <f>(0)</f>
      </c>
      <c r="G1331" s="22">
        <f>(C1331 * E1331 + C1331 * E1331 * F1331)</f>
      </c>
    </row>
    <row r="1332">
      <c r="A1332" s="5"/>
      <c r="B1332" s="13" t="s">
        <v>991</v>
      </c>
      <c r="C1332" s="22">
        <f>(33)*(1)*(1)*(1)*(1 + (0))</f>
      </c>
      <c r="D1332" s="22" t="s">
        <v>153</v>
      </c>
      <c r="E1332" s="22"/>
      <c r="F1332" s="22">
        <f>(0)</f>
      </c>
      <c r="G1332" s="22">
        <f>(C1332 * E1332 + C1332 * E1332 * F1332)</f>
      </c>
    </row>
    <row r="1333">
      <c r="A1333" s="2"/>
      <c r="B1333" s="10" t="s">
        <v>1095</v>
      </c>
      <c r="C1333" s="19"/>
      <c r="D1333" s="19"/>
      <c r="E1333" s="19"/>
      <c r="F1333" s="19"/>
      <c r="G1333" s="19"/>
    </row>
    <row r="1334">
      <c r="A1334" s="3"/>
      <c r="B1334" s="11" t="s">
        <v>37</v>
      </c>
      <c r="C1334" s="20"/>
      <c r="D1334" s="20"/>
      <c r="E1334" s="20"/>
      <c r="F1334" s="20"/>
      <c r="G1334" s="20"/>
    </row>
    <row r="1335">
      <c r="A1335" s="5" t="s">
        <v>1055</v>
      </c>
      <c r="B1335" s="14" t="s">
        <v>39</v>
      </c>
      <c r="C1335" s="22"/>
      <c r="D1335" s="22" t="s">
        <v>10</v>
      </c>
      <c r="E1335" s="22"/>
      <c r="F1335" s="22">
        <f>(0)</f>
      </c>
      <c r="G1335" s="22">
        <f>(C1335 * E1335 + C1335 * E1335 * F1335)</f>
      </c>
    </row>
    <row r="1336">
      <c r="A1336" s="5" t="s">
        <v>1056</v>
      </c>
      <c r="B1336" s="14" t="s">
        <v>41</v>
      </c>
      <c r="C1336" s="22"/>
      <c r="D1336" s="22" t="s">
        <v>10</v>
      </c>
      <c r="E1336" s="22"/>
      <c r="F1336" s="22">
        <f>(0)</f>
      </c>
      <c r="G1336" s="22">
        <f>(C1336 * E1336 + C1336 * E1336 * F1336)</f>
      </c>
    </row>
    <row r="1337">
      <c r="A1337" s="3"/>
      <c r="B1337" s="11" t="s">
        <v>523</v>
      </c>
      <c r="C1337" s="20"/>
      <c r="D1337" s="20"/>
      <c r="E1337" s="20"/>
      <c r="F1337" s="20"/>
      <c r="G1337" s="20"/>
    </row>
    <row r="1338">
      <c r="A1338" s="5"/>
      <c r="B1338" s="14" t="s">
        <v>1096</v>
      </c>
      <c r="C1338" s="22"/>
      <c r="D1338" s="22" t="s">
        <v>10</v>
      </c>
      <c r="E1338" s="22"/>
      <c r="F1338" s="22">
        <f>(0)</f>
      </c>
      <c r="G1338" s="22">
        <f>(C1338 * E1338 + C1338 * E1338 * F1338)</f>
      </c>
    </row>
    <row r="1339">
      <c r="A1339" s="5"/>
      <c r="B1339" s="14" t="s">
        <v>1058</v>
      </c>
      <c r="C1339" s="22"/>
      <c r="D1339" s="22" t="s">
        <v>10</v>
      </c>
      <c r="E1339" s="22"/>
      <c r="F1339" s="22">
        <f>(0)</f>
      </c>
      <c r="G1339" s="22">
        <f>(C1339 * E1339 + C1339 * E1339 * F1339)</f>
      </c>
    </row>
    <row r="1340">
      <c r="A1340" s="5"/>
      <c r="B1340" s="14" t="s">
        <v>635</v>
      </c>
      <c r="C1340" s="22"/>
      <c r="D1340" s="22" t="s">
        <v>10</v>
      </c>
      <c r="E1340" s="22"/>
      <c r="F1340" s="22">
        <f>(0)</f>
      </c>
      <c r="G1340" s="22">
        <f>(C1340 * E1340 + C1340 * E1340 * F1340)</f>
      </c>
    </row>
    <row r="1341">
      <c r="A1341" s="3"/>
      <c r="B1341" s="11" t="s">
        <v>44</v>
      </c>
      <c r="C1341" s="20"/>
      <c r="D1341" s="20"/>
      <c r="E1341" s="20"/>
      <c r="F1341" s="20"/>
      <c r="G1341" s="20"/>
    </row>
    <row r="1342">
      <c r="A1342" s="4"/>
      <c r="B1342" s="12" t="s">
        <v>45</v>
      </c>
      <c r="C1342" s="21"/>
      <c r="D1342" s="21"/>
      <c r="E1342" s="21"/>
      <c r="F1342" s="21"/>
      <c r="G1342" s="21"/>
    </row>
    <row r="1343">
      <c r="A1343" s="5" t="s">
        <v>1097</v>
      </c>
      <c r="B1343" s="13" t="s">
        <v>1098</v>
      </c>
      <c r="C1343" s="22"/>
      <c r="D1343" s="22" t="s">
        <v>10</v>
      </c>
      <c r="E1343" s="22"/>
      <c r="F1343" s="22">
        <f>(0)</f>
      </c>
      <c r="G1343" s="22">
        <f>(C1343 * E1343 + C1343 * E1343 * F1343)</f>
      </c>
    </row>
    <row r="1344">
      <c r="A1344" s="5" t="s">
        <v>1099</v>
      </c>
      <c r="B1344" s="13" t="s">
        <v>1100</v>
      </c>
      <c r="C1344" s="22"/>
      <c r="D1344" s="22" t="s">
        <v>10</v>
      </c>
      <c r="E1344" s="22"/>
      <c r="F1344" s="22">
        <f>(0)</f>
      </c>
      <c r="G1344" s="22">
        <f>(C1344 * E1344 + C1344 * E1344 * F1344)</f>
      </c>
    </row>
    <row r="1345">
      <c r="A1345" s="5" t="s">
        <v>1101</v>
      </c>
      <c r="B1345" s="13" t="s">
        <v>123</v>
      </c>
      <c r="C1345" s="22"/>
      <c r="D1345" s="22" t="s">
        <v>10</v>
      </c>
      <c r="E1345" s="22"/>
      <c r="F1345" s="22">
        <f>(0)</f>
      </c>
      <c r="G1345" s="22">
        <f>(C1345 * E1345 + C1345 * E1345 * F1345)</f>
      </c>
    </row>
    <row r="1346">
      <c r="A1346" s="3"/>
      <c r="B1346" s="11" t="s">
        <v>68</v>
      </c>
      <c r="C1346" s="20"/>
      <c r="D1346" s="20"/>
      <c r="E1346" s="20"/>
      <c r="F1346" s="20"/>
      <c r="G1346" s="20"/>
    </row>
    <row r="1347">
      <c r="A1347" s="5" t="s">
        <v>1102</v>
      </c>
      <c r="B1347" s="14" t="s">
        <v>1103</v>
      </c>
      <c r="C1347" s="22">
        <f>(1)*(1)*(1)*(1)*(1 + (0))</f>
      </c>
      <c r="D1347" s="22" t="s">
        <v>71</v>
      </c>
      <c r="E1347" s="22"/>
      <c r="F1347" s="22">
        <f>(0)</f>
      </c>
      <c r="G1347" s="22">
        <f>(C1347 * E1347 + C1347 * E1347 * F1347)</f>
      </c>
    </row>
    <row r="1348">
      <c r="A1348" s="5" t="s">
        <v>1104</v>
      </c>
      <c r="B1348" s="14" t="s">
        <v>543</v>
      </c>
      <c r="C1348" s="22">
        <f>(1)*(1)*(1)*(1)*(1 + (0))</f>
      </c>
      <c r="D1348" s="22" t="s">
        <v>71</v>
      </c>
      <c r="E1348" s="22"/>
      <c r="F1348" s="22">
        <f>(0)</f>
      </c>
      <c r="G1348" s="22">
        <f>(C1348 * E1348 + C1348 * E1348 * F1348)</f>
      </c>
    </row>
    <row r="1349">
      <c r="A1349" s="5" t="s">
        <v>1105</v>
      </c>
      <c r="B1349" s="14" t="s">
        <v>810</v>
      </c>
      <c r="C1349" s="22">
        <f>(1)*(1)*(1)*(1)*(1 + (0))</f>
      </c>
      <c r="D1349" s="22" t="s">
        <v>71</v>
      </c>
      <c r="E1349" s="22"/>
      <c r="F1349" s="22">
        <f>(0)</f>
      </c>
      <c r="G1349" s="22">
        <f>(C1349 * E1349 + C1349 * E1349 * F1349)</f>
      </c>
    </row>
    <row r="1350">
      <c r="A1350" s="5" t="s">
        <v>1106</v>
      </c>
      <c r="B1350" s="14" t="s">
        <v>665</v>
      </c>
      <c r="C1350" s="22">
        <f>(1)*(1)*(1)*(1)*(1 + (0))</f>
      </c>
      <c r="D1350" s="22" t="s">
        <v>71</v>
      </c>
      <c r="E1350" s="22"/>
      <c r="F1350" s="22">
        <f>(0)</f>
      </c>
      <c r="G1350" s="22">
        <f>(C1350 * E1350 + C1350 * E1350 * F1350)</f>
      </c>
    </row>
    <row r="1351">
      <c r="A1351" s="3"/>
      <c r="B1351" s="11" t="s">
        <v>106</v>
      </c>
      <c r="C1351" s="20"/>
      <c r="D1351" s="20"/>
      <c r="E1351" s="20"/>
      <c r="F1351" s="20"/>
      <c r="G1351" s="20"/>
    </row>
    <row r="1352">
      <c r="A1352" s="5"/>
      <c r="B1352" s="14" t="s">
        <v>1107</v>
      </c>
      <c r="C1352" s="22"/>
      <c r="D1352" s="22" t="s">
        <v>10</v>
      </c>
      <c r="E1352" s="22"/>
      <c r="F1352" s="22">
        <f>(0)</f>
      </c>
      <c r="G1352" s="22">
        <f>(C1352 * E1352 + C1352 * E1352 * F1352)</f>
      </c>
    </row>
    <row r="1353">
      <c r="A1353" s="3"/>
      <c r="B1353" s="11" t="s">
        <v>1108</v>
      </c>
      <c r="C1353" s="20"/>
      <c r="D1353" s="20"/>
      <c r="E1353" s="20"/>
      <c r="F1353" s="20"/>
      <c r="G1353" s="20"/>
    </row>
    <row r="1354">
      <c r="A1354" s="4"/>
      <c r="B1354" s="12" t="s">
        <v>1109</v>
      </c>
      <c r="C1354" s="21"/>
      <c r="D1354" s="21"/>
      <c r="E1354" s="21"/>
      <c r="F1354" s="21"/>
      <c r="G1354" s="21"/>
    </row>
    <row r="1355">
      <c r="A1355" s="5"/>
      <c r="B1355" s="13" t="s">
        <v>676</v>
      </c>
      <c r="C1355" s="22">
        <f>(428)*(1)*(1)*(1)*(1 + (0))</f>
      </c>
      <c r="D1355" s="22" t="s">
        <v>24</v>
      </c>
      <c r="E1355" s="22"/>
      <c r="F1355" s="22">
        <f>(0)</f>
      </c>
      <c r="G1355" s="22">
        <f>(C1355 * E1355 + C1355 * E1355 * F1355)</f>
      </c>
    </row>
    <row r="1356">
      <c r="A1356" s="4"/>
      <c r="B1356" s="12" t="s">
        <v>1110</v>
      </c>
      <c r="C1356" s="21"/>
      <c r="D1356" s="21"/>
      <c r="E1356" s="21"/>
      <c r="F1356" s="21"/>
      <c r="G1356" s="21"/>
    </row>
    <row r="1357">
      <c r="A1357" s="5"/>
      <c r="B1357" s="13" t="s">
        <v>613</v>
      </c>
      <c r="C1357" s="22">
        <f>(770)*(1)*(1)*(1)*(1 + (0))</f>
      </c>
      <c r="D1357" s="22" t="s">
        <v>24</v>
      </c>
      <c r="E1357" s="22"/>
      <c r="F1357" s="22">
        <f>(0)</f>
      </c>
      <c r="G1357" s="22">
        <f>(C1357 * E1357 + C1357 * E1357 * F1357)</f>
      </c>
    </row>
    <row r="1358">
      <c r="A1358" s="4"/>
      <c r="B1358" s="12" t="s">
        <v>1111</v>
      </c>
      <c r="C1358" s="21"/>
      <c r="D1358" s="21"/>
      <c r="E1358" s="21"/>
      <c r="F1358" s="21"/>
      <c r="G1358" s="21"/>
    </row>
    <row r="1359">
      <c r="A1359" s="5"/>
      <c r="B1359" s="13" t="s">
        <v>676</v>
      </c>
      <c r="C1359" s="22">
        <f>(29)*(1)*(1)*(1)*(1 + (0))</f>
      </c>
      <c r="D1359" s="22" t="s">
        <v>24</v>
      </c>
      <c r="E1359" s="22"/>
      <c r="F1359" s="22">
        <f>(0)</f>
      </c>
      <c r="G1359" s="22">
        <f>(C1359 * E1359 + C1359 * E1359 * F1359)</f>
      </c>
    </row>
    <row r="1360">
      <c r="A1360" s="4"/>
      <c r="B1360" s="12" t="s">
        <v>1112</v>
      </c>
      <c r="C1360" s="21"/>
      <c r="D1360" s="21"/>
      <c r="E1360" s="21"/>
      <c r="F1360" s="21"/>
      <c r="G1360" s="21"/>
    </row>
    <row r="1361">
      <c r="A1361" s="5"/>
      <c r="B1361" s="13" t="s">
        <v>613</v>
      </c>
      <c r="C1361" s="22">
        <f>(307)*(1)*(1)*(1)*(1 + (0))</f>
      </c>
      <c r="D1361" s="22" t="s">
        <v>24</v>
      </c>
      <c r="E1361" s="22"/>
      <c r="F1361" s="22">
        <f>(0)</f>
      </c>
      <c r="G1361" s="22">
        <f>(C1361 * E1361 + C1361 * E1361 * F1361)</f>
      </c>
    </row>
    <row r="1362">
      <c r="A1362" s="4"/>
      <c r="B1362" s="12" t="s">
        <v>1113</v>
      </c>
      <c r="C1362" s="21"/>
      <c r="D1362" s="21"/>
      <c r="E1362" s="21"/>
      <c r="F1362" s="21"/>
      <c r="G1362" s="21"/>
    </row>
    <row r="1363">
      <c r="A1363" s="5"/>
      <c r="B1363" s="13" t="s">
        <v>676</v>
      </c>
      <c r="C1363" s="22">
        <f>(412)*(1)*(1)*(1)*(1 + (0))</f>
      </c>
      <c r="D1363" s="22" t="s">
        <v>24</v>
      </c>
      <c r="E1363" s="22"/>
      <c r="F1363" s="22">
        <f>(0)</f>
      </c>
      <c r="G1363" s="22">
        <f>(C1363 * E1363 + C1363 * E1363 * F1363)</f>
      </c>
    </row>
    <row r="1364">
      <c r="A1364" s="3"/>
      <c r="B1364" s="11" t="s">
        <v>1114</v>
      </c>
      <c r="C1364" s="20"/>
      <c r="D1364" s="20"/>
      <c r="E1364" s="20"/>
      <c r="F1364" s="20"/>
      <c r="G1364" s="20"/>
    </row>
    <row r="1365">
      <c r="A1365" s="4"/>
      <c r="B1365" s="12" t="s">
        <v>1115</v>
      </c>
      <c r="C1365" s="21"/>
      <c r="D1365" s="21"/>
      <c r="E1365" s="21"/>
      <c r="F1365" s="21"/>
      <c r="G1365" s="21"/>
    </row>
    <row r="1366">
      <c r="A1366" s="5"/>
      <c r="B1366" s="13" t="s">
        <v>676</v>
      </c>
      <c r="C1366" s="22">
        <f>(22)*(1)*(1)*(1)*(1 + (0))</f>
      </c>
      <c r="D1366" s="22" t="s">
        <v>24</v>
      </c>
      <c r="E1366" s="22"/>
      <c r="F1366" s="22">
        <f>(0)</f>
      </c>
      <c r="G1366" s="22">
        <f>(C1366 * E1366 + C1366 * E1366 * F1366)</f>
      </c>
    </row>
    <row r="1367">
      <c r="A1367" s="5"/>
      <c r="B1367" s="13" t="s">
        <v>613</v>
      </c>
      <c r="C1367" s="22">
        <f>(33)*(1)*(1)*(1)*(1 + (0))</f>
      </c>
      <c r="D1367" s="22" t="s">
        <v>24</v>
      </c>
      <c r="E1367" s="22"/>
      <c r="F1367" s="22">
        <f>(0)</f>
      </c>
      <c r="G1367" s="22">
        <f>(C1367 * E1367 + C1367 * E1367 * F1367)</f>
      </c>
    </row>
    <row r="1368">
      <c r="A1368" s="3"/>
      <c r="B1368" s="11" t="s">
        <v>1116</v>
      </c>
      <c r="C1368" s="20"/>
      <c r="D1368" s="20"/>
      <c r="E1368" s="20"/>
      <c r="F1368" s="20"/>
      <c r="G1368" s="20"/>
    </row>
    <row r="1369">
      <c r="A1369" s="4"/>
      <c r="B1369" s="12" t="s">
        <v>1117</v>
      </c>
      <c r="C1369" s="21"/>
      <c r="D1369" s="21"/>
      <c r="E1369" s="21"/>
      <c r="F1369" s="21"/>
      <c r="G1369" s="21"/>
    </row>
    <row r="1370">
      <c r="A1370" s="5"/>
      <c r="B1370" s="13" t="s">
        <v>676</v>
      </c>
      <c r="C1370" s="22">
        <f>(6)*(1)*(1)*(1)*(1 + (0))</f>
      </c>
      <c r="D1370" s="22" t="s">
        <v>153</v>
      </c>
      <c r="E1370" s="22"/>
      <c r="F1370" s="22">
        <f>(0)</f>
      </c>
      <c r="G1370" s="22">
        <f>(C1370 * E1370 + C1370 * E1370 * F1370)</f>
      </c>
    </row>
    <row r="1371">
      <c r="A1371" s="4"/>
      <c r="B1371" s="12" t="s">
        <v>1118</v>
      </c>
      <c r="C1371" s="21"/>
      <c r="D1371" s="21"/>
      <c r="E1371" s="21"/>
      <c r="F1371" s="21"/>
      <c r="G1371" s="21"/>
    </row>
    <row r="1372">
      <c r="A1372" s="5"/>
      <c r="B1372" s="13" t="s">
        <v>676</v>
      </c>
      <c r="C1372" s="22">
        <f>(15)*(1)*(1)*(1)*(1 + (0))</f>
      </c>
      <c r="D1372" s="22" t="s">
        <v>153</v>
      </c>
      <c r="E1372" s="22"/>
      <c r="F1372" s="22">
        <f>(0)</f>
      </c>
      <c r="G1372" s="22">
        <f>(C1372 * E1372 + C1372 * E1372 * F1372)</f>
      </c>
    </row>
    <row r="1373">
      <c r="A1373" s="5"/>
      <c r="B1373" s="13" t="s">
        <v>613</v>
      </c>
      <c r="C1373" s="22">
        <f>(46)*(1)*(1)*(1)*(1 + (0))</f>
      </c>
      <c r="D1373" s="22" t="s">
        <v>153</v>
      </c>
      <c r="E1373" s="22"/>
      <c r="F1373" s="22">
        <f>(0)</f>
      </c>
      <c r="G1373" s="22">
        <f>(C1373 * E1373 + C1373 * E1373 * F1373)</f>
      </c>
    </row>
    <row r="1374">
      <c r="A1374" s="3"/>
      <c r="B1374" s="11" t="s">
        <v>1119</v>
      </c>
      <c r="C1374" s="20"/>
      <c r="D1374" s="20"/>
      <c r="E1374" s="20"/>
      <c r="F1374" s="20"/>
      <c r="G1374" s="20"/>
    </row>
    <row r="1375">
      <c r="A1375" s="5"/>
      <c r="B1375" s="14" t="s">
        <v>1120</v>
      </c>
      <c r="C1375" s="22">
        <f>(1109)*(1)*(1)*(1)*(1 + (0))</f>
      </c>
      <c r="D1375" s="22" t="s">
        <v>24</v>
      </c>
      <c r="E1375" s="22"/>
      <c r="F1375" s="22">
        <f>(0)</f>
      </c>
      <c r="G1375" s="22">
        <f>(C1375 * E1375 + C1375 * E1375 * F1375)</f>
      </c>
    </row>
    <row r="1376">
      <c r="A1376" s="5"/>
      <c r="B1376" s="14" t="s">
        <v>1121</v>
      </c>
      <c r="C1376" s="22">
        <f>(555)*(1)*(1)*(1)*(1 + (0))</f>
      </c>
      <c r="D1376" s="22" t="s">
        <v>24</v>
      </c>
      <c r="E1376" s="22"/>
      <c r="F1376" s="22">
        <f>(0)</f>
      </c>
      <c r="G1376" s="22">
        <f>(C1376 * E1376 + C1376 * E1376 * F1376)</f>
      </c>
    </row>
    <row r="1377">
      <c r="A1377" s="5"/>
      <c r="B1377" s="14" t="s">
        <v>1122</v>
      </c>
      <c r="C1377" s="22">
        <f>(1998)*(1)*(1)*(1)*(1 + (0))</f>
      </c>
      <c r="D1377" s="22" t="s">
        <v>24</v>
      </c>
      <c r="E1377" s="22"/>
      <c r="F1377" s="22">
        <f>(0)</f>
      </c>
      <c r="G1377" s="22">
        <f>(C1377 * E1377 + C1377 * E1377 * F1377)</f>
      </c>
    </row>
    <row r="1378">
      <c r="A1378" s="2"/>
      <c r="B1378" s="10" t="s">
        <v>1123</v>
      </c>
      <c r="C1378" s="19"/>
      <c r="D1378" s="19"/>
      <c r="E1378" s="19"/>
      <c r="F1378" s="19"/>
      <c r="G1378" s="19"/>
    </row>
    <row r="1379">
      <c r="A1379" s="3"/>
      <c r="B1379" s="11" t="s">
        <v>37</v>
      </c>
      <c r="C1379" s="20"/>
      <c r="D1379" s="20"/>
      <c r="E1379" s="20"/>
      <c r="F1379" s="20"/>
      <c r="G1379" s="20"/>
    </row>
    <row r="1380">
      <c r="A1380" s="5" t="s">
        <v>1124</v>
      </c>
      <c r="B1380" s="14" t="s">
        <v>39</v>
      </c>
      <c r="C1380" s="22"/>
      <c r="D1380" s="22" t="s">
        <v>10</v>
      </c>
      <c r="E1380" s="22"/>
      <c r="F1380" s="22">
        <f>(0)</f>
      </c>
      <c r="G1380" s="22">
        <f>(C1380 * E1380 + C1380 * E1380 * F1380)</f>
      </c>
    </row>
    <row r="1381">
      <c r="A1381" s="5" t="s">
        <v>1125</v>
      </c>
      <c r="B1381" s="14" t="s">
        <v>41</v>
      </c>
      <c r="C1381" s="22"/>
      <c r="D1381" s="22" t="s">
        <v>10</v>
      </c>
      <c r="E1381" s="22"/>
      <c r="F1381" s="22">
        <f>(0)</f>
      </c>
      <c r="G1381" s="22">
        <f>(C1381 * E1381 + C1381 * E1381 * F1381)</f>
      </c>
    </row>
    <row r="1382">
      <c r="A1382" s="3"/>
      <c r="B1382" s="11" t="s">
        <v>523</v>
      </c>
      <c r="C1382" s="20"/>
      <c r="D1382" s="20"/>
      <c r="E1382" s="20"/>
      <c r="F1382" s="20"/>
      <c r="G1382" s="20"/>
    </row>
    <row r="1383">
      <c r="A1383" s="5"/>
      <c r="B1383" s="14" t="s">
        <v>1126</v>
      </c>
      <c r="C1383" s="22"/>
      <c r="D1383" s="22" t="s">
        <v>10</v>
      </c>
      <c r="E1383" s="22"/>
      <c r="F1383" s="22">
        <f>(0)</f>
      </c>
      <c r="G1383" s="22">
        <f>(C1383 * E1383 + C1383 * E1383 * F1383)</f>
      </c>
    </row>
    <row r="1384">
      <c r="A1384" s="5"/>
      <c r="B1384" s="14" t="s">
        <v>1058</v>
      </c>
      <c r="C1384" s="22"/>
      <c r="D1384" s="22" t="s">
        <v>10</v>
      </c>
      <c r="E1384" s="22"/>
      <c r="F1384" s="22">
        <f>(0)</f>
      </c>
      <c r="G1384" s="22">
        <f>(C1384 * E1384 + C1384 * E1384 * F1384)</f>
      </c>
    </row>
    <row r="1385">
      <c r="A1385" s="5"/>
      <c r="B1385" s="14" t="s">
        <v>635</v>
      </c>
      <c r="C1385" s="22"/>
      <c r="D1385" s="22" t="s">
        <v>10</v>
      </c>
      <c r="E1385" s="22"/>
      <c r="F1385" s="22">
        <f>(0)</f>
      </c>
      <c r="G1385" s="22">
        <f>(C1385 * E1385 + C1385 * E1385 * F1385)</f>
      </c>
    </row>
    <row r="1386">
      <c r="A1386" s="3"/>
      <c r="B1386" s="11" t="s">
        <v>44</v>
      </c>
      <c r="C1386" s="20"/>
      <c r="D1386" s="20"/>
      <c r="E1386" s="20"/>
      <c r="F1386" s="20"/>
      <c r="G1386" s="20"/>
    </row>
    <row r="1387">
      <c r="A1387" s="4"/>
      <c r="B1387" s="12" t="s">
        <v>45</v>
      </c>
      <c r="C1387" s="21"/>
      <c r="D1387" s="21"/>
      <c r="E1387" s="21"/>
      <c r="F1387" s="21"/>
      <c r="G1387" s="21"/>
    </row>
    <row r="1388">
      <c r="A1388" s="5" t="s">
        <v>1097</v>
      </c>
      <c r="B1388" s="13" t="s">
        <v>1098</v>
      </c>
      <c r="C1388" s="22"/>
      <c r="D1388" s="22" t="s">
        <v>10</v>
      </c>
      <c r="E1388" s="22"/>
      <c r="F1388" s="22">
        <f>(0)</f>
      </c>
      <c r="G1388" s="22">
        <f>(C1388 * E1388 + C1388 * E1388 * F1388)</f>
      </c>
    </row>
    <row r="1389">
      <c r="A1389" s="5" t="s">
        <v>1099</v>
      </c>
      <c r="B1389" s="13" t="s">
        <v>1100</v>
      </c>
      <c r="C1389" s="22"/>
      <c r="D1389" s="22" t="s">
        <v>10</v>
      </c>
      <c r="E1389" s="22"/>
      <c r="F1389" s="22">
        <f>(0)</f>
      </c>
      <c r="G1389" s="22">
        <f>(C1389 * E1389 + C1389 * E1389 * F1389)</f>
      </c>
    </row>
    <row r="1390">
      <c r="A1390" s="5" t="s">
        <v>1101</v>
      </c>
      <c r="B1390" s="13" t="s">
        <v>123</v>
      </c>
      <c r="C1390" s="22"/>
      <c r="D1390" s="22" t="s">
        <v>10</v>
      </c>
      <c r="E1390" s="22"/>
      <c r="F1390" s="22">
        <f>(0)</f>
      </c>
      <c r="G1390" s="22">
        <f>(C1390 * E1390 + C1390 * E1390 * F1390)</f>
      </c>
    </row>
    <row r="1391">
      <c r="A1391" s="3"/>
      <c r="B1391" s="11" t="s">
        <v>68</v>
      </c>
      <c r="C1391" s="20"/>
      <c r="D1391" s="20"/>
      <c r="E1391" s="20"/>
      <c r="F1391" s="20"/>
      <c r="G1391" s="20"/>
    </row>
    <row r="1392">
      <c r="A1392" s="5" t="s">
        <v>1127</v>
      </c>
      <c r="B1392" s="14" t="s">
        <v>1071</v>
      </c>
      <c r="C1392" s="22">
        <f>(1)*(1)*(1)*(1)*(1 + (0))</f>
      </c>
      <c r="D1392" s="22" t="s">
        <v>71</v>
      </c>
      <c r="E1392" s="22"/>
      <c r="F1392" s="22">
        <f>(0)</f>
      </c>
      <c r="G1392" s="22">
        <f>(C1392 * E1392 + C1392 * E1392 * F1392)</f>
      </c>
    </row>
    <row r="1393">
      <c r="A1393" s="5" t="s">
        <v>1128</v>
      </c>
      <c r="B1393" s="14" t="s">
        <v>798</v>
      </c>
      <c r="C1393" s="22">
        <f>(1)*(1)*(1)*(1)*(1 + (0))</f>
      </c>
      <c r="D1393" s="22" t="s">
        <v>71</v>
      </c>
      <c r="E1393" s="22"/>
      <c r="F1393" s="22">
        <f>(0)</f>
      </c>
      <c r="G1393" s="22">
        <f>(C1393 * E1393 + C1393 * E1393 * F1393)</f>
      </c>
    </row>
    <row r="1394">
      <c r="A1394" s="5" t="s">
        <v>1129</v>
      </c>
      <c r="B1394" s="14" t="s">
        <v>812</v>
      </c>
      <c r="C1394" s="22">
        <f>(1)*(1)*(1)*(1)*(1 + (0))</f>
      </c>
      <c r="D1394" s="22" t="s">
        <v>71</v>
      </c>
      <c r="E1394" s="22"/>
      <c r="F1394" s="22">
        <f>(0)</f>
      </c>
      <c r="G1394" s="22">
        <f>(C1394 * E1394 + C1394 * E1394 * F1394)</f>
      </c>
    </row>
    <row r="1395">
      <c r="A1395" s="5" t="s">
        <v>1130</v>
      </c>
      <c r="B1395" s="14" t="s">
        <v>810</v>
      </c>
      <c r="C1395" s="22">
        <f>(1)*(1)*(1)*(1)*(1 + (0))</f>
      </c>
      <c r="D1395" s="22" t="s">
        <v>71</v>
      </c>
      <c r="E1395" s="22"/>
      <c r="F1395" s="22">
        <f>(0)</f>
      </c>
      <c r="G1395" s="22">
        <f>(C1395 * E1395 + C1395 * E1395 * F1395)</f>
      </c>
    </row>
    <row r="1396">
      <c r="A1396" s="5" t="s">
        <v>1131</v>
      </c>
      <c r="B1396" s="14" t="s">
        <v>230</v>
      </c>
      <c r="C1396" s="22">
        <f>(1)*(1)*(1)*(1)*(1 + (0))</f>
      </c>
      <c r="D1396" s="22" t="s">
        <v>71</v>
      </c>
      <c r="E1396" s="22"/>
      <c r="F1396" s="22">
        <f>(0)</f>
      </c>
      <c r="G1396" s="22">
        <f>(C1396 * E1396 + C1396 * E1396 * F1396)</f>
      </c>
    </row>
    <row r="1397">
      <c r="A1397" s="5" t="s">
        <v>1132</v>
      </c>
      <c r="B1397" s="14" t="s">
        <v>800</v>
      </c>
      <c r="C1397" s="22">
        <f>(1)*(1)*(1)*(1)*(1 + (0))</f>
      </c>
      <c r="D1397" s="22" t="s">
        <v>71</v>
      </c>
      <c r="E1397" s="22"/>
      <c r="F1397" s="22">
        <f>(0)</f>
      </c>
      <c r="G1397" s="22">
        <f>(C1397 * E1397 + C1397 * E1397 * F1397)</f>
      </c>
    </row>
    <row r="1398">
      <c r="A1398" s="5" t="s">
        <v>1133</v>
      </c>
      <c r="B1398" s="14" t="s">
        <v>70</v>
      </c>
      <c r="C1398" s="22">
        <f>(1)*(1)*(1)*(1)*(1 + (0))</f>
      </c>
      <c r="D1398" s="22" t="s">
        <v>71</v>
      </c>
      <c r="E1398" s="22"/>
      <c r="F1398" s="22">
        <f>(0)</f>
      </c>
      <c r="G1398" s="22">
        <f>(C1398 * E1398 + C1398 * E1398 * F1398)</f>
      </c>
    </row>
    <row r="1399">
      <c r="A1399" s="5" t="s">
        <v>1134</v>
      </c>
      <c r="B1399" s="14" t="s">
        <v>1135</v>
      </c>
      <c r="C1399" s="22">
        <f>(1)*(1)*(1)*(1)*(1 + (0))</f>
      </c>
      <c r="D1399" s="22" t="s">
        <v>71</v>
      </c>
      <c r="E1399" s="22"/>
      <c r="F1399" s="22">
        <f>(0)</f>
      </c>
      <c r="G1399" s="22">
        <f>(C1399 * E1399 + C1399 * E1399 * F1399)</f>
      </c>
    </row>
    <row r="1400">
      <c r="A1400" s="5" t="s">
        <v>1136</v>
      </c>
      <c r="B1400" s="14" t="s">
        <v>667</v>
      </c>
      <c r="C1400" s="22">
        <f>(1)*(1)*(1)*(1)*(1 + (0))</f>
      </c>
      <c r="D1400" s="22" t="s">
        <v>71</v>
      </c>
      <c r="E1400" s="22"/>
      <c r="F1400" s="22">
        <f>(0)</f>
      </c>
      <c r="G1400" s="22">
        <f>(C1400 * E1400 + C1400 * E1400 * F1400)</f>
      </c>
    </row>
    <row r="1401">
      <c r="A1401" s="5" t="s">
        <v>1137</v>
      </c>
      <c r="B1401" s="14" t="s">
        <v>665</v>
      </c>
      <c r="C1401" s="22">
        <f>(1)*(1)*(1)*(1)*(1 + (0))</f>
      </c>
      <c r="D1401" s="22" t="s">
        <v>71</v>
      </c>
      <c r="E1401" s="22"/>
      <c r="F1401" s="22">
        <f>(0)</f>
      </c>
      <c r="G1401" s="22">
        <f>(C1401 * E1401 + C1401 * E1401 * F1401)</f>
      </c>
    </row>
    <row r="1402">
      <c r="A1402" s="3"/>
      <c r="B1402" s="11" t="s">
        <v>106</v>
      </c>
      <c r="C1402" s="20"/>
      <c r="D1402" s="20"/>
      <c r="E1402" s="20"/>
      <c r="F1402" s="20"/>
      <c r="G1402" s="20"/>
    </row>
    <row r="1403">
      <c r="A1403" s="5"/>
      <c r="B1403" s="14" t="s">
        <v>1107</v>
      </c>
      <c r="C1403" s="22"/>
      <c r="D1403" s="22" t="s">
        <v>10</v>
      </c>
      <c r="E1403" s="22"/>
      <c r="F1403" s="22">
        <f>(0)</f>
      </c>
      <c r="G1403" s="22">
        <f>(C1403 * E1403 + C1403 * E1403 * F1403)</f>
      </c>
    </row>
    <row r="1404">
      <c r="A1404" s="5"/>
      <c r="B1404" s="14" t="s">
        <v>1138</v>
      </c>
      <c r="C1404" s="22"/>
      <c r="D1404" s="22" t="s">
        <v>10</v>
      </c>
      <c r="E1404" s="22"/>
      <c r="F1404" s="22">
        <f>(0)</f>
      </c>
      <c r="G1404" s="22">
        <f>(C1404 * E1404 + C1404 * E1404 * F1404)</f>
      </c>
    </row>
    <row r="1405">
      <c r="A1405" s="3"/>
      <c r="B1405" s="11" t="s">
        <v>1139</v>
      </c>
      <c r="C1405" s="20"/>
      <c r="D1405" s="20"/>
      <c r="E1405" s="20"/>
      <c r="F1405" s="20"/>
      <c r="G1405" s="20"/>
    </row>
    <row r="1406">
      <c r="A1406" s="4"/>
      <c r="B1406" s="12" t="s">
        <v>1140</v>
      </c>
      <c r="C1406" s="21"/>
      <c r="D1406" s="21"/>
      <c r="E1406" s="21"/>
      <c r="F1406" s="21"/>
      <c r="G1406" s="21"/>
    </row>
    <row r="1407">
      <c r="A1407" s="5"/>
      <c r="B1407" s="13" t="s">
        <v>676</v>
      </c>
      <c r="C1407" s="22">
        <f>(94)*(1)*(1)*(1)*(1 + (0))</f>
      </c>
      <c r="D1407" s="22" t="s">
        <v>24</v>
      </c>
      <c r="E1407" s="22"/>
      <c r="F1407" s="22">
        <f>(0)</f>
      </c>
      <c r="G1407" s="22">
        <f>(C1407 * E1407 + C1407 * E1407 * F1407)</f>
      </c>
    </row>
    <row r="1408">
      <c r="A1408" s="4"/>
      <c r="B1408" s="12" t="s">
        <v>1141</v>
      </c>
      <c r="C1408" s="21"/>
      <c r="D1408" s="21"/>
      <c r="E1408" s="21"/>
      <c r="F1408" s="21"/>
      <c r="G1408" s="21"/>
    </row>
    <row r="1409">
      <c r="A1409" s="5"/>
      <c r="B1409" s="13" t="s">
        <v>613</v>
      </c>
      <c r="C1409" s="22">
        <f>(18)*(1)*(1)*(1)*(1 + (0))</f>
      </c>
      <c r="D1409" s="22" t="s">
        <v>24</v>
      </c>
      <c r="E1409" s="22"/>
      <c r="F1409" s="22">
        <f>(0)</f>
      </c>
      <c r="G1409" s="22">
        <f>(C1409 * E1409 + C1409 * E1409 * F1409)</f>
      </c>
    </row>
    <row r="1410">
      <c r="A1410" s="4"/>
      <c r="B1410" s="12" t="s">
        <v>1142</v>
      </c>
      <c r="C1410" s="21"/>
      <c r="D1410" s="21"/>
      <c r="E1410" s="21"/>
      <c r="F1410" s="21"/>
      <c r="G1410" s="21"/>
    </row>
    <row r="1411">
      <c r="A1411" s="5"/>
      <c r="B1411" s="13" t="s">
        <v>676</v>
      </c>
      <c r="C1411" s="22">
        <f>(31)*(1)*(1)*(1)*(1 + (0))</f>
      </c>
      <c r="D1411" s="22" t="s">
        <v>24</v>
      </c>
      <c r="E1411" s="22"/>
      <c r="F1411" s="22">
        <f>(0)</f>
      </c>
      <c r="G1411" s="22">
        <f>(C1411 * E1411 + C1411 * E1411 * F1411)</f>
      </c>
    </row>
    <row r="1412">
      <c r="A1412" s="5"/>
      <c r="B1412" s="13" t="s">
        <v>613</v>
      </c>
      <c r="C1412" s="22">
        <f>(60)*(1)*(1)*(1)*(1 + (0))</f>
      </c>
      <c r="D1412" s="22" t="s">
        <v>24</v>
      </c>
      <c r="E1412" s="22"/>
      <c r="F1412" s="22">
        <f>(0)</f>
      </c>
      <c r="G1412" s="22">
        <f>(C1412 * E1412 + C1412 * E1412 * F1412)</f>
      </c>
    </row>
    <row r="1413">
      <c r="A1413" s="4"/>
      <c r="B1413" s="12" t="s">
        <v>1143</v>
      </c>
      <c r="C1413" s="21"/>
      <c r="D1413" s="21"/>
      <c r="E1413" s="21"/>
      <c r="F1413" s="21"/>
      <c r="G1413" s="21"/>
    </row>
    <row r="1414">
      <c r="A1414" s="5"/>
      <c r="B1414" s="13" t="s">
        <v>676</v>
      </c>
      <c r="C1414" s="22">
        <f>(28)*(1)*(1)*(1)*(1 + (0))</f>
      </c>
      <c r="D1414" s="22" t="s">
        <v>24</v>
      </c>
      <c r="E1414" s="22"/>
      <c r="F1414" s="22">
        <f>(0)</f>
      </c>
      <c r="G1414" s="22">
        <f>(C1414 * E1414 + C1414 * E1414 * F1414)</f>
      </c>
    </row>
    <row r="1415">
      <c r="A1415" s="3"/>
      <c r="B1415" s="11" t="s">
        <v>1144</v>
      </c>
      <c r="C1415" s="20"/>
      <c r="D1415" s="20"/>
      <c r="E1415" s="20"/>
      <c r="F1415" s="20"/>
      <c r="G1415" s="20"/>
    </row>
    <row r="1416">
      <c r="A1416" s="4"/>
      <c r="B1416" s="12" t="s">
        <v>1145</v>
      </c>
      <c r="C1416" s="21"/>
      <c r="D1416" s="21"/>
      <c r="E1416" s="21"/>
      <c r="F1416" s="21"/>
      <c r="G1416" s="21"/>
    </row>
    <row r="1417">
      <c r="A1417" s="5"/>
      <c r="B1417" s="13" t="s">
        <v>676</v>
      </c>
      <c r="C1417" s="22">
        <f>(384)*(1)*(1)*(1)*(1 + (0))</f>
      </c>
      <c r="D1417" s="22" t="s">
        <v>24</v>
      </c>
      <c r="E1417" s="22"/>
      <c r="F1417" s="22">
        <f>(0)</f>
      </c>
      <c r="G1417" s="22">
        <f>(C1417 * E1417 + C1417 * E1417 * F1417)</f>
      </c>
    </row>
    <row r="1418">
      <c r="A1418" s="5"/>
      <c r="B1418" s="13" t="s">
        <v>613</v>
      </c>
      <c r="C1418" s="22">
        <f>(295)*(1)*(1)*(1)*(1 + (0))</f>
      </c>
      <c r="D1418" s="22" t="s">
        <v>24</v>
      </c>
      <c r="E1418" s="22"/>
      <c r="F1418" s="22">
        <f>(0)</f>
      </c>
      <c r="G1418" s="22">
        <f>(C1418 * E1418 + C1418 * E1418 * F1418)</f>
      </c>
    </row>
    <row r="1419">
      <c r="A1419" s="3"/>
      <c r="B1419" s="11" t="s">
        <v>1116</v>
      </c>
      <c r="C1419" s="20"/>
      <c r="D1419" s="20"/>
      <c r="E1419" s="20"/>
      <c r="F1419" s="20"/>
      <c r="G1419" s="20"/>
    </row>
    <row r="1420">
      <c r="A1420" s="4"/>
      <c r="B1420" s="12" t="s">
        <v>1146</v>
      </c>
      <c r="C1420" s="21"/>
      <c r="D1420" s="21"/>
      <c r="E1420" s="21"/>
      <c r="F1420" s="21"/>
      <c r="G1420" s="21"/>
    </row>
    <row r="1421">
      <c r="A1421" s="5"/>
      <c r="B1421" s="13" t="s">
        <v>676</v>
      </c>
      <c r="C1421" s="22">
        <f>(4)*(1)*(1)*(1)*(1 + (0))</f>
      </c>
      <c r="D1421" s="22" t="s">
        <v>153</v>
      </c>
      <c r="E1421" s="22"/>
      <c r="F1421" s="22">
        <f>(0)</f>
      </c>
      <c r="G1421" s="22">
        <f>(C1421 * E1421 + C1421 * E1421 * F1421)</f>
      </c>
    </row>
    <row r="1422">
      <c r="A1422" s="3"/>
      <c r="B1422" s="11" t="s">
        <v>1119</v>
      </c>
      <c r="C1422" s="20"/>
      <c r="D1422" s="20"/>
      <c r="E1422" s="20"/>
      <c r="F1422" s="20"/>
      <c r="G1422" s="20"/>
    </row>
    <row r="1423">
      <c r="A1423" s="5"/>
      <c r="B1423" s="14" t="s">
        <v>1120</v>
      </c>
      <c r="C1423" s="22">
        <f>(77)*(1)*(1)*(1)*(1 + (0))</f>
      </c>
      <c r="D1423" s="22" t="s">
        <v>24</v>
      </c>
      <c r="E1423" s="22"/>
      <c r="F1423" s="22">
        <f>(0)</f>
      </c>
      <c r="G1423" s="22">
        <f>(C1423 * E1423 + C1423 * E1423 * F1423)</f>
      </c>
    </row>
    <row r="1424">
      <c r="A1424" s="5"/>
      <c r="B1424" s="14" t="s">
        <v>1147</v>
      </c>
      <c r="C1424" s="22">
        <f>(77)*(1)*(1)*(1)*(1 + (0))</f>
      </c>
      <c r="D1424" s="22" t="s">
        <v>24</v>
      </c>
      <c r="E1424" s="22"/>
      <c r="F1424" s="22">
        <f>(0)</f>
      </c>
      <c r="G1424" s="22">
        <f>(C1424 * E1424 + C1424 * E1424 * F1424)</f>
      </c>
    </row>
    <row r="1425">
      <c r="A1425" s="5"/>
      <c r="B1425" s="14" t="s">
        <v>1121</v>
      </c>
      <c r="C1425" s="22">
        <f>(39)*(1)*(1)*(1)*(1 + (0))</f>
      </c>
      <c r="D1425" s="22" t="s">
        <v>24</v>
      </c>
      <c r="E1425" s="22"/>
      <c r="F1425" s="22">
        <f>(0)</f>
      </c>
      <c r="G1425" s="22">
        <f>(C1425 * E1425 + C1425 * E1425 * F1425)</f>
      </c>
    </row>
    <row r="1426">
      <c r="A1426" s="5"/>
      <c r="B1426" s="14" t="s">
        <v>1148</v>
      </c>
      <c r="C1426" s="22">
        <f>(229)*(1)*(1)*(1)*(1 + (0))</f>
      </c>
      <c r="D1426" s="22" t="s">
        <v>24</v>
      </c>
      <c r="E1426" s="22"/>
      <c r="F1426" s="22">
        <f>(0)</f>
      </c>
      <c r="G1426" s="22">
        <f>(C1426 * E1426 + C1426 * E1426 * F1426)</f>
      </c>
    </row>
    <row r="1427">
      <c r="A1427" s="5"/>
      <c r="B1427" s="14" t="s">
        <v>1149</v>
      </c>
      <c r="C1427" s="22">
        <f>(229)*(1)*(1)*(1)*(1 + (0))</f>
      </c>
      <c r="D1427" s="22" t="s">
        <v>24</v>
      </c>
      <c r="E1427" s="22"/>
      <c r="F1427" s="22">
        <f>(0)</f>
      </c>
      <c r="G1427" s="22">
        <f>(C1427 * E1427 + C1427 * E1427 * F1427)</f>
      </c>
    </row>
    <row r="1428">
      <c r="A1428" s="5"/>
      <c r="B1428" s="7" t="s">
        <v>1150</v>
      </c>
      <c r="C1428" s="22"/>
      <c r="D1428" s="22"/>
      <c r="E1428" s="22"/>
      <c r="F1428" s="22">
        <f>(0)</f>
      </c>
      <c r="G1428" s="22">
        <f>(C1428 * E1428 + C1428 * E1428 * F1428)</f>
      </c>
    </row>
    <row r="1429">
      <c r="A1429" s="5"/>
      <c r="B1429" s="7" t="s">
        <v>1151</v>
      </c>
      <c r="C1429" s="22"/>
      <c r="D1429" s="22"/>
      <c r="E1429" s="22"/>
      <c r="F1429" s="22">
        <f>(0)</f>
      </c>
      <c r="G1429" s="22">
        <f>(C1429 * E1429 + C1429 * E1429 * F1429)</f>
      </c>
    </row>
    <row r="1430">
      <c r="A1430" s="2"/>
      <c r="B1430" s="10" t="s">
        <v>1152</v>
      </c>
      <c r="C1430" s="19"/>
      <c r="D1430" s="19"/>
      <c r="E1430" s="19"/>
      <c r="F1430" s="19"/>
      <c r="G1430" s="19"/>
    </row>
    <row r="1431">
      <c r="A1431" s="3"/>
      <c r="B1431" s="11" t="s">
        <v>37</v>
      </c>
      <c r="C1431" s="20"/>
      <c r="D1431" s="20"/>
      <c r="E1431" s="20"/>
      <c r="F1431" s="20"/>
      <c r="G1431" s="20"/>
    </row>
    <row r="1432">
      <c r="A1432" s="5" t="s">
        <v>1153</v>
      </c>
      <c r="B1432" s="14" t="s">
        <v>39</v>
      </c>
      <c r="C1432" s="22"/>
      <c r="D1432" s="22" t="s">
        <v>10</v>
      </c>
      <c r="E1432" s="22"/>
      <c r="F1432" s="22">
        <f>(0)</f>
      </c>
      <c r="G1432" s="22">
        <f>(C1432 * E1432 + C1432 * E1432 * F1432)</f>
      </c>
    </row>
    <row r="1433">
      <c r="A1433" s="5" t="s">
        <v>1154</v>
      </c>
      <c r="B1433" s="14" t="s">
        <v>41</v>
      </c>
      <c r="C1433" s="22"/>
      <c r="D1433" s="22" t="s">
        <v>10</v>
      </c>
      <c r="E1433" s="22"/>
      <c r="F1433" s="22">
        <f>(0)</f>
      </c>
      <c r="G1433" s="22">
        <f>(C1433 * E1433 + C1433 * E1433 * F1433)</f>
      </c>
    </row>
    <row r="1434">
      <c r="A1434" s="3"/>
      <c r="B1434" s="11" t="s">
        <v>42</v>
      </c>
      <c r="C1434" s="20"/>
      <c r="D1434" s="20"/>
      <c r="E1434" s="20"/>
      <c r="F1434" s="20"/>
      <c r="G1434" s="20"/>
    </row>
    <row r="1435">
      <c r="A1435" s="5"/>
      <c r="B1435" s="14" t="s">
        <v>1155</v>
      </c>
      <c r="C1435" s="22"/>
      <c r="D1435" s="22" t="s">
        <v>10</v>
      </c>
      <c r="E1435" s="22"/>
      <c r="F1435" s="22">
        <f>(0)</f>
      </c>
      <c r="G1435" s="22">
        <f>(C1435 * E1435 + C1435 * E1435 * F1435)</f>
      </c>
    </row>
    <row r="1436">
      <c r="A1436" s="5"/>
      <c r="B1436" s="14" t="s">
        <v>1156</v>
      </c>
      <c r="C1436" s="22"/>
      <c r="D1436" s="22" t="s">
        <v>10</v>
      </c>
      <c r="E1436" s="22"/>
      <c r="F1436" s="22">
        <f>(0)</f>
      </c>
      <c r="G1436" s="22">
        <f>(C1436 * E1436 + C1436 * E1436 * F1436)</f>
      </c>
    </row>
    <row r="1437">
      <c r="A1437" s="5"/>
      <c r="B1437" s="14" t="s">
        <v>1157</v>
      </c>
      <c r="C1437" s="22"/>
      <c r="D1437" s="22" t="s">
        <v>10</v>
      </c>
      <c r="E1437" s="22"/>
      <c r="F1437" s="22">
        <f>(0)</f>
      </c>
      <c r="G1437" s="22">
        <f>(C1437 * E1437 + C1437 * E1437 * F1437)</f>
      </c>
    </row>
    <row r="1438">
      <c r="A1438" s="3"/>
      <c r="B1438" s="11" t="s">
        <v>44</v>
      </c>
      <c r="C1438" s="20"/>
      <c r="D1438" s="20"/>
      <c r="E1438" s="20"/>
      <c r="F1438" s="20"/>
      <c r="G1438" s="20"/>
    </row>
    <row r="1439">
      <c r="A1439" s="4"/>
      <c r="B1439" s="12" t="s">
        <v>45</v>
      </c>
      <c r="C1439" s="21"/>
      <c r="D1439" s="21"/>
      <c r="E1439" s="21"/>
      <c r="F1439" s="21"/>
      <c r="G1439" s="21"/>
    </row>
    <row r="1440">
      <c r="A1440" s="5" t="s">
        <v>1158</v>
      </c>
      <c r="B1440" s="13" t="s">
        <v>898</v>
      </c>
      <c r="C1440" s="22"/>
      <c r="D1440" s="22" t="s">
        <v>10</v>
      </c>
      <c r="E1440" s="22"/>
      <c r="F1440" s="22">
        <f>(0)</f>
      </c>
      <c r="G1440" s="22">
        <f>(C1440 * E1440 + C1440 * E1440 * F1440)</f>
      </c>
    </row>
    <row r="1441">
      <c r="A1441" s="5" t="s">
        <v>1159</v>
      </c>
      <c r="B1441" s="13" t="s">
        <v>899</v>
      </c>
      <c r="C1441" s="22"/>
      <c r="D1441" s="22" t="s">
        <v>10</v>
      </c>
      <c r="E1441" s="22"/>
      <c r="F1441" s="22">
        <f>(0)</f>
      </c>
      <c r="G1441" s="22">
        <f>(C1441 * E1441 + C1441 * E1441 * F1441)</f>
      </c>
    </row>
    <row r="1442">
      <c r="A1442" s="5" t="s">
        <v>1160</v>
      </c>
      <c r="B1442" s="13" t="s">
        <v>767</v>
      </c>
      <c r="C1442" s="22"/>
      <c r="D1442" s="22" t="s">
        <v>10</v>
      </c>
      <c r="E1442" s="22"/>
      <c r="F1442" s="22">
        <f>(0)</f>
      </c>
      <c r="G1442" s="22">
        <f>(C1442 * E1442 + C1442 * E1442 * F1442)</f>
      </c>
    </row>
    <row r="1443">
      <c r="A1443" s="5" t="s">
        <v>1161</v>
      </c>
      <c r="B1443" s="13" t="s">
        <v>1162</v>
      </c>
      <c r="C1443" s="22"/>
      <c r="D1443" s="22" t="s">
        <v>10</v>
      </c>
      <c r="E1443" s="22"/>
      <c r="F1443" s="22">
        <f>(0)</f>
      </c>
      <c r="G1443" s="22">
        <f>(C1443 * E1443 + C1443 * E1443 * F1443)</f>
      </c>
    </row>
    <row r="1444">
      <c r="A1444" s="5" t="s">
        <v>1163</v>
      </c>
      <c r="B1444" s="13" t="s">
        <v>1164</v>
      </c>
      <c r="C1444" s="22"/>
      <c r="D1444" s="22" t="s">
        <v>10</v>
      </c>
      <c r="E1444" s="22"/>
      <c r="F1444" s="22">
        <f>(0)</f>
      </c>
      <c r="G1444" s="22">
        <f>(C1444 * E1444 + C1444 * E1444 * F1444)</f>
      </c>
    </row>
    <row r="1445">
      <c r="A1445" s="5" t="s">
        <v>1165</v>
      </c>
      <c r="B1445" s="13" t="s">
        <v>123</v>
      </c>
      <c r="C1445" s="22"/>
      <c r="D1445" s="22" t="s">
        <v>10</v>
      </c>
      <c r="E1445" s="22"/>
      <c r="F1445" s="22">
        <f>(0)</f>
      </c>
      <c r="G1445" s="22">
        <f>(C1445 * E1445 + C1445 * E1445 * F1445)</f>
      </c>
    </row>
    <row r="1446">
      <c r="A1446" s="3"/>
      <c r="B1446" s="11" t="s">
        <v>68</v>
      </c>
      <c r="C1446" s="20"/>
      <c r="D1446" s="20"/>
      <c r="E1446" s="20"/>
      <c r="F1446" s="20"/>
      <c r="G1446" s="20"/>
    </row>
    <row r="1447">
      <c r="A1447" s="5" t="s">
        <v>1166</v>
      </c>
      <c r="B1447" s="14" t="s">
        <v>70</v>
      </c>
      <c r="C1447" s="22">
        <f>(1)*(1)*(1)*(1)*(1 + (0))</f>
      </c>
      <c r="D1447" s="22" t="s">
        <v>71</v>
      </c>
      <c r="E1447" s="22"/>
      <c r="F1447" s="22">
        <f>(0)</f>
      </c>
      <c r="G1447" s="22">
        <f>(C1447 * E1447 + C1447 * E1447 * F1447)</f>
      </c>
    </row>
    <row r="1448">
      <c r="A1448" s="5" t="s">
        <v>1167</v>
      </c>
      <c r="B1448" s="14" t="s">
        <v>1022</v>
      </c>
      <c r="C1448" s="22">
        <f>(1)*(1)*(1)*(1)*(1 + (0))</f>
      </c>
      <c r="D1448" s="22" t="s">
        <v>71</v>
      </c>
      <c r="E1448" s="22"/>
      <c r="F1448" s="22">
        <f>(0)</f>
      </c>
      <c r="G1448" s="22">
        <f>(C1448 * E1448 + C1448 * E1448 * F1448)</f>
      </c>
    </row>
    <row r="1449">
      <c r="A1449" s="5" t="s">
        <v>1168</v>
      </c>
      <c r="B1449" s="14" t="s">
        <v>1169</v>
      </c>
      <c r="C1449" s="22">
        <f>(1)*(1)*(1)*(1)*(1 + (0))</f>
      </c>
      <c r="D1449" s="22" t="s">
        <v>71</v>
      </c>
      <c r="E1449" s="22"/>
      <c r="F1449" s="22">
        <f>(0)</f>
      </c>
      <c r="G1449" s="22">
        <f>(C1449 * E1449 + C1449 * E1449 * F1449)</f>
      </c>
    </row>
    <row r="1450">
      <c r="A1450" s="5" t="s">
        <v>1170</v>
      </c>
      <c r="B1450" s="14" t="s">
        <v>1071</v>
      </c>
      <c r="C1450" s="22">
        <f>(1)*(1)*(1)*(1)*(1 + (0))</f>
      </c>
      <c r="D1450" s="22" t="s">
        <v>71</v>
      </c>
      <c r="E1450" s="22"/>
      <c r="F1450" s="22">
        <f>(0)</f>
      </c>
      <c r="G1450" s="22">
        <f>(C1450 * E1450 + C1450 * E1450 * F1450)</f>
      </c>
    </row>
    <row r="1451">
      <c r="A1451" s="5" t="s">
        <v>1171</v>
      </c>
      <c r="B1451" s="14" t="s">
        <v>798</v>
      </c>
      <c r="C1451" s="22">
        <f>(1)*(1)*(1)*(1)*(1 + (0))</f>
      </c>
      <c r="D1451" s="22" t="s">
        <v>71</v>
      </c>
      <c r="E1451" s="22"/>
      <c r="F1451" s="22">
        <f>(0)</f>
      </c>
      <c r="G1451" s="22">
        <f>(C1451 * E1451 + C1451 * E1451 * F1451)</f>
      </c>
    </row>
    <row r="1452">
      <c r="A1452" s="5" t="s">
        <v>1172</v>
      </c>
      <c r="B1452" s="14" t="s">
        <v>665</v>
      </c>
      <c r="C1452" s="22">
        <f>(1)*(1)*(1)*(1)*(1 + (0))</f>
      </c>
      <c r="D1452" s="22" t="s">
        <v>71</v>
      </c>
      <c r="E1452" s="22"/>
      <c r="F1452" s="22">
        <f>(0)</f>
      </c>
      <c r="G1452" s="22">
        <f>(C1452 * E1452 + C1452 * E1452 * F1452)</f>
      </c>
    </row>
    <row r="1453">
      <c r="A1453" s="3"/>
      <c r="B1453" s="11" t="s">
        <v>106</v>
      </c>
      <c r="C1453" s="20"/>
      <c r="D1453" s="20"/>
      <c r="E1453" s="20"/>
      <c r="F1453" s="20"/>
      <c r="G1453" s="20"/>
    </row>
    <row r="1454">
      <c r="A1454" s="5"/>
      <c r="B1454" s="14" t="s">
        <v>1173</v>
      </c>
      <c r="C1454" s="22"/>
      <c r="D1454" s="22" t="s">
        <v>10</v>
      </c>
      <c r="E1454" s="22"/>
      <c r="F1454" s="22">
        <f>(0)</f>
      </c>
      <c r="G1454" s="22">
        <f>(C1454 * E1454 + C1454 * E1454 * F1454)</f>
      </c>
    </row>
    <row r="1455">
      <c r="A1455" s="5"/>
      <c r="B1455" s="14" t="s">
        <v>1174</v>
      </c>
      <c r="C1455" s="22"/>
      <c r="D1455" s="22" t="s">
        <v>10</v>
      </c>
      <c r="E1455" s="22"/>
      <c r="F1455" s="22">
        <f>(0)</f>
      </c>
      <c r="G1455" s="22">
        <f>(C1455 * E1455 + C1455 * E1455 * F1455)</f>
      </c>
    </row>
    <row r="1456">
      <c r="A1456" s="5"/>
      <c r="B1456" s="14" t="s">
        <v>1175</v>
      </c>
      <c r="C1456" s="22"/>
      <c r="D1456" s="22" t="s">
        <v>10</v>
      </c>
      <c r="E1456" s="22"/>
      <c r="F1456" s="22">
        <f>(0)</f>
      </c>
      <c r="G1456" s="22">
        <f>(C1456 * E1456 + C1456 * E1456 * F1456)</f>
      </c>
    </row>
    <row r="1457">
      <c r="A1457" s="5"/>
      <c r="B1457" s="14" t="s">
        <v>1176</v>
      </c>
      <c r="C1457" s="22"/>
      <c r="D1457" s="22" t="s">
        <v>10</v>
      </c>
      <c r="E1457" s="22"/>
      <c r="F1457" s="22">
        <f>(0)</f>
      </c>
      <c r="G1457" s="22">
        <f>(C1457 * E1457 + C1457 * E1457 * F1457)</f>
      </c>
    </row>
    <row r="1458">
      <c r="A1458" s="5"/>
      <c r="B1458" s="14" t="s">
        <v>1177</v>
      </c>
      <c r="C1458" s="22"/>
      <c r="D1458" s="22" t="s">
        <v>10</v>
      </c>
      <c r="E1458" s="22"/>
      <c r="F1458" s="22">
        <f>(0)</f>
      </c>
      <c r="G1458" s="22">
        <f>(C1458 * E1458 + C1458 * E1458 * F1458)</f>
      </c>
    </row>
    <row r="1459">
      <c r="A1459" s="5"/>
      <c r="B1459" s="14" t="s">
        <v>1178</v>
      </c>
      <c r="C1459" s="22"/>
      <c r="D1459" s="22" t="s">
        <v>10</v>
      </c>
      <c r="E1459" s="22"/>
      <c r="F1459" s="22">
        <f>(0)</f>
      </c>
      <c r="G1459" s="22">
        <f>(C1459 * E1459 + C1459 * E1459 * F1459)</f>
      </c>
    </row>
    <row r="1460">
      <c r="A1460" s="5"/>
      <c r="B1460" s="14" t="s">
        <v>1179</v>
      </c>
      <c r="C1460" s="22"/>
      <c r="D1460" s="22" t="s">
        <v>10</v>
      </c>
      <c r="E1460" s="22"/>
      <c r="F1460" s="22">
        <f>(0)</f>
      </c>
      <c r="G1460" s="22">
        <f>(C1460 * E1460 + C1460 * E1460 * F1460)</f>
      </c>
    </row>
    <row r="1461">
      <c r="A1461" s="5"/>
      <c r="B1461" s="14" t="s">
        <v>1180</v>
      </c>
      <c r="C1461" s="22"/>
      <c r="D1461" s="22" t="s">
        <v>10</v>
      </c>
      <c r="E1461" s="22"/>
      <c r="F1461" s="22">
        <f>(0)</f>
      </c>
      <c r="G1461" s="22">
        <f>(C1461 * E1461 + C1461 * E1461 * F1461)</f>
      </c>
    </row>
    <row r="1462">
      <c r="A1462" s="5"/>
      <c r="B1462" s="14" t="s">
        <v>1181</v>
      </c>
      <c r="C1462" s="22"/>
      <c r="D1462" s="22" t="s">
        <v>10</v>
      </c>
      <c r="E1462" s="22"/>
      <c r="F1462" s="22">
        <f>(0)</f>
      </c>
      <c r="G1462" s="22">
        <f>(C1462 * E1462 + C1462 * E1462 * F1462)</f>
      </c>
    </row>
    <row r="1463">
      <c r="A1463" s="5"/>
      <c r="B1463" s="14" t="s">
        <v>1182</v>
      </c>
      <c r="C1463" s="22"/>
      <c r="D1463" s="22" t="s">
        <v>10</v>
      </c>
      <c r="E1463" s="22"/>
      <c r="F1463" s="22">
        <f>(0)</f>
      </c>
      <c r="G1463" s="22">
        <f>(C1463 * E1463 + C1463 * E1463 * F1463)</f>
      </c>
    </row>
    <row r="1464">
      <c r="A1464" s="5"/>
      <c r="B1464" s="14" t="s">
        <v>1183</v>
      </c>
      <c r="C1464" s="22"/>
      <c r="D1464" s="22" t="s">
        <v>10</v>
      </c>
      <c r="E1464" s="22"/>
      <c r="F1464" s="22">
        <f>(0)</f>
      </c>
      <c r="G1464" s="22">
        <f>(C1464 * E1464 + C1464 * E1464 * F1464)</f>
      </c>
    </row>
    <row r="1465">
      <c r="A1465" s="5"/>
      <c r="B1465" s="14" t="s">
        <v>1184</v>
      </c>
      <c r="C1465" s="22"/>
      <c r="D1465" s="22" t="s">
        <v>10</v>
      </c>
      <c r="E1465" s="22"/>
      <c r="F1465" s="22">
        <f>(0)</f>
      </c>
      <c r="G1465" s="22">
        <f>(C1465 * E1465 + C1465 * E1465 * F1465)</f>
      </c>
    </row>
    <row r="1466">
      <c r="A1466" s="5"/>
      <c r="B1466" s="14" t="s">
        <v>1185</v>
      </c>
      <c r="C1466" s="22"/>
      <c r="D1466" s="22" t="s">
        <v>10</v>
      </c>
      <c r="E1466" s="22"/>
      <c r="F1466" s="22">
        <f>(0)</f>
      </c>
      <c r="G1466" s="22">
        <f>(C1466 * E1466 + C1466 * E1466 * F1466)</f>
      </c>
    </row>
    <row r="1467">
      <c r="A1467" s="5"/>
      <c r="B1467" s="14" t="s">
        <v>1186</v>
      </c>
      <c r="C1467" s="22"/>
      <c r="D1467" s="22" t="s">
        <v>10</v>
      </c>
      <c r="E1467" s="22"/>
      <c r="F1467" s="22">
        <f>(0)</f>
      </c>
      <c r="G1467" s="22">
        <f>(C1467 * E1467 + C1467 * E1467 * F1467)</f>
      </c>
    </row>
    <row r="1468">
      <c r="A1468" s="5"/>
      <c r="B1468" s="14" t="s">
        <v>1187</v>
      </c>
      <c r="C1468" s="22"/>
      <c r="D1468" s="22" t="s">
        <v>10</v>
      </c>
      <c r="E1468" s="22"/>
      <c r="F1468" s="22">
        <f>(0)</f>
      </c>
      <c r="G1468" s="22">
        <f>(C1468 * E1468 + C1468 * E1468 * F1468)</f>
      </c>
    </row>
    <row r="1469">
      <c r="A1469" s="5"/>
      <c r="B1469" s="14" t="s">
        <v>1188</v>
      </c>
      <c r="C1469" s="22"/>
      <c r="D1469" s="22" t="s">
        <v>10</v>
      </c>
      <c r="E1469" s="22"/>
      <c r="F1469" s="22">
        <f>(0)</f>
      </c>
      <c r="G1469" s="22">
        <f>(C1469 * E1469 + C1469 * E1469 * F1469)</f>
      </c>
    </row>
    <row r="1470">
      <c r="A1470" s="5"/>
      <c r="B1470" s="14" t="s">
        <v>1189</v>
      </c>
      <c r="C1470" s="22"/>
      <c r="D1470" s="22" t="s">
        <v>10</v>
      </c>
      <c r="E1470" s="22"/>
      <c r="F1470" s="22">
        <f>(0)</f>
      </c>
      <c r="G1470" s="22">
        <f>(C1470 * E1470 + C1470 * E1470 * F1470)</f>
      </c>
    </row>
    <row r="1471">
      <c r="A1471" s="5"/>
      <c r="B1471" s="14" t="s">
        <v>1190</v>
      </c>
      <c r="C1471" s="22"/>
      <c r="D1471" s="22" t="s">
        <v>10</v>
      </c>
      <c r="E1471" s="22"/>
      <c r="F1471" s="22">
        <f>(0)</f>
      </c>
      <c r="G1471" s="22">
        <f>(C1471 * E1471 + C1471 * E1471 * F1471)</f>
      </c>
    </row>
    <row r="1472">
      <c r="A1472" s="5"/>
      <c r="B1472" s="14" t="s">
        <v>1191</v>
      </c>
      <c r="C1472" s="22"/>
      <c r="D1472" s="22" t="s">
        <v>10</v>
      </c>
      <c r="E1472" s="22"/>
      <c r="F1472" s="22">
        <f>(0)</f>
      </c>
      <c r="G1472" s="22">
        <f>(C1472 * E1472 + C1472 * E1472 * F1472)</f>
      </c>
    </row>
    <row r="1473">
      <c r="A1473" s="5"/>
      <c r="B1473" s="14" t="s">
        <v>1192</v>
      </c>
      <c r="C1473" s="22"/>
      <c r="D1473" s="22" t="s">
        <v>10</v>
      </c>
      <c r="E1473" s="22"/>
      <c r="F1473" s="22">
        <f>(0)</f>
      </c>
      <c r="G1473" s="22">
        <f>(C1473 * E1473 + C1473 * E1473 * F1473)</f>
      </c>
    </row>
    <row r="1474">
      <c r="A1474" s="5"/>
      <c r="B1474" s="14" t="s">
        <v>1193</v>
      </c>
      <c r="C1474" s="22"/>
      <c r="D1474" s="22" t="s">
        <v>10</v>
      </c>
      <c r="E1474" s="22"/>
      <c r="F1474" s="22">
        <f>(0)</f>
      </c>
      <c r="G1474" s="22">
        <f>(C1474 * E1474 + C1474 * E1474 * F1474)</f>
      </c>
    </row>
    <row r="1475">
      <c r="A1475" s="5"/>
      <c r="B1475" s="14" t="s">
        <v>1194</v>
      </c>
      <c r="C1475" s="22"/>
      <c r="D1475" s="22" t="s">
        <v>10</v>
      </c>
      <c r="E1475" s="22"/>
      <c r="F1475" s="22">
        <f>(0)</f>
      </c>
      <c r="G1475" s="22">
        <f>(C1475 * E1475 + C1475 * E1475 * F1475)</f>
      </c>
    </row>
    <row r="1476">
      <c r="A1476" s="5"/>
      <c r="B1476" s="14" t="s">
        <v>1195</v>
      </c>
      <c r="C1476" s="22"/>
      <c r="D1476" s="22" t="s">
        <v>10</v>
      </c>
      <c r="E1476" s="22"/>
      <c r="F1476" s="22">
        <f>(0)</f>
      </c>
      <c r="G1476" s="22">
        <f>(C1476 * E1476 + C1476 * E1476 * F1476)</f>
      </c>
    </row>
    <row r="1477">
      <c r="A1477" s="5"/>
      <c r="B1477" s="14" t="s">
        <v>1196</v>
      </c>
      <c r="C1477" s="22"/>
      <c r="D1477" s="22" t="s">
        <v>10</v>
      </c>
      <c r="E1477" s="22"/>
      <c r="F1477" s="22">
        <f>(0)</f>
      </c>
      <c r="G1477" s="22">
        <f>(C1477 * E1477 + C1477 * E1477 * F1477)</f>
      </c>
    </row>
    <row r="1478">
      <c r="A1478" s="5"/>
      <c r="B1478" s="14" t="s">
        <v>1197</v>
      </c>
      <c r="C1478" s="22"/>
      <c r="D1478" s="22" t="s">
        <v>10</v>
      </c>
      <c r="E1478" s="22"/>
      <c r="F1478" s="22">
        <f>(0)</f>
      </c>
      <c r="G1478" s="22">
        <f>(C1478 * E1478 + C1478 * E1478 * F1478)</f>
      </c>
    </row>
    <row r="1479">
      <c r="A1479" s="5"/>
      <c r="B1479" s="14" t="s">
        <v>1198</v>
      </c>
      <c r="C1479" s="22"/>
      <c r="D1479" s="22" t="s">
        <v>10</v>
      </c>
      <c r="E1479" s="22"/>
      <c r="F1479" s="22">
        <f>(0)</f>
      </c>
      <c r="G1479" s="22">
        <f>(C1479 * E1479 + C1479 * E1479 * F1479)</f>
      </c>
    </row>
    <row r="1480">
      <c r="A1480" s="3"/>
      <c r="B1480" s="11" t="s">
        <v>1199</v>
      </c>
      <c r="C1480" s="20"/>
      <c r="D1480" s="20"/>
      <c r="E1480" s="20"/>
      <c r="F1480" s="20"/>
      <c r="G1480" s="20"/>
    </row>
    <row r="1481">
      <c r="A1481" s="5"/>
      <c r="B1481" s="14" t="s">
        <v>1200</v>
      </c>
      <c r="C1481" s="22">
        <f>(3)*(1)*(1)*(1)*(1 + (0))</f>
      </c>
      <c r="D1481" s="22" t="s">
        <v>162</v>
      </c>
      <c r="E1481" s="22"/>
      <c r="F1481" s="22">
        <f>(0)</f>
      </c>
      <c r="G1481" s="22">
        <f>(C1481 * E1481 + C1481 * E1481 * F1481)</f>
      </c>
    </row>
    <row r="1482">
      <c r="A1482" s="5"/>
      <c r="B1482" s="14" t="s">
        <v>1201</v>
      </c>
      <c r="C1482" s="22">
        <f>(3)*(1)*(1)*(1)*(1 + (0))</f>
      </c>
      <c r="D1482" s="22" t="s">
        <v>162</v>
      </c>
      <c r="E1482" s="22"/>
      <c r="F1482" s="22">
        <f>(0)</f>
      </c>
      <c r="G1482" s="22">
        <f>(C1482 * E1482 + C1482 * E1482 * F1482)</f>
      </c>
    </row>
    <row r="1483">
      <c r="A1483" s="5"/>
      <c r="B1483" s="14" t="s">
        <v>1202</v>
      </c>
      <c r="C1483" s="22">
        <f>(5)*(1)*(1)*(1)*(1 + (0))</f>
      </c>
      <c r="D1483" s="22" t="s">
        <v>162</v>
      </c>
      <c r="E1483" s="22"/>
      <c r="F1483" s="22">
        <f>(0)</f>
      </c>
      <c r="G1483" s="22">
        <f>(C1483 * E1483 + C1483 * E1483 * F1483)</f>
      </c>
    </row>
    <row r="1484">
      <c r="A1484" s="5"/>
      <c r="B1484" s="14" t="s">
        <v>1203</v>
      </c>
      <c r="C1484" s="22">
        <f>(6)*(1)*(1)*(1)*(1 + (0))</f>
      </c>
      <c r="D1484" s="22" t="s">
        <v>162</v>
      </c>
      <c r="E1484" s="22"/>
      <c r="F1484" s="22">
        <f>(0)</f>
      </c>
      <c r="G1484" s="22">
        <f>(C1484 * E1484 + C1484 * E1484 * F1484)</f>
      </c>
    </row>
    <row r="1485">
      <c r="A1485" s="5"/>
      <c r="B1485" s="14" t="s">
        <v>1204</v>
      </c>
      <c r="C1485" s="22">
        <f>(3)*(1)*(1)*(1)*(1 + (0))</f>
      </c>
      <c r="D1485" s="22" t="s">
        <v>162</v>
      </c>
      <c r="E1485" s="22"/>
      <c r="F1485" s="22">
        <f>(0)</f>
      </c>
      <c r="G1485" s="22">
        <f>(C1485 * E1485 + C1485 * E1485 * F1485)</f>
      </c>
    </row>
    <row r="1486">
      <c r="A1486" s="5"/>
      <c r="B1486" s="14" t="s">
        <v>1205</v>
      </c>
      <c r="C1486" s="22">
        <f>(1)*(1)*(1)*(1)*(1 + (0))</f>
      </c>
      <c r="D1486" s="22" t="s">
        <v>162</v>
      </c>
      <c r="E1486" s="22"/>
      <c r="F1486" s="22">
        <f>(0)</f>
      </c>
      <c r="G1486" s="22">
        <f>(C1486 * E1486 + C1486 * E1486 * F1486)</f>
      </c>
    </row>
    <row r="1487">
      <c r="A1487" s="5"/>
      <c r="B1487" s="14" t="s">
        <v>1206</v>
      </c>
      <c r="C1487" s="22">
        <f>(1)*(1)*(1)*(1)*(1 + (0))</f>
      </c>
      <c r="D1487" s="22" t="s">
        <v>162</v>
      </c>
      <c r="E1487" s="22"/>
      <c r="F1487" s="22">
        <f>(0)</f>
      </c>
      <c r="G1487" s="22">
        <f>(C1487 * E1487 + C1487 * E1487 * F1487)</f>
      </c>
    </row>
    <row r="1488">
      <c r="A1488" s="5"/>
      <c r="B1488" s="14" t="s">
        <v>1207</v>
      </c>
      <c r="C1488" s="22">
        <f>(1)*(1)*(1)*(1)*(1 + (0))</f>
      </c>
      <c r="D1488" s="22" t="s">
        <v>162</v>
      </c>
      <c r="E1488" s="22"/>
      <c r="F1488" s="22">
        <f>(0)</f>
      </c>
      <c r="G1488" s="22">
        <f>(C1488 * E1488 + C1488 * E1488 * F1488)</f>
      </c>
    </row>
    <row r="1489">
      <c r="A1489" s="5"/>
      <c r="B1489" s="14" t="s">
        <v>1208</v>
      </c>
      <c r="C1489" s="22">
        <f>(1)*(1)*(1)*(1)*(1 + (0))</f>
      </c>
      <c r="D1489" s="22" t="s">
        <v>162</v>
      </c>
      <c r="E1489" s="22"/>
      <c r="F1489" s="22">
        <f>(0)</f>
      </c>
      <c r="G1489" s="22">
        <f>(C1489 * E1489 + C1489 * E1489 * F1489)</f>
      </c>
    </row>
    <row r="1490">
      <c r="A1490" s="5"/>
      <c r="B1490" s="14" t="s">
        <v>1209</v>
      </c>
      <c r="C1490" s="22">
        <f>(1)*(1)*(1)*(1)*(1 + (0))</f>
      </c>
      <c r="D1490" s="22" t="s">
        <v>162</v>
      </c>
      <c r="E1490" s="22"/>
      <c r="F1490" s="22">
        <f>(0)</f>
      </c>
      <c r="G1490" s="22">
        <f>(C1490 * E1490 + C1490 * E1490 * F1490)</f>
      </c>
    </row>
    <row r="1491">
      <c r="A1491" s="5"/>
      <c r="B1491" s="14" t="s">
        <v>1210</v>
      </c>
      <c r="C1491" s="22">
        <f>(1)*(1)*(1)*(1)*(1 + (0))</f>
      </c>
      <c r="D1491" s="22" t="s">
        <v>162</v>
      </c>
      <c r="E1491" s="22"/>
      <c r="F1491" s="22">
        <f>(0)</f>
      </c>
      <c r="G1491" s="22">
        <f>(C1491 * E1491 + C1491 * E1491 * F1491)</f>
      </c>
    </row>
    <row r="1492">
      <c r="A1492" s="5"/>
      <c r="B1492" s="14" t="s">
        <v>1211</v>
      </c>
      <c r="C1492" s="22">
        <f>(1)*(1)*(1)*(1)*(1 + (0))</f>
      </c>
      <c r="D1492" s="22" t="s">
        <v>162</v>
      </c>
      <c r="E1492" s="22"/>
      <c r="F1492" s="22">
        <f>(0)</f>
      </c>
      <c r="G1492" s="22">
        <f>(C1492 * E1492 + C1492 * E1492 * F1492)</f>
      </c>
    </row>
    <row r="1493">
      <c r="A1493" s="5"/>
      <c r="B1493" s="14" t="s">
        <v>1212</v>
      </c>
      <c r="C1493" s="22">
        <f>(1)*(1)*(1)*(1)*(1 + (0))</f>
      </c>
      <c r="D1493" s="22" t="s">
        <v>162</v>
      </c>
      <c r="E1493" s="22"/>
      <c r="F1493" s="22">
        <f>(0)</f>
      </c>
      <c r="G1493" s="22">
        <f>(C1493 * E1493 + C1493 * E1493 * F1493)</f>
      </c>
    </row>
    <row r="1494">
      <c r="A1494" s="5"/>
      <c r="B1494" s="14" t="s">
        <v>1213</v>
      </c>
      <c r="C1494" s="22">
        <f>(1)*(1)*(1)*(1)*(1 + (0))</f>
      </c>
      <c r="D1494" s="22" t="s">
        <v>162</v>
      </c>
      <c r="E1494" s="22"/>
      <c r="F1494" s="22">
        <f>(0)</f>
      </c>
      <c r="G1494" s="22">
        <f>(C1494 * E1494 + C1494 * E1494 * F1494)</f>
      </c>
    </row>
    <row r="1495">
      <c r="A1495" s="5"/>
      <c r="B1495" s="14" t="s">
        <v>1214</v>
      </c>
      <c r="C1495" s="22">
        <f>(1)*(1)*(1)*(1)*(1 + (0))</f>
      </c>
      <c r="D1495" s="22" t="s">
        <v>162</v>
      </c>
      <c r="E1495" s="22"/>
      <c r="F1495" s="22">
        <f>(0)</f>
      </c>
      <c r="G1495" s="22">
        <f>(C1495 * E1495 + C1495 * E1495 * F1495)</f>
      </c>
    </row>
    <row r="1496">
      <c r="A1496" s="5"/>
      <c r="B1496" s="14" t="s">
        <v>1215</v>
      </c>
      <c r="C1496" s="22">
        <f>(1)*(1)*(1)*(1)*(1 + (0))</f>
      </c>
      <c r="D1496" s="22" t="s">
        <v>162</v>
      </c>
      <c r="E1496" s="22"/>
      <c r="F1496" s="22">
        <f>(0)</f>
      </c>
      <c r="G1496" s="22">
        <f>(C1496 * E1496 + C1496 * E1496 * F1496)</f>
      </c>
    </row>
    <row r="1497">
      <c r="A1497" s="5"/>
      <c r="B1497" s="14" t="s">
        <v>1216</v>
      </c>
      <c r="C1497" s="22">
        <f>(1)*(1)*(1)*(1)*(1 + (0))</f>
      </c>
      <c r="D1497" s="22" t="s">
        <v>1217</v>
      </c>
      <c r="E1497" s="22"/>
      <c r="F1497" s="22">
        <f>(0)</f>
      </c>
      <c r="G1497" s="22">
        <f>(C1497 * E1497 + C1497 * E1497 * F1497)</f>
      </c>
    </row>
    <row r="1498">
      <c r="A1498" s="5"/>
      <c r="B1498" s="14" t="s">
        <v>1218</v>
      </c>
      <c r="C1498" s="22">
        <f>(1)*(1)*(1)*(1)*(1 + (0))</f>
      </c>
      <c r="D1498" s="22" t="s">
        <v>162</v>
      </c>
      <c r="E1498" s="22"/>
      <c r="F1498" s="22">
        <f>(0)</f>
      </c>
      <c r="G1498" s="22">
        <f>(C1498 * E1498 + C1498 * E1498 * F1498)</f>
      </c>
    </row>
    <row r="1499">
      <c r="A1499" s="5"/>
      <c r="B1499" s="14" t="s">
        <v>1219</v>
      </c>
      <c r="C1499" s="22">
        <f>(1)*(1)*(1)*(1)*(1 + (0))</f>
      </c>
      <c r="D1499" s="22" t="s">
        <v>1217</v>
      </c>
      <c r="E1499" s="22"/>
      <c r="F1499" s="22">
        <f>(0)</f>
      </c>
      <c r="G1499" s="22">
        <f>(C1499 * E1499 + C1499 * E1499 * F1499)</f>
      </c>
    </row>
    <row r="1500">
      <c r="A1500" s="5"/>
      <c r="B1500" s="14" t="s">
        <v>1220</v>
      </c>
      <c r="C1500" s="22">
        <f>(1)*(1)*(1)*(1)*(1 + (0))</f>
      </c>
      <c r="D1500" s="22" t="s">
        <v>1217</v>
      </c>
      <c r="E1500" s="22"/>
      <c r="F1500" s="22">
        <f>(0)</f>
      </c>
      <c r="G1500" s="22">
        <f>(C1500 * E1500 + C1500 * E1500 * F1500)</f>
      </c>
    </row>
    <row r="1501">
      <c r="A1501" s="5"/>
      <c r="B1501" s="14" t="s">
        <v>1221</v>
      </c>
      <c r="C1501" s="22">
        <f>(1)*(1)*(1)*(1)*(1 + (0))</f>
      </c>
      <c r="D1501" s="22" t="s">
        <v>1217</v>
      </c>
      <c r="E1501" s="22"/>
      <c r="F1501" s="22">
        <f>(0)</f>
      </c>
      <c r="G1501" s="22">
        <f>(C1501 * E1501 + C1501 * E1501 * F1501)</f>
      </c>
    </row>
    <row r="1502">
      <c r="A1502" s="5"/>
      <c r="B1502" s="14" t="s">
        <v>1222</v>
      </c>
      <c r="C1502" s="22">
        <f>(1)*(1)*(1)*(1)*(1 + (0))</f>
      </c>
      <c r="D1502" s="22" t="s">
        <v>1217</v>
      </c>
      <c r="E1502" s="22"/>
      <c r="F1502" s="22">
        <f>(0)</f>
      </c>
      <c r="G1502" s="22">
        <f>(C1502 * E1502 + C1502 * E1502 * F1502)</f>
      </c>
    </row>
    <row r="1503">
      <c r="A1503" s="5"/>
      <c r="B1503" s="14" t="s">
        <v>1223</v>
      </c>
      <c r="C1503" s="22">
        <f>(3)*(1)*(1)*(1)*(1 + (0))</f>
      </c>
      <c r="D1503" s="22" t="s">
        <v>1217</v>
      </c>
      <c r="E1503" s="22"/>
      <c r="F1503" s="22">
        <f>(0)</f>
      </c>
      <c r="G1503" s="22">
        <f>(C1503 * E1503 + C1503 * E1503 * F1503)</f>
      </c>
    </row>
    <row r="1504">
      <c r="A1504" s="2"/>
      <c r="B1504" s="10" t="s">
        <v>1224</v>
      </c>
      <c r="C1504" s="19"/>
      <c r="D1504" s="19"/>
      <c r="E1504" s="19"/>
      <c r="F1504" s="19"/>
      <c r="G1504" s="19"/>
    </row>
    <row r="1505">
      <c r="A1505" s="3"/>
      <c r="B1505" s="11" t="s">
        <v>37</v>
      </c>
      <c r="C1505" s="20"/>
      <c r="D1505" s="20"/>
      <c r="E1505" s="20"/>
      <c r="F1505" s="20"/>
      <c r="G1505" s="20"/>
    </row>
    <row r="1506">
      <c r="A1506" s="5" t="s">
        <v>1225</v>
      </c>
      <c r="B1506" s="14" t="s">
        <v>39</v>
      </c>
      <c r="C1506" s="22"/>
      <c r="D1506" s="22" t="s">
        <v>10</v>
      </c>
      <c r="E1506" s="22"/>
      <c r="F1506" s="22">
        <f>(0)</f>
      </c>
      <c r="G1506" s="22">
        <f>(C1506 * E1506 + C1506 * E1506 * F1506)</f>
      </c>
    </row>
    <row r="1507">
      <c r="A1507" s="5" t="s">
        <v>1226</v>
      </c>
      <c r="B1507" s="14" t="s">
        <v>41</v>
      </c>
      <c r="C1507" s="22"/>
      <c r="D1507" s="22" t="s">
        <v>10</v>
      </c>
      <c r="E1507" s="22"/>
      <c r="F1507" s="22">
        <f>(0)</f>
      </c>
      <c r="G1507" s="22">
        <f>(C1507 * E1507 + C1507 * E1507 * F1507)</f>
      </c>
    </row>
    <row r="1508">
      <c r="A1508" s="3"/>
      <c r="B1508" s="11" t="s">
        <v>42</v>
      </c>
      <c r="C1508" s="20"/>
      <c r="D1508" s="20"/>
      <c r="E1508" s="20"/>
      <c r="F1508" s="20"/>
      <c r="G1508" s="20"/>
    </row>
    <row r="1509">
      <c r="A1509" s="5"/>
      <c r="B1509" s="14" t="s">
        <v>1227</v>
      </c>
      <c r="C1509" s="22"/>
      <c r="D1509" s="22" t="s">
        <v>10</v>
      </c>
      <c r="E1509" s="22"/>
      <c r="F1509" s="22">
        <f>(0)</f>
      </c>
      <c r="G1509" s="22">
        <f>(C1509 * E1509 + C1509 * E1509 * F1509)</f>
      </c>
    </row>
    <row r="1510">
      <c r="A1510" s="5"/>
      <c r="B1510" s="14" t="s">
        <v>1058</v>
      </c>
      <c r="C1510" s="22"/>
      <c r="D1510" s="22" t="s">
        <v>10</v>
      </c>
      <c r="E1510" s="22"/>
      <c r="F1510" s="22">
        <f>(0)</f>
      </c>
      <c r="G1510" s="22">
        <f>(C1510 * E1510 + C1510 * E1510 * F1510)</f>
      </c>
    </row>
    <row r="1511">
      <c r="A1511" s="5"/>
      <c r="B1511" s="14" t="s">
        <v>1228</v>
      </c>
      <c r="C1511" s="22"/>
      <c r="D1511" s="22" t="s">
        <v>10</v>
      </c>
      <c r="E1511" s="22"/>
      <c r="F1511" s="22">
        <f>(0)</f>
      </c>
      <c r="G1511" s="22">
        <f>(C1511 * E1511 + C1511 * E1511 * F1511)</f>
      </c>
    </row>
    <row r="1512">
      <c r="A1512" s="3"/>
      <c r="B1512" s="11" t="s">
        <v>44</v>
      </c>
      <c r="C1512" s="20"/>
      <c r="D1512" s="20"/>
      <c r="E1512" s="20"/>
      <c r="F1512" s="20"/>
      <c r="G1512" s="20"/>
    </row>
    <row r="1513">
      <c r="A1513" s="4"/>
      <c r="B1513" s="12" t="s">
        <v>45</v>
      </c>
      <c r="C1513" s="21"/>
      <c r="D1513" s="21"/>
      <c r="E1513" s="21"/>
      <c r="F1513" s="21"/>
      <c r="G1513" s="21"/>
    </row>
    <row r="1514">
      <c r="A1514" s="5" t="s">
        <v>1229</v>
      </c>
      <c r="B1514" s="13" t="s">
        <v>528</v>
      </c>
      <c r="C1514" s="22"/>
      <c r="D1514" s="22" t="s">
        <v>10</v>
      </c>
      <c r="E1514" s="22"/>
      <c r="F1514" s="22">
        <f>(0)</f>
      </c>
      <c r="G1514" s="22">
        <f>(C1514 * E1514 + C1514 * E1514 * F1514)</f>
      </c>
    </row>
    <row r="1515">
      <c r="A1515" s="5" t="s">
        <v>1230</v>
      </c>
      <c r="B1515" s="13" t="s">
        <v>530</v>
      </c>
      <c r="C1515" s="22"/>
      <c r="D1515" s="22" t="s">
        <v>10</v>
      </c>
      <c r="E1515" s="22"/>
      <c r="F1515" s="22">
        <f>(0)</f>
      </c>
      <c r="G1515" s="22">
        <f>(C1515 * E1515 + C1515 * E1515 * F1515)</f>
      </c>
    </row>
    <row r="1516">
      <c r="A1516" s="5" t="s">
        <v>1231</v>
      </c>
      <c r="B1516" s="13" t="s">
        <v>1232</v>
      </c>
      <c r="C1516" s="22"/>
      <c r="D1516" s="22" t="s">
        <v>10</v>
      </c>
      <c r="E1516" s="22"/>
      <c r="F1516" s="22">
        <f>(0)</f>
      </c>
      <c r="G1516" s="22">
        <f>(C1516 * E1516 + C1516 * E1516 * F1516)</f>
      </c>
    </row>
    <row r="1517">
      <c r="A1517" s="5" t="s">
        <v>1233</v>
      </c>
      <c r="B1517" s="13" t="s">
        <v>853</v>
      </c>
      <c r="C1517" s="22"/>
      <c r="D1517" s="22" t="s">
        <v>10</v>
      </c>
      <c r="E1517" s="22"/>
      <c r="F1517" s="22">
        <f>(0)</f>
      </c>
      <c r="G1517" s="22">
        <f>(C1517 * E1517 + C1517 * E1517 * F1517)</f>
      </c>
    </row>
    <row r="1518">
      <c r="A1518" s="5" t="s">
        <v>1234</v>
      </c>
      <c r="B1518" s="13" t="s">
        <v>538</v>
      </c>
      <c r="C1518" s="22"/>
      <c r="D1518" s="22" t="s">
        <v>10</v>
      </c>
      <c r="E1518" s="22"/>
      <c r="F1518" s="22">
        <f>(0)</f>
      </c>
      <c r="G1518" s="22">
        <f>(C1518 * E1518 + C1518 * E1518 * F1518)</f>
      </c>
    </row>
    <row r="1519">
      <c r="A1519" s="5" t="s">
        <v>1235</v>
      </c>
      <c r="B1519" s="13" t="s">
        <v>123</v>
      </c>
      <c r="C1519" s="22"/>
      <c r="D1519" s="22" t="s">
        <v>10</v>
      </c>
      <c r="E1519" s="22"/>
      <c r="F1519" s="22">
        <f>(0)</f>
      </c>
      <c r="G1519" s="22">
        <f>(C1519 * E1519 + C1519 * E1519 * F1519)</f>
      </c>
    </row>
    <row r="1520">
      <c r="A1520" s="3"/>
      <c r="B1520" s="11" t="s">
        <v>68</v>
      </c>
      <c r="C1520" s="20"/>
      <c r="D1520" s="20"/>
      <c r="E1520" s="20"/>
      <c r="F1520" s="20"/>
      <c r="G1520" s="20"/>
    </row>
    <row r="1521">
      <c r="A1521" s="5" t="s">
        <v>1236</v>
      </c>
      <c r="B1521" s="14" t="s">
        <v>543</v>
      </c>
      <c r="C1521" s="22">
        <f>(1)*(1)*(1)*(1)*(1 + (0))</f>
      </c>
      <c r="D1521" s="22" t="s">
        <v>71</v>
      </c>
      <c r="E1521" s="22"/>
      <c r="F1521" s="22">
        <f>(0)</f>
      </c>
      <c r="G1521" s="22">
        <f>(C1521 * E1521 + C1521 * E1521 * F1521)</f>
      </c>
    </row>
    <row r="1522">
      <c r="A1522" s="5" t="s">
        <v>1237</v>
      </c>
      <c r="B1522" s="14" t="s">
        <v>136</v>
      </c>
      <c r="C1522" s="22">
        <f>(1)*(1)*(1)*(1)*(1 + (0))</f>
      </c>
      <c r="D1522" s="22" t="s">
        <v>71</v>
      </c>
      <c r="E1522" s="22"/>
      <c r="F1522" s="22">
        <f>(0)</f>
      </c>
      <c r="G1522" s="22">
        <f>(C1522 * E1522 + C1522 * E1522 * F1522)</f>
      </c>
    </row>
    <row r="1523">
      <c r="A1523" s="5" t="s">
        <v>1238</v>
      </c>
      <c r="B1523" s="14" t="s">
        <v>1239</v>
      </c>
      <c r="C1523" s="22">
        <f>(1)*(1)*(1)*(1)*(1 + (0))</f>
      </c>
      <c r="D1523" s="22" t="s">
        <v>71</v>
      </c>
      <c r="E1523" s="22"/>
      <c r="F1523" s="22">
        <f>(0)</f>
      </c>
      <c r="G1523" s="22">
        <f>(C1523 * E1523 + C1523 * E1523 * F1523)</f>
      </c>
    </row>
    <row r="1524">
      <c r="A1524" s="5" t="s">
        <v>1240</v>
      </c>
      <c r="B1524" s="14" t="s">
        <v>798</v>
      </c>
      <c r="C1524" s="22">
        <f>(1)*(1)*(1)*(1)*(1 + (0))</f>
      </c>
      <c r="D1524" s="22" t="s">
        <v>71</v>
      </c>
      <c r="E1524" s="22"/>
      <c r="F1524" s="22">
        <f>(0)</f>
      </c>
      <c r="G1524" s="22">
        <f>(C1524 * E1524 + C1524 * E1524 * F1524)</f>
      </c>
    </row>
    <row r="1525">
      <c r="A1525" s="5" t="s">
        <v>1241</v>
      </c>
      <c r="B1525" s="14" t="s">
        <v>70</v>
      </c>
      <c r="C1525" s="22">
        <f>(1)*(1)*(1)*(1)*(1 + (0))</f>
      </c>
      <c r="D1525" s="22" t="s">
        <v>71</v>
      </c>
      <c r="E1525" s="22"/>
      <c r="F1525" s="22">
        <f>(0)</f>
      </c>
      <c r="G1525" s="22">
        <f>(C1525 * E1525 + C1525 * E1525 * F1525)</f>
      </c>
    </row>
    <row r="1526">
      <c r="A1526" s="5" t="s">
        <v>1242</v>
      </c>
      <c r="B1526" s="14" t="s">
        <v>665</v>
      </c>
      <c r="C1526" s="22">
        <f>(1)*(1)*(1)*(1)*(1 + (0))</f>
      </c>
      <c r="D1526" s="22" t="s">
        <v>71</v>
      </c>
      <c r="E1526" s="22"/>
      <c r="F1526" s="22">
        <f>(0)</f>
      </c>
      <c r="G1526" s="22">
        <f>(C1526 * E1526 + C1526 * E1526 * F1526)</f>
      </c>
    </row>
    <row r="1527">
      <c r="A1527" s="3"/>
      <c r="B1527" s="11" t="s">
        <v>1243</v>
      </c>
      <c r="C1527" s="20"/>
      <c r="D1527" s="20"/>
      <c r="E1527" s="20"/>
      <c r="F1527" s="20"/>
      <c r="G1527" s="20"/>
    </row>
    <row r="1528">
      <c r="A1528" s="4"/>
      <c r="B1528" s="12" t="s">
        <v>1244</v>
      </c>
      <c r="C1528" s="21"/>
      <c r="D1528" s="21"/>
      <c r="E1528" s="21"/>
      <c r="F1528" s="21"/>
      <c r="G1528" s="21"/>
    </row>
    <row r="1529">
      <c r="A1529" s="5"/>
      <c r="B1529" s="13" t="s">
        <v>1245</v>
      </c>
      <c r="C1529" s="22">
        <f>(18)*(1)*(1)*(1)*(1 + (0))</f>
      </c>
      <c r="D1529" s="22" t="s">
        <v>153</v>
      </c>
      <c r="E1529" s="22"/>
      <c r="F1529" s="22">
        <f>(0)</f>
      </c>
      <c r="G1529" s="22">
        <f>(C1529 * E1529 + C1529 * E1529 * F1529)</f>
      </c>
    </row>
    <row r="1530">
      <c r="A1530" s="5"/>
      <c r="B1530" s="13" t="s">
        <v>1246</v>
      </c>
      <c r="C1530" s="22">
        <f>(27)*(1)*(1)*(1)*(1 + (0))</f>
      </c>
      <c r="D1530" s="22" t="s">
        <v>153</v>
      </c>
      <c r="E1530" s="22"/>
      <c r="F1530" s="22">
        <f>(0)</f>
      </c>
      <c r="G1530" s="22">
        <f>(C1530 * E1530 + C1530 * E1530 * F1530)</f>
      </c>
    </row>
    <row r="1531">
      <c r="A1531" s="4"/>
      <c r="B1531" s="12" t="s">
        <v>1247</v>
      </c>
      <c r="C1531" s="21"/>
      <c r="D1531" s="21"/>
      <c r="E1531" s="21"/>
      <c r="F1531" s="21"/>
      <c r="G1531" s="21"/>
    </row>
    <row r="1532">
      <c r="A1532" s="5"/>
      <c r="B1532" s="13" t="s">
        <v>1245</v>
      </c>
      <c r="C1532" s="22">
        <f>(69)*(1)*(1)*(1)*(1 + (0))</f>
      </c>
      <c r="D1532" s="22" t="s">
        <v>153</v>
      </c>
      <c r="E1532" s="22"/>
      <c r="F1532" s="22">
        <f>(0)</f>
      </c>
      <c r="G1532" s="22">
        <f>(C1532 * E1532 + C1532 * E1532 * F1532)</f>
      </c>
    </row>
    <row r="1533">
      <c r="A1533" s="5"/>
      <c r="B1533" s="13" t="s">
        <v>1248</v>
      </c>
      <c r="C1533" s="22">
        <f>(60)*(1)*(1)*(1)*(1 + (0))</f>
      </c>
      <c r="D1533" s="22" t="s">
        <v>153</v>
      </c>
      <c r="E1533" s="22"/>
      <c r="F1533" s="22">
        <f>(0)</f>
      </c>
      <c r="G1533" s="22">
        <f>(C1533 * E1533 + C1533 * E1533 * F1533)</f>
      </c>
    </row>
    <row r="1534">
      <c r="A1534" s="3"/>
      <c r="B1534" s="11" t="s">
        <v>1249</v>
      </c>
      <c r="C1534" s="20"/>
      <c r="D1534" s="20"/>
      <c r="E1534" s="20"/>
      <c r="F1534" s="20"/>
      <c r="G1534" s="20"/>
    </row>
    <row r="1535">
      <c r="A1535" s="4"/>
      <c r="B1535" s="12" t="s">
        <v>1247</v>
      </c>
      <c r="C1535" s="21"/>
      <c r="D1535" s="21"/>
      <c r="E1535" s="21"/>
      <c r="F1535" s="21"/>
      <c r="G1535" s="21"/>
    </row>
    <row r="1536">
      <c r="A1536" s="5"/>
      <c r="B1536" s="13" t="s">
        <v>1250</v>
      </c>
      <c r="C1536" s="22">
        <f>(256)*(1)*(1)*(1)*(1 + (0))</f>
      </c>
      <c r="D1536" s="22" t="s">
        <v>24</v>
      </c>
      <c r="E1536" s="22"/>
      <c r="F1536" s="22">
        <f>(0)</f>
      </c>
      <c r="G1536" s="22">
        <f>(C1536 * E1536 + C1536 * E1536 * F1536)</f>
      </c>
    </row>
    <row r="1537">
      <c r="A1537" s="3"/>
      <c r="B1537" s="11" t="s">
        <v>1251</v>
      </c>
      <c r="C1537" s="20"/>
      <c r="D1537" s="20"/>
      <c r="E1537" s="20"/>
      <c r="F1537" s="20"/>
      <c r="G1537" s="20"/>
    </row>
    <row r="1538">
      <c r="A1538" s="4"/>
      <c r="B1538" s="12" t="s">
        <v>1244</v>
      </c>
      <c r="C1538" s="21"/>
      <c r="D1538" s="21"/>
      <c r="E1538" s="21"/>
      <c r="F1538" s="21"/>
      <c r="G1538" s="21"/>
    </row>
    <row r="1539">
      <c r="A1539" s="5"/>
      <c r="B1539" s="13" t="s">
        <v>1252</v>
      </c>
      <c r="C1539" s="22">
        <f>(28)*(1)*(1)*(1)*(1 + (0))</f>
      </c>
      <c r="D1539" s="22" t="s">
        <v>153</v>
      </c>
      <c r="E1539" s="22"/>
      <c r="F1539" s="22">
        <f>(0)</f>
      </c>
      <c r="G1539" s="22">
        <f>(C1539 * E1539 + C1539 * E1539 * F1539)</f>
      </c>
    </row>
    <row r="1540">
      <c r="A1540" s="4"/>
      <c r="B1540" s="12" t="s">
        <v>1247</v>
      </c>
      <c r="C1540" s="21"/>
      <c r="D1540" s="21"/>
      <c r="E1540" s="21"/>
      <c r="F1540" s="21"/>
      <c r="G1540" s="21"/>
    </row>
    <row r="1541">
      <c r="A1541" s="5"/>
      <c r="B1541" s="13" t="s">
        <v>1252</v>
      </c>
      <c r="C1541" s="22">
        <f>(14)*(1)*(1)*(1)*(1 + (0))</f>
      </c>
      <c r="D1541" s="22" t="s">
        <v>153</v>
      </c>
      <c r="E1541" s="22"/>
      <c r="F1541" s="22">
        <f>(0)</f>
      </c>
      <c r="G1541" s="22">
        <f>(C1541 * E1541 + C1541 * E1541 * F1541)</f>
      </c>
    </row>
    <row r="1542">
      <c r="A1542" s="3"/>
      <c r="B1542" s="11" t="s">
        <v>1253</v>
      </c>
      <c r="C1542" s="20"/>
      <c r="D1542" s="20"/>
      <c r="E1542" s="20"/>
      <c r="F1542" s="20"/>
      <c r="G1542" s="20"/>
    </row>
    <row r="1543">
      <c r="A1543" s="4"/>
      <c r="B1543" s="12" t="s">
        <v>1247</v>
      </c>
      <c r="C1543" s="21"/>
      <c r="D1543" s="21"/>
      <c r="E1543" s="21"/>
      <c r="F1543" s="21"/>
      <c r="G1543" s="21"/>
    </row>
    <row r="1544">
      <c r="A1544" s="5"/>
      <c r="B1544" s="13" t="s">
        <v>1254</v>
      </c>
      <c r="C1544" s="22">
        <f>(38)*(1)*(1)*(1)*(1 + (0))</f>
      </c>
      <c r="D1544" s="22" t="s">
        <v>153</v>
      </c>
      <c r="E1544" s="22"/>
      <c r="F1544" s="22">
        <f>(0)</f>
      </c>
      <c r="G1544" s="22">
        <f>(C1544 * E1544 + C1544 * E1544 * F1544)</f>
      </c>
    </row>
    <row r="1545">
      <c r="A1545" s="3"/>
      <c r="B1545" s="11" t="s">
        <v>1255</v>
      </c>
      <c r="C1545" s="20"/>
      <c r="D1545" s="20"/>
      <c r="E1545" s="20"/>
      <c r="F1545" s="20"/>
      <c r="G1545" s="20"/>
    </row>
    <row r="1546">
      <c r="A1546" s="4"/>
      <c r="B1546" s="12" t="s">
        <v>1256</v>
      </c>
      <c r="C1546" s="21"/>
      <c r="D1546" s="21"/>
      <c r="E1546" s="21"/>
      <c r="F1546" s="21"/>
      <c r="G1546" s="21"/>
    </row>
    <row r="1547">
      <c r="A1547" s="6"/>
      <c r="B1547" s="15" t="s">
        <v>1257</v>
      </c>
      <c r="C1547" s="23"/>
      <c r="D1547" s="23"/>
      <c r="E1547" s="23"/>
      <c r="F1547" s="23"/>
      <c r="G1547" s="23"/>
    </row>
    <row r="1548">
      <c r="A1548" s="5"/>
      <c r="B1548" s="16" t="s">
        <v>1258</v>
      </c>
      <c r="C1548" s="22">
        <f>(5)*(1)*(1)*(1)*(1 + (0))</f>
      </c>
      <c r="D1548" s="22" t="s">
        <v>162</v>
      </c>
      <c r="E1548" s="22"/>
      <c r="F1548" s="22">
        <f>(0)</f>
      </c>
      <c r="G1548" s="22">
        <f>(C1548 * E1548 + C1548 * E1548 * F1548)</f>
      </c>
    </row>
    <row r="1549">
      <c r="A1549" s="5"/>
      <c r="B1549" s="16" t="s">
        <v>1259</v>
      </c>
      <c r="C1549" s="22">
        <f>(12)*(1)*(1)*(1)*(1 + (0))</f>
      </c>
      <c r="D1549" s="22" t="s">
        <v>162</v>
      </c>
      <c r="E1549" s="22"/>
      <c r="F1549" s="22">
        <f>(0)</f>
      </c>
      <c r="G1549" s="22">
        <f>(C1549 * E1549 + C1549 * E1549 * F1549)</f>
      </c>
    </row>
    <row r="1550">
      <c r="A1550" s="6"/>
      <c r="B1550" s="15" t="s">
        <v>1260</v>
      </c>
      <c r="C1550" s="23"/>
      <c r="D1550" s="23"/>
      <c r="E1550" s="23"/>
      <c r="F1550" s="23"/>
      <c r="G1550" s="23"/>
    </row>
    <row r="1551">
      <c r="A1551" s="5"/>
      <c r="B1551" s="16" t="s">
        <v>1261</v>
      </c>
      <c r="C1551" s="22">
        <f>(15)*(1)*(1)*(1)*(1 + (0))</f>
      </c>
      <c r="D1551" s="22" t="s">
        <v>162</v>
      </c>
      <c r="E1551" s="22"/>
      <c r="F1551" s="22">
        <f>(0)</f>
      </c>
      <c r="G1551" s="22">
        <f>(C1551 * E1551 + C1551 * E1551 * F1551)</f>
      </c>
    </row>
    <row r="1552">
      <c r="A1552" s="5"/>
      <c r="B1552" s="16" t="s">
        <v>1262</v>
      </c>
      <c r="C1552" s="22">
        <f>(10)*(1)*(1)*(1)*(1 + (0))</f>
      </c>
      <c r="D1552" s="22" t="s">
        <v>162</v>
      </c>
      <c r="E1552" s="22"/>
      <c r="F1552" s="22">
        <f>(0)</f>
      </c>
      <c r="G1552" s="22">
        <f>(C1552 * E1552 + C1552 * E1552 * F1552)</f>
      </c>
    </row>
    <row r="1553">
      <c r="A1553" s="5"/>
      <c r="B1553" s="16" t="s">
        <v>1263</v>
      </c>
      <c r="C1553" s="22">
        <f>(1)*(1)*(1)*(1)*(1 + (0))</f>
      </c>
      <c r="D1553" s="22" t="s">
        <v>162</v>
      </c>
      <c r="E1553" s="22"/>
      <c r="F1553" s="22">
        <f>(0)</f>
      </c>
      <c r="G1553" s="22">
        <f>(C1553 * E1553 + C1553 * E1553 * F1553)</f>
      </c>
    </row>
    <row r="1554">
      <c r="A1554" s="4"/>
      <c r="B1554" s="12" t="s">
        <v>1264</v>
      </c>
      <c r="C1554" s="21"/>
      <c r="D1554" s="21"/>
      <c r="E1554" s="21"/>
      <c r="F1554" s="21"/>
      <c r="G1554" s="21"/>
    </row>
    <row r="1555">
      <c r="A1555" s="6"/>
      <c r="B1555" s="15" t="s">
        <v>1257</v>
      </c>
      <c r="C1555" s="23"/>
      <c r="D1555" s="23"/>
      <c r="E1555" s="23"/>
      <c r="F1555" s="23"/>
      <c r="G1555" s="23"/>
    </row>
    <row r="1556">
      <c r="A1556" s="5"/>
      <c r="B1556" s="16" t="s">
        <v>1265</v>
      </c>
      <c r="C1556" s="22">
        <f>(3)*(1)*(1)*(1)*(1 + (0))</f>
      </c>
      <c r="D1556" s="22" t="s">
        <v>162</v>
      </c>
      <c r="E1556" s="22"/>
      <c r="F1556" s="22">
        <f>(0)</f>
      </c>
      <c r="G1556" s="22">
        <f>(C1556 * E1556 + C1556 * E1556 * F1556)</f>
      </c>
    </row>
    <row r="1557">
      <c r="A1557" s="5"/>
      <c r="B1557" s="16" t="s">
        <v>1259</v>
      </c>
      <c r="C1557" s="22">
        <f>(18)*(1)*(1)*(1)*(1 + (0))</f>
      </c>
      <c r="D1557" s="22" t="s">
        <v>162</v>
      </c>
      <c r="E1557" s="22"/>
      <c r="F1557" s="22">
        <f>(0)</f>
      </c>
      <c r="G1557" s="22">
        <f>(C1557 * E1557 + C1557 * E1557 * F1557)</f>
      </c>
    </row>
    <row r="1558">
      <c r="A1558" s="6"/>
      <c r="B1558" s="15" t="s">
        <v>1260</v>
      </c>
      <c r="C1558" s="23"/>
      <c r="D1558" s="23"/>
      <c r="E1558" s="23"/>
      <c r="F1558" s="23"/>
      <c r="G1558" s="23"/>
    </row>
    <row r="1559">
      <c r="A1559" s="5"/>
      <c r="B1559" s="16" t="s">
        <v>1266</v>
      </c>
      <c r="C1559" s="22">
        <f>(18)*(1)*(1)*(1)*(1 + (0))</f>
      </c>
      <c r="D1559" s="22" t="s">
        <v>162</v>
      </c>
      <c r="E1559" s="22"/>
      <c r="F1559" s="22">
        <f>(0)</f>
      </c>
      <c r="G1559" s="22">
        <f>(C1559 * E1559 + C1559 * E1559 * F1559)</f>
      </c>
    </row>
    <row r="1560">
      <c r="A1560" s="5"/>
      <c r="B1560" s="16" t="s">
        <v>1267</v>
      </c>
      <c r="C1560" s="22">
        <f>(18)*(1)*(1)*(1)*(1 + (0))</f>
      </c>
      <c r="D1560" s="22" t="s">
        <v>162</v>
      </c>
      <c r="E1560" s="22"/>
      <c r="F1560" s="22">
        <f>(0)</f>
      </c>
      <c r="G1560" s="22">
        <f>(C1560 * E1560 + C1560 * E1560 * F1560)</f>
      </c>
    </row>
    <row r="1561">
      <c r="A1561" s="5"/>
      <c r="B1561" s="16" t="s">
        <v>1268</v>
      </c>
      <c r="C1561" s="22">
        <f>(1)*(1)*(1)*(1)*(1 + (0))</f>
      </c>
      <c r="D1561" s="22" t="s">
        <v>162</v>
      </c>
      <c r="E1561" s="22"/>
      <c r="F1561" s="22">
        <f>(0)</f>
      </c>
      <c r="G1561" s="22">
        <f>(C1561 * E1561 + C1561 * E1561 * F1561)</f>
      </c>
    </row>
    <row r="1562">
      <c r="A1562" s="3"/>
      <c r="B1562" s="11" t="s">
        <v>1269</v>
      </c>
      <c r="C1562" s="20"/>
      <c r="D1562" s="20"/>
      <c r="E1562" s="20"/>
      <c r="F1562" s="20"/>
      <c r="G1562" s="20"/>
    </row>
    <row r="1563">
      <c r="A1563" s="4"/>
      <c r="B1563" s="12" t="s">
        <v>1270</v>
      </c>
      <c r="C1563" s="21"/>
      <c r="D1563" s="21"/>
      <c r="E1563" s="21"/>
      <c r="F1563" s="21"/>
      <c r="G1563" s="21"/>
    </row>
    <row r="1564">
      <c r="A1564" s="5"/>
      <c r="B1564" s="13" t="s">
        <v>993</v>
      </c>
      <c r="C1564" s="22">
        <f>(506)*(1)*(1)*(1)*(1 + (0))</f>
      </c>
      <c r="D1564" s="22" t="s">
        <v>153</v>
      </c>
      <c r="E1564" s="22"/>
      <c r="F1564" s="22">
        <f>(0)</f>
      </c>
      <c r="G1564" s="22">
        <f>(C1564 * E1564 + C1564 * E1564 * F1564)</f>
      </c>
    </row>
    <row r="1565">
      <c r="A1565" s="5"/>
      <c r="B1565" s="13" t="s">
        <v>991</v>
      </c>
      <c r="C1565" s="22">
        <f>(283)*(1)*(1)*(1)*(1 + (0))</f>
      </c>
      <c r="D1565" s="22" t="s">
        <v>153</v>
      </c>
      <c r="E1565" s="22"/>
      <c r="F1565" s="22">
        <f>(0)</f>
      </c>
      <c r="G1565" s="22">
        <f>(C1565 * E1565 + C1565 * E1565 * F1565)</f>
      </c>
    </row>
    <row r="1566">
      <c r="A1566" s="3"/>
      <c r="B1566" s="11" t="s">
        <v>1271</v>
      </c>
      <c r="C1566" s="20"/>
      <c r="D1566" s="20"/>
      <c r="E1566" s="20"/>
      <c r="F1566" s="20"/>
      <c r="G1566" s="20"/>
    </row>
    <row r="1567">
      <c r="A1567" s="4"/>
      <c r="B1567" s="12" t="s">
        <v>1272</v>
      </c>
      <c r="C1567" s="21"/>
      <c r="D1567" s="21"/>
      <c r="E1567" s="21"/>
      <c r="F1567" s="21"/>
      <c r="G1567" s="21"/>
    </row>
    <row r="1568">
      <c r="A1568" s="5"/>
      <c r="B1568" s="13" t="s">
        <v>1273</v>
      </c>
      <c r="C1568" s="22">
        <f>(56)*(1)*(1)*(1)*(1 + (0))</f>
      </c>
      <c r="D1568" s="22" t="s">
        <v>153</v>
      </c>
      <c r="E1568" s="22"/>
      <c r="F1568" s="22">
        <f>(0)</f>
      </c>
      <c r="G1568" s="22">
        <f>(C1568 * E1568 + C1568 * E1568 * F1568)</f>
      </c>
    </row>
    <row r="1569">
      <c r="A1569" s="5"/>
      <c r="B1569" s="13" t="s">
        <v>1274</v>
      </c>
      <c r="C1569" s="22">
        <f>(56)*(1)*(1)*(1)*(1 + (0))</f>
      </c>
      <c r="D1569" s="22" t="s">
        <v>153</v>
      </c>
      <c r="E1569" s="22"/>
      <c r="F1569" s="22">
        <f>(0)</f>
      </c>
      <c r="G1569" s="22">
        <f>(C1569 * E1569 + C1569 * E1569 * F1569)</f>
      </c>
    </row>
    <row r="1570">
      <c r="A1570" s="3"/>
      <c r="B1570" s="11" t="s">
        <v>1275</v>
      </c>
      <c r="C1570" s="20"/>
      <c r="D1570" s="20"/>
      <c r="E1570" s="20"/>
      <c r="F1570" s="20"/>
      <c r="G1570" s="20"/>
    </row>
    <row r="1571">
      <c r="A1571" s="4"/>
      <c r="B1571" s="12" t="s">
        <v>1276</v>
      </c>
      <c r="C1571" s="21"/>
      <c r="D1571" s="21"/>
      <c r="E1571" s="21"/>
      <c r="F1571" s="21"/>
      <c r="G1571" s="21"/>
    </row>
    <row r="1572">
      <c r="A1572" s="6"/>
      <c r="B1572" s="15" t="s">
        <v>1277</v>
      </c>
      <c r="C1572" s="23"/>
      <c r="D1572" s="23"/>
      <c r="E1572" s="23"/>
      <c r="F1572" s="23"/>
      <c r="G1572" s="23"/>
    </row>
    <row r="1573">
      <c r="A1573" s="5"/>
      <c r="B1573" s="16" t="s">
        <v>613</v>
      </c>
      <c r="C1573" s="22">
        <f>(2)*(1)*(1)*(1)*(1 + (0))</f>
      </c>
      <c r="D1573" s="22" t="s">
        <v>162</v>
      </c>
      <c r="E1573" s="22"/>
      <c r="F1573" s="22">
        <f>(0)</f>
      </c>
      <c r="G1573" s="22">
        <f>(C1573 * E1573 + C1573 * E1573 * F1573)</f>
      </c>
    </row>
    <row r="1574">
      <c r="A1574" s="6"/>
      <c r="B1574" s="15" t="s">
        <v>1278</v>
      </c>
      <c r="C1574" s="23"/>
      <c r="D1574" s="23"/>
      <c r="E1574" s="23"/>
      <c r="F1574" s="23"/>
      <c r="G1574" s="23"/>
    </row>
    <row r="1575">
      <c r="A1575" s="5"/>
      <c r="B1575" s="16" t="s">
        <v>676</v>
      </c>
      <c r="C1575" s="22">
        <f>(2)*(1)*(1)*(1)*(1 + (0))</f>
      </c>
      <c r="D1575" s="22" t="s">
        <v>162</v>
      </c>
      <c r="E1575" s="22"/>
      <c r="F1575" s="22">
        <f>(0)</f>
      </c>
      <c r="G1575" s="22">
        <f>(C1575 * E1575 + C1575 * E1575 * F1575)</f>
      </c>
    </row>
    <row r="1576">
      <c r="A1576" s="2"/>
      <c r="B1576" s="10" t="s">
        <v>1279</v>
      </c>
      <c r="C1576" s="19"/>
      <c r="D1576" s="19"/>
      <c r="E1576" s="19"/>
      <c r="F1576" s="19"/>
      <c r="G1576" s="19"/>
    </row>
    <row r="1577">
      <c r="A1577" s="3"/>
      <c r="B1577" s="11" t="s">
        <v>37</v>
      </c>
      <c r="C1577" s="20"/>
      <c r="D1577" s="20"/>
      <c r="E1577" s="20"/>
      <c r="F1577" s="20"/>
      <c r="G1577" s="20"/>
    </row>
    <row r="1578">
      <c r="A1578" s="5" t="s">
        <v>1225</v>
      </c>
      <c r="B1578" s="14" t="s">
        <v>39</v>
      </c>
      <c r="C1578" s="22"/>
      <c r="D1578" s="22" t="s">
        <v>10</v>
      </c>
      <c r="E1578" s="22"/>
      <c r="F1578" s="22">
        <f>(0)</f>
      </c>
      <c r="G1578" s="22">
        <f>(C1578 * E1578 + C1578 * E1578 * F1578)</f>
      </c>
    </row>
    <row r="1579">
      <c r="A1579" s="5" t="s">
        <v>1226</v>
      </c>
      <c r="B1579" s="14" t="s">
        <v>41</v>
      </c>
      <c r="C1579" s="22"/>
      <c r="D1579" s="22" t="s">
        <v>10</v>
      </c>
      <c r="E1579" s="22"/>
      <c r="F1579" s="22">
        <f>(0)</f>
      </c>
      <c r="G1579" s="22">
        <f>(C1579 * E1579 + C1579 * E1579 * F1579)</f>
      </c>
    </row>
    <row r="1580">
      <c r="A1580" s="3"/>
      <c r="B1580" s="11" t="s">
        <v>42</v>
      </c>
      <c r="C1580" s="20"/>
      <c r="D1580" s="20"/>
      <c r="E1580" s="20"/>
      <c r="F1580" s="20"/>
      <c r="G1580" s="20"/>
    </row>
    <row r="1581">
      <c r="A1581" s="5"/>
      <c r="B1581" s="14" t="s">
        <v>1280</v>
      </c>
      <c r="C1581" s="22"/>
      <c r="D1581" s="22" t="s">
        <v>10</v>
      </c>
      <c r="E1581" s="22"/>
      <c r="F1581" s="22">
        <f>(0)</f>
      </c>
      <c r="G1581" s="22">
        <f>(C1581 * E1581 + C1581 * E1581 * F1581)</f>
      </c>
    </row>
    <row r="1582">
      <c r="A1582" s="5"/>
      <c r="B1582" s="14" t="s">
        <v>1228</v>
      </c>
      <c r="C1582" s="22"/>
      <c r="D1582" s="22" t="s">
        <v>10</v>
      </c>
      <c r="E1582" s="22"/>
      <c r="F1582" s="22">
        <f>(0)</f>
      </c>
      <c r="G1582" s="22">
        <f>(C1582 * E1582 + C1582 * E1582 * F1582)</f>
      </c>
    </row>
    <row r="1583">
      <c r="A1583" s="5"/>
      <c r="B1583" s="14" t="s">
        <v>694</v>
      </c>
      <c r="C1583" s="22"/>
      <c r="D1583" s="22" t="s">
        <v>10</v>
      </c>
      <c r="E1583" s="22"/>
      <c r="F1583" s="22">
        <f>(0)</f>
      </c>
      <c r="G1583" s="22">
        <f>(C1583 * E1583 + C1583 * E1583 * F1583)</f>
      </c>
    </row>
    <row r="1584">
      <c r="A1584" s="3"/>
      <c r="B1584" s="11" t="s">
        <v>44</v>
      </c>
      <c r="C1584" s="20"/>
      <c r="D1584" s="20"/>
      <c r="E1584" s="20"/>
      <c r="F1584" s="20"/>
      <c r="G1584" s="20"/>
    </row>
    <row r="1585">
      <c r="A1585" s="4"/>
      <c r="B1585" s="12" t="s">
        <v>45</v>
      </c>
      <c r="C1585" s="21"/>
      <c r="D1585" s="21"/>
      <c r="E1585" s="21"/>
      <c r="F1585" s="21"/>
      <c r="G1585" s="21"/>
    </row>
    <row r="1586">
      <c r="A1586" s="5" t="s">
        <v>1229</v>
      </c>
      <c r="B1586" s="13" t="s">
        <v>528</v>
      </c>
      <c r="C1586" s="22"/>
      <c r="D1586" s="22" t="s">
        <v>10</v>
      </c>
      <c r="E1586" s="22"/>
      <c r="F1586" s="22">
        <f>(0)</f>
      </c>
      <c r="G1586" s="22">
        <f>(C1586 * E1586 + C1586 * E1586 * F1586)</f>
      </c>
    </row>
    <row r="1587">
      <c r="A1587" s="5" t="s">
        <v>1230</v>
      </c>
      <c r="B1587" s="13" t="s">
        <v>530</v>
      </c>
      <c r="C1587" s="22"/>
      <c r="D1587" s="22" t="s">
        <v>10</v>
      </c>
      <c r="E1587" s="22"/>
      <c r="F1587" s="22">
        <f>(0)</f>
      </c>
      <c r="G1587" s="22">
        <f>(C1587 * E1587 + C1587 * E1587 * F1587)</f>
      </c>
    </row>
    <row r="1588">
      <c r="A1588" s="5" t="s">
        <v>1231</v>
      </c>
      <c r="B1588" s="13" t="s">
        <v>1232</v>
      </c>
      <c r="C1588" s="22"/>
      <c r="D1588" s="22" t="s">
        <v>10</v>
      </c>
      <c r="E1588" s="22"/>
      <c r="F1588" s="22">
        <f>(0)</f>
      </c>
      <c r="G1588" s="22">
        <f>(C1588 * E1588 + C1588 * E1588 * F1588)</f>
      </c>
    </row>
    <row r="1589">
      <c r="A1589" s="5" t="s">
        <v>1233</v>
      </c>
      <c r="B1589" s="13" t="s">
        <v>853</v>
      </c>
      <c r="C1589" s="22"/>
      <c r="D1589" s="22" t="s">
        <v>10</v>
      </c>
      <c r="E1589" s="22"/>
      <c r="F1589" s="22">
        <f>(0)</f>
      </c>
      <c r="G1589" s="22">
        <f>(C1589 * E1589 + C1589 * E1589 * F1589)</f>
      </c>
    </row>
    <row r="1590">
      <c r="A1590" s="5" t="s">
        <v>1234</v>
      </c>
      <c r="B1590" s="13" t="s">
        <v>538</v>
      </c>
      <c r="C1590" s="22"/>
      <c r="D1590" s="22" t="s">
        <v>10</v>
      </c>
      <c r="E1590" s="22"/>
      <c r="F1590" s="22">
        <f>(0)</f>
      </c>
      <c r="G1590" s="22">
        <f>(C1590 * E1590 + C1590 * E1590 * F1590)</f>
      </c>
    </row>
    <row r="1591">
      <c r="A1591" s="5" t="s">
        <v>1235</v>
      </c>
      <c r="B1591" s="13" t="s">
        <v>123</v>
      </c>
      <c r="C1591" s="22"/>
      <c r="D1591" s="22" t="s">
        <v>10</v>
      </c>
      <c r="E1591" s="22"/>
      <c r="F1591" s="22">
        <f>(0)</f>
      </c>
      <c r="G1591" s="22">
        <f>(C1591 * E1591 + C1591 * E1591 * F1591)</f>
      </c>
    </row>
    <row r="1592">
      <c r="A1592" s="3"/>
      <c r="B1592" s="11" t="s">
        <v>68</v>
      </c>
      <c r="C1592" s="20"/>
      <c r="D1592" s="20"/>
      <c r="E1592" s="20"/>
      <c r="F1592" s="20"/>
      <c r="G1592" s="20"/>
    </row>
    <row r="1593">
      <c r="A1593" s="5" t="s">
        <v>1236</v>
      </c>
      <c r="B1593" s="14" t="s">
        <v>543</v>
      </c>
      <c r="C1593" s="22">
        <f>(1)*(1)*(1)*(1)*(1 + (0))</f>
      </c>
      <c r="D1593" s="22" t="s">
        <v>71</v>
      </c>
      <c r="E1593" s="22"/>
      <c r="F1593" s="22">
        <f>(0)</f>
      </c>
      <c r="G1593" s="22">
        <f>(C1593 * E1593 + C1593 * E1593 * F1593)</f>
      </c>
    </row>
    <row r="1594">
      <c r="A1594" s="5" t="s">
        <v>1237</v>
      </c>
      <c r="B1594" s="14" t="s">
        <v>136</v>
      </c>
      <c r="C1594" s="22">
        <f>(1)*(1)*(1)*(1)*(1 + (0))</f>
      </c>
      <c r="D1594" s="22" t="s">
        <v>71</v>
      </c>
      <c r="E1594" s="22"/>
      <c r="F1594" s="22">
        <f>(0)</f>
      </c>
      <c r="G1594" s="22">
        <f>(C1594 * E1594 + C1594 * E1594 * F1594)</f>
      </c>
    </row>
    <row r="1595">
      <c r="A1595" s="5" t="s">
        <v>1238</v>
      </c>
      <c r="B1595" s="14" t="s">
        <v>1239</v>
      </c>
      <c r="C1595" s="22">
        <f>(1)*(1)*(1)*(1)*(1 + (0))</f>
      </c>
      <c r="D1595" s="22" t="s">
        <v>71</v>
      </c>
      <c r="E1595" s="22"/>
      <c r="F1595" s="22">
        <f>(0)</f>
      </c>
      <c r="G1595" s="22">
        <f>(C1595 * E1595 + C1595 * E1595 * F1595)</f>
      </c>
    </row>
    <row r="1596">
      <c r="A1596" s="5" t="s">
        <v>1240</v>
      </c>
      <c r="B1596" s="14" t="s">
        <v>798</v>
      </c>
      <c r="C1596" s="22">
        <f>(1)*(1)*(1)*(1)*(1 + (0))</f>
      </c>
      <c r="D1596" s="22" t="s">
        <v>71</v>
      </c>
      <c r="E1596" s="22"/>
      <c r="F1596" s="22">
        <f>(0)</f>
      </c>
      <c r="G1596" s="22">
        <f>(C1596 * E1596 + C1596 * E1596 * F1596)</f>
      </c>
    </row>
    <row r="1597">
      <c r="A1597" s="5" t="s">
        <v>1241</v>
      </c>
      <c r="B1597" s="14" t="s">
        <v>70</v>
      </c>
      <c r="C1597" s="22">
        <f>(1)*(1)*(1)*(1)*(1 + (0))</f>
      </c>
      <c r="D1597" s="22" t="s">
        <v>71</v>
      </c>
      <c r="E1597" s="22"/>
      <c r="F1597" s="22">
        <f>(0)</f>
      </c>
      <c r="G1597" s="22">
        <f>(C1597 * E1597 + C1597 * E1597 * F1597)</f>
      </c>
    </row>
    <row r="1598">
      <c r="A1598" s="5" t="s">
        <v>1242</v>
      </c>
      <c r="B1598" s="14" t="s">
        <v>665</v>
      </c>
      <c r="C1598" s="22">
        <f>(1)*(1)*(1)*(1)*(1 + (0))</f>
      </c>
      <c r="D1598" s="22" t="s">
        <v>71</v>
      </c>
      <c r="E1598" s="22"/>
      <c r="F1598" s="22">
        <f>(0)</f>
      </c>
      <c r="G1598" s="22">
        <f>(C1598 * E1598 + C1598 * E1598 * F1598)</f>
      </c>
    </row>
    <row r="1599">
      <c r="A1599" s="3"/>
      <c r="B1599" s="11" t="s">
        <v>1281</v>
      </c>
      <c r="C1599" s="20"/>
      <c r="D1599" s="20"/>
      <c r="E1599" s="20"/>
      <c r="F1599" s="20"/>
      <c r="G1599" s="20"/>
    </row>
    <row r="1600">
      <c r="A1600" s="4"/>
      <c r="B1600" s="12" t="s">
        <v>1244</v>
      </c>
      <c r="C1600" s="21"/>
      <c r="D1600" s="21"/>
      <c r="E1600" s="21"/>
      <c r="F1600" s="21"/>
      <c r="G1600" s="21"/>
    </row>
    <row r="1601">
      <c r="A1601" s="5"/>
      <c r="B1601" s="13" t="s">
        <v>1282</v>
      </c>
      <c r="C1601" s="22">
        <f>(1)*(1)*(1)*(1)*(1 + (0))</f>
      </c>
      <c r="D1601" s="22" t="s">
        <v>1217</v>
      </c>
      <c r="E1601" s="22"/>
      <c r="F1601" s="22">
        <f>(0)</f>
      </c>
      <c r="G1601" s="22">
        <f>(C1601 * E1601 + C1601 * E1601 * F1601)</f>
      </c>
    </row>
    <row r="1602">
      <c r="A1602" s="5"/>
      <c r="B1602" s="13" t="s">
        <v>1283</v>
      </c>
      <c r="C1602" s="22">
        <f>(1)*(1)*(1)*(1)*(1 + (0))</f>
      </c>
      <c r="D1602" s="22" t="s">
        <v>1217</v>
      </c>
      <c r="E1602" s="22"/>
      <c r="F1602" s="22">
        <f>(0)</f>
      </c>
      <c r="G1602" s="22">
        <f>(C1602 * E1602 + C1602 * E1602 * F1602)</f>
      </c>
    </row>
    <row r="1603">
      <c r="A1603" s="2"/>
      <c r="B1603" s="10" t="s">
        <v>1284</v>
      </c>
      <c r="C1603" s="19"/>
      <c r="D1603" s="19"/>
      <c r="E1603" s="19"/>
      <c r="F1603" s="19"/>
      <c r="G1603" s="19"/>
    </row>
    <row r="1604">
      <c r="A1604" s="3"/>
      <c r="B1604" s="11" t="s">
        <v>37</v>
      </c>
      <c r="C1604" s="20"/>
      <c r="D1604" s="20"/>
      <c r="E1604" s="20"/>
      <c r="F1604" s="20"/>
      <c r="G1604" s="20"/>
    </row>
    <row r="1605">
      <c r="A1605" s="5" t="s">
        <v>1285</v>
      </c>
      <c r="B1605" s="14" t="s">
        <v>39</v>
      </c>
      <c r="C1605" s="22"/>
      <c r="D1605" s="22" t="s">
        <v>10</v>
      </c>
      <c r="E1605" s="22"/>
      <c r="F1605" s="22">
        <f>(0)</f>
      </c>
      <c r="G1605" s="22">
        <f>(C1605 * E1605 + C1605 * E1605 * F1605)</f>
      </c>
    </row>
    <row r="1606">
      <c r="A1606" s="5" t="s">
        <v>1286</v>
      </c>
      <c r="B1606" s="14" t="s">
        <v>41</v>
      </c>
      <c r="C1606" s="22"/>
      <c r="D1606" s="22" t="s">
        <v>10</v>
      </c>
      <c r="E1606" s="22"/>
      <c r="F1606" s="22">
        <f>(0)</f>
      </c>
      <c r="G1606" s="22">
        <f>(C1606 * E1606 + C1606 * E1606 * F1606)</f>
      </c>
    </row>
    <row r="1607">
      <c r="A1607" s="3"/>
      <c r="B1607" s="11" t="s">
        <v>42</v>
      </c>
      <c r="C1607" s="20"/>
      <c r="D1607" s="20"/>
      <c r="E1607" s="20"/>
      <c r="F1607" s="20"/>
      <c r="G1607" s="20"/>
    </row>
    <row r="1608">
      <c r="A1608" s="5"/>
      <c r="B1608" s="14" t="s">
        <v>1287</v>
      </c>
      <c r="C1608" s="22"/>
      <c r="D1608" s="22" t="s">
        <v>10</v>
      </c>
      <c r="E1608" s="22"/>
      <c r="F1608" s="22">
        <f>(0)</f>
      </c>
      <c r="G1608" s="22">
        <f>(C1608 * E1608 + C1608 * E1608 * F1608)</f>
      </c>
    </row>
    <row r="1609">
      <c r="A1609" s="5"/>
      <c r="B1609" s="14" t="s">
        <v>1288</v>
      </c>
      <c r="C1609" s="22"/>
      <c r="D1609" s="22" t="s">
        <v>10</v>
      </c>
      <c r="E1609" s="22"/>
      <c r="F1609" s="22">
        <f>(0)</f>
      </c>
      <c r="G1609" s="22">
        <f>(C1609 * E1609 + C1609 * E1609 * F1609)</f>
      </c>
    </row>
    <row r="1610">
      <c r="A1610" s="5"/>
      <c r="B1610" s="14" t="s">
        <v>1289</v>
      </c>
      <c r="C1610" s="22"/>
      <c r="D1610" s="22" t="s">
        <v>10</v>
      </c>
      <c r="E1610" s="22"/>
      <c r="F1610" s="22">
        <f>(0)</f>
      </c>
      <c r="G1610" s="22">
        <f>(C1610 * E1610 + C1610 * E1610 * F1610)</f>
      </c>
    </row>
    <row r="1611">
      <c r="A1611" s="5"/>
      <c r="B1611" s="14" t="s">
        <v>1290</v>
      </c>
      <c r="C1611" s="22"/>
      <c r="D1611" s="22" t="s">
        <v>10</v>
      </c>
      <c r="E1611" s="22"/>
      <c r="F1611" s="22">
        <f>(0)</f>
      </c>
      <c r="G1611" s="22">
        <f>(C1611 * E1611 + C1611 * E1611 * F1611)</f>
      </c>
    </row>
    <row r="1612">
      <c r="A1612" s="3"/>
      <c r="B1612" s="11" t="s">
        <v>44</v>
      </c>
      <c r="C1612" s="20"/>
      <c r="D1612" s="20"/>
      <c r="E1612" s="20"/>
      <c r="F1612" s="20"/>
      <c r="G1612" s="20"/>
    </row>
    <row r="1613">
      <c r="A1613" s="4"/>
      <c r="B1613" s="12" t="s">
        <v>45</v>
      </c>
      <c r="C1613" s="21"/>
      <c r="D1613" s="21"/>
      <c r="E1613" s="21"/>
      <c r="F1613" s="21"/>
      <c r="G1613" s="21"/>
    </row>
    <row r="1614">
      <c r="A1614" s="5" t="s">
        <v>1291</v>
      </c>
      <c r="B1614" s="13" t="s">
        <v>767</v>
      </c>
      <c r="C1614" s="22"/>
      <c r="D1614" s="22" t="s">
        <v>10</v>
      </c>
      <c r="E1614" s="22"/>
      <c r="F1614" s="22">
        <f>(0)</f>
      </c>
      <c r="G1614" s="22">
        <f>(C1614 * E1614 + C1614 * E1614 * F1614)</f>
      </c>
    </row>
    <row r="1615">
      <c r="A1615" s="5" t="s">
        <v>1292</v>
      </c>
      <c r="B1615" s="13" t="s">
        <v>123</v>
      </c>
      <c r="C1615" s="22"/>
      <c r="D1615" s="22" t="s">
        <v>10</v>
      </c>
      <c r="E1615" s="22"/>
      <c r="F1615" s="22">
        <f>(0)</f>
      </c>
      <c r="G1615" s="22">
        <f>(C1615 * E1615 + C1615 * E1615 * F1615)</f>
      </c>
    </row>
    <row r="1616">
      <c r="A1616" s="3"/>
      <c r="B1616" s="11" t="s">
        <v>68</v>
      </c>
      <c r="C1616" s="20"/>
      <c r="D1616" s="20"/>
      <c r="E1616" s="20"/>
      <c r="F1616" s="20"/>
      <c r="G1616" s="20"/>
    </row>
    <row r="1617">
      <c r="A1617" s="5" t="s">
        <v>1293</v>
      </c>
      <c r="B1617" s="14" t="s">
        <v>230</v>
      </c>
      <c r="C1617" s="22">
        <f>(1)*(1)*(1)*(1)*(1 + (0))</f>
      </c>
      <c r="D1617" s="22" t="s">
        <v>71</v>
      </c>
      <c r="E1617" s="22"/>
      <c r="F1617" s="22">
        <f>(0)</f>
      </c>
      <c r="G1617" s="22">
        <f>(C1617 * E1617 + C1617 * E1617 * F1617)</f>
      </c>
    </row>
    <row r="1618">
      <c r="A1618" s="5" t="s">
        <v>1294</v>
      </c>
      <c r="B1618" s="14" t="s">
        <v>70</v>
      </c>
      <c r="C1618" s="22">
        <f>(1)*(1)*(1)*(1)*(1 + (0))</f>
      </c>
      <c r="D1618" s="22" t="s">
        <v>71</v>
      </c>
      <c r="E1618" s="22"/>
      <c r="F1618" s="22">
        <f>(0)</f>
      </c>
      <c r="G1618" s="22">
        <f>(C1618 * E1618 + C1618 * E1618 * F1618)</f>
      </c>
    </row>
    <row r="1619">
      <c r="A1619" s="5" t="s">
        <v>1295</v>
      </c>
      <c r="B1619" s="14" t="s">
        <v>906</v>
      </c>
      <c r="C1619" s="22">
        <f>(1)*(1)*(1)*(1)*(1 + (0))</f>
      </c>
      <c r="D1619" s="22" t="s">
        <v>71</v>
      </c>
      <c r="E1619" s="22"/>
      <c r="F1619" s="22">
        <f>(0)</f>
      </c>
      <c r="G1619" s="22">
        <f>(C1619 * E1619 + C1619 * E1619 * F1619)</f>
      </c>
    </row>
    <row r="1620">
      <c r="A1620" s="5" t="s">
        <v>1296</v>
      </c>
      <c r="B1620" s="14" t="s">
        <v>665</v>
      </c>
      <c r="C1620" s="22">
        <f>(1)*(1)*(1)*(1)*(1 + (0))</f>
      </c>
      <c r="D1620" s="22" t="s">
        <v>71</v>
      </c>
      <c r="E1620" s="22"/>
      <c r="F1620" s="22">
        <f>(0)</f>
      </c>
      <c r="G1620" s="22">
        <f>(C1620 * E1620 + C1620 * E1620 * F1620)</f>
      </c>
    </row>
    <row r="1621">
      <c r="A1621" s="3"/>
      <c r="B1621" s="11" t="s">
        <v>1297</v>
      </c>
      <c r="C1621" s="20"/>
      <c r="D1621" s="20"/>
      <c r="E1621" s="20"/>
      <c r="F1621" s="20"/>
      <c r="G1621" s="20"/>
    </row>
    <row r="1622">
      <c r="A1622" s="4"/>
      <c r="B1622" s="12" t="s">
        <v>1298</v>
      </c>
      <c r="C1622" s="21"/>
      <c r="D1622" s="21"/>
      <c r="E1622" s="21"/>
      <c r="F1622" s="21"/>
      <c r="G1622" s="21"/>
    </row>
    <row r="1623">
      <c r="A1623" s="5"/>
      <c r="B1623" s="13" t="s">
        <v>1299</v>
      </c>
      <c r="C1623" s="22">
        <f>(3)*(1)*(1)*(1)*(1 + (0))</f>
      </c>
      <c r="D1623" s="22" t="s">
        <v>153</v>
      </c>
      <c r="E1623" s="22"/>
      <c r="F1623" s="22">
        <f>(0)</f>
      </c>
      <c r="G1623" s="22">
        <f>(C1623 * E1623 + C1623 * E1623 * F1623)</f>
      </c>
    </row>
    <row r="1624">
      <c r="A1624" s="5"/>
      <c r="B1624" s="13" t="s">
        <v>1300</v>
      </c>
      <c r="C1624" s="22">
        <f>(28)*(1)*(1)*(1)*(1 + (0))</f>
      </c>
      <c r="D1624" s="22" t="s">
        <v>153</v>
      </c>
      <c r="E1624" s="22"/>
      <c r="F1624" s="22">
        <f>(0)</f>
      </c>
      <c r="G1624" s="22">
        <f>(C1624 * E1624 + C1624 * E1624 * F1624)</f>
      </c>
    </row>
    <row r="1625">
      <c r="A1625" s="2"/>
      <c r="B1625" s="10" t="s">
        <v>1301</v>
      </c>
      <c r="C1625" s="19"/>
      <c r="D1625" s="19"/>
      <c r="E1625" s="19"/>
      <c r="F1625" s="19"/>
      <c r="G1625" s="19"/>
    </row>
    <row r="1626">
      <c r="A1626" s="3"/>
      <c r="B1626" s="11" t="s">
        <v>37</v>
      </c>
      <c r="C1626" s="20"/>
      <c r="D1626" s="20"/>
      <c r="E1626" s="20"/>
      <c r="F1626" s="20"/>
      <c r="G1626" s="20"/>
    </row>
    <row r="1627">
      <c r="A1627" s="5" t="s">
        <v>1302</v>
      </c>
      <c r="B1627" s="14" t="s">
        <v>39</v>
      </c>
      <c r="C1627" s="22"/>
      <c r="D1627" s="22" t="s">
        <v>10</v>
      </c>
      <c r="E1627" s="22"/>
      <c r="F1627" s="22">
        <f>(0)</f>
      </c>
      <c r="G1627" s="22">
        <f>(C1627 * E1627 + C1627 * E1627 * F1627)</f>
      </c>
    </row>
    <row r="1628">
      <c r="A1628" s="5" t="s">
        <v>1303</v>
      </c>
      <c r="B1628" s="14" t="s">
        <v>41</v>
      </c>
      <c r="C1628" s="22"/>
      <c r="D1628" s="22" t="s">
        <v>10</v>
      </c>
      <c r="E1628" s="22"/>
      <c r="F1628" s="22">
        <f>(0)</f>
      </c>
      <c r="G1628" s="22">
        <f>(C1628 * E1628 + C1628 * E1628 * F1628)</f>
      </c>
    </row>
    <row r="1629">
      <c r="A1629" s="3"/>
      <c r="B1629" s="11" t="s">
        <v>42</v>
      </c>
      <c r="C1629" s="20"/>
      <c r="D1629" s="20"/>
      <c r="E1629" s="20"/>
      <c r="F1629" s="20"/>
      <c r="G1629" s="20"/>
    </row>
    <row r="1630">
      <c r="A1630" s="5"/>
      <c r="B1630" s="14" t="s">
        <v>1009</v>
      </c>
      <c r="C1630" s="22"/>
      <c r="D1630" s="22" t="s">
        <v>10</v>
      </c>
      <c r="E1630" s="22"/>
      <c r="F1630" s="22">
        <f>(0)</f>
      </c>
      <c r="G1630" s="22">
        <f>(C1630 * E1630 + C1630 * E1630 * F1630)</f>
      </c>
    </row>
    <row r="1631">
      <c r="A1631" s="5"/>
      <c r="B1631" s="14" t="s">
        <v>762</v>
      </c>
      <c r="C1631" s="22"/>
      <c r="D1631" s="22" t="s">
        <v>10</v>
      </c>
      <c r="E1631" s="22"/>
      <c r="F1631" s="22">
        <f>(0)</f>
      </c>
      <c r="G1631" s="22">
        <f>(C1631 * E1631 + C1631 * E1631 * F1631)</f>
      </c>
    </row>
    <row r="1632">
      <c r="A1632" s="5"/>
      <c r="B1632" s="14" t="s">
        <v>763</v>
      </c>
      <c r="C1632" s="22"/>
      <c r="D1632" s="22" t="s">
        <v>10</v>
      </c>
      <c r="E1632" s="22"/>
      <c r="F1632" s="22">
        <f>(0)</f>
      </c>
      <c r="G1632" s="22">
        <f>(C1632 * E1632 + C1632 * E1632 * F1632)</f>
      </c>
    </row>
    <row r="1633">
      <c r="A1633" s="5"/>
      <c r="B1633" s="14" t="s">
        <v>1010</v>
      </c>
      <c r="C1633" s="22"/>
      <c r="D1633" s="22" t="s">
        <v>10</v>
      </c>
      <c r="E1633" s="22"/>
      <c r="F1633" s="22">
        <f>(0)</f>
      </c>
      <c r="G1633" s="22">
        <f>(C1633 * E1633 + C1633 * E1633 * F1633)</f>
      </c>
    </row>
    <row r="1634">
      <c r="A1634" s="5"/>
      <c r="B1634" s="14" t="s">
        <v>1304</v>
      </c>
      <c r="C1634" s="22"/>
      <c r="D1634" s="22" t="s">
        <v>10</v>
      </c>
      <c r="E1634" s="22"/>
      <c r="F1634" s="22">
        <f>(0)</f>
      </c>
      <c r="G1634" s="22">
        <f>(C1634 * E1634 + C1634 * E1634 * F1634)</f>
      </c>
    </row>
    <row r="1635">
      <c r="A1635" s="3"/>
      <c r="B1635" s="11" t="s">
        <v>44</v>
      </c>
      <c r="C1635" s="20"/>
      <c r="D1635" s="20"/>
      <c r="E1635" s="20"/>
      <c r="F1635" s="20"/>
      <c r="G1635" s="20"/>
    </row>
    <row r="1636">
      <c r="A1636" s="4"/>
      <c r="B1636" s="12" t="s">
        <v>45</v>
      </c>
      <c r="C1636" s="21"/>
      <c r="D1636" s="21"/>
      <c r="E1636" s="21"/>
      <c r="F1636" s="21"/>
      <c r="G1636" s="21"/>
    </row>
    <row r="1637">
      <c r="A1637" s="5" t="s">
        <v>1305</v>
      </c>
      <c r="B1637" s="13" t="s">
        <v>1306</v>
      </c>
      <c r="C1637" s="22"/>
      <c r="D1637" s="22" t="s">
        <v>10</v>
      </c>
      <c r="E1637" s="22"/>
      <c r="F1637" s="22">
        <f>(0)</f>
      </c>
      <c r="G1637" s="22">
        <f>(C1637 * E1637 + C1637 * E1637 * F1637)</f>
      </c>
    </row>
    <row r="1638">
      <c r="A1638" s="5" t="s">
        <v>1307</v>
      </c>
      <c r="B1638" s="13" t="s">
        <v>1308</v>
      </c>
      <c r="C1638" s="22"/>
      <c r="D1638" s="22" t="s">
        <v>10</v>
      </c>
      <c r="E1638" s="22"/>
      <c r="F1638" s="22">
        <f>(0)</f>
      </c>
      <c r="G1638" s="22">
        <f>(C1638 * E1638 + C1638 * E1638 * F1638)</f>
      </c>
    </row>
    <row r="1639">
      <c r="A1639" s="5" t="s">
        <v>1309</v>
      </c>
      <c r="B1639" s="13" t="s">
        <v>1310</v>
      </c>
      <c r="C1639" s="22"/>
      <c r="D1639" s="22" t="s">
        <v>10</v>
      </c>
      <c r="E1639" s="22"/>
      <c r="F1639" s="22">
        <f>(0)</f>
      </c>
      <c r="G1639" s="22">
        <f>(C1639 * E1639 + C1639 * E1639 * F1639)</f>
      </c>
    </row>
    <row r="1640">
      <c r="A1640" s="5" t="s">
        <v>1311</v>
      </c>
      <c r="B1640" s="13" t="s">
        <v>1312</v>
      </c>
      <c r="C1640" s="22"/>
      <c r="D1640" s="22" t="s">
        <v>10</v>
      </c>
      <c r="E1640" s="22"/>
      <c r="F1640" s="22">
        <f>(0)</f>
      </c>
      <c r="G1640" s="22">
        <f>(C1640 * E1640 + C1640 * E1640 * F1640)</f>
      </c>
    </row>
    <row r="1641">
      <c r="A1641" s="5" t="s">
        <v>1313</v>
      </c>
      <c r="B1641" s="13" t="s">
        <v>1314</v>
      </c>
      <c r="C1641" s="22"/>
      <c r="D1641" s="22" t="s">
        <v>10</v>
      </c>
      <c r="E1641" s="22"/>
      <c r="F1641" s="22">
        <f>(0)</f>
      </c>
      <c r="G1641" s="22">
        <f>(C1641 * E1641 + C1641 * E1641 * F1641)</f>
      </c>
    </row>
    <row r="1642">
      <c r="A1642" s="5" t="s">
        <v>1315</v>
      </c>
      <c r="B1642" s="13" t="s">
        <v>1316</v>
      </c>
      <c r="C1642" s="22"/>
      <c r="D1642" s="22" t="s">
        <v>10</v>
      </c>
      <c r="E1642" s="22"/>
      <c r="F1642" s="22">
        <f>(0)</f>
      </c>
      <c r="G1642" s="22">
        <f>(C1642 * E1642 + C1642 * E1642 * F1642)</f>
      </c>
    </row>
    <row r="1643">
      <c r="A1643" s="5" t="s">
        <v>1317</v>
      </c>
      <c r="B1643" s="13" t="s">
        <v>1318</v>
      </c>
      <c r="C1643" s="22"/>
      <c r="D1643" s="22" t="s">
        <v>10</v>
      </c>
      <c r="E1643" s="22"/>
      <c r="F1643" s="22">
        <f>(0)</f>
      </c>
      <c r="G1643" s="22">
        <f>(C1643 * E1643 + C1643 * E1643 * F1643)</f>
      </c>
    </row>
    <row r="1644">
      <c r="A1644" s="5" t="s">
        <v>1319</v>
      </c>
      <c r="B1644" s="13" t="s">
        <v>123</v>
      </c>
      <c r="C1644" s="22"/>
      <c r="D1644" s="22" t="s">
        <v>10</v>
      </c>
      <c r="E1644" s="22"/>
      <c r="F1644" s="22">
        <f>(0)</f>
      </c>
      <c r="G1644" s="22">
        <f>(C1644 * E1644 + C1644 * E1644 * F1644)</f>
      </c>
    </row>
    <row r="1645">
      <c r="A1645" s="3"/>
      <c r="B1645" s="11" t="s">
        <v>68</v>
      </c>
      <c r="C1645" s="20"/>
      <c r="D1645" s="20"/>
      <c r="E1645" s="20"/>
      <c r="F1645" s="20"/>
      <c r="G1645" s="20"/>
    </row>
    <row r="1646">
      <c r="A1646" s="5" t="s">
        <v>1320</v>
      </c>
      <c r="B1646" s="14" t="s">
        <v>75</v>
      </c>
      <c r="C1646" s="22">
        <f>(1)*(1)*(1)*(1)*(1 + (0))</f>
      </c>
      <c r="D1646" s="22" t="s">
        <v>71</v>
      </c>
      <c r="E1646" s="22"/>
      <c r="F1646" s="22">
        <f>(0)</f>
      </c>
      <c r="G1646" s="22">
        <f>(C1646 * E1646 + C1646 * E1646 * F1646)</f>
      </c>
    </row>
    <row r="1647">
      <c r="A1647" s="5" t="s">
        <v>1321</v>
      </c>
      <c r="B1647" s="14" t="s">
        <v>1322</v>
      </c>
      <c r="C1647" s="22">
        <f>(1)*(1)*(1)*(1)*(1 + (0))</f>
      </c>
      <c r="D1647" s="22" t="s">
        <v>71</v>
      </c>
      <c r="E1647" s="22"/>
      <c r="F1647" s="22">
        <f>(0)</f>
      </c>
      <c r="G1647" s="22">
        <f>(C1647 * E1647 + C1647 * E1647 * F1647)</f>
      </c>
    </row>
    <row r="1648">
      <c r="A1648" s="5" t="s">
        <v>1323</v>
      </c>
      <c r="B1648" s="14" t="s">
        <v>1324</v>
      </c>
      <c r="C1648" s="22">
        <f>(1)*(1)*(1)*(1)*(1 + (0))</f>
      </c>
      <c r="D1648" s="22" t="s">
        <v>71</v>
      </c>
      <c r="E1648" s="22"/>
      <c r="F1648" s="22">
        <f>(0)</f>
      </c>
      <c r="G1648" s="22">
        <f>(C1648 * E1648 + C1648 * E1648 * F1648)</f>
      </c>
    </row>
    <row r="1649">
      <c r="A1649" s="5" t="s">
        <v>1325</v>
      </c>
      <c r="B1649" s="14" t="s">
        <v>230</v>
      </c>
      <c r="C1649" s="22">
        <f>(1)*(1)*(1)*(1)*(1 + (0))</f>
      </c>
      <c r="D1649" s="22" t="s">
        <v>71</v>
      </c>
      <c r="E1649" s="22"/>
      <c r="F1649" s="22">
        <f>(0)</f>
      </c>
      <c r="G1649" s="22">
        <f>(C1649 * E1649 + C1649 * E1649 * F1649)</f>
      </c>
    </row>
    <row r="1650">
      <c r="A1650" s="5" t="s">
        <v>1326</v>
      </c>
      <c r="B1650" s="14" t="s">
        <v>800</v>
      </c>
      <c r="C1650" s="22">
        <f>(1)*(1)*(1)*(1)*(1 + (0))</f>
      </c>
      <c r="D1650" s="22" t="s">
        <v>71</v>
      </c>
      <c r="E1650" s="22"/>
      <c r="F1650" s="22">
        <f>(0)</f>
      </c>
      <c r="G1650" s="22">
        <f>(C1650 * E1650 + C1650 * E1650 * F1650)</f>
      </c>
    </row>
    <row r="1651">
      <c r="A1651" s="5" t="s">
        <v>1327</v>
      </c>
      <c r="B1651" s="14" t="s">
        <v>73</v>
      </c>
      <c r="C1651" s="22">
        <f>(1)*(1)*(1)*(1)*(1 + (0))</f>
      </c>
      <c r="D1651" s="22" t="s">
        <v>71</v>
      </c>
      <c r="E1651" s="22"/>
      <c r="F1651" s="22">
        <f>(0)</f>
      </c>
      <c r="G1651" s="22">
        <f>(C1651 * E1651 + C1651 * E1651 * F1651)</f>
      </c>
    </row>
    <row r="1652">
      <c r="A1652" s="5" t="s">
        <v>1328</v>
      </c>
      <c r="B1652" s="14" t="s">
        <v>70</v>
      </c>
      <c r="C1652" s="22">
        <f>(1)*(1)*(1)*(1)*(1 + (0))</f>
      </c>
      <c r="D1652" s="22" t="s">
        <v>71</v>
      </c>
      <c r="E1652" s="22"/>
      <c r="F1652" s="22">
        <f>(0)</f>
      </c>
      <c r="G1652" s="22">
        <f>(C1652 * E1652 + C1652 * E1652 * F1652)</f>
      </c>
    </row>
    <row r="1653">
      <c r="A1653" s="5" t="s">
        <v>1329</v>
      </c>
      <c r="B1653" s="14" t="s">
        <v>1330</v>
      </c>
      <c r="C1653" s="22">
        <f>(1)*(1)*(1)*(1)*(1 + (0))</f>
      </c>
      <c r="D1653" s="22" t="s">
        <v>71</v>
      </c>
      <c r="E1653" s="22"/>
      <c r="F1653" s="22">
        <f>(0)</f>
      </c>
      <c r="G1653" s="22">
        <f>(C1653 * E1653 + C1653 * E1653 * F1653)</f>
      </c>
    </row>
    <row r="1654">
      <c r="A1654" s="5" t="s">
        <v>1331</v>
      </c>
      <c r="B1654" s="14" t="s">
        <v>665</v>
      </c>
      <c r="C1654" s="22">
        <f>(1)*(1)*(1)*(1)*(1 + (0))</f>
      </c>
      <c r="D1654" s="22" t="s">
        <v>71</v>
      </c>
      <c r="E1654" s="22"/>
      <c r="F1654" s="22">
        <f>(0)</f>
      </c>
      <c r="G1654" s="22">
        <f>(C1654 * E1654 + C1654 * E1654 * F1654)</f>
      </c>
    </row>
    <row r="1655">
      <c r="A1655" s="3"/>
      <c r="B1655" s="11" t="s">
        <v>106</v>
      </c>
      <c r="C1655" s="20"/>
      <c r="D1655" s="20"/>
      <c r="E1655" s="20"/>
      <c r="F1655" s="20"/>
      <c r="G1655" s="20"/>
    </row>
    <row r="1656">
      <c r="A1656" s="5"/>
      <c r="B1656" s="14" t="s">
        <v>1332</v>
      </c>
      <c r="C1656" s="22"/>
      <c r="D1656" s="22" t="s">
        <v>1333</v>
      </c>
      <c r="E1656" s="22"/>
      <c r="F1656" s="22">
        <f>(0)</f>
      </c>
      <c r="G1656" s="22">
        <f>(C1656 * E1656 + C1656 * E1656 * F1656)</f>
      </c>
    </row>
    <row r="1657">
      <c r="A1657" s="5"/>
      <c r="B1657" s="14" t="s">
        <v>1334</v>
      </c>
      <c r="C1657" s="22"/>
      <c r="D1657" s="22" t="s">
        <v>1335</v>
      </c>
      <c r="E1657" s="22"/>
      <c r="F1657" s="22">
        <f>(0)</f>
      </c>
      <c r="G1657" s="22">
        <f>(C1657 * E1657 + C1657 * E1657 * F1657)</f>
      </c>
    </row>
    <row r="1658">
      <c r="A1658" s="3"/>
      <c r="B1658" s="11" t="s">
        <v>1336</v>
      </c>
      <c r="C1658" s="20"/>
      <c r="D1658" s="20"/>
      <c r="E1658" s="20"/>
      <c r="F1658" s="20"/>
      <c r="G1658" s="20"/>
    </row>
    <row r="1659">
      <c r="A1659" s="4"/>
      <c r="B1659" s="12" t="s">
        <v>1337</v>
      </c>
      <c r="C1659" s="21"/>
      <c r="D1659" s="21"/>
      <c r="E1659" s="21"/>
      <c r="F1659" s="21"/>
      <c r="G1659" s="21"/>
    </row>
    <row r="1660">
      <c r="A1660" s="6"/>
      <c r="B1660" s="15" t="s">
        <v>1338</v>
      </c>
      <c r="C1660" s="23"/>
      <c r="D1660" s="23"/>
      <c r="E1660" s="23"/>
      <c r="F1660" s="23"/>
      <c r="G1660" s="23"/>
    </row>
    <row r="1661">
      <c r="A1661" s="5"/>
      <c r="B1661" s="16" t="s">
        <v>1339</v>
      </c>
      <c r="C1661" s="22"/>
      <c r="D1661" s="22"/>
      <c r="E1661" s="22"/>
      <c r="F1661" s="22"/>
      <c r="G1661" s="22"/>
    </row>
    <row r="1662">
      <c r="A1662" s="5"/>
      <c r="B1662" s="17" t="s">
        <v>23</v>
      </c>
      <c r="C1662" s="22">
        <f>(373)*(1)*(1)*(1)*(1 + (0))</f>
      </c>
      <c r="D1662" s="22" t="s">
        <v>24</v>
      </c>
      <c r="E1662" s="22"/>
      <c r="F1662" s="22">
        <f>(0)</f>
      </c>
      <c r="G1662" s="22">
        <f>(C1662 * E1662 + C1662 * E1662 * F1662)</f>
      </c>
    </row>
    <row r="1663">
      <c r="A1663" s="5"/>
      <c r="B1663" s="17" t="s">
        <v>25</v>
      </c>
      <c r="C1663" s="22">
        <f>(445)*(1)*(1)*(1)*(1 + (0))</f>
      </c>
      <c r="D1663" s="22" t="s">
        <v>24</v>
      </c>
      <c r="E1663" s="22"/>
      <c r="F1663" s="22">
        <f>(0)</f>
      </c>
      <c r="G1663" s="22">
        <f>(C1663 * E1663 + C1663 * E1663 * F1663)</f>
      </c>
    </row>
    <row r="1664">
      <c r="A1664" s="5"/>
      <c r="B1664" s="16" t="s">
        <v>1340</v>
      </c>
      <c r="C1664" s="22"/>
      <c r="D1664" s="22"/>
      <c r="E1664" s="22"/>
      <c r="F1664" s="22"/>
      <c r="G1664" s="22"/>
    </row>
    <row r="1665">
      <c r="A1665" s="5"/>
      <c r="B1665" s="17" t="s">
        <v>23</v>
      </c>
      <c r="C1665" s="22">
        <f>(466)*(1)*(1)*(1)*(1 + (0))</f>
      </c>
      <c r="D1665" s="22" t="s">
        <v>24</v>
      </c>
      <c r="E1665" s="22"/>
      <c r="F1665" s="22">
        <f>(0)</f>
      </c>
      <c r="G1665" s="22">
        <f>(C1665 * E1665 + C1665 * E1665 * F1665)</f>
      </c>
    </row>
    <row r="1666">
      <c r="A1666" s="5"/>
      <c r="B1666" s="17" t="s">
        <v>25</v>
      </c>
      <c r="C1666" s="22">
        <f>(737)*(1)*(1)*(1)*(1 + (0))</f>
      </c>
      <c r="D1666" s="22" t="s">
        <v>24</v>
      </c>
      <c r="E1666" s="22"/>
      <c r="F1666" s="22">
        <f>(0)</f>
      </c>
      <c r="G1666" s="22">
        <f>(C1666 * E1666 + C1666 * E1666 * F1666)</f>
      </c>
    </row>
    <row r="1667">
      <c r="A1667" s="5"/>
      <c r="B1667" s="16" t="s">
        <v>1341</v>
      </c>
      <c r="C1667" s="22"/>
      <c r="D1667" s="22"/>
      <c r="E1667" s="22"/>
      <c r="F1667" s="22"/>
      <c r="G1667" s="22"/>
    </row>
    <row r="1668">
      <c r="A1668" s="5"/>
      <c r="B1668" s="17" t="s">
        <v>23</v>
      </c>
      <c r="C1668" s="22">
        <f>(28)*(1)*(1)*(1)*(1 + (0))</f>
      </c>
      <c r="D1668" s="22" t="s">
        <v>24</v>
      </c>
      <c r="E1668" s="22"/>
      <c r="F1668" s="22">
        <f>(0)</f>
      </c>
      <c r="G1668" s="22">
        <f>(C1668 * E1668 + C1668 * E1668 * F1668)</f>
      </c>
    </row>
    <row r="1669">
      <c r="A1669" s="5"/>
      <c r="B1669" s="16" t="s">
        <v>1342</v>
      </c>
      <c r="C1669" s="22"/>
      <c r="D1669" s="22"/>
      <c r="E1669" s="22"/>
      <c r="F1669" s="22"/>
      <c r="G1669" s="22"/>
    </row>
    <row r="1670">
      <c r="A1670" s="5"/>
      <c r="B1670" s="17" t="s">
        <v>23</v>
      </c>
      <c r="C1670" s="22">
        <f>(11)*(1)*(1)*(1)*(1 + (0))</f>
      </c>
      <c r="D1670" s="22" t="s">
        <v>24</v>
      </c>
      <c r="E1670" s="22"/>
      <c r="F1670" s="22">
        <f>(0)</f>
      </c>
      <c r="G1670" s="22">
        <f>(C1670 * E1670 + C1670 * E1670 * F1670)</f>
      </c>
    </row>
    <row r="1671">
      <c r="A1671" s="5"/>
      <c r="B1671" s="17" t="s">
        <v>25</v>
      </c>
      <c r="C1671" s="22">
        <f>(143)*(1)*(1)*(1)*(1 + (0))</f>
      </c>
      <c r="D1671" s="22" t="s">
        <v>24</v>
      </c>
      <c r="E1671" s="22"/>
      <c r="F1671" s="22">
        <f>(0)</f>
      </c>
      <c r="G1671" s="22">
        <f>(C1671 * E1671 + C1671 * E1671 * F1671)</f>
      </c>
    </row>
    <row r="1672">
      <c r="A1672" s="5"/>
      <c r="B1672" s="16" t="s">
        <v>1343</v>
      </c>
      <c r="C1672" s="22"/>
      <c r="D1672" s="22"/>
      <c r="E1672" s="22"/>
      <c r="F1672" s="22"/>
      <c r="G1672" s="22"/>
    </row>
    <row r="1673">
      <c r="A1673" s="5"/>
      <c r="B1673" s="17" t="s">
        <v>23</v>
      </c>
      <c r="C1673" s="22">
        <f>(119)*(1)*(1)*(1)*(1 + (0))</f>
      </c>
      <c r="D1673" s="22" t="s">
        <v>24</v>
      </c>
      <c r="E1673" s="22"/>
      <c r="F1673" s="22">
        <f>(0)</f>
      </c>
      <c r="G1673" s="22">
        <f>(C1673 * E1673 + C1673 * E1673 * F1673)</f>
      </c>
    </row>
    <row r="1674">
      <c r="A1674" s="5"/>
      <c r="B1674" s="17" t="s">
        <v>25</v>
      </c>
      <c r="C1674" s="22">
        <f>(18)*(1)*(1)*(1)*(1 + (0))</f>
      </c>
      <c r="D1674" s="22" t="s">
        <v>24</v>
      </c>
      <c r="E1674" s="22"/>
      <c r="F1674" s="22">
        <f>(0)</f>
      </c>
      <c r="G1674" s="22">
        <f>(C1674 * E1674 + C1674 * E1674 * F1674)</f>
      </c>
    </row>
    <row r="1675">
      <c r="A1675" s="5"/>
      <c r="B1675" s="16" t="s">
        <v>1344</v>
      </c>
      <c r="C1675" s="22"/>
      <c r="D1675" s="22"/>
      <c r="E1675" s="22"/>
      <c r="F1675" s="22"/>
      <c r="G1675" s="22"/>
    </row>
    <row r="1676">
      <c r="A1676" s="5"/>
      <c r="B1676" s="17" t="s">
        <v>23</v>
      </c>
      <c r="C1676" s="22">
        <f>(46)*(1)*(1)*(1)*(1 + (0))</f>
      </c>
      <c r="D1676" s="22" t="s">
        <v>24</v>
      </c>
      <c r="E1676" s="22"/>
      <c r="F1676" s="22">
        <f>(0)</f>
      </c>
      <c r="G1676" s="22">
        <f>(C1676 * E1676 + C1676 * E1676 * F1676)</f>
      </c>
    </row>
    <row r="1677">
      <c r="A1677" s="5"/>
      <c r="B1677" s="16" t="s">
        <v>1345</v>
      </c>
      <c r="C1677" s="22"/>
      <c r="D1677" s="22"/>
      <c r="E1677" s="22"/>
      <c r="F1677" s="22"/>
      <c r="G1677" s="22"/>
    </row>
    <row r="1678">
      <c r="A1678" s="5"/>
      <c r="B1678" s="17" t="s">
        <v>23</v>
      </c>
      <c r="C1678" s="22">
        <f>(282)*(1)*(1)*(1)*(1 + (0))</f>
      </c>
      <c r="D1678" s="22" t="s">
        <v>24</v>
      </c>
      <c r="E1678" s="22"/>
      <c r="F1678" s="22">
        <f>(0)</f>
      </c>
      <c r="G1678" s="22">
        <f>(C1678 * E1678 + C1678 * E1678 * F1678)</f>
      </c>
    </row>
    <row r="1679">
      <c r="A1679" s="4"/>
      <c r="B1679" s="12" t="s">
        <v>1346</v>
      </c>
      <c r="C1679" s="21"/>
      <c r="D1679" s="21"/>
      <c r="E1679" s="21"/>
      <c r="F1679" s="21"/>
      <c r="G1679" s="21"/>
    </row>
    <row r="1680">
      <c r="A1680" s="6"/>
      <c r="B1680" s="15" t="s">
        <v>1347</v>
      </c>
      <c r="C1680" s="23"/>
      <c r="D1680" s="23"/>
      <c r="E1680" s="23"/>
      <c r="F1680" s="23"/>
      <c r="G1680" s="23"/>
    </row>
    <row r="1681">
      <c r="A1681" s="5"/>
      <c r="B1681" s="16" t="s">
        <v>23</v>
      </c>
      <c r="C1681" s="22">
        <f>(25)*(1)*(1)*(1)*(1 + (0))</f>
      </c>
      <c r="D1681" s="22" t="s">
        <v>24</v>
      </c>
      <c r="E1681" s="22"/>
      <c r="F1681" s="22">
        <f>(0)</f>
      </c>
      <c r="G1681" s="22">
        <f>(C1681 * E1681 + C1681 * E1681 * F1681)</f>
      </c>
    </row>
    <row r="1682">
      <c r="A1682" s="5"/>
      <c r="B1682" s="16" t="s">
        <v>25</v>
      </c>
      <c r="C1682" s="22">
        <f>(15)*(1)*(1)*(1)*(1 + (0))</f>
      </c>
      <c r="D1682" s="22" t="s">
        <v>24</v>
      </c>
      <c r="E1682" s="22"/>
      <c r="F1682" s="22">
        <f>(0)</f>
      </c>
      <c r="G1682" s="22">
        <f>(C1682 * E1682 + C1682 * E1682 * F1682)</f>
      </c>
    </row>
    <row r="1683">
      <c r="A1683" s="4"/>
      <c r="B1683" s="12" t="s">
        <v>1348</v>
      </c>
      <c r="C1683" s="21"/>
      <c r="D1683" s="21"/>
      <c r="E1683" s="21"/>
      <c r="F1683" s="21"/>
      <c r="G1683" s="21"/>
    </row>
    <row r="1684">
      <c r="A1684" s="6"/>
      <c r="B1684" s="15" t="s">
        <v>1349</v>
      </c>
      <c r="C1684" s="23"/>
      <c r="D1684" s="23"/>
      <c r="E1684" s="23"/>
      <c r="F1684" s="23"/>
      <c r="G1684" s="23"/>
    </row>
    <row r="1685">
      <c r="A1685" s="5"/>
      <c r="B1685" s="16" t="s">
        <v>23</v>
      </c>
      <c r="C1685" s="22">
        <f>(76)*(1)*(1)*(1)*(1 + (0))</f>
      </c>
      <c r="D1685" s="22" t="s">
        <v>153</v>
      </c>
      <c r="E1685" s="22"/>
      <c r="F1685" s="22">
        <f>(0)</f>
      </c>
      <c r="G1685" s="22">
        <f>(C1685 * E1685 + C1685 * E1685 * F1685)</f>
      </c>
    </row>
    <row r="1686">
      <c r="A1686" s="5"/>
      <c r="B1686" s="16" t="s">
        <v>25</v>
      </c>
      <c r="C1686" s="22">
        <f>(69)*(1)*(1)*(1)*(1 + (0))</f>
      </c>
      <c r="D1686" s="22" t="s">
        <v>153</v>
      </c>
      <c r="E1686" s="22"/>
      <c r="F1686" s="22">
        <f>(0)</f>
      </c>
      <c r="G1686" s="22">
        <f>(C1686 * E1686 + C1686 * E1686 * F1686)</f>
      </c>
    </row>
    <row r="1687">
      <c r="A1687" s="3"/>
      <c r="B1687" s="11" t="s">
        <v>1350</v>
      </c>
      <c r="C1687" s="20"/>
      <c r="D1687" s="20"/>
      <c r="E1687" s="20"/>
      <c r="F1687" s="20"/>
      <c r="G1687" s="20"/>
    </row>
    <row r="1688">
      <c r="A1688" s="4"/>
      <c r="B1688" s="12" t="s">
        <v>1351</v>
      </c>
      <c r="C1688" s="21"/>
      <c r="D1688" s="21"/>
      <c r="E1688" s="21"/>
      <c r="F1688" s="21"/>
      <c r="G1688" s="21"/>
    </row>
    <row r="1689">
      <c r="A1689" s="5"/>
      <c r="B1689" s="13" t="s">
        <v>993</v>
      </c>
      <c r="C1689" s="22">
        <f>(1309)*(1)*(1)*(1)*(1 + (0))</f>
      </c>
      <c r="D1689" s="22" t="s">
        <v>24</v>
      </c>
      <c r="E1689" s="22"/>
      <c r="F1689" s="22">
        <f>(0)</f>
      </c>
      <c r="G1689" s="22">
        <f>(C1689 * E1689 + C1689 * E1689 * F1689)</f>
      </c>
    </row>
    <row r="1690">
      <c r="A1690" s="5"/>
      <c r="B1690" s="13" t="s">
        <v>991</v>
      </c>
      <c r="C1690" s="22">
        <f>(1091)*(1)*(1)*(1)*(1 + (0))</f>
      </c>
      <c r="D1690" s="22" t="s">
        <v>24</v>
      </c>
      <c r="E1690" s="22"/>
      <c r="F1690" s="22">
        <f>(0)</f>
      </c>
      <c r="G1690" s="22">
        <f>(C1690 * E1690 + C1690 * E1690 * F1690)</f>
      </c>
    </row>
    <row r="1691">
      <c r="A1691" s="3"/>
      <c r="B1691" s="11" t="s">
        <v>1352</v>
      </c>
      <c r="C1691" s="20"/>
      <c r="D1691" s="20"/>
      <c r="E1691" s="20"/>
      <c r="F1691" s="20"/>
      <c r="G1691" s="20"/>
    </row>
    <row r="1692">
      <c r="A1692" s="4"/>
      <c r="B1692" s="12" t="s">
        <v>1353</v>
      </c>
      <c r="C1692" s="21"/>
      <c r="D1692" s="21"/>
      <c r="E1692" s="21"/>
      <c r="F1692" s="21"/>
      <c r="G1692" s="21"/>
    </row>
    <row r="1693">
      <c r="A1693" s="5"/>
      <c r="B1693" s="13" t="s">
        <v>821</v>
      </c>
      <c r="C1693" s="22">
        <f>(154)*(1)*(1)*(1)*(1 + (0))</f>
      </c>
      <c r="D1693" s="22" t="s">
        <v>24</v>
      </c>
      <c r="E1693" s="22"/>
      <c r="F1693" s="22">
        <f>(0)</f>
      </c>
      <c r="G1693" s="22">
        <f>(C1693 * E1693 + C1693 * E1693 * F1693)</f>
      </c>
    </row>
    <row r="1694">
      <c r="A1694" s="4"/>
      <c r="B1694" s="12" t="s">
        <v>1354</v>
      </c>
      <c r="C1694" s="21"/>
      <c r="D1694" s="21"/>
      <c r="E1694" s="21"/>
      <c r="F1694" s="21"/>
      <c r="G1694" s="21"/>
    </row>
    <row r="1695">
      <c r="A1695" s="5"/>
      <c r="B1695" s="13" t="s">
        <v>821</v>
      </c>
      <c r="C1695" s="22">
        <f>(67)*(1)*(1)*(1)*(1 + (0))</f>
      </c>
      <c r="D1695" s="22" t="s">
        <v>24</v>
      </c>
      <c r="E1695" s="22"/>
      <c r="F1695" s="22">
        <f>(0)</f>
      </c>
      <c r="G1695" s="22">
        <f>(C1695 * E1695 + C1695 * E1695 * F1695)</f>
      </c>
    </row>
    <row r="1696">
      <c r="A1696" s="5"/>
      <c r="B1696" s="13" t="s">
        <v>822</v>
      </c>
      <c r="C1696" s="22">
        <f>(46)*(1)*(1)*(1)*(1 + (0))</f>
      </c>
      <c r="D1696" s="22" t="s">
        <v>24</v>
      </c>
      <c r="E1696" s="22"/>
      <c r="F1696" s="22">
        <f>(0)</f>
      </c>
      <c r="G1696" s="22">
        <f>(C1696 * E1696 + C1696 * E1696 * F1696)</f>
      </c>
    </row>
    <row r="1697">
      <c r="A1697" s="3"/>
      <c r="B1697" s="11" t="s">
        <v>1355</v>
      </c>
      <c r="C1697" s="20"/>
      <c r="D1697" s="20"/>
      <c r="E1697" s="20"/>
      <c r="F1697" s="20"/>
      <c r="G1697" s="20"/>
    </row>
    <row r="1698">
      <c r="A1698" s="4"/>
      <c r="B1698" s="12" t="s">
        <v>870</v>
      </c>
      <c r="C1698" s="21"/>
      <c r="D1698" s="21"/>
      <c r="E1698" s="21"/>
      <c r="F1698" s="21"/>
      <c r="G1698" s="21"/>
    </row>
    <row r="1699">
      <c r="A1699" s="6"/>
      <c r="B1699" s="15" t="s">
        <v>1356</v>
      </c>
      <c r="C1699" s="23"/>
      <c r="D1699" s="23"/>
      <c r="E1699" s="23"/>
      <c r="F1699" s="23"/>
      <c r="G1699" s="23"/>
    </row>
    <row r="1700">
      <c r="A1700" s="5"/>
      <c r="B1700" s="16" t="s">
        <v>1357</v>
      </c>
      <c r="C1700" s="22">
        <f>(4)*(1)*(1)*(1)*(1 + (0))</f>
      </c>
      <c r="D1700" s="22" t="s">
        <v>162</v>
      </c>
      <c r="E1700" s="22"/>
      <c r="F1700" s="22">
        <f>(0)</f>
      </c>
      <c r="G1700" s="22">
        <f>(C1700 * E1700 + C1700 * E1700 * F1700)</f>
      </c>
    </row>
    <row r="1701">
      <c r="A1701" s="5"/>
      <c r="B1701" s="16" t="s">
        <v>1358</v>
      </c>
      <c r="C1701" s="22">
        <f>(4)*(1)*(1)*(1)*(1 + (0))</f>
      </c>
      <c r="D1701" s="22" t="s">
        <v>162</v>
      </c>
      <c r="E1701" s="22"/>
      <c r="F1701" s="22">
        <f>(0)</f>
      </c>
      <c r="G1701" s="22">
        <f>(C1701 * E1701 + C1701 * E1701 * F1701)</f>
      </c>
    </row>
    <row r="1702">
      <c r="A1702" s="4"/>
      <c r="B1702" s="12" t="s">
        <v>889</v>
      </c>
      <c r="C1702" s="21"/>
      <c r="D1702" s="21"/>
      <c r="E1702" s="21"/>
      <c r="F1702" s="21"/>
      <c r="G1702" s="21"/>
    </row>
    <row r="1703">
      <c r="A1703" s="6"/>
      <c r="B1703" s="15" t="s">
        <v>1356</v>
      </c>
      <c r="C1703" s="23"/>
      <c r="D1703" s="23"/>
      <c r="E1703" s="23"/>
      <c r="F1703" s="23"/>
      <c r="G1703" s="23"/>
    </row>
    <row r="1704">
      <c r="A1704" s="5"/>
      <c r="B1704" s="16" t="s">
        <v>1357</v>
      </c>
      <c r="C1704" s="22">
        <f>(2)*(1)*(1)*(1)*(1 + (0))</f>
      </c>
      <c r="D1704" s="22" t="s">
        <v>162</v>
      </c>
      <c r="E1704" s="22"/>
      <c r="F1704" s="22">
        <f>(0)</f>
      </c>
      <c r="G1704" s="22">
        <f>(C1704 * E1704 + C1704 * E1704 * F1704)</f>
      </c>
    </row>
    <row r="1705">
      <c r="A1705" s="5"/>
      <c r="B1705" s="16" t="s">
        <v>1358</v>
      </c>
      <c r="C1705" s="22">
        <f>(5)*(1)*(1)*(1)*(1 + (0))</f>
      </c>
      <c r="D1705" s="22" t="s">
        <v>162</v>
      </c>
      <c r="E1705" s="22"/>
      <c r="F1705" s="22">
        <f>(0)</f>
      </c>
      <c r="G1705" s="22">
        <f>(C1705 * E1705 + C1705 * E1705 * F1705)</f>
      </c>
    </row>
    <row r="1706">
      <c r="A1706" s="3"/>
      <c r="B1706" s="11" t="s">
        <v>1359</v>
      </c>
      <c r="C1706" s="20"/>
      <c r="D1706" s="20"/>
      <c r="E1706" s="20"/>
      <c r="F1706" s="20"/>
      <c r="G1706" s="20"/>
    </row>
    <row r="1707">
      <c r="A1707" s="4"/>
      <c r="B1707" s="12" t="s">
        <v>870</v>
      </c>
      <c r="C1707" s="21"/>
      <c r="D1707" s="21"/>
      <c r="E1707" s="21"/>
      <c r="F1707" s="21"/>
      <c r="G1707" s="21"/>
    </row>
    <row r="1708">
      <c r="A1708" s="6"/>
      <c r="B1708" s="15" t="s">
        <v>1360</v>
      </c>
      <c r="C1708" s="23"/>
      <c r="D1708" s="23"/>
      <c r="E1708" s="23"/>
      <c r="F1708" s="23"/>
      <c r="G1708" s="23"/>
    </row>
    <row r="1709">
      <c r="A1709" s="5"/>
      <c r="B1709" s="16" t="s">
        <v>1358</v>
      </c>
      <c r="C1709" s="22">
        <f>(31)*(1)*(1)*(1)*(1 + (0))</f>
      </c>
      <c r="D1709" s="22" t="s">
        <v>162</v>
      </c>
      <c r="E1709" s="22"/>
      <c r="F1709" s="22">
        <f>(0)</f>
      </c>
      <c r="G1709" s="22">
        <f>(C1709 * E1709 + C1709 * E1709 * F1709)</f>
      </c>
    </row>
    <row r="1710">
      <c r="A1710" s="4"/>
      <c r="B1710" s="12" t="s">
        <v>889</v>
      </c>
      <c r="C1710" s="21"/>
      <c r="D1710" s="21"/>
      <c r="E1710" s="21"/>
      <c r="F1710" s="21"/>
      <c r="G1710" s="21"/>
    </row>
    <row r="1711">
      <c r="A1711" s="6"/>
      <c r="B1711" s="15" t="s">
        <v>1360</v>
      </c>
      <c r="C1711" s="23"/>
      <c r="D1711" s="23"/>
      <c r="E1711" s="23"/>
      <c r="F1711" s="23"/>
      <c r="G1711" s="23"/>
    </row>
    <row r="1712">
      <c r="A1712" s="5"/>
      <c r="B1712" s="16" t="s">
        <v>1357</v>
      </c>
      <c r="C1712" s="22">
        <f>(2)*(1)*(1)*(1)*(1 + (0))</f>
      </c>
      <c r="D1712" s="22" t="s">
        <v>162</v>
      </c>
      <c r="E1712" s="22"/>
      <c r="F1712" s="22">
        <f>(0)</f>
      </c>
      <c r="G1712" s="22">
        <f>(C1712 * E1712 + C1712 * E1712 * F1712)</f>
      </c>
    </row>
    <row r="1713">
      <c r="A1713" s="5"/>
      <c r="B1713" s="16" t="s">
        <v>1358</v>
      </c>
      <c r="C1713" s="22">
        <f>(3)*(1)*(1)*(1)*(1 + (0))</f>
      </c>
      <c r="D1713" s="22" t="s">
        <v>162</v>
      </c>
      <c r="E1713" s="22"/>
      <c r="F1713" s="22">
        <f>(0)</f>
      </c>
      <c r="G1713" s="22">
        <f>(C1713 * E1713 + C1713 * E1713 * F1713)</f>
      </c>
    </row>
    <row r="1714">
      <c r="A1714" s="2"/>
      <c r="B1714" s="10" t="s">
        <v>1361</v>
      </c>
      <c r="C1714" s="19"/>
      <c r="D1714" s="19"/>
      <c r="E1714" s="19"/>
      <c r="F1714" s="19"/>
      <c r="G1714" s="19"/>
    </row>
    <row r="1715">
      <c r="A1715" s="3"/>
      <c r="B1715" s="11" t="s">
        <v>37</v>
      </c>
      <c r="C1715" s="20"/>
      <c r="D1715" s="20"/>
      <c r="E1715" s="20"/>
      <c r="F1715" s="20"/>
      <c r="G1715" s="20"/>
    </row>
    <row r="1716">
      <c r="A1716" s="5" t="s">
        <v>1285</v>
      </c>
      <c r="B1716" s="14" t="s">
        <v>39</v>
      </c>
      <c r="C1716" s="22"/>
      <c r="D1716" s="22" t="s">
        <v>10</v>
      </c>
      <c r="E1716" s="22"/>
      <c r="F1716" s="22">
        <f>(0)</f>
      </c>
      <c r="G1716" s="22">
        <f>(C1716 * E1716 + C1716 * E1716 * F1716)</f>
      </c>
    </row>
    <row r="1717">
      <c r="A1717" s="5" t="s">
        <v>1286</v>
      </c>
      <c r="B1717" s="14" t="s">
        <v>41</v>
      </c>
      <c r="C1717" s="22"/>
      <c r="D1717" s="22" t="s">
        <v>10</v>
      </c>
      <c r="E1717" s="22"/>
      <c r="F1717" s="22">
        <f>(0)</f>
      </c>
      <c r="G1717" s="22">
        <f>(C1717 * E1717 + C1717 * E1717 * F1717)</f>
      </c>
    </row>
    <row r="1718">
      <c r="A1718" s="3"/>
      <c r="B1718" s="11" t="s">
        <v>42</v>
      </c>
      <c r="C1718" s="20"/>
      <c r="D1718" s="20"/>
      <c r="E1718" s="20"/>
      <c r="F1718" s="20"/>
      <c r="G1718" s="20"/>
    </row>
    <row r="1719">
      <c r="A1719" s="5"/>
      <c r="B1719" s="14" t="s">
        <v>1287</v>
      </c>
      <c r="C1719" s="22"/>
      <c r="D1719" s="22" t="s">
        <v>10</v>
      </c>
      <c r="E1719" s="22"/>
      <c r="F1719" s="22">
        <f>(0)</f>
      </c>
      <c r="G1719" s="22">
        <f>(C1719 * E1719 + C1719 * E1719 * F1719)</f>
      </c>
    </row>
    <row r="1720">
      <c r="A1720" s="5"/>
      <c r="B1720" s="14" t="s">
        <v>1288</v>
      </c>
      <c r="C1720" s="22"/>
      <c r="D1720" s="22" t="s">
        <v>10</v>
      </c>
      <c r="E1720" s="22"/>
      <c r="F1720" s="22">
        <f>(0)</f>
      </c>
      <c r="G1720" s="22">
        <f>(C1720 * E1720 + C1720 * E1720 * F1720)</f>
      </c>
    </row>
    <row r="1721">
      <c r="A1721" s="5"/>
      <c r="B1721" s="14" t="s">
        <v>1289</v>
      </c>
      <c r="C1721" s="22"/>
      <c r="D1721" s="22" t="s">
        <v>10</v>
      </c>
      <c r="E1721" s="22"/>
      <c r="F1721" s="22">
        <f>(0)</f>
      </c>
      <c r="G1721" s="22">
        <f>(C1721 * E1721 + C1721 * E1721 * F1721)</f>
      </c>
    </row>
    <row r="1722">
      <c r="A1722" s="5"/>
      <c r="B1722" s="14" t="s">
        <v>1290</v>
      </c>
      <c r="C1722" s="22"/>
      <c r="D1722" s="22" t="s">
        <v>10</v>
      </c>
      <c r="E1722" s="22"/>
      <c r="F1722" s="22">
        <f>(0)</f>
      </c>
      <c r="G1722" s="22">
        <f>(C1722 * E1722 + C1722 * E1722 * F1722)</f>
      </c>
    </row>
    <row r="1723">
      <c r="A1723" s="3"/>
      <c r="B1723" s="11" t="s">
        <v>44</v>
      </c>
      <c r="C1723" s="20"/>
      <c r="D1723" s="20"/>
      <c r="E1723" s="20"/>
      <c r="F1723" s="20"/>
      <c r="G1723" s="20"/>
    </row>
    <row r="1724">
      <c r="A1724" s="4"/>
      <c r="B1724" s="12" t="s">
        <v>45</v>
      </c>
      <c r="C1724" s="21"/>
      <c r="D1724" s="21"/>
      <c r="E1724" s="21"/>
      <c r="F1724" s="21"/>
      <c r="G1724" s="21"/>
    </row>
    <row r="1725">
      <c r="A1725" s="5" t="s">
        <v>1291</v>
      </c>
      <c r="B1725" s="13" t="s">
        <v>767</v>
      </c>
      <c r="C1725" s="22"/>
      <c r="D1725" s="22" t="s">
        <v>10</v>
      </c>
      <c r="E1725" s="22"/>
      <c r="F1725" s="22">
        <f>(0)</f>
      </c>
      <c r="G1725" s="22">
        <f>(C1725 * E1725 + C1725 * E1725 * F1725)</f>
      </c>
    </row>
    <row r="1726">
      <c r="A1726" s="5" t="s">
        <v>1292</v>
      </c>
      <c r="B1726" s="13" t="s">
        <v>123</v>
      </c>
      <c r="C1726" s="22"/>
      <c r="D1726" s="22" t="s">
        <v>10</v>
      </c>
      <c r="E1726" s="22"/>
      <c r="F1726" s="22">
        <f>(0)</f>
      </c>
      <c r="G1726" s="22">
        <f>(C1726 * E1726 + C1726 * E1726 * F1726)</f>
      </c>
    </row>
    <row r="1727">
      <c r="A1727" s="3"/>
      <c r="B1727" s="11" t="s">
        <v>68</v>
      </c>
      <c r="C1727" s="20"/>
      <c r="D1727" s="20"/>
      <c r="E1727" s="20"/>
      <c r="F1727" s="20"/>
      <c r="G1727" s="20"/>
    </row>
    <row r="1728">
      <c r="A1728" s="5" t="s">
        <v>1293</v>
      </c>
      <c r="B1728" s="14" t="s">
        <v>230</v>
      </c>
      <c r="C1728" s="22">
        <f>(1)*(1)*(1)*(1)*(1 + (0))</f>
      </c>
      <c r="D1728" s="22" t="s">
        <v>71</v>
      </c>
      <c r="E1728" s="22"/>
      <c r="F1728" s="22">
        <f>(0)</f>
      </c>
      <c r="G1728" s="22">
        <f>(C1728 * E1728 + C1728 * E1728 * F1728)</f>
      </c>
    </row>
    <row r="1729">
      <c r="A1729" s="5" t="s">
        <v>1294</v>
      </c>
      <c r="B1729" s="14" t="s">
        <v>70</v>
      </c>
      <c r="C1729" s="22">
        <f>(1)*(1)*(1)*(1)*(1 + (0))</f>
      </c>
      <c r="D1729" s="22" t="s">
        <v>71</v>
      </c>
      <c r="E1729" s="22"/>
      <c r="F1729" s="22">
        <f>(0)</f>
      </c>
      <c r="G1729" s="22">
        <f>(C1729 * E1729 + C1729 * E1729 * F1729)</f>
      </c>
    </row>
    <row r="1730">
      <c r="A1730" s="5" t="s">
        <v>1295</v>
      </c>
      <c r="B1730" s="14" t="s">
        <v>906</v>
      </c>
      <c r="C1730" s="22">
        <f>(1)*(1)*(1)*(1)*(1 + (0))</f>
      </c>
      <c r="D1730" s="22" t="s">
        <v>71</v>
      </c>
      <c r="E1730" s="22"/>
      <c r="F1730" s="22">
        <f>(0)</f>
      </c>
      <c r="G1730" s="22">
        <f>(C1730 * E1730 + C1730 * E1730 * F1730)</f>
      </c>
    </row>
    <row r="1731">
      <c r="A1731" s="5" t="s">
        <v>1296</v>
      </c>
      <c r="B1731" s="14" t="s">
        <v>665</v>
      </c>
      <c r="C1731" s="22">
        <f>(1)*(1)*(1)*(1)*(1 + (0))</f>
      </c>
      <c r="D1731" s="22" t="s">
        <v>71</v>
      </c>
      <c r="E1731" s="22"/>
      <c r="F1731" s="22">
        <f>(0)</f>
      </c>
      <c r="G1731" s="22">
        <f>(C1731 * E1731 + C1731 * E1731 * F1731)</f>
      </c>
    </row>
    <row r="1732">
      <c r="A1732" s="3"/>
      <c r="B1732" s="11" t="s">
        <v>1362</v>
      </c>
      <c r="C1732" s="20"/>
      <c r="D1732" s="20"/>
      <c r="E1732" s="20"/>
      <c r="F1732" s="20"/>
      <c r="G1732" s="20"/>
    </row>
    <row r="1733">
      <c r="A1733" s="4"/>
      <c r="B1733" s="12" t="s">
        <v>1361</v>
      </c>
      <c r="C1733" s="21"/>
      <c r="D1733" s="21"/>
      <c r="E1733" s="21"/>
      <c r="F1733" s="21"/>
      <c r="G1733" s="21"/>
    </row>
    <row r="1734">
      <c r="A1734" s="5"/>
      <c r="B1734" s="13" t="s">
        <v>1363</v>
      </c>
      <c r="C1734" s="22">
        <f>(187)*(1)*(1)*(1)*(1 + (0))</f>
      </c>
      <c r="D1734" s="22" t="s">
        <v>153</v>
      </c>
      <c r="E1734" s="22"/>
      <c r="F1734" s="22">
        <f>(0)</f>
      </c>
      <c r="G1734" s="22">
        <f>(C1734 * E1734 + C1734 * E1734 * F1734)</f>
      </c>
    </row>
    <row r="1735">
      <c r="A1735" s="4"/>
      <c r="B1735" s="12" t="s">
        <v>1364</v>
      </c>
      <c r="C1735" s="21"/>
      <c r="D1735" s="21"/>
      <c r="E1735" s="21"/>
      <c r="F1735" s="21"/>
      <c r="G1735" s="21"/>
    </row>
    <row r="1736">
      <c r="A1736" s="5"/>
      <c r="B1736" s="13" t="s">
        <v>1365</v>
      </c>
      <c r="C1736" s="22">
        <f>(7)*(1)*(1)*(1)*(1 + (0))</f>
      </c>
      <c r="D1736" s="22" t="s">
        <v>153</v>
      </c>
      <c r="E1736" s="22"/>
      <c r="F1736" s="22">
        <f>(0)</f>
      </c>
      <c r="G1736" s="22">
        <f>(C1736 * E1736 + C1736 * E1736 * F1736)</f>
      </c>
    </row>
    <row r="1737">
      <c r="A1737" s="2"/>
      <c r="B1737" s="10" t="s">
        <v>1366</v>
      </c>
      <c r="C1737" s="19"/>
      <c r="D1737" s="19"/>
      <c r="E1737" s="19"/>
      <c r="F1737" s="19"/>
      <c r="G1737" s="19"/>
    </row>
    <row r="1738">
      <c r="A1738" s="3"/>
      <c r="B1738" s="11" t="s">
        <v>37</v>
      </c>
      <c r="C1738" s="20"/>
      <c r="D1738" s="20"/>
      <c r="E1738" s="20"/>
      <c r="F1738" s="20"/>
      <c r="G1738" s="20"/>
    </row>
    <row r="1739">
      <c r="A1739" s="5" t="s">
        <v>1367</v>
      </c>
      <c r="B1739" s="14" t="s">
        <v>39</v>
      </c>
      <c r="C1739" s="22"/>
      <c r="D1739" s="22" t="s">
        <v>10</v>
      </c>
      <c r="E1739" s="22"/>
      <c r="F1739" s="22">
        <f>(0)</f>
      </c>
      <c r="G1739" s="22">
        <f>(C1739 * E1739 + C1739 * E1739 * F1739)</f>
      </c>
    </row>
    <row r="1740">
      <c r="A1740" s="5" t="s">
        <v>1368</v>
      </c>
      <c r="B1740" s="14" t="s">
        <v>41</v>
      </c>
      <c r="C1740" s="22"/>
      <c r="D1740" s="22" t="s">
        <v>10</v>
      </c>
      <c r="E1740" s="22"/>
      <c r="F1740" s="22">
        <f>(0)</f>
      </c>
      <c r="G1740" s="22">
        <f>(C1740 * E1740 + C1740 * E1740 * F1740)</f>
      </c>
    </row>
    <row r="1741">
      <c r="A1741" s="3"/>
      <c r="B1741" s="11" t="s">
        <v>42</v>
      </c>
      <c r="C1741" s="20"/>
      <c r="D1741" s="20"/>
      <c r="E1741" s="20"/>
      <c r="F1741" s="20"/>
      <c r="G1741" s="20"/>
    </row>
    <row r="1742">
      <c r="A1742" s="5"/>
      <c r="B1742" s="14" t="s">
        <v>1369</v>
      </c>
      <c r="C1742" s="22"/>
      <c r="D1742" s="22" t="s">
        <v>10</v>
      </c>
      <c r="E1742" s="22"/>
      <c r="F1742" s="22">
        <f>(0)</f>
      </c>
      <c r="G1742" s="22">
        <f>(C1742 * E1742 + C1742 * E1742 * F1742)</f>
      </c>
    </row>
    <row r="1743">
      <c r="A1743" s="5"/>
      <c r="B1743" s="14" t="s">
        <v>1370</v>
      </c>
      <c r="C1743" s="22"/>
      <c r="D1743" s="22" t="s">
        <v>10</v>
      </c>
      <c r="E1743" s="22"/>
      <c r="F1743" s="22">
        <f>(0)</f>
      </c>
      <c r="G1743" s="22">
        <f>(C1743 * E1743 + C1743 * E1743 * F1743)</f>
      </c>
    </row>
    <row r="1744">
      <c r="A1744" s="5"/>
      <c r="B1744" s="14" t="s">
        <v>1371</v>
      </c>
      <c r="C1744" s="22"/>
      <c r="D1744" s="22" t="s">
        <v>10</v>
      </c>
      <c r="E1744" s="22"/>
      <c r="F1744" s="22">
        <f>(0)</f>
      </c>
      <c r="G1744" s="22">
        <f>(C1744 * E1744 + C1744 * E1744 * F1744)</f>
      </c>
    </row>
    <row r="1745">
      <c r="A1745" s="5"/>
      <c r="B1745" s="14" t="s">
        <v>1372</v>
      </c>
      <c r="C1745" s="22"/>
      <c r="D1745" s="22" t="s">
        <v>10</v>
      </c>
      <c r="E1745" s="22"/>
      <c r="F1745" s="22">
        <f>(0)</f>
      </c>
      <c r="G1745" s="22">
        <f>(C1745 * E1745 + C1745 * E1745 * F1745)</f>
      </c>
    </row>
    <row r="1746">
      <c r="A1746" s="3"/>
      <c r="B1746" s="11" t="s">
        <v>44</v>
      </c>
      <c r="C1746" s="20"/>
      <c r="D1746" s="20"/>
      <c r="E1746" s="20"/>
      <c r="F1746" s="20"/>
      <c r="G1746" s="20"/>
    </row>
    <row r="1747">
      <c r="A1747" s="4"/>
      <c r="B1747" s="12" t="s">
        <v>45</v>
      </c>
      <c r="C1747" s="21"/>
      <c r="D1747" s="21"/>
      <c r="E1747" s="21"/>
      <c r="F1747" s="21"/>
      <c r="G1747" s="21"/>
    </row>
    <row r="1748">
      <c r="A1748" s="5" t="s">
        <v>1373</v>
      </c>
      <c r="B1748" s="13" t="s">
        <v>1374</v>
      </c>
      <c r="C1748" s="22"/>
      <c r="D1748" s="22" t="s">
        <v>10</v>
      </c>
      <c r="E1748" s="22"/>
      <c r="F1748" s="22">
        <f>(0)</f>
      </c>
      <c r="G1748" s="22">
        <f>(C1748 * E1748 + C1748 * E1748 * F1748)</f>
      </c>
    </row>
    <row r="1749">
      <c r="A1749" s="5" t="s">
        <v>1375</v>
      </c>
      <c r="B1749" s="13" t="s">
        <v>1376</v>
      </c>
      <c r="C1749" s="22"/>
      <c r="D1749" s="22" t="s">
        <v>10</v>
      </c>
      <c r="E1749" s="22"/>
      <c r="F1749" s="22">
        <f>(0)</f>
      </c>
      <c r="G1749" s="22">
        <f>(C1749 * E1749 + C1749 * E1749 * F1749)</f>
      </c>
    </row>
    <row r="1750">
      <c r="A1750" s="5" t="s">
        <v>1377</v>
      </c>
      <c r="B1750" s="13" t="s">
        <v>853</v>
      </c>
      <c r="C1750" s="22"/>
      <c r="D1750" s="22" t="s">
        <v>10</v>
      </c>
      <c r="E1750" s="22"/>
      <c r="F1750" s="22">
        <f>(0)</f>
      </c>
      <c r="G1750" s="22">
        <f>(C1750 * E1750 + C1750 * E1750 * F1750)</f>
      </c>
    </row>
    <row r="1751">
      <c r="A1751" s="5" t="s">
        <v>1378</v>
      </c>
      <c r="B1751" s="13" t="s">
        <v>123</v>
      </c>
      <c r="C1751" s="22"/>
      <c r="D1751" s="22" t="s">
        <v>10</v>
      </c>
      <c r="E1751" s="22"/>
      <c r="F1751" s="22">
        <f>(0)</f>
      </c>
      <c r="G1751" s="22">
        <f>(C1751 * E1751 + C1751 * E1751 * F1751)</f>
      </c>
    </row>
    <row r="1752">
      <c r="A1752" s="3"/>
      <c r="B1752" s="11" t="s">
        <v>68</v>
      </c>
      <c r="C1752" s="20"/>
      <c r="D1752" s="20"/>
      <c r="E1752" s="20"/>
      <c r="F1752" s="20"/>
      <c r="G1752" s="20"/>
    </row>
    <row r="1753">
      <c r="A1753" s="5" t="s">
        <v>1379</v>
      </c>
      <c r="B1753" s="14" t="s">
        <v>70</v>
      </c>
      <c r="C1753" s="22">
        <f>(1)*(1)*(1)*(1)*(1 + (0))</f>
      </c>
      <c r="D1753" s="22" t="s">
        <v>71</v>
      </c>
      <c r="E1753" s="22"/>
      <c r="F1753" s="22">
        <f>(0)</f>
      </c>
      <c r="G1753" s="22">
        <f>(C1753 * E1753 + C1753 * E1753 * F1753)</f>
      </c>
    </row>
    <row r="1754">
      <c r="A1754" s="5" t="s">
        <v>1380</v>
      </c>
      <c r="B1754" s="14" t="s">
        <v>230</v>
      </c>
      <c r="C1754" s="22">
        <f>(1)*(1)*(1)*(1)*(1 + (0))</f>
      </c>
      <c r="D1754" s="22" t="s">
        <v>71</v>
      </c>
      <c r="E1754" s="22"/>
      <c r="F1754" s="22">
        <f>(0)</f>
      </c>
      <c r="G1754" s="22">
        <f>(C1754 * E1754 + C1754 * E1754 * F1754)</f>
      </c>
    </row>
    <row r="1755">
      <c r="A1755" s="5" t="s">
        <v>1381</v>
      </c>
      <c r="B1755" s="14" t="s">
        <v>136</v>
      </c>
      <c r="C1755" s="22">
        <f>(1)*(1)*(1)*(1)*(1 + (0))</f>
      </c>
      <c r="D1755" s="22" t="s">
        <v>71</v>
      </c>
      <c r="E1755" s="22"/>
      <c r="F1755" s="22">
        <f>(0)</f>
      </c>
      <c r="G1755" s="22">
        <f>(C1755 * E1755 + C1755 * E1755 * F1755)</f>
      </c>
    </row>
    <row r="1756">
      <c r="A1756" s="5" t="s">
        <v>1382</v>
      </c>
      <c r="B1756" s="14" t="s">
        <v>816</v>
      </c>
      <c r="C1756" s="22">
        <f>(1)*(1)*(1)*(1)*(1 + (0))</f>
      </c>
      <c r="D1756" s="22" t="s">
        <v>71</v>
      </c>
      <c r="E1756" s="22"/>
      <c r="F1756" s="22">
        <f>(0)</f>
      </c>
      <c r="G1756" s="22">
        <f>(C1756 * E1756 + C1756 * E1756 * F1756)</f>
      </c>
    </row>
    <row r="1757">
      <c r="A1757" s="5" t="s">
        <v>1383</v>
      </c>
      <c r="B1757" s="14" t="s">
        <v>665</v>
      </c>
      <c r="C1757" s="22">
        <f>(1)*(1)*(1)*(1)*(1 + (0))</f>
      </c>
      <c r="D1757" s="22" t="s">
        <v>71</v>
      </c>
      <c r="E1757" s="22"/>
      <c r="F1757" s="22">
        <f>(0)</f>
      </c>
      <c r="G1757" s="22">
        <f>(C1757 * E1757 + C1757 * E1757 * F1757)</f>
      </c>
    </row>
    <row r="1758">
      <c r="A1758" s="5" t="s">
        <v>1384</v>
      </c>
      <c r="B1758" s="14" t="s">
        <v>1385</v>
      </c>
      <c r="C1758" s="22">
        <f>(1)*(1)*(1)*(1)*(1 + (0))</f>
      </c>
      <c r="D1758" s="22" t="s">
        <v>71</v>
      </c>
      <c r="E1758" s="22"/>
      <c r="F1758" s="22">
        <f>(0)</f>
      </c>
      <c r="G1758" s="22">
        <f>(C1758 * E1758 + C1758 * E1758 * F1758)</f>
      </c>
    </row>
    <row r="1759">
      <c r="A1759" s="3"/>
      <c r="B1759" s="11" t="s">
        <v>106</v>
      </c>
      <c r="C1759" s="20"/>
      <c r="D1759" s="20"/>
      <c r="E1759" s="20"/>
      <c r="F1759" s="20"/>
      <c r="G1759" s="20"/>
    </row>
    <row r="1760">
      <c r="A1760" s="5"/>
      <c r="B1760" s="14" t="s">
        <v>1386</v>
      </c>
      <c r="C1760" s="22"/>
      <c r="D1760" s="22" t="s">
        <v>10</v>
      </c>
      <c r="E1760" s="22"/>
      <c r="F1760" s="22">
        <f>(0)</f>
      </c>
      <c r="G1760" s="22">
        <f>(C1760 * E1760 + C1760 * E1760 * F1760)</f>
      </c>
    </row>
    <row r="1761">
      <c r="A1761" s="5"/>
      <c r="B1761" s="14" t="s">
        <v>1387</v>
      </c>
      <c r="C1761" s="22"/>
      <c r="D1761" s="22" t="s">
        <v>10</v>
      </c>
      <c r="E1761" s="22"/>
      <c r="F1761" s="22">
        <f>(0)</f>
      </c>
      <c r="G1761" s="22">
        <f>(C1761 * E1761 + C1761 * E1761 * F1761)</f>
      </c>
    </row>
    <row r="1762">
      <c r="A1762" s="3"/>
      <c r="B1762" s="11" t="s">
        <v>1388</v>
      </c>
      <c r="C1762" s="20"/>
      <c r="D1762" s="20"/>
      <c r="E1762" s="20"/>
      <c r="F1762" s="20"/>
      <c r="G1762" s="20"/>
    </row>
    <row r="1763">
      <c r="A1763" s="5"/>
      <c r="B1763" s="14" t="s">
        <v>1389</v>
      </c>
      <c r="C1763" s="22">
        <f>(1)*(1)*(1)*(1)*(1 + (0))</f>
      </c>
      <c r="D1763" s="22" t="s">
        <v>162</v>
      </c>
      <c r="E1763" s="22"/>
      <c r="F1763" s="22">
        <f>(0)</f>
      </c>
      <c r="G1763" s="22">
        <f>(C1763 * E1763 + C1763 * E1763 * F1763)</f>
      </c>
    </row>
    <row r="1764">
      <c r="A1764" s="5"/>
      <c r="B1764" s="14" t="s">
        <v>1390</v>
      </c>
      <c r="C1764" s="22">
        <f>(2)*(1)*(1)*(1)*(1 + (0))</f>
      </c>
      <c r="D1764" s="22" t="s">
        <v>162</v>
      </c>
      <c r="E1764" s="22"/>
      <c r="F1764" s="22">
        <f>(0)</f>
      </c>
      <c r="G1764" s="22">
        <f>(C1764 * E1764 + C1764 * E1764 * F1764)</f>
      </c>
    </row>
    <row r="1765">
      <c r="A1765" s="5"/>
      <c r="B1765" s="14" t="s">
        <v>1391</v>
      </c>
      <c r="C1765" s="22">
        <f>(1)*(1)*(1)*(1)*(1 + (0))</f>
      </c>
      <c r="D1765" s="22" t="s">
        <v>162</v>
      </c>
      <c r="E1765" s="22"/>
      <c r="F1765" s="22">
        <f>(0)</f>
      </c>
      <c r="G1765" s="22">
        <f>(C1765 * E1765 + C1765 * E1765 * F1765)</f>
      </c>
    </row>
    <row r="1766">
      <c r="A1766" s="3"/>
      <c r="B1766" s="11" t="s">
        <v>1392</v>
      </c>
      <c r="C1766" s="20"/>
      <c r="D1766" s="20"/>
      <c r="E1766" s="20"/>
      <c r="F1766" s="20"/>
      <c r="G1766" s="20"/>
    </row>
    <row r="1767">
      <c r="A1767" s="5"/>
      <c r="B1767" s="14" t="s">
        <v>1393</v>
      </c>
      <c r="C1767" s="22">
        <f>(1)*(1)*(1)*(1)*(1 + (0))</f>
      </c>
      <c r="D1767" s="22" t="s">
        <v>162</v>
      </c>
      <c r="E1767" s="22"/>
      <c r="F1767" s="22">
        <f>(0)</f>
      </c>
      <c r="G1767" s="22">
        <f>(C1767 * E1767 + C1767 * E1767 * F1767)</f>
      </c>
    </row>
    <row r="1768">
      <c r="A1768" s="3"/>
      <c r="B1768" s="11" t="s">
        <v>1394</v>
      </c>
      <c r="C1768" s="20"/>
      <c r="D1768" s="20"/>
      <c r="E1768" s="20"/>
      <c r="F1768" s="20"/>
      <c r="G1768" s="20"/>
    </row>
    <row r="1769">
      <c r="A1769" s="5"/>
      <c r="B1769" s="14" t="s">
        <v>1395</v>
      </c>
      <c r="C1769" s="22">
        <f>(1)*(1)*(1)*(1)*(1 + (0))</f>
      </c>
      <c r="D1769" s="22" t="s">
        <v>162</v>
      </c>
      <c r="E1769" s="22"/>
      <c r="F1769" s="22">
        <f>(0)</f>
      </c>
      <c r="G1769" s="22">
        <f>(C1769 * E1769 + C1769 * E1769 * F1769)</f>
      </c>
    </row>
    <row r="1770">
      <c r="A1770" s="5"/>
      <c r="B1770" s="14" t="s">
        <v>1396</v>
      </c>
      <c r="C1770" s="22">
        <f>(1)*(1)*(1)*(1)*(1 + (0))</f>
      </c>
      <c r="D1770" s="22" t="s">
        <v>162</v>
      </c>
      <c r="E1770" s="22"/>
      <c r="F1770" s="22">
        <f>(0)</f>
      </c>
      <c r="G1770" s="22">
        <f>(C1770 * E1770 + C1770 * E1770 * F1770)</f>
      </c>
    </row>
    <row r="1771">
      <c r="A1771" s="3"/>
      <c r="B1771" s="11" t="s">
        <v>1397</v>
      </c>
      <c r="C1771" s="20"/>
      <c r="D1771" s="20"/>
      <c r="E1771" s="20"/>
      <c r="F1771" s="20"/>
      <c r="G1771" s="20"/>
    </row>
    <row r="1772">
      <c r="A1772" s="4"/>
      <c r="B1772" s="12" t="s">
        <v>1398</v>
      </c>
      <c r="C1772" s="21"/>
      <c r="D1772" s="21"/>
      <c r="E1772" s="21"/>
      <c r="F1772" s="21"/>
      <c r="G1772" s="21"/>
    </row>
    <row r="1773">
      <c r="A1773" s="6"/>
      <c r="B1773" s="15" t="s">
        <v>1399</v>
      </c>
      <c r="C1773" s="23"/>
      <c r="D1773" s="23"/>
      <c r="E1773" s="23"/>
      <c r="F1773" s="23"/>
      <c r="G1773" s="23"/>
    </row>
    <row r="1774">
      <c r="A1774" s="5"/>
      <c r="B1774" s="16" t="s">
        <v>1400</v>
      </c>
      <c r="C1774" s="22">
        <f>(1)*(1)*(1)*(1)*(1 + (0))</f>
      </c>
      <c r="D1774" s="22" t="s">
        <v>162</v>
      </c>
      <c r="E1774" s="22"/>
      <c r="F1774" s="22">
        <f>(0)</f>
      </c>
      <c r="G1774" s="22">
        <f>(C1774 * E1774 + C1774 * E1774 * F1774)</f>
      </c>
    </row>
    <row r="1775">
      <c r="A1775" s="5"/>
      <c r="B1775" s="16" t="s">
        <v>1401</v>
      </c>
      <c r="C1775" s="22">
        <f>(2)*(1)*(1)*(1)*(1 + (0))</f>
      </c>
      <c r="D1775" s="22" t="s">
        <v>162</v>
      </c>
      <c r="E1775" s="22"/>
      <c r="F1775" s="22">
        <f>(0)</f>
      </c>
      <c r="G1775" s="22">
        <f>(C1775 * E1775 + C1775 * E1775 * F1775)</f>
      </c>
    </row>
    <row r="1776">
      <c r="A1776" s="5"/>
      <c r="B1776" s="16" t="s">
        <v>1402</v>
      </c>
      <c r="C1776" s="22">
        <f>(1)*(1)*(1)*(1)*(1 + (0))</f>
      </c>
      <c r="D1776" s="22" t="s">
        <v>162</v>
      </c>
      <c r="E1776" s="22"/>
      <c r="F1776" s="22">
        <f>(0)</f>
      </c>
      <c r="G1776" s="22">
        <f>(C1776 * E1776 + C1776 * E1776 * F1776)</f>
      </c>
    </row>
    <row r="1777">
      <c r="A1777" s="5"/>
      <c r="B1777" s="16" t="s">
        <v>1403</v>
      </c>
      <c r="C1777" s="22">
        <f>(3)*(1)*(1)*(1)*(1 + (0))</f>
      </c>
      <c r="D1777" s="22" t="s">
        <v>162</v>
      </c>
      <c r="E1777" s="22"/>
      <c r="F1777" s="22">
        <f>(0)</f>
      </c>
      <c r="G1777" s="22">
        <f>(C1777 * E1777 + C1777 * E1777 * F1777)</f>
      </c>
    </row>
    <row r="1778">
      <c r="A1778" s="5"/>
      <c r="B1778" s="16" t="s">
        <v>1404</v>
      </c>
      <c r="C1778" s="22">
        <f>(1)*(1)*(1)*(1)*(1 + (0))</f>
      </c>
      <c r="D1778" s="22" t="s">
        <v>162</v>
      </c>
      <c r="E1778" s="22"/>
      <c r="F1778" s="22">
        <f>(0)</f>
      </c>
      <c r="G1778" s="22">
        <f>(C1778 * E1778 + C1778 * E1778 * F1778)</f>
      </c>
    </row>
    <row r="1779">
      <c r="A1779" s="5"/>
      <c r="B1779" s="16" t="s">
        <v>1405</v>
      </c>
      <c r="C1779" s="22">
        <f>(1)*(1)*(1)*(1)*(1 + (0))</f>
      </c>
      <c r="D1779" s="22" t="s">
        <v>162</v>
      </c>
      <c r="E1779" s="22"/>
      <c r="F1779" s="22">
        <f>(0)</f>
      </c>
      <c r="G1779" s="22">
        <f>(C1779 * E1779 + C1779 * E1779 * F1779)</f>
      </c>
    </row>
    <row r="1780">
      <c r="A1780" s="5"/>
      <c r="B1780" s="16" t="s">
        <v>1406</v>
      </c>
      <c r="C1780" s="22">
        <f>(4)*(1)*(1)*(1)*(1 + (0))</f>
      </c>
      <c r="D1780" s="22" t="s">
        <v>162</v>
      </c>
      <c r="E1780" s="22"/>
      <c r="F1780" s="22">
        <f>(0)</f>
      </c>
      <c r="G1780" s="22">
        <f>(C1780 * E1780 + C1780 * E1780 * F1780)</f>
      </c>
    </row>
    <row r="1781">
      <c r="A1781" s="5"/>
      <c r="B1781" s="16" t="s">
        <v>1407</v>
      </c>
      <c r="C1781" s="22">
        <f>(1)*(1)*(1)*(1)*(1 + (0))</f>
      </c>
      <c r="D1781" s="22" t="s">
        <v>162</v>
      </c>
      <c r="E1781" s="22"/>
      <c r="F1781" s="22">
        <f>(0)</f>
      </c>
      <c r="G1781" s="22">
        <f>(C1781 * E1781 + C1781 * E1781 * F1781)</f>
      </c>
    </row>
    <row r="1782">
      <c r="A1782" s="6"/>
      <c r="B1782" s="15" t="s">
        <v>1408</v>
      </c>
      <c r="C1782" s="23"/>
      <c r="D1782" s="23"/>
      <c r="E1782" s="23"/>
      <c r="F1782" s="23"/>
      <c r="G1782" s="23"/>
    </row>
    <row r="1783">
      <c r="A1783" s="5"/>
      <c r="B1783" s="16" t="s">
        <v>1409</v>
      </c>
      <c r="C1783" s="22">
        <f>(5)*(1)*(1)*(1)*(1 + (0))</f>
      </c>
      <c r="D1783" s="22" t="s">
        <v>162</v>
      </c>
      <c r="E1783" s="22"/>
      <c r="F1783" s="22">
        <f>(0)</f>
      </c>
      <c r="G1783" s="22">
        <f>(C1783 * E1783 + C1783 * E1783 * F1783)</f>
      </c>
    </row>
    <row r="1784">
      <c r="A1784" s="6"/>
      <c r="B1784" s="15" t="s">
        <v>1410</v>
      </c>
      <c r="C1784" s="23"/>
      <c r="D1784" s="23"/>
      <c r="E1784" s="23"/>
      <c r="F1784" s="23"/>
      <c r="G1784" s="23"/>
    </row>
    <row r="1785">
      <c r="A1785" s="5"/>
      <c r="B1785" s="16" t="s">
        <v>1411</v>
      </c>
      <c r="C1785" s="22">
        <f>(1)*(1)*(1)*(1)*(1 + (0))</f>
      </c>
      <c r="D1785" s="22" t="s">
        <v>162</v>
      </c>
      <c r="E1785" s="22"/>
      <c r="F1785" s="22">
        <f>(0)</f>
      </c>
      <c r="G1785" s="22">
        <f>(C1785 * E1785 + C1785 * E1785 * F1785)</f>
      </c>
    </row>
    <row r="1786">
      <c r="A1786" s="5"/>
      <c r="B1786" s="16" t="s">
        <v>1412</v>
      </c>
      <c r="C1786" s="22">
        <f>(1)*(1)*(1)*(1)*(1 + (0))</f>
      </c>
      <c r="D1786" s="22" t="s">
        <v>162</v>
      </c>
      <c r="E1786" s="22"/>
      <c r="F1786" s="22">
        <f>(0)</f>
      </c>
      <c r="G1786" s="22">
        <f>(C1786 * E1786 + C1786 * E1786 * F1786)</f>
      </c>
    </row>
    <row r="1787">
      <c r="A1787" s="5"/>
      <c r="B1787" s="16" t="s">
        <v>1413</v>
      </c>
      <c r="C1787" s="22">
        <f>(2)*(1)*(1)*(1)*(1 + (0))</f>
      </c>
      <c r="D1787" s="22" t="s">
        <v>162</v>
      </c>
      <c r="E1787" s="22"/>
      <c r="F1787" s="22">
        <f>(0)</f>
      </c>
      <c r="G1787" s="22">
        <f>(C1787 * E1787 + C1787 * E1787 * F1787)</f>
      </c>
    </row>
    <row r="1788">
      <c r="A1788" s="5"/>
      <c r="B1788" s="16" t="s">
        <v>1414</v>
      </c>
      <c r="C1788" s="22">
        <f>(3)*(1)*(1)*(1)*(1 + (0))</f>
      </c>
      <c r="D1788" s="22" t="s">
        <v>162</v>
      </c>
      <c r="E1788" s="22"/>
      <c r="F1788" s="22">
        <f>(0)</f>
      </c>
      <c r="G1788" s="22">
        <f>(C1788 * E1788 + C1788 * E1788 * F1788)</f>
      </c>
    </row>
    <row r="1789">
      <c r="A1789" s="5"/>
      <c r="B1789" s="16" t="s">
        <v>1415</v>
      </c>
      <c r="C1789" s="22">
        <f>(12)*(1)*(1)*(1)*(1 + (0))</f>
      </c>
      <c r="D1789" s="22" t="s">
        <v>162</v>
      </c>
      <c r="E1789" s="22"/>
      <c r="F1789" s="22">
        <f>(0)</f>
      </c>
      <c r="G1789" s="22">
        <f>(C1789 * E1789 + C1789 * E1789 * F1789)</f>
      </c>
    </row>
    <row r="1790">
      <c r="A1790" s="5"/>
      <c r="B1790" s="16" t="s">
        <v>1416</v>
      </c>
      <c r="C1790" s="22">
        <f>(1)*(1)*(1)*(1)*(1 + (0))</f>
      </c>
      <c r="D1790" s="22" t="s">
        <v>162</v>
      </c>
      <c r="E1790" s="22"/>
      <c r="F1790" s="22">
        <f>(0)</f>
      </c>
      <c r="G1790" s="22">
        <f>(C1790 * E1790 + C1790 * E1790 * F1790)</f>
      </c>
    </row>
    <row r="1791">
      <c r="A1791" s="5"/>
      <c r="B1791" s="16" t="s">
        <v>1417</v>
      </c>
      <c r="C1791" s="22">
        <f>(2)*(1)*(1)*(1)*(1 + (0))</f>
      </c>
      <c r="D1791" s="22" t="s">
        <v>162</v>
      </c>
      <c r="E1791" s="22"/>
      <c r="F1791" s="22">
        <f>(0)</f>
      </c>
      <c r="G1791" s="22">
        <f>(C1791 * E1791 + C1791 * E1791 * F1791)</f>
      </c>
    </row>
    <row r="1792">
      <c r="A1792" s="6"/>
      <c r="B1792" s="15" t="s">
        <v>1418</v>
      </c>
      <c r="C1792" s="23"/>
      <c r="D1792" s="23"/>
      <c r="E1792" s="23"/>
      <c r="F1792" s="23"/>
      <c r="G1792" s="23"/>
    </row>
    <row r="1793">
      <c r="A1793" s="5"/>
      <c r="B1793" s="16" t="s">
        <v>1419</v>
      </c>
      <c r="C1793" s="22">
        <f>(2)*(1)*(1)*(1)*(1 + (0))</f>
      </c>
      <c r="D1793" s="22" t="s">
        <v>162</v>
      </c>
      <c r="E1793" s="22"/>
      <c r="F1793" s="22">
        <f>(0)</f>
      </c>
      <c r="G1793" s="22">
        <f>(C1793 * E1793 + C1793 * E1793 * F1793)</f>
      </c>
    </row>
    <row r="1794">
      <c r="A1794" s="5"/>
      <c r="B1794" s="16" t="s">
        <v>1420</v>
      </c>
      <c r="C1794" s="22">
        <f>(2)*(1)*(1)*(1)*(1 + (0))</f>
      </c>
      <c r="D1794" s="22" t="s">
        <v>162</v>
      </c>
      <c r="E1794" s="22"/>
      <c r="F1794" s="22">
        <f>(0)</f>
      </c>
      <c r="G1794" s="22">
        <f>(C1794 * E1794 + C1794 * E1794 * F1794)</f>
      </c>
    </row>
    <row r="1795">
      <c r="A1795" s="5"/>
      <c r="B1795" s="16" t="s">
        <v>1421</v>
      </c>
      <c r="C1795" s="22">
        <f>(3)*(1)*(1)*(1)*(1 + (0))</f>
      </c>
      <c r="D1795" s="22" t="s">
        <v>162</v>
      </c>
      <c r="E1795" s="22"/>
      <c r="F1795" s="22">
        <f>(0)</f>
      </c>
      <c r="G1795" s="22">
        <f>(C1795 * E1795 + C1795 * E1795 * F1795)</f>
      </c>
    </row>
    <row r="1796">
      <c r="A1796" s="6"/>
      <c r="B1796" s="15" t="s">
        <v>1422</v>
      </c>
      <c r="C1796" s="23"/>
      <c r="D1796" s="23"/>
      <c r="E1796" s="23"/>
      <c r="F1796" s="23"/>
      <c r="G1796" s="23"/>
    </row>
    <row r="1797">
      <c r="A1797" s="5"/>
      <c r="B1797" s="16" t="s">
        <v>1423</v>
      </c>
      <c r="C1797" s="22">
        <f>(1)*(1)*(1)*(1)*(1 + (0))</f>
      </c>
      <c r="D1797" s="22" t="s">
        <v>162</v>
      </c>
      <c r="E1797" s="22"/>
      <c r="F1797" s="22">
        <f>(0)</f>
      </c>
      <c r="G1797" s="22">
        <f>(C1797 * E1797 + C1797 * E1797 * F1797)</f>
      </c>
    </row>
    <row r="1798">
      <c r="A1798" s="5"/>
      <c r="B1798" s="16" t="s">
        <v>1424</v>
      </c>
      <c r="C1798" s="22">
        <f>(1)*(1)*(1)*(1)*(1 + (0))</f>
      </c>
      <c r="D1798" s="22" t="s">
        <v>162</v>
      </c>
      <c r="E1798" s="22"/>
      <c r="F1798" s="22">
        <f>(0)</f>
      </c>
      <c r="G1798" s="22">
        <f>(C1798 * E1798 + C1798 * E1798 * F1798)</f>
      </c>
    </row>
    <row r="1799">
      <c r="A1799" s="6"/>
      <c r="B1799" s="15" t="s">
        <v>1425</v>
      </c>
      <c r="C1799" s="23"/>
      <c r="D1799" s="23"/>
      <c r="E1799" s="23"/>
      <c r="F1799" s="23"/>
      <c r="G1799" s="23"/>
    </row>
    <row r="1800">
      <c r="A1800" s="5"/>
      <c r="B1800" s="16" t="s">
        <v>1426</v>
      </c>
      <c r="C1800" s="22">
        <f>(1)*(1)*(1)*(1)*(1 + (0))</f>
      </c>
      <c r="D1800" s="22" t="s">
        <v>162</v>
      </c>
      <c r="E1800" s="22"/>
      <c r="F1800" s="22">
        <f>(0)</f>
      </c>
      <c r="G1800" s="22">
        <f>(C1800 * E1800 + C1800 * E1800 * F1800)</f>
      </c>
    </row>
    <row r="1801">
      <c r="A1801" s="4"/>
      <c r="B1801" s="12" t="s">
        <v>1427</v>
      </c>
      <c r="C1801" s="21"/>
      <c r="D1801" s="21"/>
      <c r="E1801" s="21"/>
      <c r="F1801" s="21"/>
      <c r="G1801" s="21"/>
    </row>
    <row r="1802">
      <c r="A1802" s="6"/>
      <c r="B1802" s="15" t="s">
        <v>1428</v>
      </c>
      <c r="C1802" s="23"/>
      <c r="D1802" s="23"/>
      <c r="E1802" s="23"/>
      <c r="F1802" s="23"/>
      <c r="G1802" s="23"/>
    </row>
    <row r="1803">
      <c r="A1803" s="5"/>
      <c r="B1803" s="16" t="s">
        <v>1429</v>
      </c>
      <c r="C1803" s="22">
        <f>(1)*(1)*(1)*(1)*(1 + (0))</f>
      </c>
      <c r="D1803" s="22" t="s">
        <v>162</v>
      </c>
      <c r="E1803" s="22"/>
      <c r="F1803" s="22">
        <f>(0)</f>
      </c>
      <c r="G1803" s="22">
        <f>(C1803 * E1803 + C1803 * E1803 * F1803)</f>
      </c>
    </row>
    <row r="1804">
      <c r="A1804" s="4"/>
      <c r="B1804" s="12" t="s">
        <v>1430</v>
      </c>
      <c r="C1804" s="21"/>
      <c r="D1804" s="21"/>
      <c r="E1804" s="21"/>
      <c r="F1804" s="21"/>
      <c r="G1804" s="21"/>
    </row>
    <row r="1805">
      <c r="A1805" s="6"/>
      <c r="B1805" s="15" t="s">
        <v>1431</v>
      </c>
      <c r="C1805" s="23"/>
      <c r="D1805" s="23"/>
      <c r="E1805" s="23"/>
      <c r="F1805" s="23"/>
      <c r="G1805" s="23"/>
    </row>
    <row r="1806">
      <c r="A1806" s="5"/>
      <c r="B1806" s="16" t="s">
        <v>1432</v>
      </c>
      <c r="C1806" s="22">
        <f>(1)*(1)*(1)*(1)*(1 + (0))</f>
      </c>
      <c r="D1806" s="22" t="s">
        <v>162</v>
      </c>
      <c r="E1806" s="22"/>
      <c r="F1806" s="22">
        <f>(0)</f>
      </c>
      <c r="G1806" s="22">
        <f>(C1806 * E1806 + C1806 * E1806 * F1806)</f>
      </c>
    </row>
    <row r="1807">
      <c r="A1807" s="4"/>
      <c r="B1807" s="12" t="s">
        <v>1433</v>
      </c>
      <c r="C1807" s="21"/>
      <c r="D1807" s="21"/>
      <c r="E1807" s="21"/>
      <c r="F1807" s="21"/>
      <c r="G1807" s="21"/>
    </row>
    <row r="1808">
      <c r="A1808" s="6"/>
      <c r="B1808" s="15" t="s">
        <v>1434</v>
      </c>
      <c r="C1808" s="23"/>
      <c r="D1808" s="23"/>
      <c r="E1808" s="23"/>
      <c r="F1808" s="23"/>
      <c r="G1808" s="23"/>
    </row>
    <row r="1809">
      <c r="A1809" s="5"/>
      <c r="B1809" s="16" t="s">
        <v>1435</v>
      </c>
      <c r="C1809" s="22">
        <f>(4)*(1)*(1)*(1)*(1 + (0))</f>
      </c>
      <c r="D1809" s="22" t="s">
        <v>162</v>
      </c>
      <c r="E1809" s="22"/>
      <c r="F1809" s="22">
        <f>(0)</f>
      </c>
      <c r="G1809" s="22">
        <f>(C1809 * E1809 + C1809 * E1809 * F1809)</f>
      </c>
    </row>
    <row r="1810">
      <c r="A1810" s="5"/>
      <c r="B1810" s="14" t="s">
        <v>1436</v>
      </c>
      <c r="C1810" s="22">
        <f>(1)*(1)*(1)*(1)*(1 + (0))</f>
      </c>
      <c r="D1810" s="22" t="s">
        <v>606</v>
      </c>
      <c r="E1810" s="22"/>
      <c r="F1810" s="22">
        <f>(0)</f>
      </c>
      <c r="G1810" s="22">
        <f>(C1810 * E1810 + C1810 * E1810 * F1810)</f>
      </c>
    </row>
    <row r="1811">
      <c r="A1811" s="5"/>
      <c r="B1811" s="7" t="s">
        <v>1437</v>
      </c>
      <c r="C1811" s="22"/>
      <c r="D1811" s="22"/>
      <c r="E1811" s="22"/>
      <c r="F1811" s="22">
        <f>(0)</f>
      </c>
      <c r="G1811" s="22">
        <f>(C1811 * E1811 + C1811 * E1811 * F1811)</f>
      </c>
    </row>
    <row r="1812">
      <c r="A1812" s="5"/>
      <c r="B1812" s="7" t="s">
        <v>1438</v>
      </c>
      <c r="C1812" s="22"/>
      <c r="D1812" s="22"/>
      <c r="E1812" s="22"/>
      <c r="F1812" s="22">
        <f>(0)</f>
      </c>
      <c r="G1812" s="22">
        <f>(C1812 * E1812 + C1812 * E1812 * F1812)</f>
      </c>
    </row>
    <row r="1813">
      <c r="A1813" s="5"/>
      <c r="B1813" s="7" t="s">
        <v>1439</v>
      </c>
      <c r="C1813" s="22"/>
      <c r="D1813" s="22"/>
      <c r="E1813" s="22"/>
      <c r="F1813" s="22">
        <f>(0)</f>
      </c>
      <c r="G1813" s="22">
        <f>(C1813 * E1813 + C1813 * E1813 * F1813)</f>
      </c>
    </row>
    <row r="1814">
      <c r="A1814" s="5"/>
      <c r="B1814" s="7" t="s">
        <v>1440</v>
      </c>
      <c r="C1814" s="22"/>
      <c r="D1814" s="22"/>
      <c r="E1814" s="22"/>
      <c r="F1814" s="22">
        <f>(0)</f>
      </c>
      <c r="G1814" s="22">
        <f>(C1814 * E1814 + C1814 * E1814 * F1814)</f>
      </c>
    </row>
    <row r="1815">
      <c r="A1815" s="2"/>
      <c r="B1815" s="10" t="s">
        <v>1441</v>
      </c>
      <c r="C1815" s="19"/>
      <c r="D1815" s="19"/>
      <c r="E1815" s="19"/>
      <c r="F1815" s="19"/>
      <c r="G1815" s="19"/>
    </row>
    <row r="1816">
      <c r="A1816" s="3"/>
      <c r="B1816" s="11" t="s">
        <v>37</v>
      </c>
      <c r="C1816" s="20"/>
      <c r="D1816" s="20"/>
      <c r="E1816" s="20"/>
      <c r="F1816" s="20"/>
      <c r="G1816" s="20"/>
    </row>
    <row r="1817">
      <c r="A1817" s="5" t="s">
        <v>1285</v>
      </c>
      <c r="B1817" s="14" t="s">
        <v>39</v>
      </c>
      <c r="C1817" s="22"/>
      <c r="D1817" s="22" t="s">
        <v>10</v>
      </c>
      <c r="E1817" s="22"/>
      <c r="F1817" s="22">
        <f>(0)</f>
      </c>
      <c r="G1817" s="22">
        <f>(C1817 * E1817 + C1817 * E1817 * F1817)</f>
      </c>
    </row>
    <row r="1818">
      <c r="A1818" s="5" t="s">
        <v>1286</v>
      </c>
      <c r="B1818" s="14" t="s">
        <v>41</v>
      </c>
      <c r="C1818" s="22"/>
      <c r="D1818" s="22" t="s">
        <v>10</v>
      </c>
      <c r="E1818" s="22"/>
      <c r="F1818" s="22">
        <f>(0)</f>
      </c>
      <c r="G1818" s="22">
        <f>(C1818 * E1818 + C1818 * E1818 * F1818)</f>
      </c>
    </row>
    <row r="1819">
      <c r="A1819" s="3"/>
      <c r="B1819" s="11" t="s">
        <v>42</v>
      </c>
      <c r="C1819" s="20"/>
      <c r="D1819" s="20"/>
      <c r="E1819" s="20"/>
      <c r="F1819" s="20"/>
      <c r="G1819" s="20"/>
    </row>
    <row r="1820">
      <c r="A1820" s="5"/>
      <c r="B1820" s="14" t="s">
        <v>1287</v>
      </c>
      <c r="C1820" s="22"/>
      <c r="D1820" s="22" t="s">
        <v>10</v>
      </c>
      <c r="E1820" s="22"/>
      <c r="F1820" s="22">
        <f>(0)</f>
      </c>
      <c r="G1820" s="22">
        <f>(C1820 * E1820 + C1820 * E1820 * F1820)</f>
      </c>
    </row>
    <row r="1821">
      <c r="A1821" s="5"/>
      <c r="B1821" s="14" t="s">
        <v>1288</v>
      </c>
      <c r="C1821" s="22"/>
      <c r="D1821" s="22" t="s">
        <v>10</v>
      </c>
      <c r="E1821" s="22"/>
      <c r="F1821" s="22">
        <f>(0)</f>
      </c>
      <c r="G1821" s="22">
        <f>(C1821 * E1821 + C1821 * E1821 * F1821)</f>
      </c>
    </row>
    <row r="1822">
      <c r="A1822" s="5"/>
      <c r="B1822" s="14" t="s">
        <v>1289</v>
      </c>
      <c r="C1822" s="22"/>
      <c r="D1822" s="22" t="s">
        <v>10</v>
      </c>
      <c r="E1822" s="22"/>
      <c r="F1822" s="22">
        <f>(0)</f>
      </c>
      <c r="G1822" s="22">
        <f>(C1822 * E1822 + C1822 * E1822 * F1822)</f>
      </c>
    </row>
    <row r="1823">
      <c r="A1823" s="5"/>
      <c r="B1823" s="14" t="s">
        <v>1290</v>
      </c>
      <c r="C1823" s="22"/>
      <c r="D1823" s="22" t="s">
        <v>10</v>
      </c>
      <c r="E1823" s="22"/>
      <c r="F1823" s="22">
        <f>(0)</f>
      </c>
      <c r="G1823" s="22">
        <f>(C1823 * E1823 + C1823 * E1823 * F1823)</f>
      </c>
    </row>
    <row r="1824">
      <c r="A1824" s="3"/>
      <c r="B1824" s="11" t="s">
        <v>44</v>
      </c>
      <c r="C1824" s="20"/>
      <c r="D1824" s="20"/>
      <c r="E1824" s="20"/>
      <c r="F1824" s="20"/>
      <c r="G1824" s="20"/>
    </row>
    <row r="1825">
      <c r="A1825" s="4"/>
      <c r="B1825" s="12" t="s">
        <v>45</v>
      </c>
      <c r="C1825" s="21"/>
      <c r="D1825" s="21"/>
      <c r="E1825" s="21"/>
      <c r="F1825" s="21"/>
      <c r="G1825" s="21"/>
    </row>
    <row r="1826">
      <c r="A1826" s="5" t="s">
        <v>1291</v>
      </c>
      <c r="B1826" s="13" t="s">
        <v>767</v>
      </c>
      <c r="C1826" s="22"/>
      <c r="D1826" s="22" t="s">
        <v>10</v>
      </c>
      <c r="E1826" s="22"/>
      <c r="F1826" s="22">
        <f>(0)</f>
      </c>
      <c r="G1826" s="22">
        <f>(C1826 * E1826 + C1826 * E1826 * F1826)</f>
      </c>
    </row>
    <row r="1827">
      <c r="A1827" s="5" t="s">
        <v>1292</v>
      </c>
      <c r="B1827" s="13" t="s">
        <v>123</v>
      </c>
      <c r="C1827" s="22"/>
      <c r="D1827" s="22" t="s">
        <v>10</v>
      </c>
      <c r="E1827" s="22"/>
      <c r="F1827" s="22">
        <f>(0)</f>
      </c>
      <c r="G1827" s="22">
        <f>(C1827 * E1827 + C1827 * E1827 * F1827)</f>
      </c>
    </row>
    <row r="1828">
      <c r="A1828" s="3"/>
      <c r="B1828" s="11" t="s">
        <v>68</v>
      </c>
      <c r="C1828" s="20"/>
      <c r="D1828" s="20"/>
      <c r="E1828" s="20"/>
      <c r="F1828" s="20"/>
      <c r="G1828" s="20"/>
    </row>
    <row r="1829">
      <c r="A1829" s="5" t="s">
        <v>1293</v>
      </c>
      <c r="B1829" s="14" t="s">
        <v>230</v>
      </c>
      <c r="C1829" s="22">
        <f>(1)*(1)*(1)*(1)*(1 + (0))</f>
      </c>
      <c r="D1829" s="22" t="s">
        <v>71</v>
      </c>
      <c r="E1829" s="22"/>
      <c r="F1829" s="22">
        <f>(0)</f>
      </c>
      <c r="G1829" s="22">
        <f>(C1829 * E1829 + C1829 * E1829 * F1829)</f>
      </c>
    </row>
    <row r="1830">
      <c r="A1830" s="5" t="s">
        <v>1294</v>
      </c>
      <c r="B1830" s="14" t="s">
        <v>70</v>
      </c>
      <c r="C1830" s="22">
        <f>(1)*(1)*(1)*(1)*(1 + (0))</f>
      </c>
      <c r="D1830" s="22" t="s">
        <v>71</v>
      </c>
      <c r="E1830" s="22"/>
      <c r="F1830" s="22">
        <f>(0)</f>
      </c>
      <c r="G1830" s="22">
        <f>(C1830 * E1830 + C1830 * E1830 * F1830)</f>
      </c>
    </row>
    <row r="1831">
      <c r="A1831" s="5" t="s">
        <v>1295</v>
      </c>
      <c r="B1831" s="14" t="s">
        <v>906</v>
      </c>
      <c r="C1831" s="22">
        <f>(1)*(1)*(1)*(1)*(1 + (0))</f>
      </c>
      <c r="D1831" s="22" t="s">
        <v>71</v>
      </c>
      <c r="E1831" s="22"/>
      <c r="F1831" s="22">
        <f>(0)</f>
      </c>
      <c r="G1831" s="22">
        <f>(C1831 * E1831 + C1831 * E1831 * F1831)</f>
      </c>
    </row>
    <row r="1832">
      <c r="A1832" s="5" t="s">
        <v>1296</v>
      </c>
      <c r="B1832" s="14" t="s">
        <v>665</v>
      </c>
      <c r="C1832" s="22">
        <f>(1)*(1)*(1)*(1)*(1 + (0))</f>
      </c>
      <c r="D1832" s="22" t="s">
        <v>71</v>
      </c>
      <c r="E1832" s="22"/>
      <c r="F1832" s="22">
        <f>(0)</f>
      </c>
      <c r="G1832" s="22">
        <f>(C1832 * E1832 + C1832 * E1832 * F1832)</f>
      </c>
    </row>
    <row r="1833">
      <c r="A1833" s="3"/>
      <c r="B1833" s="11" t="s">
        <v>1442</v>
      </c>
      <c r="C1833" s="20"/>
      <c r="D1833" s="20"/>
      <c r="E1833" s="20"/>
      <c r="F1833" s="20"/>
      <c r="G1833" s="20"/>
    </row>
    <row r="1834">
      <c r="A1834" s="5"/>
      <c r="B1834" s="14" t="s">
        <v>1443</v>
      </c>
      <c r="C1834" s="22">
        <f>(1)*(1)*(1)*(1)*(1 + (0))</f>
      </c>
      <c r="D1834" s="22" t="s">
        <v>162</v>
      </c>
      <c r="E1834" s="22"/>
      <c r="F1834" s="22">
        <f>(0)</f>
      </c>
      <c r="G1834" s="22">
        <f>(C1834 * E1834 + C1834 * E1834 * F1834)</f>
      </c>
    </row>
    <row r="1835">
      <c r="A1835" s="5"/>
      <c r="B1835" s="14" t="s">
        <v>1444</v>
      </c>
      <c r="C1835" s="22">
        <f>(2)*(1)*(1)*(1)*(1 + (0))</f>
      </c>
      <c r="D1835" s="22" t="s">
        <v>162</v>
      </c>
      <c r="E1835" s="22"/>
      <c r="F1835" s="22">
        <f>(0)</f>
      </c>
      <c r="G1835" s="22">
        <f>(C1835 * E1835 + C1835 * E1835 * F1835)</f>
      </c>
    </row>
    <row r="1836">
      <c r="A1836" s="5"/>
      <c r="B1836" s="14" t="s">
        <v>1445</v>
      </c>
      <c r="C1836" s="22">
        <f>(11)*(1)*(1)*(1)*(1 + (0))</f>
      </c>
      <c r="D1836" s="22" t="s">
        <v>162</v>
      </c>
      <c r="E1836" s="22"/>
      <c r="F1836" s="22">
        <f>(0)</f>
      </c>
      <c r="G1836" s="22">
        <f>(C1836 * E1836 + C1836 * E1836 * F1836)</f>
      </c>
    </row>
    <row r="1837">
      <c r="A1837" s="5"/>
      <c r="B1837" s="14" t="s">
        <v>1446</v>
      </c>
      <c r="C1837" s="22">
        <f>(3)*(1)*(1)*(1)*(1 + (0))</f>
      </c>
      <c r="D1837" s="22" t="s">
        <v>162</v>
      </c>
      <c r="E1837" s="22"/>
      <c r="F1837" s="22">
        <f>(0)</f>
      </c>
      <c r="G1837" s="22">
        <f>(C1837 * E1837 + C1837 * E1837 * F1837)</f>
      </c>
    </row>
    <row r="1838">
      <c r="A1838" s="5"/>
      <c r="B1838" s="14" t="s">
        <v>1447</v>
      </c>
      <c r="C1838" s="22">
        <f>(2)*(1)*(1)*(1)*(1 + (0))</f>
      </c>
      <c r="D1838" s="22" t="s">
        <v>1217</v>
      </c>
      <c r="E1838" s="22"/>
      <c r="F1838" s="22">
        <f>(0)</f>
      </c>
      <c r="G1838" s="22">
        <f>(C1838 * E1838 + C1838 * E1838 * F1838)</f>
      </c>
    </row>
    <row r="1839">
      <c r="A1839" s="5"/>
      <c r="B1839" s="14" t="s">
        <v>1448</v>
      </c>
      <c r="C1839" s="22">
        <f>(4)*(1)*(1)*(1)*(1 + (0))</f>
      </c>
      <c r="D1839" s="22" t="s">
        <v>162</v>
      </c>
      <c r="E1839" s="22"/>
      <c r="F1839" s="22">
        <f>(0)</f>
      </c>
      <c r="G1839" s="22">
        <f>(C1839 * E1839 + C1839 * E1839 * F1839)</f>
      </c>
    </row>
    <row r="1840">
      <c r="A1840" s="5"/>
      <c r="B1840" s="14" t="s">
        <v>1449</v>
      </c>
      <c r="C1840" s="22">
        <f>(1)*(1)*(1)*(1)*(1 + (0))</f>
      </c>
      <c r="D1840" s="22" t="s">
        <v>162</v>
      </c>
      <c r="E1840" s="22"/>
      <c r="F1840" s="22">
        <f>(0)</f>
      </c>
      <c r="G1840" s="22">
        <f>(C1840 * E1840 + C1840 * E1840 * F1840)</f>
      </c>
    </row>
    <row r="1841">
      <c r="A1841" s="5"/>
      <c r="B1841" s="14" t="s">
        <v>1450</v>
      </c>
      <c r="C1841" s="22">
        <f>(1)*(1)*(1)*(1)*(1 + (0))</f>
      </c>
      <c r="D1841" s="22" t="s">
        <v>1217</v>
      </c>
      <c r="E1841" s="22"/>
      <c r="F1841" s="22">
        <f>(0)</f>
      </c>
      <c r="G1841" s="22">
        <f>(C1841 * E1841 + C1841 * E1841 * F1841)</f>
      </c>
    </row>
    <row r="1842">
      <c r="A1842" s="5"/>
      <c r="B1842" s="14" t="s">
        <v>1451</v>
      </c>
      <c r="C1842" s="22">
        <f>(1)*(1)*(1)*(1)*(1 + (0))</f>
      </c>
      <c r="D1842" s="22" t="s">
        <v>1217</v>
      </c>
      <c r="E1842" s="22"/>
      <c r="F1842" s="22">
        <f>(0)</f>
      </c>
      <c r="G1842" s="22">
        <f>(C1842 * E1842 + C1842 * E1842 * F1842)</f>
      </c>
    </row>
    <row r="1843">
      <c r="A1843" s="5"/>
      <c r="B1843" s="7" t="s">
        <v>1452</v>
      </c>
      <c r="C1843" s="22"/>
      <c r="D1843" s="22"/>
      <c r="E1843" s="22"/>
      <c r="F1843" s="22">
        <f>(0)</f>
      </c>
      <c r="G1843" s="22">
        <f>(C1843 * E1843 + C1843 * E1843 * F1843)</f>
      </c>
    </row>
    <row r="1844">
      <c r="A1844" s="5"/>
      <c r="B1844" s="7" t="s">
        <v>1453</v>
      </c>
      <c r="C1844" s="22"/>
      <c r="D1844" s="22"/>
      <c r="E1844" s="22"/>
      <c r="F1844" s="22">
        <f>(0)</f>
      </c>
      <c r="G1844" s="22">
        <f>(C1844 * E1844 + C1844 * E1844 * F1844)</f>
      </c>
    </row>
    <row r="1845">
      <c r="A1845" s="2"/>
      <c r="B1845" s="10" t="s">
        <v>1454</v>
      </c>
      <c r="C1845" s="19"/>
      <c r="D1845" s="19"/>
      <c r="E1845" s="19"/>
      <c r="F1845" s="19"/>
      <c r="G1845" s="19"/>
    </row>
    <row r="1846">
      <c r="A1846" s="3"/>
      <c r="B1846" s="11" t="s">
        <v>37</v>
      </c>
      <c r="C1846" s="20"/>
      <c r="D1846" s="20"/>
      <c r="E1846" s="20"/>
      <c r="F1846" s="20"/>
      <c r="G1846" s="20"/>
    </row>
    <row r="1847">
      <c r="A1847" s="5" t="s">
        <v>1285</v>
      </c>
      <c r="B1847" s="14" t="s">
        <v>39</v>
      </c>
      <c r="C1847" s="22"/>
      <c r="D1847" s="22" t="s">
        <v>10</v>
      </c>
      <c r="E1847" s="22"/>
      <c r="F1847" s="22">
        <f>(0)</f>
      </c>
      <c r="G1847" s="22">
        <f>(C1847 * E1847 + C1847 * E1847 * F1847)</f>
      </c>
    </row>
    <row r="1848">
      <c r="A1848" s="5" t="s">
        <v>1286</v>
      </c>
      <c r="B1848" s="14" t="s">
        <v>41</v>
      </c>
      <c r="C1848" s="22"/>
      <c r="D1848" s="22" t="s">
        <v>10</v>
      </c>
      <c r="E1848" s="22"/>
      <c r="F1848" s="22">
        <f>(0)</f>
      </c>
      <c r="G1848" s="22">
        <f>(C1848 * E1848 + C1848 * E1848 * F1848)</f>
      </c>
    </row>
    <row r="1849">
      <c r="A1849" s="3"/>
      <c r="B1849" s="11" t="s">
        <v>42</v>
      </c>
      <c r="C1849" s="20"/>
      <c r="D1849" s="20"/>
      <c r="E1849" s="20"/>
      <c r="F1849" s="20"/>
      <c r="G1849" s="20"/>
    </row>
    <row r="1850">
      <c r="A1850" s="5"/>
      <c r="B1850" s="14" t="s">
        <v>1287</v>
      </c>
      <c r="C1850" s="22"/>
      <c r="D1850" s="22" t="s">
        <v>10</v>
      </c>
      <c r="E1850" s="22"/>
      <c r="F1850" s="22">
        <f>(0)</f>
      </c>
      <c r="G1850" s="22">
        <f>(C1850 * E1850 + C1850 * E1850 * F1850)</f>
      </c>
    </row>
    <row r="1851">
      <c r="A1851" s="5"/>
      <c r="B1851" s="14" t="s">
        <v>1288</v>
      </c>
      <c r="C1851" s="22"/>
      <c r="D1851" s="22" t="s">
        <v>10</v>
      </c>
      <c r="E1851" s="22"/>
      <c r="F1851" s="22">
        <f>(0)</f>
      </c>
      <c r="G1851" s="22">
        <f>(C1851 * E1851 + C1851 * E1851 * F1851)</f>
      </c>
    </row>
    <row r="1852">
      <c r="A1852" s="5"/>
      <c r="B1852" s="14" t="s">
        <v>1289</v>
      </c>
      <c r="C1852" s="22"/>
      <c r="D1852" s="22" t="s">
        <v>10</v>
      </c>
      <c r="E1852" s="22"/>
      <c r="F1852" s="22">
        <f>(0)</f>
      </c>
      <c r="G1852" s="22">
        <f>(C1852 * E1852 + C1852 * E1852 * F1852)</f>
      </c>
    </row>
    <row r="1853">
      <c r="A1853" s="5"/>
      <c r="B1853" s="14" t="s">
        <v>1290</v>
      </c>
      <c r="C1853" s="22"/>
      <c r="D1853" s="22" t="s">
        <v>10</v>
      </c>
      <c r="E1853" s="22"/>
      <c r="F1853" s="22">
        <f>(0)</f>
      </c>
      <c r="G1853" s="22">
        <f>(C1853 * E1853 + C1853 * E1853 * F1853)</f>
      </c>
    </row>
    <row r="1854">
      <c r="A1854" s="3"/>
      <c r="B1854" s="11" t="s">
        <v>44</v>
      </c>
      <c r="C1854" s="20"/>
      <c r="D1854" s="20"/>
      <c r="E1854" s="20"/>
      <c r="F1854" s="20"/>
      <c r="G1854" s="20"/>
    </row>
    <row r="1855">
      <c r="A1855" s="4"/>
      <c r="B1855" s="12" t="s">
        <v>45</v>
      </c>
      <c r="C1855" s="21"/>
      <c r="D1855" s="21"/>
      <c r="E1855" s="21"/>
      <c r="F1855" s="21"/>
      <c r="G1855" s="21"/>
    </row>
    <row r="1856">
      <c r="A1856" s="5" t="s">
        <v>1291</v>
      </c>
      <c r="B1856" s="13" t="s">
        <v>767</v>
      </c>
      <c r="C1856" s="22"/>
      <c r="D1856" s="22" t="s">
        <v>10</v>
      </c>
      <c r="E1856" s="22"/>
      <c r="F1856" s="22">
        <f>(0)</f>
      </c>
      <c r="G1856" s="22">
        <f>(C1856 * E1856 + C1856 * E1856 * F1856)</f>
      </c>
    </row>
    <row r="1857">
      <c r="A1857" s="5" t="s">
        <v>1292</v>
      </c>
      <c r="B1857" s="13" t="s">
        <v>123</v>
      </c>
      <c r="C1857" s="22"/>
      <c r="D1857" s="22" t="s">
        <v>10</v>
      </c>
      <c r="E1857" s="22"/>
      <c r="F1857" s="22">
        <f>(0)</f>
      </c>
      <c r="G1857" s="22">
        <f>(C1857 * E1857 + C1857 * E1857 * F1857)</f>
      </c>
    </row>
    <row r="1858">
      <c r="A1858" s="3"/>
      <c r="B1858" s="11" t="s">
        <v>68</v>
      </c>
      <c r="C1858" s="20"/>
      <c r="D1858" s="20"/>
      <c r="E1858" s="20"/>
      <c r="F1858" s="20"/>
      <c r="G1858" s="20"/>
    </row>
    <row r="1859">
      <c r="A1859" s="5" t="s">
        <v>1293</v>
      </c>
      <c r="B1859" s="14" t="s">
        <v>230</v>
      </c>
      <c r="C1859" s="22">
        <f>(1)*(1)*(1)*(1)*(1 + (0))</f>
      </c>
      <c r="D1859" s="22" t="s">
        <v>71</v>
      </c>
      <c r="E1859" s="22"/>
      <c r="F1859" s="22">
        <f>(0)</f>
      </c>
      <c r="G1859" s="22">
        <f>(C1859 * E1859 + C1859 * E1859 * F1859)</f>
      </c>
    </row>
    <row r="1860">
      <c r="A1860" s="5" t="s">
        <v>1294</v>
      </c>
      <c r="B1860" s="14" t="s">
        <v>70</v>
      </c>
      <c r="C1860" s="22">
        <f>(1)*(1)*(1)*(1)*(1 + (0))</f>
      </c>
      <c r="D1860" s="22" t="s">
        <v>71</v>
      </c>
      <c r="E1860" s="22"/>
      <c r="F1860" s="22">
        <f>(0)</f>
      </c>
      <c r="G1860" s="22">
        <f>(C1860 * E1860 + C1860 * E1860 * F1860)</f>
      </c>
    </row>
    <row r="1861">
      <c r="A1861" s="5" t="s">
        <v>1295</v>
      </c>
      <c r="B1861" s="14" t="s">
        <v>906</v>
      </c>
      <c r="C1861" s="22">
        <f>(1)*(1)*(1)*(1)*(1 + (0))</f>
      </c>
      <c r="D1861" s="22" t="s">
        <v>71</v>
      </c>
      <c r="E1861" s="22"/>
      <c r="F1861" s="22">
        <f>(0)</f>
      </c>
      <c r="G1861" s="22">
        <f>(C1861 * E1861 + C1861 * E1861 * F1861)</f>
      </c>
    </row>
    <row r="1862">
      <c r="A1862" s="5" t="s">
        <v>1296</v>
      </c>
      <c r="B1862" s="14" t="s">
        <v>665</v>
      </c>
      <c r="C1862" s="22">
        <f>(1)*(1)*(1)*(1)*(1 + (0))</f>
      </c>
      <c r="D1862" s="22" t="s">
        <v>71</v>
      </c>
      <c r="E1862" s="22"/>
      <c r="F1862" s="22">
        <f>(0)</f>
      </c>
      <c r="G1862" s="22">
        <f>(C1862 * E1862 + C1862 * E1862 * F1862)</f>
      </c>
    </row>
    <row r="1863">
      <c r="A1863" s="3"/>
      <c r="B1863" s="11" t="s">
        <v>106</v>
      </c>
      <c r="C1863" s="20"/>
      <c r="D1863" s="20"/>
      <c r="E1863" s="20"/>
      <c r="F1863" s="20"/>
      <c r="G1863" s="20"/>
    </row>
    <row r="1864">
      <c r="A1864" s="5"/>
      <c r="B1864" s="14" t="s">
        <v>1455</v>
      </c>
      <c r="C1864" s="22"/>
      <c r="D1864" s="22" t="s">
        <v>1335</v>
      </c>
      <c r="E1864" s="22"/>
      <c r="F1864" s="22">
        <f>(0)</f>
      </c>
      <c r="G1864" s="22">
        <f>(C1864 * E1864 + C1864 * E1864 * F1864)</f>
      </c>
    </row>
    <row r="1865">
      <c r="A1865" s="5"/>
      <c r="B1865" s="14" t="s">
        <v>1456</v>
      </c>
      <c r="C1865" s="22"/>
      <c r="D1865" s="22" t="s">
        <v>1335</v>
      </c>
      <c r="E1865" s="22"/>
      <c r="F1865" s="22">
        <f>(0)</f>
      </c>
      <c r="G1865" s="22">
        <f>(C1865 * E1865 + C1865 * E1865 * F1865)</f>
      </c>
    </row>
    <row r="1866">
      <c r="A1866" s="5"/>
      <c r="B1866" s="14" t="s">
        <v>1457</v>
      </c>
      <c r="C1866" s="22"/>
      <c r="D1866" s="22" t="s">
        <v>1335</v>
      </c>
      <c r="E1866" s="22"/>
      <c r="F1866" s="22">
        <f>(0)</f>
      </c>
      <c r="G1866" s="22">
        <f>(C1866 * E1866 + C1866 * E1866 * F1866)</f>
      </c>
    </row>
    <row r="1867">
      <c r="A1867" s="5"/>
      <c r="B1867" s="14" t="s">
        <v>1458</v>
      </c>
      <c r="C1867" s="22"/>
      <c r="D1867" s="22" t="s">
        <v>1335</v>
      </c>
      <c r="E1867" s="22"/>
      <c r="F1867" s="22">
        <f>(0)</f>
      </c>
      <c r="G1867" s="22">
        <f>(C1867 * E1867 + C1867 * E1867 * F1867)</f>
      </c>
    </row>
    <row r="1868">
      <c r="A1868" s="5"/>
      <c r="B1868" s="14" t="s">
        <v>1459</v>
      </c>
      <c r="C1868" s="22"/>
      <c r="D1868" s="22" t="s">
        <v>1335</v>
      </c>
      <c r="E1868" s="22"/>
      <c r="F1868" s="22">
        <f>(0)</f>
      </c>
      <c r="G1868" s="22">
        <f>(C1868 * E1868 + C1868 * E1868 * F1868)</f>
      </c>
    </row>
    <row r="1869">
      <c r="A1869" s="3"/>
      <c r="B1869" s="11" t="s">
        <v>1460</v>
      </c>
      <c r="C1869" s="20"/>
      <c r="D1869" s="20"/>
      <c r="E1869" s="20"/>
      <c r="F1869" s="20"/>
      <c r="G1869" s="20"/>
    </row>
    <row r="1870">
      <c r="A1870" s="4"/>
      <c r="B1870" s="12" t="s">
        <v>1461</v>
      </c>
      <c r="C1870" s="21"/>
      <c r="D1870" s="21"/>
      <c r="E1870" s="21"/>
      <c r="F1870" s="21"/>
      <c r="G1870" s="21"/>
    </row>
    <row r="1871">
      <c r="A1871" s="6"/>
      <c r="B1871" s="15" t="s">
        <v>1462</v>
      </c>
      <c r="C1871" s="23"/>
      <c r="D1871" s="23"/>
      <c r="E1871" s="23"/>
      <c r="F1871" s="23"/>
      <c r="G1871" s="23"/>
    </row>
    <row r="1872">
      <c r="A1872" s="5"/>
      <c r="B1872" s="16" t="s">
        <v>1463</v>
      </c>
      <c r="C1872" s="22">
        <f>(1)*(1)*(1)*(1)*(1 + (0))</f>
      </c>
      <c r="D1872" s="22" t="s">
        <v>162</v>
      </c>
      <c r="E1872" s="22"/>
      <c r="F1872" s="22">
        <f>(0)</f>
      </c>
      <c r="G1872" s="22">
        <f>(C1872 * E1872 + C1872 * E1872 * F1872)</f>
      </c>
    </row>
    <row r="1873">
      <c r="A1873" s="5"/>
      <c r="B1873" s="16" t="s">
        <v>1464</v>
      </c>
      <c r="C1873" s="22">
        <f>(24)*(1)*(1)*(1)*(1 + (0))</f>
      </c>
      <c r="D1873" s="22" t="s">
        <v>162</v>
      </c>
      <c r="E1873" s="22"/>
      <c r="F1873" s="22">
        <f>(0)</f>
      </c>
      <c r="G1873" s="22">
        <f>(C1873 * E1873 + C1873 * E1873 * F1873)</f>
      </c>
    </row>
    <row r="1874">
      <c r="A1874" s="5"/>
      <c r="B1874" s="16" t="s">
        <v>1465</v>
      </c>
      <c r="C1874" s="22">
        <f>(9)*(1)*(1)*(1)*(1 + (0))</f>
      </c>
      <c r="D1874" s="22" t="s">
        <v>162</v>
      </c>
      <c r="E1874" s="22"/>
      <c r="F1874" s="22">
        <f>(0)</f>
      </c>
      <c r="G1874" s="22">
        <f>(C1874 * E1874 + C1874 * E1874 * F1874)</f>
      </c>
    </row>
    <row r="1875">
      <c r="A1875" s="5"/>
      <c r="B1875" s="16" t="s">
        <v>1466</v>
      </c>
      <c r="C1875" s="22">
        <f>(1)*(1)*(1)*(1)*(1 + (0))</f>
      </c>
      <c r="D1875" s="22" t="s">
        <v>162</v>
      </c>
      <c r="E1875" s="22"/>
      <c r="F1875" s="22">
        <f>(0)</f>
      </c>
      <c r="G1875" s="22">
        <f>(C1875 * E1875 + C1875 * E1875 * F1875)</f>
      </c>
    </row>
    <row r="1876">
      <c r="A1876" s="4"/>
      <c r="B1876" s="12" t="s">
        <v>1467</v>
      </c>
      <c r="C1876" s="21"/>
      <c r="D1876" s="21"/>
      <c r="E1876" s="21"/>
      <c r="F1876" s="21"/>
      <c r="G1876" s="21"/>
    </row>
    <row r="1877">
      <c r="A1877" s="6"/>
      <c r="B1877" s="15" t="s">
        <v>1468</v>
      </c>
      <c r="C1877" s="23"/>
      <c r="D1877" s="23"/>
      <c r="E1877" s="23"/>
      <c r="F1877" s="23"/>
      <c r="G1877" s="23"/>
    </row>
    <row r="1878">
      <c r="A1878" s="5"/>
      <c r="B1878" s="16" t="s">
        <v>1469</v>
      </c>
      <c r="C1878" s="22">
        <f>(2)*(1)*(1)*(1)*(1 + (0))</f>
      </c>
      <c r="D1878" s="22" t="s">
        <v>162</v>
      </c>
      <c r="E1878" s="22"/>
      <c r="F1878" s="22">
        <f>(0)</f>
      </c>
      <c r="G1878" s="22">
        <f>(C1878 * E1878 + C1878 * E1878 * F1878)</f>
      </c>
    </row>
    <row r="1879">
      <c r="A1879" s="5"/>
      <c r="B1879" s="16" t="s">
        <v>1470</v>
      </c>
      <c r="C1879" s="22">
        <f>(6)*(1)*(1)*(1)*(1 + (0))</f>
      </c>
      <c r="D1879" s="22" t="s">
        <v>162</v>
      </c>
      <c r="E1879" s="22"/>
      <c r="F1879" s="22">
        <f>(0)</f>
      </c>
      <c r="G1879" s="22">
        <f>(C1879 * E1879 + C1879 * E1879 * F1879)</f>
      </c>
    </row>
    <row r="1880">
      <c r="A1880" s="5"/>
      <c r="B1880" s="16" t="s">
        <v>1471</v>
      </c>
      <c r="C1880" s="22">
        <f>(1)*(1)*(1)*(1)*(1 + (0))</f>
      </c>
      <c r="D1880" s="22" t="s">
        <v>162</v>
      </c>
      <c r="E1880" s="22"/>
      <c r="F1880" s="22">
        <f>(0)</f>
      </c>
      <c r="G1880" s="22">
        <f>(C1880 * E1880 + C1880 * E1880 * F1880)</f>
      </c>
    </row>
    <row r="1881">
      <c r="A1881" s="5"/>
      <c r="B1881" s="16" t="s">
        <v>1472</v>
      </c>
      <c r="C1881" s="22">
        <f>(2)*(1)*(1)*(1)*(1 + (0))</f>
      </c>
      <c r="D1881" s="22" t="s">
        <v>162</v>
      </c>
      <c r="E1881" s="22"/>
      <c r="F1881" s="22">
        <f>(0)</f>
      </c>
      <c r="G1881" s="22">
        <f>(C1881 * E1881 + C1881 * E1881 * F1881)</f>
      </c>
    </row>
    <row r="1882">
      <c r="A1882" s="5"/>
      <c r="B1882" s="16" t="s">
        <v>1473</v>
      </c>
      <c r="C1882" s="22">
        <f>(1)*(1)*(1)*(1)*(1 + (0))</f>
      </c>
      <c r="D1882" s="22" t="s">
        <v>162</v>
      </c>
      <c r="E1882" s="22"/>
      <c r="F1882" s="22">
        <f>(0)</f>
      </c>
      <c r="G1882" s="22">
        <f>(C1882 * E1882 + C1882 * E1882 * F1882)</f>
      </c>
    </row>
    <row r="1883">
      <c r="A1883" s="5"/>
      <c r="B1883" s="16" t="s">
        <v>1474</v>
      </c>
      <c r="C1883" s="22">
        <f>(4)*(1)*(1)*(1)*(1 + (0))</f>
      </c>
      <c r="D1883" s="22" t="s">
        <v>162</v>
      </c>
      <c r="E1883" s="22"/>
      <c r="F1883" s="22">
        <f>(0)</f>
      </c>
      <c r="G1883" s="22">
        <f>(C1883 * E1883 + C1883 * E1883 * F1883)</f>
      </c>
    </row>
    <row r="1884">
      <c r="A1884" s="5"/>
      <c r="B1884" s="16" t="s">
        <v>1475</v>
      </c>
      <c r="C1884" s="22">
        <f>(2)*(1)*(1)*(1)*(1 + (0))</f>
      </c>
      <c r="D1884" s="22" t="s">
        <v>162</v>
      </c>
      <c r="E1884" s="22"/>
      <c r="F1884" s="22">
        <f>(0)</f>
      </c>
      <c r="G1884" s="22">
        <f>(C1884 * E1884 + C1884 * E1884 * F1884)</f>
      </c>
    </row>
    <row r="1885">
      <c r="A1885" s="5"/>
      <c r="B1885" s="16" t="s">
        <v>1476</v>
      </c>
      <c r="C1885" s="22">
        <f>(6)*(1)*(1)*(1)*(1 + (0))</f>
      </c>
      <c r="D1885" s="22" t="s">
        <v>162</v>
      </c>
      <c r="E1885" s="22"/>
      <c r="F1885" s="22">
        <f>(0)</f>
      </c>
      <c r="G1885" s="22">
        <f>(C1885 * E1885 + C1885 * E1885 * F1885)</f>
      </c>
    </row>
    <row r="1886">
      <c r="A1886" s="5"/>
      <c r="B1886" s="16" t="s">
        <v>1477</v>
      </c>
      <c r="C1886" s="22">
        <f>(2)*(1)*(1)*(1)*(1 + (0))</f>
      </c>
      <c r="D1886" s="22" t="s">
        <v>162</v>
      </c>
      <c r="E1886" s="22"/>
      <c r="F1886" s="22">
        <f>(0)</f>
      </c>
      <c r="G1886" s="22">
        <f>(C1886 * E1886 + C1886 * E1886 * F1886)</f>
      </c>
    </row>
    <row r="1887">
      <c r="A1887" s="5"/>
      <c r="B1887" s="16" t="s">
        <v>1478</v>
      </c>
      <c r="C1887" s="22">
        <f>(1)*(1)*(1)*(1)*(1 + (0))</f>
      </c>
      <c r="D1887" s="22" t="s">
        <v>162</v>
      </c>
      <c r="E1887" s="22"/>
      <c r="F1887" s="22">
        <f>(0)</f>
      </c>
      <c r="G1887" s="22">
        <f>(C1887 * E1887 + C1887 * E1887 * F1887)</f>
      </c>
    </row>
    <row r="1888">
      <c r="A1888" s="6"/>
      <c r="B1888" s="15" t="s">
        <v>1479</v>
      </c>
      <c r="C1888" s="23"/>
      <c r="D1888" s="23"/>
      <c r="E1888" s="23"/>
      <c r="F1888" s="23"/>
      <c r="G1888" s="23"/>
    </row>
    <row r="1889">
      <c r="A1889" s="5"/>
      <c r="B1889" s="16" t="s">
        <v>1480</v>
      </c>
      <c r="C1889" s="22">
        <f>(2)*(1)*(1)*(1)*(1 + (0))</f>
      </c>
      <c r="D1889" s="22" t="s">
        <v>162</v>
      </c>
      <c r="E1889" s="22"/>
      <c r="F1889" s="22">
        <f>(0)</f>
      </c>
      <c r="G1889" s="22">
        <f>(C1889 * E1889 + C1889 * E1889 * F1889)</f>
      </c>
    </row>
    <row r="1890">
      <c r="A1890" s="5"/>
      <c r="B1890" s="16" t="s">
        <v>1481</v>
      </c>
      <c r="C1890" s="22">
        <f>(9)*(1)*(1)*(1)*(1 + (0))</f>
      </c>
      <c r="D1890" s="22" t="s">
        <v>162</v>
      </c>
      <c r="E1890" s="22"/>
      <c r="F1890" s="22">
        <f>(0)</f>
      </c>
      <c r="G1890" s="22">
        <f>(C1890 * E1890 + C1890 * E1890 * F1890)</f>
      </c>
    </row>
    <row r="1891">
      <c r="A1891" s="5"/>
      <c r="B1891" s="16" t="s">
        <v>1482</v>
      </c>
      <c r="C1891" s="22">
        <f>(9)*(1)*(1)*(1)*(1 + (0))</f>
      </c>
      <c r="D1891" s="22" t="s">
        <v>162</v>
      </c>
      <c r="E1891" s="22"/>
      <c r="F1891" s="22">
        <f>(0)</f>
      </c>
      <c r="G1891" s="22">
        <f>(C1891 * E1891 + C1891 * E1891 * F1891)</f>
      </c>
    </row>
    <row r="1892">
      <c r="A1892" s="5"/>
      <c r="B1892" s="16" t="s">
        <v>1483</v>
      </c>
      <c r="C1892" s="22">
        <f>(4)*(1)*(1)*(1)*(1 + (0))</f>
      </c>
      <c r="D1892" s="22" t="s">
        <v>162</v>
      </c>
      <c r="E1892" s="22"/>
      <c r="F1892" s="22">
        <f>(0)</f>
      </c>
      <c r="G1892" s="22">
        <f>(C1892 * E1892 + C1892 * E1892 * F1892)</f>
      </c>
    </row>
    <row r="1893">
      <c r="A1893" s="5"/>
      <c r="B1893" s="16" t="s">
        <v>1484</v>
      </c>
      <c r="C1893" s="22">
        <f>(5)*(1)*(1)*(1)*(1 + (0))</f>
      </c>
      <c r="D1893" s="22" t="s">
        <v>1217</v>
      </c>
      <c r="E1893" s="22"/>
      <c r="F1893" s="22">
        <f>(0)</f>
      </c>
      <c r="G1893" s="22">
        <f>(C1893 * E1893 + C1893 * E1893 * F1893)</f>
      </c>
    </row>
    <row r="1894">
      <c r="A1894" s="5"/>
      <c r="B1894" s="16" t="s">
        <v>1485</v>
      </c>
      <c r="C1894" s="22">
        <f>(1)*(1)*(1)*(1)*(1 + (0))</f>
      </c>
      <c r="D1894" s="22" t="s">
        <v>162</v>
      </c>
      <c r="E1894" s="22"/>
      <c r="F1894" s="22">
        <f>(0)</f>
      </c>
      <c r="G1894" s="22">
        <f>(C1894 * E1894 + C1894 * E1894 * F1894)</f>
      </c>
    </row>
    <row r="1895">
      <c r="A1895" s="5"/>
      <c r="B1895" s="16" t="s">
        <v>1486</v>
      </c>
      <c r="C1895" s="22">
        <f>(12)*(1)*(1)*(1)*(1 + (0))</f>
      </c>
      <c r="D1895" s="22" t="s">
        <v>162</v>
      </c>
      <c r="E1895" s="22"/>
      <c r="F1895" s="22">
        <f>(0)</f>
      </c>
      <c r="G1895" s="22">
        <f>(C1895 * E1895 + C1895 * E1895 * F1895)</f>
      </c>
    </row>
    <row r="1896">
      <c r="A1896" s="5"/>
      <c r="B1896" s="16" t="s">
        <v>1487</v>
      </c>
      <c r="C1896" s="22">
        <f>(6)*(1)*(1)*(1)*(1 + (0))</f>
      </c>
      <c r="D1896" s="22" t="s">
        <v>162</v>
      </c>
      <c r="E1896" s="22"/>
      <c r="F1896" s="22">
        <f>(0)</f>
      </c>
      <c r="G1896" s="22">
        <f>(C1896 * E1896 + C1896 * E1896 * F1896)</f>
      </c>
    </row>
    <row r="1897">
      <c r="A1897" s="5"/>
      <c r="B1897" s="16" t="s">
        <v>1488</v>
      </c>
      <c r="C1897" s="22">
        <f>(1)*(1)*(1)*(1)*(1 + (0))</f>
      </c>
      <c r="D1897" s="22" t="s">
        <v>162</v>
      </c>
      <c r="E1897" s="22"/>
      <c r="F1897" s="22">
        <f>(0)</f>
      </c>
      <c r="G1897" s="22">
        <f>(C1897 * E1897 + C1897 * E1897 * F1897)</f>
      </c>
    </row>
    <row r="1898">
      <c r="A1898" s="6"/>
      <c r="B1898" s="15" t="s">
        <v>1489</v>
      </c>
      <c r="C1898" s="23"/>
      <c r="D1898" s="23"/>
      <c r="E1898" s="23"/>
      <c r="F1898" s="23"/>
      <c r="G1898" s="23"/>
    </row>
    <row r="1899">
      <c r="A1899" s="5"/>
      <c r="B1899" s="16" t="s">
        <v>1490</v>
      </c>
      <c r="C1899" s="22">
        <f>(10)*(1)*(1)*(1)*(1 + (0))</f>
      </c>
      <c r="D1899" s="22" t="s">
        <v>162</v>
      </c>
      <c r="E1899" s="22"/>
      <c r="F1899" s="22">
        <f>(0)</f>
      </c>
      <c r="G1899" s="22">
        <f>(C1899 * E1899 + C1899 * E1899 * F1899)</f>
      </c>
    </row>
    <row r="1900">
      <c r="A1900" s="5"/>
      <c r="B1900" s="16" t="s">
        <v>1491</v>
      </c>
      <c r="C1900" s="22">
        <f>(6)*(1)*(1)*(1)*(1 + (0))</f>
      </c>
      <c r="D1900" s="22" t="s">
        <v>162</v>
      </c>
      <c r="E1900" s="22"/>
      <c r="F1900" s="22">
        <f>(0)</f>
      </c>
      <c r="G1900" s="22">
        <f>(C1900 * E1900 + C1900 * E1900 * F1900)</f>
      </c>
    </row>
    <row r="1901">
      <c r="A1901" s="5"/>
      <c r="B1901" s="16" t="s">
        <v>1492</v>
      </c>
      <c r="C1901" s="22">
        <f>(7)*(1)*(1)*(1)*(1 + (0))</f>
      </c>
      <c r="D1901" s="22" t="s">
        <v>162</v>
      </c>
      <c r="E1901" s="22"/>
      <c r="F1901" s="22">
        <f>(0)</f>
      </c>
      <c r="G1901" s="22">
        <f>(C1901 * E1901 + C1901 * E1901 * F1901)</f>
      </c>
    </row>
    <row r="1902">
      <c r="A1902" s="6"/>
      <c r="B1902" s="15" t="s">
        <v>1493</v>
      </c>
      <c r="C1902" s="23"/>
      <c r="D1902" s="23"/>
      <c r="E1902" s="23"/>
      <c r="F1902" s="23"/>
      <c r="G1902" s="23"/>
    </row>
    <row r="1903">
      <c r="A1903" s="5"/>
      <c r="B1903" s="16" t="s">
        <v>1494</v>
      </c>
      <c r="C1903" s="22">
        <f>(2)*(1)*(1)*(1)*(1 + (0))</f>
      </c>
      <c r="D1903" s="22" t="s">
        <v>162</v>
      </c>
      <c r="E1903" s="22"/>
      <c r="F1903" s="22">
        <f>(0)</f>
      </c>
      <c r="G1903" s="22">
        <f>(C1903 * E1903 + C1903 * E1903 * F1903)</f>
      </c>
    </row>
    <row r="1904">
      <c r="A1904" s="5"/>
      <c r="B1904" s="16" t="s">
        <v>1495</v>
      </c>
      <c r="C1904" s="22">
        <f>(2)*(1)*(1)*(1)*(1 + (0))</f>
      </c>
      <c r="D1904" s="22" t="s">
        <v>162</v>
      </c>
      <c r="E1904" s="22"/>
      <c r="F1904" s="22">
        <f>(0)</f>
      </c>
      <c r="G1904" s="22">
        <f>(C1904 * E1904 + C1904 * E1904 * F1904)</f>
      </c>
    </row>
    <row r="1905">
      <c r="A1905" s="6"/>
      <c r="B1905" s="15" t="s">
        <v>1496</v>
      </c>
      <c r="C1905" s="23"/>
      <c r="D1905" s="23"/>
      <c r="E1905" s="23"/>
      <c r="F1905" s="23"/>
      <c r="G1905" s="23"/>
    </row>
    <row r="1906">
      <c r="A1906" s="5"/>
      <c r="B1906" s="16" t="s">
        <v>1497</v>
      </c>
      <c r="C1906" s="22">
        <f>(23)*(1)*(1)*(1)*(1 + (0))</f>
      </c>
      <c r="D1906" s="22" t="s">
        <v>162</v>
      </c>
      <c r="E1906" s="22"/>
      <c r="F1906" s="22">
        <f>(0)</f>
      </c>
      <c r="G1906" s="22">
        <f>(C1906 * E1906 + C1906 * E1906 * F1906)</f>
      </c>
    </row>
    <row r="1907">
      <c r="A1907" s="5"/>
      <c r="B1907" s="16" t="s">
        <v>1498</v>
      </c>
      <c r="C1907" s="22">
        <f>(3)*(1)*(1)*(1)*(1 + (0))</f>
      </c>
      <c r="D1907" s="22" t="s">
        <v>162</v>
      </c>
      <c r="E1907" s="22"/>
      <c r="F1907" s="22">
        <f>(0)</f>
      </c>
      <c r="G1907" s="22">
        <f>(C1907 * E1907 + C1907 * E1907 * F1907)</f>
      </c>
    </row>
    <row r="1908">
      <c r="A1908" s="4"/>
      <c r="B1908" s="12" t="s">
        <v>1499</v>
      </c>
      <c r="C1908" s="21"/>
      <c r="D1908" s="21"/>
      <c r="E1908" s="21"/>
      <c r="F1908" s="21"/>
      <c r="G1908" s="21"/>
    </row>
    <row r="1909">
      <c r="A1909" s="6"/>
      <c r="B1909" s="15" t="s">
        <v>1500</v>
      </c>
      <c r="C1909" s="23"/>
      <c r="D1909" s="23"/>
      <c r="E1909" s="23"/>
      <c r="F1909" s="23"/>
      <c r="G1909" s="23"/>
    </row>
    <row r="1910">
      <c r="A1910" s="5"/>
      <c r="B1910" s="16" t="s">
        <v>1501</v>
      </c>
      <c r="C1910" s="22">
        <f>(14)*(1)*(1)*(1)*(1 + (0))</f>
      </c>
      <c r="D1910" s="22" t="s">
        <v>162</v>
      </c>
      <c r="E1910" s="22"/>
      <c r="F1910" s="22">
        <f>(0)</f>
      </c>
      <c r="G1910" s="22">
        <f>(C1910 * E1910 + C1910 * E1910 * F1910)</f>
      </c>
    </row>
    <row r="1911">
      <c r="A1911" s="5"/>
      <c r="B1911" s="16" t="s">
        <v>1502</v>
      </c>
      <c r="C1911" s="22">
        <f>(9)*(1)*(1)*(1)*(1 + (0))</f>
      </c>
      <c r="D1911" s="22" t="s">
        <v>162</v>
      </c>
      <c r="E1911" s="22"/>
      <c r="F1911" s="22">
        <f>(0)</f>
      </c>
      <c r="G1911" s="22">
        <f>(C1911 * E1911 + C1911 * E1911 * F1911)</f>
      </c>
    </row>
    <row r="1912">
      <c r="A1912" s="5"/>
      <c r="B1912" s="16" t="s">
        <v>1503</v>
      </c>
      <c r="C1912" s="22">
        <f>(20)*(1)*(1)*(1)*(1 + (0))</f>
      </c>
      <c r="D1912" s="22" t="s">
        <v>162</v>
      </c>
      <c r="E1912" s="22"/>
      <c r="F1912" s="22">
        <f>(0)</f>
      </c>
      <c r="G1912" s="22">
        <f>(C1912 * E1912 + C1912 * E1912 * F1912)</f>
      </c>
    </row>
    <row r="1913">
      <c r="A1913" s="5"/>
      <c r="B1913" s="16" t="s">
        <v>1504</v>
      </c>
      <c r="C1913" s="22">
        <f>(23)*(1)*(1)*(1)*(1 + (0))</f>
      </c>
      <c r="D1913" s="22" t="s">
        <v>162</v>
      </c>
      <c r="E1913" s="22"/>
      <c r="F1913" s="22">
        <f>(0)</f>
      </c>
      <c r="G1913" s="22">
        <f>(C1913 * E1913 + C1913 * E1913 * F1913)</f>
      </c>
    </row>
    <row r="1914">
      <c r="A1914" s="5"/>
      <c r="B1914" s="16" t="s">
        <v>1505</v>
      </c>
      <c r="C1914" s="22">
        <f>(2)*(1)*(1)*(1)*(1 + (0))</f>
      </c>
      <c r="D1914" s="22" t="s">
        <v>162</v>
      </c>
      <c r="E1914" s="22"/>
      <c r="F1914" s="22">
        <f>(0)</f>
      </c>
      <c r="G1914" s="22">
        <f>(C1914 * E1914 + C1914 * E1914 * F1914)</f>
      </c>
    </row>
    <row r="1915">
      <c r="A1915" s="5"/>
      <c r="B1915" s="16" t="s">
        <v>1506</v>
      </c>
      <c r="C1915" s="22">
        <f>(2)*(1)*(1)*(1)*(1 + (0))</f>
      </c>
      <c r="D1915" s="22" t="s">
        <v>162</v>
      </c>
      <c r="E1915" s="22"/>
      <c r="F1915" s="22">
        <f>(0)</f>
      </c>
      <c r="G1915" s="22">
        <f>(C1915 * E1915 + C1915 * E1915 * F1915)</f>
      </c>
    </row>
    <row r="1916">
      <c r="A1916" s="6"/>
      <c r="B1916" s="15" t="s">
        <v>1507</v>
      </c>
      <c r="C1916" s="23"/>
      <c r="D1916" s="23"/>
      <c r="E1916" s="23"/>
      <c r="F1916" s="23"/>
      <c r="G1916" s="23"/>
    </row>
    <row r="1917">
      <c r="A1917" s="5"/>
      <c r="B1917" s="16" t="s">
        <v>1508</v>
      </c>
      <c r="C1917" s="22">
        <f>(3)*(1)*(1)*(1)*(1 + (0))</f>
      </c>
      <c r="D1917" s="22" t="s">
        <v>162</v>
      </c>
      <c r="E1917" s="22"/>
      <c r="F1917" s="22">
        <f>(0)</f>
      </c>
      <c r="G1917" s="22">
        <f>(C1917 * E1917 + C1917 * E1917 * F1917)</f>
      </c>
    </row>
    <row r="1918">
      <c r="A1918" s="5"/>
      <c r="B1918" s="16" t="s">
        <v>1509</v>
      </c>
      <c r="C1918" s="22">
        <f>(4)*(1)*(1)*(1)*(1 + (0))</f>
      </c>
      <c r="D1918" s="22" t="s">
        <v>162</v>
      </c>
      <c r="E1918" s="22"/>
      <c r="F1918" s="22">
        <f>(0)</f>
      </c>
      <c r="G1918" s="22">
        <f>(C1918 * E1918 + C1918 * E1918 * F1918)</f>
      </c>
    </row>
    <row r="1919">
      <c r="A1919" s="5"/>
      <c r="B1919" s="16" t="s">
        <v>1510</v>
      </c>
      <c r="C1919" s="22">
        <f>(6)*(1)*(1)*(1)*(1 + (0))</f>
      </c>
      <c r="D1919" s="22" t="s">
        <v>162</v>
      </c>
      <c r="E1919" s="22"/>
      <c r="F1919" s="22">
        <f>(0)</f>
      </c>
      <c r="G1919" s="22">
        <f>(C1919 * E1919 + C1919 * E1919 * F1919)</f>
      </c>
    </row>
    <row r="1920">
      <c r="A1920" s="6"/>
      <c r="B1920" s="15" t="s">
        <v>1511</v>
      </c>
      <c r="C1920" s="23"/>
      <c r="D1920" s="23"/>
      <c r="E1920" s="23"/>
      <c r="F1920" s="23"/>
      <c r="G1920" s="23"/>
    </row>
    <row r="1921">
      <c r="A1921" s="5"/>
      <c r="B1921" s="16" t="s">
        <v>1512</v>
      </c>
      <c r="C1921" s="22">
        <f>(2)*(1)*(1)*(1)*(1 + (0))</f>
      </c>
      <c r="D1921" s="22" t="s">
        <v>162</v>
      </c>
      <c r="E1921" s="22"/>
      <c r="F1921" s="22">
        <f>(0)</f>
      </c>
      <c r="G1921" s="22">
        <f>(C1921 * E1921 + C1921 * E1921 * F1921)</f>
      </c>
    </row>
    <row r="1922">
      <c r="A1922" s="5"/>
      <c r="B1922" s="16" t="s">
        <v>1513</v>
      </c>
      <c r="C1922" s="22">
        <f>(14)*(1)*(1)*(1)*(1 + (0))</f>
      </c>
      <c r="D1922" s="22" t="s">
        <v>162</v>
      </c>
      <c r="E1922" s="22"/>
      <c r="F1922" s="22">
        <f>(0)</f>
      </c>
      <c r="G1922" s="22">
        <f>(C1922 * E1922 + C1922 * E1922 * F1922)</f>
      </c>
    </row>
    <row r="1923">
      <c r="A1923" s="5"/>
      <c r="B1923" s="16" t="s">
        <v>1514</v>
      </c>
      <c r="C1923" s="22">
        <f>(4)*(1)*(1)*(1)*(1 + (0))</f>
      </c>
      <c r="D1923" s="22" t="s">
        <v>162</v>
      </c>
      <c r="E1923" s="22"/>
      <c r="F1923" s="22">
        <f>(0)</f>
      </c>
      <c r="G1923" s="22">
        <f>(C1923 * E1923 + C1923 * E1923 * F1923)</f>
      </c>
    </row>
    <row r="1924">
      <c r="A1924" s="5"/>
      <c r="B1924" s="16" t="s">
        <v>1515</v>
      </c>
      <c r="C1924" s="22">
        <f>(6)*(1)*(1)*(1)*(1 + (0))</f>
      </c>
      <c r="D1924" s="22" t="s">
        <v>162</v>
      </c>
      <c r="E1924" s="22"/>
      <c r="F1924" s="22">
        <f>(0)</f>
      </c>
      <c r="G1924" s="22">
        <f>(C1924 * E1924 + C1924 * E1924 * F1924)</f>
      </c>
    </row>
    <row r="1925">
      <c r="A1925" s="6"/>
      <c r="B1925" s="15" t="s">
        <v>1516</v>
      </c>
      <c r="C1925" s="23"/>
      <c r="D1925" s="23"/>
      <c r="E1925" s="23"/>
      <c r="F1925" s="23"/>
      <c r="G1925" s="23"/>
    </row>
    <row r="1926">
      <c r="A1926" s="5"/>
      <c r="B1926" s="16" t="s">
        <v>1517</v>
      </c>
      <c r="C1926" s="22">
        <f>(4)*(1)*(1)*(1)*(1 + (0))</f>
      </c>
      <c r="D1926" s="22" t="s">
        <v>162</v>
      </c>
      <c r="E1926" s="22"/>
      <c r="F1926" s="22">
        <f>(0)</f>
      </c>
      <c r="G1926" s="22">
        <f>(C1926 * E1926 + C1926 * E1926 * F1926)</f>
      </c>
    </row>
    <row r="1927">
      <c r="A1927" s="5"/>
      <c r="B1927" s="16" t="s">
        <v>1518</v>
      </c>
      <c r="C1927" s="22">
        <f>(22)*(1)*(1)*(1)*(1 + (0))</f>
      </c>
      <c r="D1927" s="22" t="s">
        <v>162</v>
      </c>
      <c r="E1927" s="22"/>
      <c r="F1927" s="22">
        <f>(0)</f>
      </c>
      <c r="G1927" s="22">
        <f>(C1927 * E1927 + C1927 * E1927 * F1927)</f>
      </c>
    </row>
    <row r="1928">
      <c r="A1928" s="5"/>
      <c r="B1928" s="16" t="s">
        <v>1519</v>
      </c>
      <c r="C1928" s="22">
        <f>(9)*(1)*(1)*(1)*(1 + (0))</f>
      </c>
      <c r="D1928" s="22" t="s">
        <v>162</v>
      </c>
      <c r="E1928" s="22"/>
      <c r="F1928" s="22">
        <f>(0)</f>
      </c>
      <c r="G1928" s="22">
        <f>(C1928 * E1928 + C1928 * E1928 * F1928)</f>
      </c>
    </row>
    <row r="1929">
      <c r="A1929" s="6"/>
      <c r="B1929" s="15" t="s">
        <v>1520</v>
      </c>
      <c r="C1929" s="23"/>
      <c r="D1929" s="23"/>
      <c r="E1929" s="23"/>
      <c r="F1929" s="23"/>
      <c r="G1929" s="23"/>
    </row>
    <row r="1930">
      <c r="A1930" s="5"/>
      <c r="B1930" s="16" t="s">
        <v>1521</v>
      </c>
      <c r="C1930" s="22">
        <f>(2)*(1)*(1)*(1)*(1 + (0))</f>
      </c>
      <c r="D1930" s="22" t="s">
        <v>162</v>
      </c>
      <c r="E1930" s="22"/>
      <c r="F1930" s="22">
        <f>(0)</f>
      </c>
      <c r="G1930" s="22">
        <f>(C1930 * E1930 + C1930 * E1930 * F1930)</f>
      </c>
    </row>
    <row r="1931">
      <c r="A1931" s="5"/>
      <c r="B1931" s="16" t="s">
        <v>1522</v>
      </c>
      <c r="C1931" s="22">
        <f>(2)*(1)*(1)*(1)*(1 + (0))</f>
      </c>
      <c r="D1931" s="22" t="s">
        <v>162</v>
      </c>
      <c r="E1931" s="22"/>
      <c r="F1931" s="22">
        <f>(0)</f>
      </c>
      <c r="G1931" s="22">
        <f>(C1931 * E1931 + C1931 * E1931 * F1931)</f>
      </c>
    </row>
    <row r="1932">
      <c r="A1932" s="6"/>
      <c r="B1932" s="15" t="s">
        <v>1523</v>
      </c>
      <c r="C1932" s="23"/>
      <c r="D1932" s="23"/>
      <c r="E1932" s="23"/>
      <c r="F1932" s="23"/>
      <c r="G1932" s="23"/>
    </row>
    <row r="1933">
      <c r="A1933" s="5"/>
      <c r="B1933" s="16" t="s">
        <v>1524</v>
      </c>
      <c r="C1933" s="22">
        <f>(10)*(1)*(1)*(1)*(1 + (0))</f>
      </c>
      <c r="D1933" s="22" t="s">
        <v>162</v>
      </c>
      <c r="E1933" s="22"/>
      <c r="F1933" s="22">
        <f>(0)</f>
      </c>
      <c r="G1933" s="22">
        <f>(C1933 * E1933 + C1933 * E1933 * F1933)</f>
      </c>
    </row>
    <row r="1934">
      <c r="A1934" s="5"/>
      <c r="B1934" s="16" t="s">
        <v>1525</v>
      </c>
      <c r="C1934" s="22">
        <f>(2)*(1)*(1)*(1)*(1 + (0))</f>
      </c>
      <c r="D1934" s="22" t="s">
        <v>162</v>
      </c>
      <c r="E1934" s="22"/>
      <c r="F1934" s="22">
        <f>(0)</f>
      </c>
      <c r="G1934" s="22">
        <f>(C1934 * E1934 + C1934 * E1934 * F1934)</f>
      </c>
    </row>
    <row r="1935">
      <c r="A1935" s="5"/>
      <c r="B1935" s="16" t="s">
        <v>1526</v>
      </c>
      <c r="C1935" s="22">
        <f>(2)*(1)*(1)*(1)*(1 + (0))</f>
      </c>
      <c r="D1935" s="22" t="s">
        <v>162</v>
      </c>
      <c r="E1935" s="22"/>
      <c r="F1935" s="22">
        <f>(0)</f>
      </c>
      <c r="G1935" s="22">
        <f>(C1935 * E1935 + C1935 * E1935 * F1935)</f>
      </c>
    </row>
    <row r="1936">
      <c r="A1936" s="4"/>
      <c r="B1936" s="12" t="s">
        <v>1527</v>
      </c>
      <c r="C1936" s="21"/>
      <c r="D1936" s="21"/>
      <c r="E1936" s="21"/>
      <c r="F1936" s="21"/>
      <c r="G1936" s="21"/>
    </row>
    <row r="1937">
      <c r="A1937" s="5"/>
      <c r="B1937" s="13" t="s">
        <v>1528</v>
      </c>
      <c r="C1937" s="22">
        <f>(3)*(1)*(1)*(1)*(1 + (0))</f>
      </c>
      <c r="D1937" s="22" t="s">
        <v>162</v>
      </c>
      <c r="E1937" s="22"/>
      <c r="F1937" s="22">
        <f>(0)</f>
      </c>
      <c r="G1937" s="22">
        <f>(C1937 * E1937 + C1937 * E1937 * F1937)</f>
      </c>
    </row>
    <row r="1938">
      <c r="A1938" s="5"/>
      <c r="B1938" s="13" t="s">
        <v>1529</v>
      </c>
      <c r="C1938" s="22">
        <f>(1)*(1)*(1)*(1)*(1 + (0))</f>
      </c>
      <c r="D1938" s="22" t="s">
        <v>162</v>
      </c>
      <c r="E1938" s="22"/>
      <c r="F1938" s="22">
        <f>(0)</f>
      </c>
      <c r="G1938" s="22">
        <f>(C1938 * E1938 + C1938 * E1938 * F1938)</f>
      </c>
    </row>
    <row r="1939">
      <c r="A1939" s="5"/>
      <c r="B1939" s="13" t="s">
        <v>1530</v>
      </c>
      <c r="C1939" s="22">
        <f>(1)*(1)*(1)*(1)*(1 + (0))</f>
      </c>
      <c r="D1939" s="22" t="s">
        <v>162</v>
      </c>
      <c r="E1939" s="22"/>
      <c r="F1939" s="22">
        <f>(0)</f>
      </c>
      <c r="G1939" s="22">
        <f>(C1939 * E1939 + C1939 * E1939 * F1939)</f>
      </c>
    </row>
    <row r="1940">
      <c r="A1940" s="5"/>
      <c r="B1940" s="13" t="s">
        <v>1531</v>
      </c>
      <c r="C1940" s="22">
        <f>(2)*(1)*(1)*(1)*(1 + (0))</f>
      </c>
      <c r="D1940" s="22" t="s">
        <v>162</v>
      </c>
      <c r="E1940" s="22"/>
      <c r="F1940" s="22">
        <f>(0)</f>
      </c>
      <c r="G1940" s="22">
        <f>(C1940 * E1940 + C1940 * E1940 * F1940)</f>
      </c>
    </row>
    <row r="1941">
      <c r="A1941" s="5"/>
      <c r="B1941" s="13" t="s">
        <v>1532</v>
      </c>
      <c r="C1941" s="22">
        <f>(1)*(1)*(1)*(1)*(1 + (0))</f>
      </c>
      <c r="D1941" s="22" t="s">
        <v>162</v>
      </c>
      <c r="E1941" s="22"/>
      <c r="F1941" s="22">
        <f>(0)</f>
      </c>
      <c r="G1941" s="22">
        <f>(C1941 * E1941 + C1941 * E1941 * F1941)</f>
      </c>
    </row>
    <row r="1942">
      <c r="A1942" s="2"/>
      <c r="B1942" s="10" t="s">
        <v>1533</v>
      </c>
      <c r="C1942" s="19"/>
      <c r="D1942" s="19"/>
      <c r="E1942" s="19"/>
      <c r="F1942" s="19"/>
      <c r="G1942" s="19"/>
    </row>
    <row r="1943">
      <c r="A1943" s="3"/>
      <c r="B1943" s="11" t="s">
        <v>37</v>
      </c>
      <c r="C1943" s="20"/>
      <c r="D1943" s="20"/>
      <c r="E1943" s="20"/>
      <c r="F1943" s="20"/>
      <c r="G1943" s="20"/>
    </row>
    <row r="1944">
      <c r="A1944" s="5" t="s">
        <v>1285</v>
      </c>
      <c r="B1944" s="14" t="s">
        <v>39</v>
      </c>
      <c r="C1944" s="22"/>
      <c r="D1944" s="22" t="s">
        <v>10</v>
      </c>
      <c r="E1944" s="22"/>
      <c r="F1944" s="22">
        <f>(0)</f>
      </c>
      <c r="G1944" s="22">
        <f>(C1944 * E1944 + C1944 * E1944 * F1944)</f>
      </c>
    </row>
    <row r="1945">
      <c r="A1945" s="5" t="s">
        <v>1286</v>
      </c>
      <c r="B1945" s="14" t="s">
        <v>41</v>
      </c>
      <c r="C1945" s="22"/>
      <c r="D1945" s="22" t="s">
        <v>10</v>
      </c>
      <c r="E1945" s="22"/>
      <c r="F1945" s="22">
        <f>(0)</f>
      </c>
      <c r="G1945" s="22">
        <f>(C1945 * E1945 + C1945 * E1945 * F1945)</f>
      </c>
    </row>
    <row r="1946">
      <c r="A1946" s="3"/>
      <c r="B1946" s="11" t="s">
        <v>42</v>
      </c>
      <c r="C1946" s="20"/>
      <c r="D1946" s="20"/>
      <c r="E1946" s="20"/>
      <c r="F1946" s="20"/>
      <c r="G1946" s="20"/>
    </row>
    <row r="1947">
      <c r="A1947" s="5"/>
      <c r="B1947" s="14" t="s">
        <v>1287</v>
      </c>
      <c r="C1947" s="22"/>
      <c r="D1947" s="22" t="s">
        <v>10</v>
      </c>
      <c r="E1947" s="22"/>
      <c r="F1947" s="22">
        <f>(0)</f>
      </c>
      <c r="G1947" s="22">
        <f>(C1947 * E1947 + C1947 * E1947 * F1947)</f>
      </c>
    </row>
    <row r="1948">
      <c r="A1948" s="5"/>
      <c r="B1948" s="14" t="s">
        <v>1288</v>
      </c>
      <c r="C1948" s="22"/>
      <c r="D1948" s="22" t="s">
        <v>10</v>
      </c>
      <c r="E1948" s="22"/>
      <c r="F1948" s="22">
        <f>(0)</f>
      </c>
      <c r="G1948" s="22">
        <f>(C1948 * E1948 + C1948 * E1948 * F1948)</f>
      </c>
    </row>
    <row r="1949">
      <c r="A1949" s="5"/>
      <c r="B1949" s="14" t="s">
        <v>1289</v>
      </c>
      <c r="C1949" s="22"/>
      <c r="D1949" s="22" t="s">
        <v>10</v>
      </c>
      <c r="E1949" s="22"/>
      <c r="F1949" s="22">
        <f>(0)</f>
      </c>
      <c r="G1949" s="22">
        <f>(C1949 * E1949 + C1949 * E1949 * F1949)</f>
      </c>
    </row>
    <row r="1950">
      <c r="A1950" s="5"/>
      <c r="B1950" s="14" t="s">
        <v>1290</v>
      </c>
      <c r="C1950" s="22"/>
      <c r="D1950" s="22" t="s">
        <v>10</v>
      </c>
      <c r="E1950" s="22"/>
      <c r="F1950" s="22">
        <f>(0)</f>
      </c>
      <c r="G1950" s="22">
        <f>(C1950 * E1950 + C1950 * E1950 * F1950)</f>
      </c>
    </row>
    <row r="1951">
      <c r="A1951" s="3"/>
      <c r="B1951" s="11" t="s">
        <v>44</v>
      </c>
      <c r="C1951" s="20"/>
      <c r="D1951" s="20"/>
      <c r="E1951" s="20"/>
      <c r="F1951" s="20"/>
      <c r="G1951" s="20"/>
    </row>
    <row r="1952">
      <c r="A1952" s="4"/>
      <c r="B1952" s="12" t="s">
        <v>45</v>
      </c>
      <c r="C1952" s="21"/>
      <c r="D1952" s="21"/>
      <c r="E1952" s="21"/>
      <c r="F1952" s="21"/>
      <c r="G1952" s="21"/>
    </row>
    <row r="1953">
      <c r="A1953" s="5" t="s">
        <v>1291</v>
      </c>
      <c r="B1953" s="13" t="s">
        <v>767</v>
      </c>
      <c r="C1953" s="22"/>
      <c r="D1953" s="22" t="s">
        <v>10</v>
      </c>
      <c r="E1953" s="22"/>
      <c r="F1953" s="22">
        <f>(0)</f>
      </c>
      <c r="G1953" s="22">
        <f>(C1953 * E1953 + C1953 * E1953 * F1953)</f>
      </c>
    </row>
    <row r="1954">
      <c r="A1954" s="5" t="s">
        <v>1292</v>
      </c>
      <c r="B1954" s="13" t="s">
        <v>123</v>
      </c>
      <c r="C1954" s="22"/>
      <c r="D1954" s="22" t="s">
        <v>10</v>
      </c>
      <c r="E1954" s="22"/>
      <c r="F1954" s="22">
        <f>(0)</f>
      </c>
      <c r="G1954" s="22">
        <f>(C1954 * E1954 + C1954 * E1954 * F1954)</f>
      </c>
    </row>
    <row r="1955">
      <c r="A1955" s="3"/>
      <c r="B1955" s="11" t="s">
        <v>68</v>
      </c>
      <c r="C1955" s="20"/>
      <c r="D1955" s="20"/>
      <c r="E1955" s="20"/>
      <c r="F1955" s="20"/>
      <c r="G1955" s="20"/>
    </row>
    <row r="1956">
      <c r="A1956" s="5" t="s">
        <v>1293</v>
      </c>
      <c r="B1956" s="14" t="s">
        <v>230</v>
      </c>
      <c r="C1956" s="22">
        <f>(1)*(1)*(1)*(1)*(1 + (0))</f>
      </c>
      <c r="D1956" s="22" t="s">
        <v>71</v>
      </c>
      <c r="E1956" s="22"/>
      <c r="F1956" s="22">
        <f>(0)</f>
      </c>
      <c r="G1956" s="22">
        <f>(C1956 * E1956 + C1956 * E1956 * F1956)</f>
      </c>
    </row>
    <row r="1957">
      <c r="A1957" s="5" t="s">
        <v>1294</v>
      </c>
      <c r="B1957" s="14" t="s">
        <v>70</v>
      </c>
      <c r="C1957" s="22">
        <f>(1)*(1)*(1)*(1)*(1 + (0))</f>
      </c>
      <c r="D1957" s="22" t="s">
        <v>71</v>
      </c>
      <c r="E1957" s="22"/>
      <c r="F1957" s="22">
        <f>(0)</f>
      </c>
      <c r="G1957" s="22">
        <f>(C1957 * E1957 + C1957 * E1957 * F1957)</f>
      </c>
    </row>
    <row r="1958">
      <c r="A1958" s="5" t="s">
        <v>1295</v>
      </c>
      <c r="B1958" s="14" t="s">
        <v>906</v>
      </c>
      <c r="C1958" s="22">
        <f>(1)*(1)*(1)*(1)*(1 + (0))</f>
      </c>
      <c r="D1958" s="22" t="s">
        <v>71</v>
      </c>
      <c r="E1958" s="22"/>
      <c r="F1958" s="22">
        <f>(0)</f>
      </c>
      <c r="G1958" s="22">
        <f>(C1958 * E1958 + C1958 * E1958 * F1958)</f>
      </c>
    </row>
    <row r="1959">
      <c r="A1959" s="5" t="s">
        <v>1296</v>
      </c>
      <c r="B1959" s="14" t="s">
        <v>665</v>
      </c>
      <c r="C1959" s="22">
        <f>(1)*(1)*(1)*(1)*(1 + (0))</f>
      </c>
      <c r="D1959" s="22" t="s">
        <v>71</v>
      </c>
      <c r="E1959" s="22"/>
      <c r="F1959" s="22">
        <f>(0)</f>
      </c>
      <c r="G1959" s="22">
        <f>(C1959 * E1959 + C1959 * E1959 * F1959)</f>
      </c>
    </row>
    <row r="1960">
      <c r="A1960" s="3"/>
      <c r="B1960" s="11" t="s">
        <v>106</v>
      </c>
      <c r="C1960" s="20"/>
      <c r="D1960" s="20"/>
      <c r="E1960" s="20"/>
      <c r="F1960" s="20"/>
      <c r="G1960" s="20"/>
    </row>
    <row r="1961">
      <c r="A1961" s="5"/>
      <c r="B1961" s="14" t="s">
        <v>1455</v>
      </c>
      <c r="C1961" s="22"/>
      <c r="D1961" s="22" t="s">
        <v>1335</v>
      </c>
      <c r="E1961" s="22"/>
      <c r="F1961" s="22">
        <f>(0)</f>
      </c>
      <c r="G1961" s="22">
        <f>(C1961 * E1961 + C1961 * E1961 * F1961)</f>
      </c>
    </row>
    <row r="1962">
      <c r="A1962" s="3"/>
      <c r="B1962" s="11" t="s">
        <v>1534</v>
      </c>
      <c r="C1962" s="20"/>
      <c r="D1962" s="20"/>
      <c r="E1962" s="20"/>
      <c r="F1962" s="20"/>
      <c r="G1962" s="20"/>
    </row>
    <row r="1963">
      <c r="A1963" s="4"/>
      <c r="B1963" s="12" t="s">
        <v>1461</v>
      </c>
      <c r="C1963" s="21"/>
      <c r="D1963" s="21"/>
      <c r="E1963" s="21"/>
      <c r="F1963" s="21"/>
      <c r="G1963" s="21"/>
    </row>
    <row r="1964">
      <c r="A1964" s="6"/>
      <c r="B1964" s="15" t="s">
        <v>1535</v>
      </c>
      <c r="C1964" s="23"/>
      <c r="D1964" s="23"/>
      <c r="E1964" s="23"/>
      <c r="F1964" s="23"/>
      <c r="G1964" s="23"/>
    </row>
    <row r="1965">
      <c r="A1965" s="5"/>
      <c r="B1965" s="16" t="s">
        <v>1536</v>
      </c>
      <c r="C1965" s="22">
        <f>(440)*(1)*(1)*(1)*(1 + (0))</f>
      </c>
      <c r="D1965" s="22" t="s">
        <v>162</v>
      </c>
      <c r="E1965" s="22"/>
      <c r="F1965" s="22">
        <f>(0)</f>
      </c>
      <c r="G1965" s="22">
        <f>(C1965 * E1965 + C1965 * E1965 * F1965)</f>
      </c>
    </row>
    <row r="1966">
      <c r="A1966" s="5"/>
      <c r="B1966" s="16" t="s">
        <v>1537</v>
      </c>
      <c r="C1966" s="22">
        <f>(32)*(1)*(1)*(1)*(1 + (0))</f>
      </c>
      <c r="D1966" s="22" t="s">
        <v>1217</v>
      </c>
      <c r="E1966" s="22"/>
      <c r="F1966" s="22">
        <f>(0)</f>
      </c>
      <c r="G1966" s="22">
        <f>(C1966 * E1966 + C1966 * E1966 * F1966)</f>
      </c>
    </row>
    <row r="1967">
      <c r="A1967" s="5"/>
      <c r="B1967" s="16" t="s">
        <v>1538</v>
      </c>
      <c r="C1967" s="22">
        <f>(68)*(1)*(1)*(1)*(1 + (0))</f>
      </c>
      <c r="D1967" s="22" t="s">
        <v>1217</v>
      </c>
      <c r="E1967" s="22"/>
      <c r="F1967" s="22">
        <f>(0)</f>
      </c>
      <c r="G1967" s="22">
        <f>(C1967 * E1967 + C1967 * E1967 * F1967)</f>
      </c>
    </row>
    <row r="1968">
      <c r="A1968" s="5"/>
      <c r="B1968" s="16" t="s">
        <v>1539</v>
      </c>
      <c r="C1968" s="22">
        <f>(12)*(1)*(1)*(1)*(1 + (0))</f>
      </c>
      <c r="D1968" s="22" t="s">
        <v>162</v>
      </c>
      <c r="E1968" s="22"/>
      <c r="F1968" s="22">
        <f>(0)</f>
      </c>
      <c r="G1968" s="22">
        <f>(C1968 * E1968 + C1968 * E1968 * F1968)</f>
      </c>
    </row>
    <row r="1969">
      <c r="A1969" s="5"/>
      <c r="B1969" s="16" t="s">
        <v>1540</v>
      </c>
      <c r="C1969" s="22">
        <f>(5)*(1)*(1)*(1)*(1 + (0))</f>
      </c>
      <c r="D1969" s="22" t="s">
        <v>162</v>
      </c>
      <c r="E1969" s="22"/>
      <c r="F1969" s="22">
        <f>(0)</f>
      </c>
      <c r="G1969" s="22">
        <f>(C1969 * E1969 + C1969 * E1969 * F1969)</f>
      </c>
    </row>
    <row r="1970">
      <c r="A1970" s="5"/>
      <c r="B1970" s="16" t="s">
        <v>1541</v>
      </c>
      <c r="C1970" s="22">
        <f>(18)*(1)*(1)*(1)*(1 + (0))</f>
      </c>
      <c r="D1970" s="22" t="s">
        <v>162</v>
      </c>
      <c r="E1970" s="22"/>
      <c r="F1970" s="22">
        <f>(0)</f>
      </c>
      <c r="G1970" s="22">
        <f>(C1970 * E1970 + C1970 * E1970 * F1970)</f>
      </c>
    </row>
    <row r="1971">
      <c r="A1971" s="5"/>
      <c r="B1971" s="16" t="s">
        <v>1542</v>
      </c>
      <c r="C1971" s="22">
        <f>(33)*(1)*(1)*(1)*(1 + (0))</f>
      </c>
      <c r="D1971" s="22" t="s">
        <v>1217</v>
      </c>
      <c r="E1971" s="22"/>
      <c r="F1971" s="22">
        <f>(0)</f>
      </c>
      <c r="G1971" s="22">
        <f>(C1971 * E1971 + C1971 * E1971 * F1971)</f>
      </c>
    </row>
    <row r="1972">
      <c r="A1972" s="5"/>
      <c r="B1972" s="16" t="s">
        <v>1543</v>
      </c>
      <c r="C1972" s="22">
        <f>(6)*(1)*(1)*(1)*(1 + (0))</f>
      </c>
      <c r="D1972" s="22" t="s">
        <v>162</v>
      </c>
      <c r="E1972" s="22"/>
      <c r="F1972" s="22">
        <f>(0)</f>
      </c>
      <c r="G1972" s="22">
        <f>(C1972 * E1972 + C1972 * E1972 * F1972)</f>
      </c>
    </row>
    <row r="1973">
      <c r="A1973" s="5"/>
      <c r="B1973" s="16" t="s">
        <v>1544</v>
      </c>
      <c r="C1973" s="22">
        <f>(43)*(1)*(1)*(1)*(1 + (0))</f>
      </c>
      <c r="D1973" s="22" t="s">
        <v>162</v>
      </c>
      <c r="E1973" s="22"/>
      <c r="F1973" s="22">
        <f>(0)</f>
      </c>
      <c r="G1973" s="22">
        <f>(C1973 * E1973 + C1973 * E1973 * F1973)</f>
      </c>
    </row>
    <row r="1974">
      <c r="A1974" s="5"/>
      <c r="B1974" s="16" t="s">
        <v>1545</v>
      </c>
      <c r="C1974" s="22">
        <f>(24)*(1)*(1)*(1)*(1 + (0))</f>
      </c>
      <c r="D1974" s="22" t="s">
        <v>162</v>
      </c>
      <c r="E1974" s="22"/>
      <c r="F1974" s="22">
        <f>(0)</f>
      </c>
      <c r="G1974" s="22">
        <f>(C1974 * E1974 + C1974 * E1974 * F1974)</f>
      </c>
    </row>
    <row r="1975">
      <c r="A1975" s="5"/>
      <c r="B1975" s="16" t="s">
        <v>1546</v>
      </c>
      <c r="C1975" s="22">
        <f>(48)*(1)*(1)*(1)*(1 + (0))</f>
      </c>
      <c r="D1975" s="22" t="s">
        <v>162</v>
      </c>
      <c r="E1975" s="22"/>
      <c r="F1975" s="22">
        <f>(0)</f>
      </c>
      <c r="G1975" s="22">
        <f>(C1975 * E1975 + C1975 * E1975 * F1975)</f>
      </c>
    </row>
    <row r="1976">
      <c r="A1976" s="5"/>
      <c r="B1976" s="16" t="s">
        <v>1547</v>
      </c>
      <c r="C1976" s="22">
        <f>(54)*(1)*(1)*(1)*(1 + (0))</f>
      </c>
      <c r="D1976" s="22" t="s">
        <v>162</v>
      </c>
      <c r="E1976" s="22"/>
      <c r="F1976" s="22">
        <f>(0)</f>
      </c>
      <c r="G1976" s="22">
        <f>(C1976 * E1976 + C1976 * E1976 * F1976)</f>
      </c>
    </row>
    <row r="1977">
      <c r="A1977" s="5"/>
      <c r="B1977" s="16" t="s">
        <v>1548</v>
      </c>
      <c r="C1977" s="22">
        <f>(5)*(1)*(1)*(1)*(1 + (0))</f>
      </c>
      <c r="D1977" s="22" t="s">
        <v>1217</v>
      </c>
      <c r="E1977" s="22"/>
      <c r="F1977" s="22">
        <f>(0)</f>
      </c>
      <c r="G1977" s="22">
        <f>(C1977 * E1977 + C1977 * E1977 * F1977)</f>
      </c>
    </row>
    <row r="1978">
      <c r="A1978" s="5"/>
      <c r="B1978" s="16" t="s">
        <v>1549</v>
      </c>
      <c r="C1978" s="22">
        <f>(3)*(1)*(1)*(1)*(1 + (0))</f>
      </c>
      <c r="D1978" s="22" t="s">
        <v>1217</v>
      </c>
      <c r="E1978" s="22"/>
      <c r="F1978" s="22">
        <f>(0)</f>
      </c>
      <c r="G1978" s="22">
        <f>(C1978 * E1978 + C1978 * E1978 * F1978)</f>
      </c>
    </row>
    <row r="1979">
      <c r="A1979" s="5"/>
      <c r="B1979" s="16" t="s">
        <v>1550</v>
      </c>
      <c r="C1979" s="22">
        <f>(2)*(1)*(1)*(1)*(1 + (0))</f>
      </c>
      <c r="D1979" s="22" t="s">
        <v>1217</v>
      </c>
      <c r="E1979" s="22"/>
      <c r="F1979" s="22">
        <f>(0)</f>
      </c>
      <c r="G1979" s="22">
        <f>(C1979 * E1979 + C1979 * E1979 * F1979)</f>
      </c>
    </row>
    <row r="1980">
      <c r="A1980" s="5"/>
      <c r="B1980" s="16" t="s">
        <v>1551</v>
      </c>
      <c r="C1980" s="22">
        <f>(1)*(1)*(1)*(1)*(1 + (0))</f>
      </c>
      <c r="D1980" s="22" t="s">
        <v>1217</v>
      </c>
      <c r="E1980" s="22"/>
      <c r="F1980" s="22">
        <f>(0)</f>
      </c>
      <c r="G1980" s="22">
        <f>(C1980 * E1980 + C1980 * E1980 * F1980)</f>
      </c>
    </row>
    <row r="1981">
      <c r="A1981" s="5"/>
      <c r="B1981" s="16" t="s">
        <v>1552</v>
      </c>
      <c r="C1981" s="22">
        <f>(3)*(1)*(1)*(1)*(1 + (0))</f>
      </c>
      <c r="D1981" s="22" t="s">
        <v>1217</v>
      </c>
      <c r="E1981" s="22"/>
      <c r="F1981" s="22">
        <f>(0)</f>
      </c>
      <c r="G1981" s="22">
        <f>(C1981 * E1981 + C1981 * E1981 * F1981)</f>
      </c>
    </row>
    <row r="1982">
      <c r="A1982" s="6"/>
      <c r="B1982" s="15" t="s">
        <v>1553</v>
      </c>
      <c r="C1982" s="23"/>
      <c r="D1982" s="23"/>
      <c r="E1982" s="23"/>
      <c r="F1982" s="23"/>
      <c r="G1982" s="23"/>
    </row>
    <row r="1983">
      <c r="A1983" s="5"/>
      <c r="B1983" s="16" t="s">
        <v>1554</v>
      </c>
      <c r="C1983" s="22">
        <f>(4)*(1)*(1)*(1)*(1 + (0))</f>
      </c>
      <c r="D1983" s="22" t="s">
        <v>162</v>
      </c>
      <c r="E1983" s="22"/>
      <c r="F1983" s="22">
        <f>(0)</f>
      </c>
      <c r="G1983" s="22">
        <f>(C1983 * E1983 + C1983 * E1983 * F1983)</f>
      </c>
    </row>
    <row r="1984">
      <c r="A1984" s="5"/>
      <c r="B1984" s="16" t="s">
        <v>1555</v>
      </c>
      <c r="C1984" s="22">
        <f>(12)*(1)*(1)*(1)*(1 + (0))</f>
      </c>
      <c r="D1984" s="22" t="s">
        <v>162</v>
      </c>
      <c r="E1984" s="22"/>
      <c r="F1984" s="22">
        <f>(0)</f>
      </c>
      <c r="G1984" s="22">
        <f>(C1984 * E1984 + C1984 * E1984 * F1984)</f>
      </c>
    </row>
    <row r="1985">
      <c r="A1985" s="5"/>
      <c r="B1985" s="16" t="s">
        <v>1556</v>
      </c>
      <c r="C1985" s="22">
        <f>(5)*(1)*(1)*(1)*(1 + (0))</f>
      </c>
      <c r="D1985" s="22" t="s">
        <v>162</v>
      </c>
      <c r="E1985" s="22"/>
      <c r="F1985" s="22">
        <f>(0)</f>
      </c>
      <c r="G1985" s="22">
        <f>(C1985 * E1985 + C1985 * E1985 * F1985)</f>
      </c>
    </row>
    <row r="1986">
      <c r="A1986" s="5"/>
      <c r="B1986" s="16" t="s">
        <v>1557</v>
      </c>
      <c r="C1986" s="22">
        <f>(14)*(1)*(1)*(1)*(1 + (0))</f>
      </c>
      <c r="D1986" s="22" t="s">
        <v>162</v>
      </c>
      <c r="E1986" s="22"/>
      <c r="F1986" s="22">
        <f>(0)</f>
      </c>
      <c r="G1986" s="22">
        <f>(C1986 * E1986 + C1986 * E1986 * F1986)</f>
      </c>
    </row>
    <row r="1987">
      <c r="A1987" s="5"/>
      <c r="B1987" s="16" t="s">
        <v>1558</v>
      </c>
      <c r="C1987" s="22">
        <f>(3)*(1)*(1)*(1)*(1 + (0))</f>
      </c>
      <c r="D1987" s="22" t="s">
        <v>162</v>
      </c>
      <c r="E1987" s="22"/>
      <c r="F1987" s="22">
        <f>(0)</f>
      </c>
      <c r="G1987" s="22">
        <f>(C1987 * E1987 + C1987 * E1987 * F1987)</f>
      </c>
    </row>
    <row r="1988">
      <c r="A1988" s="5"/>
      <c r="B1988" s="16" t="s">
        <v>1559</v>
      </c>
      <c r="C1988" s="22">
        <f>(267)*(1)*(1)*(1)*(1 + (0))</f>
      </c>
      <c r="D1988" s="22" t="s">
        <v>162</v>
      </c>
      <c r="E1988" s="22"/>
      <c r="F1988" s="22">
        <f>(0)</f>
      </c>
      <c r="G1988" s="22">
        <f>(C1988 * E1988 + C1988 * E1988 * F1988)</f>
      </c>
    </row>
    <row r="1989">
      <c r="A1989" s="5"/>
      <c r="B1989" s="16" t="s">
        <v>1560</v>
      </c>
      <c r="C1989" s="22">
        <f>(16)*(1)*(1)*(1)*(1 + (0))</f>
      </c>
      <c r="D1989" s="22" t="s">
        <v>162</v>
      </c>
      <c r="E1989" s="22"/>
      <c r="F1989" s="22">
        <f>(0)</f>
      </c>
      <c r="G1989" s="22">
        <f>(C1989 * E1989 + C1989 * E1989 * F1989)</f>
      </c>
    </row>
    <row r="1990">
      <c r="A1990" s="5"/>
      <c r="B1990" s="16" t="s">
        <v>1561</v>
      </c>
      <c r="C1990" s="22">
        <f>(10)*(1)*(1)*(1)*(1 + (0))</f>
      </c>
      <c r="D1990" s="22" t="s">
        <v>162</v>
      </c>
      <c r="E1990" s="22"/>
      <c r="F1990" s="22">
        <f>(0)</f>
      </c>
      <c r="G1990" s="22">
        <f>(C1990 * E1990 + C1990 * E1990 * F1990)</f>
      </c>
    </row>
    <row r="1991">
      <c r="A1991" s="5"/>
      <c r="B1991" s="16" t="s">
        <v>1562</v>
      </c>
      <c r="C1991" s="22">
        <f>(24)*(1)*(1)*(1)*(1 + (0))</f>
      </c>
      <c r="D1991" s="22" t="s">
        <v>162</v>
      </c>
      <c r="E1991" s="22"/>
      <c r="F1991" s="22">
        <f>(0)</f>
      </c>
      <c r="G1991" s="22">
        <f>(C1991 * E1991 + C1991 * E1991 * F1991)</f>
      </c>
    </row>
    <row r="1992">
      <c r="A1992" s="5"/>
      <c r="B1992" s="16" t="s">
        <v>1563</v>
      </c>
      <c r="C1992" s="22">
        <f>(3)*(1)*(1)*(1)*(1 + (0))</f>
      </c>
      <c r="D1992" s="22" t="s">
        <v>162</v>
      </c>
      <c r="E1992" s="22"/>
      <c r="F1992" s="22">
        <f>(0)</f>
      </c>
      <c r="G1992" s="22">
        <f>(C1992 * E1992 + C1992 * E1992 * F1992)</f>
      </c>
    </row>
    <row r="1993">
      <c r="A1993" s="5"/>
      <c r="B1993" s="16" t="s">
        <v>1564</v>
      </c>
      <c r="C1993" s="22">
        <f>(15)*(1)*(1)*(1)*(1 + (0))</f>
      </c>
      <c r="D1993" s="22" t="s">
        <v>162</v>
      </c>
      <c r="E1993" s="22"/>
      <c r="F1993" s="22">
        <f>(0)</f>
      </c>
      <c r="G1993" s="22">
        <f>(C1993 * E1993 + C1993 * E1993 * F1993)</f>
      </c>
    </row>
    <row r="1994">
      <c r="A1994" s="5"/>
      <c r="B1994" s="16" t="s">
        <v>1565</v>
      </c>
      <c r="C1994" s="22">
        <f>(18)*(1)*(1)*(1)*(1 + (0))</f>
      </c>
      <c r="D1994" s="22" t="s">
        <v>162</v>
      </c>
      <c r="E1994" s="22"/>
      <c r="F1994" s="22">
        <f>(0)</f>
      </c>
      <c r="G1994" s="22">
        <f>(C1994 * E1994 + C1994 * E1994 * F1994)</f>
      </c>
    </row>
    <row r="1995">
      <c r="A1995" s="5"/>
      <c r="B1995" s="16" t="s">
        <v>1566</v>
      </c>
      <c r="C1995" s="22">
        <f>(3)*(1)*(1)*(1)*(1 + (0))</f>
      </c>
      <c r="D1995" s="22" t="s">
        <v>162</v>
      </c>
      <c r="E1995" s="22"/>
      <c r="F1995" s="22">
        <f>(0)</f>
      </c>
      <c r="G1995" s="22">
        <f>(C1995 * E1995 + C1995 * E1995 * F1995)</f>
      </c>
    </row>
    <row r="1996">
      <c r="A1996" s="6"/>
      <c r="B1996" s="15" t="s">
        <v>1462</v>
      </c>
      <c r="C1996" s="23"/>
      <c r="D1996" s="23"/>
      <c r="E1996" s="23"/>
      <c r="F1996" s="23"/>
      <c r="G1996" s="23"/>
    </row>
    <row r="1997">
      <c r="A1997" s="5"/>
      <c r="B1997" s="16" t="s">
        <v>1567</v>
      </c>
      <c r="C1997" s="22">
        <f>(21)*(1)*(1)*(1)*(1 + (0))</f>
      </c>
      <c r="D1997" s="22" t="s">
        <v>162</v>
      </c>
      <c r="E1997" s="22"/>
      <c r="F1997" s="22">
        <f>(0)</f>
      </c>
      <c r="G1997" s="22">
        <f>(C1997 * E1997 + C1997 * E1997 * F1997)</f>
      </c>
    </row>
    <row r="1998">
      <c r="A1998" s="5"/>
      <c r="B1998" s="16" t="s">
        <v>1568</v>
      </c>
      <c r="C1998" s="22">
        <f>(1)*(1)*(1)*(1)*(1 + (0))</f>
      </c>
      <c r="D1998" s="22" t="s">
        <v>162</v>
      </c>
      <c r="E1998" s="22"/>
      <c r="F1998" s="22">
        <f>(0)</f>
      </c>
      <c r="G1998" s="22">
        <f>(C1998 * E1998 + C1998 * E1998 * F1998)</f>
      </c>
    </row>
    <row r="1999">
      <c r="A1999" s="5"/>
      <c r="B1999" s="16" t="s">
        <v>1569</v>
      </c>
      <c r="C1999" s="22">
        <f>(22)*(1)*(1)*(1)*(1 + (0))</f>
      </c>
      <c r="D1999" s="22" t="s">
        <v>162</v>
      </c>
      <c r="E1999" s="22"/>
      <c r="F1999" s="22">
        <f>(0)</f>
      </c>
      <c r="G1999" s="22">
        <f>(C1999 * E1999 + C1999 * E1999 * F1999)</f>
      </c>
    </row>
    <row r="2000">
      <c r="A2000" s="5"/>
      <c r="B2000" s="16" t="s">
        <v>1570</v>
      </c>
      <c r="C2000" s="22">
        <f>(4)*(1)*(1)*(1)*(1 + (0))</f>
      </c>
      <c r="D2000" s="22" t="s">
        <v>162</v>
      </c>
      <c r="E2000" s="22"/>
      <c r="F2000" s="22">
        <f>(0)</f>
      </c>
      <c r="G2000" s="22">
        <f>(C2000 * E2000 + C2000 * E2000 * F2000)</f>
      </c>
    </row>
    <row r="2001">
      <c r="A2001" s="5"/>
      <c r="B2001" s="16" t="s">
        <v>1571</v>
      </c>
      <c r="C2001" s="22">
        <f>(5)*(1)*(1)*(1)*(1 + (0))</f>
      </c>
      <c r="D2001" s="22" t="s">
        <v>162</v>
      </c>
      <c r="E2001" s="22"/>
      <c r="F2001" s="22">
        <f>(0)</f>
      </c>
      <c r="G2001" s="22">
        <f>(C2001 * E2001 + C2001 * E2001 * F2001)</f>
      </c>
    </row>
    <row r="2002">
      <c r="A2002" s="5"/>
      <c r="B2002" s="16" t="s">
        <v>1572</v>
      </c>
      <c r="C2002" s="22">
        <f>(5)*(1)*(1)*(1)*(1 + (0))</f>
      </c>
      <c r="D2002" s="22" t="s">
        <v>162</v>
      </c>
      <c r="E2002" s="22"/>
      <c r="F2002" s="22">
        <f>(0)</f>
      </c>
      <c r="G2002" s="22">
        <f>(C2002 * E2002 + C2002 * E2002 * F2002)</f>
      </c>
    </row>
    <row r="2003">
      <c r="A2003" s="5"/>
      <c r="B2003" s="16" t="s">
        <v>1573</v>
      </c>
      <c r="C2003" s="22">
        <f>(4)*(1)*(1)*(1)*(1 + (0))</f>
      </c>
      <c r="D2003" s="22" t="s">
        <v>162</v>
      </c>
      <c r="E2003" s="22"/>
      <c r="F2003" s="22">
        <f>(0)</f>
      </c>
      <c r="G2003" s="22">
        <f>(C2003 * E2003 + C2003 * E2003 * F2003)</f>
      </c>
    </row>
    <row r="2004">
      <c r="A2004" s="5"/>
      <c r="B2004" s="16" t="s">
        <v>1574</v>
      </c>
      <c r="C2004" s="22">
        <f>(36)*(1)*(1)*(1)*(1 + (0))</f>
      </c>
      <c r="D2004" s="22" t="s">
        <v>162</v>
      </c>
      <c r="E2004" s="22"/>
      <c r="F2004" s="22">
        <f>(0)</f>
      </c>
      <c r="G2004" s="22">
        <f>(C2004 * E2004 + C2004 * E2004 * F2004)</f>
      </c>
    </row>
    <row r="2005">
      <c r="A2005" s="5"/>
      <c r="B2005" s="16" t="s">
        <v>1575</v>
      </c>
      <c r="C2005" s="22">
        <f>(3)*(1)*(1)*(1)*(1 + (0))</f>
      </c>
      <c r="D2005" s="22" t="s">
        <v>162</v>
      </c>
      <c r="E2005" s="22"/>
      <c r="F2005" s="22">
        <f>(0)</f>
      </c>
      <c r="G2005" s="22">
        <f>(C2005 * E2005 + C2005 * E2005 * F2005)</f>
      </c>
    </row>
    <row r="2006">
      <c r="A2006" s="5"/>
      <c r="B2006" s="16" t="s">
        <v>1576</v>
      </c>
      <c r="C2006" s="22">
        <f>(6)*(1)*(1)*(1)*(1 + (0))</f>
      </c>
      <c r="D2006" s="22" t="s">
        <v>162</v>
      </c>
      <c r="E2006" s="22"/>
      <c r="F2006" s="22">
        <f>(0)</f>
      </c>
      <c r="G2006" s="22">
        <f>(C2006 * E2006 + C2006 * E2006 * F2006)</f>
      </c>
    </row>
    <row r="2007">
      <c r="A2007" s="5"/>
      <c r="B2007" s="16" t="s">
        <v>1577</v>
      </c>
      <c r="C2007" s="22">
        <f>(4)*(1)*(1)*(1)*(1 + (0))</f>
      </c>
      <c r="D2007" s="22" t="s">
        <v>162</v>
      </c>
      <c r="E2007" s="22"/>
      <c r="F2007" s="22">
        <f>(0)</f>
      </c>
      <c r="G2007" s="22">
        <f>(C2007 * E2007 + C2007 * E2007 * F2007)</f>
      </c>
    </row>
    <row r="2008">
      <c r="A2008" s="5"/>
      <c r="B2008" s="16" t="s">
        <v>1578</v>
      </c>
      <c r="C2008" s="22">
        <f>(3)*(1)*(1)*(1)*(1 + (0))</f>
      </c>
      <c r="D2008" s="22" t="s">
        <v>162</v>
      </c>
      <c r="E2008" s="22"/>
      <c r="F2008" s="22">
        <f>(0)</f>
      </c>
      <c r="G2008" s="22">
        <f>(C2008 * E2008 + C2008 * E2008 * F2008)</f>
      </c>
    </row>
    <row r="2009">
      <c r="A2009" s="6"/>
      <c r="B2009" s="15" t="s">
        <v>1579</v>
      </c>
      <c r="C2009" s="23"/>
      <c r="D2009" s="23"/>
      <c r="E2009" s="23"/>
      <c r="F2009" s="23"/>
      <c r="G2009" s="23"/>
    </row>
    <row r="2010">
      <c r="A2010" s="5"/>
      <c r="B2010" s="16" t="s">
        <v>1580</v>
      </c>
      <c r="C2010" s="22">
        <f>(2)*(1)*(1)*(1)*(1 + (0))</f>
      </c>
      <c r="D2010" s="22" t="s">
        <v>162</v>
      </c>
      <c r="E2010" s="22"/>
      <c r="F2010" s="22">
        <f>(0)</f>
      </c>
      <c r="G2010" s="22">
        <f>(C2010 * E2010 + C2010 * E2010 * F2010)</f>
      </c>
    </row>
    <row r="2011">
      <c r="A2011" s="4"/>
      <c r="B2011" s="12" t="s">
        <v>1527</v>
      </c>
      <c r="C2011" s="21"/>
      <c r="D2011" s="21"/>
      <c r="E2011" s="21"/>
      <c r="F2011" s="21"/>
      <c r="G2011" s="21"/>
    </row>
    <row r="2012">
      <c r="A2012" s="5"/>
      <c r="B2012" s="13" t="s">
        <v>1581</v>
      </c>
      <c r="C2012" s="22">
        <f>(2)*(1)*(1)*(1)*(1 + (0))</f>
      </c>
      <c r="D2012" s="22" t="s">
        <v>162</v>
      </c>
      <c r="E2012" s="22"/>
      <c r="F2012" s="22">
        <f>(0)</f>
      </c>
      <c r="G2012" s="22">
        <f>(C2012 * E2012 + C2012 * E2012 * F2012)</f>
      </c>
    </row>
    <row r="2013">
      <c r="A2013" s="4"/>
      <c r="B2013" s="12" t="s">
        <v>1582</v>
      </c>
      <c r="C2013" s="21"/>
      <c r="D2013" s="21"/>
      <c r="E2013" s="21"/>
      <c r="F2013" s="21"/>
      <c r="G2013" s="21"/>
    </row>
    <row r="2014">
      <c r="A2014" s="5"/>
      <c r="B2014" s="13" t="s">
        <v>1583</v>
      </c>
      <c r="C2014" s="22">
        <f>(1)*(1)*(1)*(1)*(1 + (0))</f>
      </c>
      <c r="D2014" s="22" t="s">
        <v>162</v>
      </c>
      <c r="E2014" s="22"/>
      <c r="F2014" s="22">
        <f>(0)</f>
      </c>
      <c r="G2014" s="22">
        <f>(C2014 * E2014 + C2014 * E2014 * F2014)</f>
      </c>
    </row>
    <row r="2015">
      <c r="A2015" s="2"/>
      <c r="B2015" s="10" t="s">
        <v>1584</v>
      </c>
      <c r="C2015" s="19"/>
      <c r="D2015" s="19"/>
      <c r="E2015" s="19"/>
      <c r="F2015" s="19"/>
      <c r="G2015" s="19"/>
    </row>
    <row r="2016">
      <c r="A2016" s="3"/>
      <c r="B2016" s="11" t="s">
        <v>37</v>
      </c>
      <c r="C2016" s="20"/>
      <c r="D2016" s="20"/>
      <c r="E2016" s="20"/>
      <c r="F2016" s="20"/>
      <c r="G2016" s="20"/>
    </row>
    <row r="2017">
      <c r="A2017" s="5" t="s">
        <v>1285</v>
      </c>
      <c r="B2017" s="14" t="s">
        <v>39</v>
      </c>
      <c r="C2017" s="22"/>
      <c r="D2017" s="22" t="s">
        <v>10</v>
      </c>
      <c r="E2017" s="22"/>
      <c r="F2017" s="22">
        <f>(0)</f>
      </c>
      <c r="G2017" s="22">
        <f>(C2017 * E2017 + C2017 * E2017 * F2017)</f>
      </c>
    </row>
    <row r="2018">
      <c r="A2018" s="5" t="s">
        <v>1286</v>
      </c>
      <c r="B2018" s="14" t="s">
        <v>41</v>
      </c>
      <c r="C2018" s="22"/>
      <c r="D2018" s="22" t="s">
        <v>10</v>
      </c>
      <c r="E2018" s="22"/>
      <c r="F2018" s="22">
        <f>(0)</f>
      </c>
      <c r="G2018" s="22">
        <f>(C2018 * E2018 + C2018 * E2018 * F2018)</f>
      </c>
    </row>
    <row r="2019">
      <c r="A2019" s="3"/>
      <c r="B2019" s="11" t="s">
        <v>42</v>
      </c>
      <c r="C2019" s="20"/>
      <c r="D2019" s="20"/>
      <c r="E2019" s="20"/>
      <c r="F2019" s="20"/>
      <c r="G2019" s="20"/>
    </row>
    <row r="2020">
      <c r="A2020" s="5"/>
      <c r="B2020" s="14" t="s">
        <v>1287</v>
      </c>
      <c r="C2020" s="22"/>
      <c r="D2020" s="22" t="s">
        <v>10</v>
      </c>
      <c r="E2020" s="22"/>
      <c r="F2020" s="22">
        <f>(0)</f>
      </c>
      <c r="G2020" s="22">
        <f>(C2020 * E2020 + C2020 * E2020 * F2020)</f>
      </c>
    </row>
    <row r="2021">
      <c r="A2021" s="5"/>
      <c r="B2021" s="14" t="s">
        <v>1288</v>
      </c>
      <c r="C2021" s="22"/>
      <c r="D2021" s="22" t="s">
        <v>10</v>
      </c>
      <c r="E2021" s="22"/>
      <c r="F2021" s="22">
        <f>(0)</f>
      </c>
      <c r="G2021" s="22">
        <f>(C2021 * E2021 + C2021 * E2021 * F2021)</f>
      </c>
    </row>
    <row r="2022">
      <c r="A2022" s="5"/>
      <c r="B2022" s="14" t="s">
        <v>1289</v>
      </c>
      <c r="C2022" s="22"/>
      <c r="D2022" s="22" t="s">
        <v>10</v>
      </c>
      <c r="E2022" s="22"/>
      <c r="F2022" s="22">
        <f>(0)</f>
      </c>
      <c r="G2022" s="22">
        <f>(C2022 * E2022 + C2022 * E2022 * F2022)</f>
      </c>
    </row>
    <row r="2023">
      <c r="A2023" s="5"/>
      <c r="B2023" s="14" t="s">
        <v>1290</v>
      </c>
      <c r="C2023" s="22"/>
      <c r="D2023" s="22" t="s">
        <v>10</v>
      </c>
      <c r="E2023" s="22"/>
      <c r="F2023" s="22">
        <f>(0)</f>
      </c>
      <c r="G2023" s="22">
        <f>(C2023 * E2023 + C2023 * E2023 * F2023)</f>
      </c>
    </row>
    <row r="2024">
      <c r="A2024" s="3"/>
      <c r="B2024" s="11" t="s">
        <v>44</v>
      </c>
      <c r="C2024" s="20"/>
      <c r="D2024" s="20"/>
      <c r="E2024" s="20"/>
      <c r="F2024" s="20"/>
      <c r="G2024" s="20"/>
    </row>
    <row r="2025">
      <c r="A2025" s="4"/>
      <c r="B2025" s="12" t="s">
        <v>45</v>
      </c>
      <c r="C2025" s="21"/>
      <c r="D2025" s="21"/>
      <c r="E2025" s="21"/>
      <c r="F2025" s="21"/>
      <c r="G2025" s="21"/>
    </row>
    <row r="2026">
      <c r="A2026" s="5" t="s">
        <v>1291</v>
      </c>
      <c r="B2026" s="13" t="s">
        <v>767</v>
      </c>
      <c r="C2026" s="22"/>
      <c r="D2026" s="22" t="s">
        <v>10</v>
      </c>
      <c r="E2026" s="22"/>
      <c r="F2026" s="22">
        <f>(0)</f>
      </c>
      <c r="G2026" s="22">
        <f>(C2026 * E2026 + C2026 * E2026 * F2026)</f>
      </c>
    </row>
    <row r="2027">
      <c r="A2027" s="5" t="s">
        <v>1292</v>
      </c>
      <c r="B2027" s="13" t="s">
        <v>123</v>
      </c>
      <c r="C2027" s="22"/>
      <c r="D2027" s="22" t="s">
        <v>10</v>
      </c>
      <c r="E2027" s="22"/>
      <c r="F2027" s="22">
        <f>(0)</f>
      </c>
      <c r="G2027" s="22">
        <f>(C2027 * E2027 + C2027 * E2027 * F2027)</f>
      </c>
    </row>
    <row r="2028">
      <c r="A2028" s="3"/>
      <c r="B2028" s="11" t="s">
        <v>68</v>
      </c>
      <c r="C2028" s="20"/>
      <c r="D2028" s="20"/>
      <c r="E2028" s="20"/>
      <c r="F2028" s="20"/>
      <c r="G2028" s="20"/>
    </row>
    <row r="2029">
      <c r="A2029" s="5" t="s">
        <v>1293</v>
      </c>
      <c r="B2029" s="14" t="s">
        <v>230</v>
      </c>
      <c r="C2029" s="22">
        <f>(1)*(1)*(1)*(1)*(1 + (0))</f>
      </c>
      <c r="D2029" s="22" t="s">
        <v>71</v>
      </c>
      <c r="E2029" s="22"/>
      <c r="F2029" s="22">
        <f>(0)</f>
      </c>
      <c r="G2029" s="22">
        <f>(C2029 * E2029 + C2029 * E2029 * F2029)</f>
      </c>
    </row>
    <row r="2030">
      <c r="A2030" s="5" t="s">
        <v>1294</v>
      </c>
      <c r="B2030" s="14" t="s">
        <v>70</v>
      </c>
      <c r="C2030" s="22">
        <f>(1)*(1)*(1)*(1)*(1 + (0))</f>
      </c>
      <c r="D2030" s="22" t="s">
        <v>71</v>
      </c>
      <c r="E2030" s="22"/>
      <c r="F2030" s="22">
        <f>(0)</f>
      </c>
      <c r="G2030" s="22">
        <f>(C2030 * E2030 + C2030 * E2030 * F2030)</f>
      </c>
    </row>
    <row r="2031">
      <c r="A2031" s="5" t="s">
        <v>1295</v>
      </c>
      <c r="B2031" s="14" t="s">
        <v>906</v>
      </c>
      <c r="C2031" s="22">
        <f>(1)*(1)*(1)*(1)*(1 + (0))</f>
      </c>
      <c r="D2031" s="22" t="s">
        <v>71</v>
      </c>
      <c r="E2031" s="22"/>
      <c r="F2031" s="22">
        <f>(0)</f>
      </c>
      <c r="G2031" s="22">
        <f>(C2031 * E2031 + C2031 * E2031 * F2031)</f>
      </c>
    </row>
    <row r="2032">
      <c r="A2032" s="5" t="s">
        <v>1296</v>
      </c>
      <c r="B2032" s="14" t="s">
        <v>665</v>
      </c>
      <c r="C2032" s="22">
        <f>(1)*(1)*(1)*(1)*(1 + (0))</f>
      </c>
      <c r="D2032" s="22" t="s">
        <v>71</v>
      </c>
      <c r="E2032" s="22"/>
      <c r="F2032" s="22">
        <f>(0)</f>
      </c>
      <c r="G2032" s="22">
        <f>(C2032 * E2032 + C2032 * E2032 * F2032)</f>
      </c>
    </row>
    <row r="2033">
      <c r="A2033" s="3"/>
      <c r="B2033" s="11" t="s">
        <v>1585</v>
      </c>
      <c r="C2033" s="20"/>
      <c r="D2033" s="20"/>
      <c r="E2033" s="20"/>
      <c r="F2033" s="20"/>
      <c r="G2033" s="20"/>
    </row>
    <row r="2034">
      <c r="A2034" s="4"/>
      <c r="B2034" s="12" t="s">
        <v>1527</v>
      </c>
      <c r="C2034" s="21"/>
      <c r="D2034" s="21"/>
      <c r="E2034" s="21"/>
      <c r="F2034" s="21"/>
      <c r="G2034" s="21"/>
    </row>
    <row r="2035">
      <c r="A2035" s="5"/>
      <c r="B2035" s="13" t="s">
        <v>1586</v>
      </c>
      <c r="C2035" s="22">
        <f>(11)*(1)*(1)*(1)*(1 + (0))</f>
      </c>
      <c r="D2035" s="22" t="s">
        <v>162</v>
      </c>
      <c r="E2035" s="22"/>
      <c r="F2035" s="22">
        <f>(0)</f>
      </c>
      <c r="G2035" s="22">
        <f>(C2035 * E2035 + C2035 * E2035 * F2035)</f>
      </c>
    </row>
    <row r="2036">
      <c r="A2036" s="3"/>
      <c r="B2036" s="11" t="s">
        <v>1587</v>
      </c>
      <c r="C2036" s="20"/>
      <c r="D2036" s="20"/>
      <c r="E2036" s="20"/>
      <c r="F2036" s="20"/>
      <c r="G2036" s="20"/>
    </row>
    <row r="2037">
      <c r="A2037" s="4"/>
      <c r="B2037" s="12" t="s">
        <v>1461</v>
      </c>
      <c r="C2037" s="21"/>
      <c r="D2037" s="21"/>
      <c r="E2037" s="21"/>
      <c r="F2037" s="21"/>
      <c r="G2037" s="21"/>
    </row>
    <row r="2038">
      <c r="A2038" s="6"/>
      <c r="B2038" s="15" t="s">
        <v>1535</v>
      </c>
      <c r="C2038" s="23"/>
      <c r="D2038" s="23"/>
      <c r="E2038" s="23"/>
      <c r="F2038" s="23"/>
      <c r="G2038" s="23"/>
    </row>
    <row r="2039">
      <c r="A2039" s="5"/>
      <c r="B2039" s="16" t="s">
        <v>1588</v>
      </c>
      <c r="C2039" s="22">
        <f>(1)*(1)*(1)*(1)*(1 + (0))</f>
      </c>
      <c r="D2039" s="22" t="s">
        <v>162</v>
      </c>
      <c r="E2039" s="22"/>
      <c r="F2039" s="22">
        <f>(0)</f>
      </c>
      <c r="G2039" s="22">
        <f>(C2039 * E2039 + C2039 * E2039 * F2039)</f>
      </c>
    </row>
    <row r="2040">
      <c r="A2040" s="6"/>
      <c r="B2040" s="15" t="s">
        <v>1462</v>
      </c>
      <c r="C2040" s="23"/>
      <c r="D2040" s="23"/>
      <c r="E2040" s="23"/>
      <c r="F2040" s="23"/>
      <c r="G2040" s="23"/>
    </row>
    <row r="2041">
      <c r="A2041" s="5"/>
      <c r="B2041" s="16" t="s">
        <v>1589</v>
      </c>
      <c r="C2041" s="22">
        <f>(2)*(1)*(1)*(1)*(1 + (0))</f>
      </c>
      <c r="D2041" s="22" t="s">
        <v>162</v>
      </c>
      <c r="E2041" s="22"/>
      <c r="F2041" s="22">
        <f>(0)</f>
      </c>
      <c r="G2041" s="22">
        <f>(C2041 * E2041 + C2041 * E2041 * F2041)</f>
      </c>
    </row>
    <row r="2042">
      <c r="A2042" s="5"/>
      <c r="B2042" s="16" t="s">
        <v>1590</v>
      </c>
      <c r="C2042" s="22">
        <f>(8)*(1)*(1)*(1)*(1 + (0))</f>
      </c>
      <c r="D2042" s="22" t="s">
        <v>162</v>
      </c>
      <c r="E2042" s="22"/>
      <c r="F2042" s="22">
        <f>(0)</f>
      </c>
      <c r="G2042" s="22">
        <f>(C2042 * E2042 + C2042 * E2042 * F2042)</f>
      </c>
    </row>
    <row r="2043">
      <c r="A2043" s="4"/>
      <c r="B2043" s="12" t="s">
        <v>1591</v>
      </c>
      <c r="C2043" s="21"/>
      <c r="D2043" s="21"/>
      <c r="E2043" s="21"/>
      <c r="F2043" s="21"/>
      <c r="G2043" s="21"/>
    </row>
    <row r="2044">
      <c r="A2044" s="5"/>
      <c r="B2044" s="13" t="s">
        <v>1592</v>
      </c>
      <c r="C2044" s="22">
        <f>(3)*(1)*(1)*(1)*(1 + (0))</f>
      </c>
      <c r="D2044" s="22" t="s">
        <v>162</v>
      </c>
      <c r="E2044" s="22"/>
      <c r="F2044" s="22">
        <f>(0)</f>
      </c>
      <c r="G2044" s="22">
        <f>(C2044 * E2044 + C2044 * E2044 * F2044)</f>
      </c>
    </row>
    <row r="2045">
      <c r="A2045" s="2"/>
      <c r="B2045" s="10" t="s">
        <v>1593</v>
      </c>
      <c r="C2045" s="19"/>
      <c r="D2045" s="19"/>
      <c r="E2045" s="19"/>
      <c r="F2045" s="19"/>
      <c r="G2045" s="19"/>
    </row>
    <row r="2046">
      <c r="A2046" s="3"/>
      <c r="B2046" s="11" t="s">
        <v>37</v>
      </c>
      <c r="C2046" s="20"/>
      <c r="D2046" s="20"/>
      <c r="E2046" s="20"/>
      <c r="F2046" s="20"/>
      <c r="G2046" s="20"/>
    </row>
    <row r="2047">
      <c r="A2047" s="5" t="s">
        <v>1367</v>
      </c>
      <c r="B2047" s="14" t="s">
        <v>39</v>
      </c>
      <c r="C2047" s="22"/>
      <c r="D2047" s="22" t="s">
        <v>10</v>
      </c>
      <c r="E2047" s="22"/>
      <c r="F2047" s="22">
        <f>(0)</f>
      </c>
      <c r="G2047" s="22">
        <f>(C2047 * E2047 + C2047 * E2047 * F2047)</f>
      </c>
    </row>
    <row r="2048">
      <c r="A2048" s="5" t="s">
        <v>1368</v>
      </c>
      <c r="B2048" s="14" t="s">
        <v>41</v>
      </c>
      <c r="C2048" s="22"/>
      <c r="D2048" s="22" t="s">
        <v>10</v>
      </c>
      <c r="E2048" s="22"/>
      <c r="F2048" s="22">
        <f>(0)</f>
      </c>
      <c r="G2048" s="22">
        <f>(C2048 * E2048 + C2048 * E2048 * F2048)</f>
      </c>
    </row>
    <row r="2049">
      <c r="A2049" s="3"/>
      <c r="B2049" s="11" t="s">
        <v>44</v>
      </c>
      <c r="C2049" s="20"/>
      <c r="D2049" s="20"/>
      <c r="E2049" s="20"/>
      <c r="F2049" s="20"/>
      <c r="G2049" s="20"/>
    </row>
    <row r="2050">
      <c r="A2050" s="4"/>
      <c r="B2050" s="12" t="s">
        <v>45</v>
      </c>
      <c r="C2050" s="21"/>
      <c r="D2050" s="21"/>
      <c r="E2050" s="21"/>
      <c r="F2050" s="21"/>
      <c r="G2050" s="21"/>
    </row>
    <row r="2051">
      <c r="A2051" s="5"/>
      <c r="B2051" s="13" t="s">
        <v>1594</v>
      </c>
      <c r="C2051" s="22"/>
      <c r="D2051" s="22" t="s">
        <v>10</v>
      </c>
      <c r="E2051" s="22"/>
      <c r="F2051" s="22">
        <f>(0)</f>
      </c>
      <c r="G2051" s="22">
        <f>(C2051 * E2051 + C2051 * E2051 * F2051)</f>
      </c>
    </row>
    <row r="2052">
      <c r="A2052" s="5"/>
      <c r="B2052" s="13" t="s">
        <v>1595</v>
      </c>
      <c r="C2052" s="22"/>
      <c r="D2052" s="22" t="s">
        <v>10</v>
      </c>
      <c r="E2052" s="22"/>
      <c r="F2052" s="22">
        <f>(0)</f>
      </c>
      <c r="G2052" s="22">
        <f>(C2052 * E2052 + C2052 * E2052 * F2052)</f>
      </c>
    </row>
    <row r="2053">
      <c r="A2053" s="5"/>
      <c r="B2053" s="13" t="s">
        <v>123</v>
      </c>
      <c r="C2053" s="22"/>
      <c r="D2053" s="22" t="s">
        <v>10</v>
      </c>
      <c r="E2053" s="22"/>
      <c r="F2053" s="22">
        <f>(0)</f>
      </c>
      <c r="G2053" s="22">
        <f>(C2053 * E2053 + C2053 * E2053 * F2053)</f>
      </c>
    </row>
    <row r="2054">
      <c r="A2054" s="3"/>
      <c r="B2054" s="11" t="s">
        <v>68</v>
      </c>
      <c r="C2054" s="20"/>
      <c r="D2054" s="20"/>
      <c r="E2054" s="20"/>
      <c r="F2054" s="20"/>
      <c r="G2054" s="20"/>
    </row>
    <row r="2055">
      <c r="A2055" s="5"/>
      <c r="B2055" s="14" t="s">
        <v>1596</v>
      </c>
      <c r="C2055" s="22">
        <f>(1)*(1)*(1)*(1)*(1 + (0))</f>
      </c>
      <c r="D2055" s="22" t="s">
        <v>71</v>
      </c>
      <c r="E2055" s="22"/>
      <c r="F2055" s="22">
        <f>(0)</f>
      </c>
      <c r="G2055" s="22">
        <f>(C2055 * E2055 + C2055 * E2055 * F2055)</f>
      </c>
    </row>
    <row r="2056">
      <c r="A2056" s="5"/>
      <c r="B2056" s="14" t="s">
        <v>1597</v>
      </c>
      <c r="C2056" s="22">
        <f>(1)*(1)*(1)*(1)*(1 + (0))</f>
      </c>
      <c r="D2056" s="22" t="s">
        <v>71</v>
      </c>
      <c r="E2056" s="22"/>
      <c r="F2056" s="22">
        <f>(0)</f>
      </c>
      <c r="G2056" s="22">
        <f>(C2056 * E2056 + C2056 * E2056 * F2056)</f>
      </c>
    </row>
    <row r="2057">
      <c r="A2057" s="5"/>
      <c r="B2057" s="14" t="s">
        <v>665</v>
      </c>
      <c r="C2057" s="22">
        <f>(1)*(1)*(1)*(1)*(1 + (0))</f>
      </c>
      <c r="D2057" s="22" t="s">
        <v>71</v>
      </c>
      <c r="E2057" s="22"/>
      <c r="F2057" s="22">
        <f>(0)</f>
      </c>
      <c r="G2057" s="22">
        <f>(C2057 * E2057 + C2057 * E2057 * F2057)</f>
      </c>
    </row>
    <row r="2058">
      <c r="A2058" s="3"/>
      <c r="B2058" s="11" t="s">
        <v>1598</v>
      </c>
      <c r="C2058" s="20"/>
      <c r="D2058" s="20"/>
      <c r="E2058" s="20"/>
      <c r="F2058" s="20"/>
      <c r="G2058" s="20"/>
    </row>
    <row r="2059">
      <c r="A2059" s="5"/>
      <c r="B2059" s="14" t="s">
        <v>1599</v>
      </c>
      <c r="C2059" s="22">
        <f>(1)*(1)*(1)*(1)*(1 + (0))</f>
      </c>
      <c r="D2059" s="22" t="s">
        <v>162</v>
      </c>
      <c r="E2059" s="22"/>
      <c r="F2059" s="22">
        <f>(0)</f>
      </c>
      <c r="G2059" s="22">
        <f>(C2059 * E2059 + C2059 * E2059 * F2059)</f>
      </c>
    </row>
    <row r="2060">
      <c r="A2060" s="5"/>
      <c r="B2060" s="7"/>
      <c r="C2060" s="22"/>
      <c r="D2060" s="22"/>
      <c r="E2060" s="22"/>
      <c r="F2060" s="22">
        <f>(0)</f>
      </c>
      <c r="G2060" s="22">
        <f>(C2060 * E2060 + C2060 * E2060 * F2060)</f>
      </c>
    </row>
    <row r="2061">
      <c r="A2061" s="5"/>
      <c r="B2061" s="7"/>
      <c r="C2061" s="22"/>
      <c r="D2061" s="22"/>
      <c r="E2061" s="22"/>
      <c r="F2061" s="22">
        <f>(0)</f>
      </c>
      <c r="G2061" s="22">
        <f>(C2061 * E2061 + C2061 * E2061 * F2061)</f>
      </c>
    </row>
    <row r="2062">
      <c r="A2062" s="5"/>
      <c r="B2062" s="7"/>
      <c r="C2062" s="22"/>
      <c r="D2062" s="22"/>
      <c r="E2062" s="22"/>
      <c r="F2062" s="22">
        <f>(0)</f>
      </c>
      <c r="G2062" s="22">
        <f>(C2062 * E2062 + C2062 * E2062 * F2062)</f>
      </c>
    </row>
    <row r="2063">
      <c r="A2063" s="5"/>
      <c r="B2063" s="7" t="s">
        <v>26</v>
      </c>
      <c r="C2063" s="22"/>
      <c r="D2063" s="22"/>
      <c r="E2063" s="22"/>
      <c r="F2063" s="22">
        <f>(0)</f>
      </c>
      <c r="G2063" s="22">
        <f>(C2063 * E2063 + C2063 * E2063 * F2063)</f>
      </c>
    </row>
    <row r="2064">
      <c r="A2064" s="2"/>
      <c r="B2064" s="10" t="s">
        <v>36</v>
      </c>
      <c r="C2064" s="19"/>
      <c r="D2064" s="19"/>
      <c r="E2064" s="19"/>
      <c r="F2064" s="19"/>
      <c r="G2064" s="19"/>
    </row>
    <row r="2065">
      <c r="A2065" s="3"/>
      <c r="B2065" s="11" t="s">
        <v>37</v>
      </c>
      <c r="C2065" s="20"/>
      <c r="D2065" s="20"/>
      <c r="E2065" s="20"/>
      <c r="F2065" s="20"/>
      <c r="G2065" s="20"/>
    </row>
    <row r="2066">
      <c r="A2066" s="5" t="s">
        <v>38</v>
      </c>
      <c r="B2066" s="14" t="s">
        <v>39</v>
      </c>
      <c r="C2066" s="22"/>
      <c r="D2066" s="22" t="s">
        <v>10</v>
      </c>
      <c r="E2066" s="22"/>
      <c r="F2066" s="22">
        <f>(0)</f>
      </c>
      <c r="G2066" s="22">
        <f>(C2066 * E2066 + C2066 * E2066 * F2066)</f>
      </c>
    </row>
    <row r="2067">
      <c r="A2067" s="5" t="s">
        <v>40</v>
      </c>
      <c r="B2067" s="14" t="s">
        <v>41</v>
      </c>
      <c r="C2067" s="22"/>
      <c r="D2067" s="22" t="s">
        <v>10</v>
      </c>
      <c r="E2067" s="22"/>
      <c r="F2067" s="22">
        <f>(0)</f>
      </c>
      <c r="G2067" s="22">
        <f>(C2067 * E2067 + C2067 * E2067 * F2067)</f>
      </c>
    </row>
    <row r="2068">
      <c r="A2068" s="3"/>
      <c r="B2068" s="11" t="s">
        <v>42</v>
      </c>
      <c r="C2068" s="20"/>
      <c r="D2068" s="20"/>
      <c r="E2068" s="20"/>
      <c r="F2068" s="20"/>
      <c r="G2068" s="20"/>
    </row>
    <row r="2069">
      <c r="A2069" s="5"/>
      <c r="B2069" s="14" t="s">
        <v>43</v>
      </c>
      <c r="C2069" s="22"/>
      <c r="D2069" s="22" t="s">
        <v>10</v>
      </c>
      <c r="E2069" s="22"/>
      <c r="F2069" s="22">
        <f>(0)</f>
      </c>
      <c r="G2069" s="22">
        <f>(C2069 * E2069 + C2069 * E2069 * F2069)</f>
      </c>
    </row>
    <row r="2070">
      <c r="A2070" s="3"/>
      <c r="B2070" s="11" t="s">
        <v>44</v>
      </c>
      <c r="C2070" s="20"/>
      <c r="D2070" s="20"/>
      <c r="E2070" s="20"/>
      <c r="F2070" s="20"/>
      <c r="G2070" s="20"/>
    </row>
    <row r="2071">
      <c r="A2071" s="4"/>
      <c r="B2071" s="12" t="s">
        <v>45</v>
      </c>
      <c r="C2071" s="21"/>
      <c r="D2071" s="21"/>
      <c r="E2071" s="21"/>
      <c r="F2071" s="21"/>
      <c r="G2071" s="21"/>
    </row>
    <row r="2072">
      <c r="A2072" s="5" t="s">
        <v>46</v>
      </c>
      <c r="B2072" s="13" t="s">
        <v>47</v>
      </c>
      <c r="C2072" s="22"/>
      <c r="D2072" s="22" t="s">
        <v>10</v>
      </c>
      <c r="E2072" s="22"/>
      <c r="F2072" s="22">
        <f>(0)</f>
      </c>
      <c r="G2072" s="22">
        <f>(C2072 * E2072 + C2072 * E2072 * F2072)</f>
      </c>
    </row>
    <row r="2073">
      <c r="A2073" s="5" t="s">
        <v>48</v>
      </c>
      <c r="B2073" s="13" t="s">
        <v>49</v>
      </c>
      <c r="C2073" s="22"/>
      <c r="D2073" s="22" t="s">
        <v>10</v>
      </c>
      <c r="E2073" s="22"/>
      <c r="F2073" s="22">
        <f>(0)</f>
      </c>
      <c r="G2073" s="22">
        <f>(C2073 * E2073 + C2073 * E2073 * F2073)</f>
      </c>
    </row>
    <row r="2074">
      <c r="A2074" s="5" t="s">
        <v>50</v>
      </c>
      <c r="B2074" s="13" t="s">
        <v>51</v>
      </c>
      <c r="C2074" s="22"/>
      <c r="D2074" s="22" t="s">
        <v>10</v>
      </c>
      <c r="E2074" s="22"/>
      <c r="F2074" s="22">
        <f>(0)</f>
      </c>
      <c r="G2074" s="22">
        <f>(C2074 * E2074 + C2074 * E2074 * F2074)</f>
      </c>
    </row>
    <row r="2075">
      <c r="A2075" s="5" t="s">
        <v>52</v>
      </c>
      <c r="B2075" s="13" t="s">
        <v>53</v>
      </c>
      <c r="C2075" s="22"/>
      <c r="D2075" s="22" t="s">
        <v>10</v>
      </c>
      <c r="E2075" s="22"/>
      <c r="F2075" s="22">
        <f>(0)</f>
      </c>
      <c r="G2075" s="22">
        <f>(C2075 * E2075 + C2075 * E2075 * F2075)</f>
      </c>
    </row>
    <row r="2076">
      <c r="A2076" s="5" t="s">
        <v>54</v>
      </c>
      <c r="B2076" s="13" t="s">
        <v>55</v>
      </c>
      <c r="C2076" s="22"/>
      <c r="D2076" s="22" t="s">
        <v>10</v>
      </c>
      <c r="E2076" s="22"/>
      <c r="F2076" s="22">
        <f>(0)</f>
      </c>
      <c r="G2076" s="22">
        <f>(C2076 * E2076 + C2076 * E2076 * F2076)</f>
      </c>
    </row>
    <row r="2077">
      <c r="A2077" s="5" t="s">
        <v>56</v>
      </c>
      <c r="B2077" s="13" t="s">
        <v>57</v>
      </c>
      <c r="C2077" s="22"/>
      <c r="D2077" s="22" t="s">
        <v>10</v>
      </c>
      <c r="E2077" s="22"/>
      <c r="F2077" s="22">
        <f>(0)</f>
      </c>
      <c r="G2077" s="22">
        <f>(C2077 * E2077 + C2077 * E2077 * F2077)</f>
      </c>
    </row>
    <row r="2078">
      <c r="A2078" s="5" t="s">
        <v>58</v>
      </c>
      <c r="B2078" s="13" t="s">
        <v>59</v>
      </c>
      <c r="C2078" s="22"/>
      <c r="D2078" s="22" t="s">
        <v>10</v>
      </c>
      <c r="E2078" s="22"/>
      <c r="F2078" s="22">
        <f>(0)</f>
      </c>
      <c r="G2078" s="22">
        <f>(C2078 * E2078 + C2078 * E2078 * F2078)</f>
      </c>
    </row>
    <row r="2079">
      <c r="A2079" s="5" t="s">
        <v>60</v>
      </c>
      <c r="B2079" s="13" t="s">
        <v>61</v>
      </c>
      <c r="C2079" s="22"/>
      <c r="D2079" s="22" t="s">
        <v>10</v>
      </c>
      <c r="E2079" s="22"/>
      <c r="F2079" s="22">
        <f>(0)</f>
      </c>
      <c r="G2079" s="22">
        <f>(C2079 * E2079 + C2079 * E2079 * F2079)</f>
      </c>
    </row>
    <row r="2080">
      <c r="A2080" s="5" t="s">
        <v>62</v>
      </c>
      <c r="B2080" s="13" t="s">
        <v>63</v>
      </c>
      <c r="C2080" s="22"/>
      <c r="D2080" s="22" t="s">
        <v>10</v>
      </c>
      <c r="E2080" s="22"/>
      <c r="F2080" s="22">
        <f>(0)</f>
      </c>
      <c r="G2080" s="22">
        <f>(C2080 * E2080 + C2080 * E2080 * F2080)</f>
      </c>
    </row>
    <row r="2081">
      <c r="A2081" s="5" t="s">
        <v>64</v>
      </c>
      <c r="B2081" s="13" t="s">
        <v>65</v>
      </c>
      <c r="C2081" s="22"/>
      <c r="D2081" s="22" t="s">
        <v>10</v>
      </c>
      <c r="E2081" s="22"/>
      <c r="F2081" s="22">
        <f>(0)</f>
      </c>
      <c r="G2081" s="22">
        <f>(C2081 * E2081 + C2081 * E2081 * F2081)</f>
      </c>
    </row>
    <row r="2082">
      <c r="A2082" s="5" t="s">
        <v>66</v>
      </c>
      <c r="B2082" s="13" t="s">
        <v>67</v>
      </c>
      <c r="C2082" s="22"/>
      <c r="D2082" s="22" t="s">
        <v>10</v>
      </c>
      <c r="E2082" s="22"/>
      <c r="F2082" s="22">
        <f>(0)</f>
      </c>
      <c r="G2082" s="22">
        <f>(C2082 * E2082 + C2082 * E2082 * F2082)</f>
      </c>
    </row>
    <row r="2083">
      <c r="A2083" s="3"/>
      <c r="B2083" s="11" t="s">
        <v>68</v>
      </c>
      <c r="C2083" s="20"/>
      <c r="D2083" s="20"/>
      <c r="E2083" s="20"/>
      <c r="F2083" s="20"/>
      <c r="G2083" s="20"/>
    </row>
    <row r="2084">
      <c r="A2084" s="5" t="s">
        <v>69</v>
      </c>
      <c r="B2084" s="14" t="s">
        <v>70</v>
      </c>
      <c r="C2084" s="22">
        <f>(1)*(1)*(1)*(1)*(1 + (0))</f>
      </c>
      <c r="D2084" s="22" t="s">
        <v>71</v>
      </c>
      <c r="E2084" s="22"/>
      <c r="F2084" s="22">
        <f>(0)</f>
      </c>
      <c r="G2084" s="22">
        <f>(C2084 * E2084 + C2084 * E2084 * F2084)</f>
      </c>
    </row>
    <row r="2085">
      <c r="A2085" s="5" t="s">
        <v>72</v>
      </c>
      <c r="B2085" s="14" t="s">
        <v>73</v>
      </c>
      <c r="C2085" s="22">
        <f>(1)*(1)*(1)*(1)*(1 + (0))</f>
      </c>
      <c r="D2085" s="22" t="s">
        <v>71</v>
      </c>
      <c r="E2085" s="22"/>
      <c r="F2085" s="22">
        <f>(0)</f>
      </c>
      <c r="G2085" s="22">
        <f>(C2085 * E2085 + C2085 * E2085 * F2085)</f>
      </c>
    </row>
    <row r="2086">
      <c r="A2086" s="5" t="s">
        <v>74</v>
      </c>
      <c r="B2086" s="14" t="s">
        <v>75</v>
      </c>
      <c r="C2086" s="22">
        <f>(1)*(1)*(1)*(1)*(1 + (0))</f>
      </c>
      <c r="D2086" s="22" t="s">
        <v>71</v>
      </c>
      <c r="E2086" s="22"/>
      <c r="F2086" s="22">
        <f>(0)</f>
      </c>
      <c r="G2086" s="22">
        <f>(C2086 * E2086 + C2086 * E2086 * F2086)</f>
      </c>
    </row>
    <row r="2087">
      <c r="A2087" s="5" t="s">
        <v>76</v>
      </c>
      <c r="B2087" s="14" t="s">
        <v>77</v>
      </c>
      <c r="C2087" s="22">
        <f>(1)*(1)*(1)*(1)*(1 + (0))</f>
      </c>
      <c r="D2087" s="22" t="s">
        <v>71</v>
      </c>
      <c r="E2087" s="22"/>
      <c r="F2087" s="22">
        <f>(0)</f>
      </c>
      <c r="G2087" s="22">
        <f>(C2087 * E2087 + C2087 * E2087 * F2087)</f>
      </c>
    </row>
    <row r="2088">
      <c r="A2088" s="5" t="s">
        <v>78</v>
      </c>
      <c r="B2088" s="14" t="s">
        <v>79</v>
      </c>
      <c r="C2088" s="22">
        <f>(1)*(1)*(1)*(1)*(1 + (0))</f>
      </c>
      <c r="D2088" s="22" t="s">
        <v>71</v>
      </c>
      <c r="E2088" s="22"/>
      <c r="F2088" s="22">
        <f>(0)</f>
      </c>
      <c r="G2088" s="22">
        <f>(C2088 * E2088 + C2088 * E2088 * F2088)</f>
      </c>
    </row>
    <row r="2089">
      <c r="A2089" s="5" t="s">
        <v>80</v>
      </c>
      <c r="B2089" s="14" t="s">
        <v>81</v>
      </c>
      <c r="C2089" s="22">
        <f>(1)*(1)*(1)*(1)*(1 + (0))</f>
      </c>
      <c r="D2089" s="22" t="s">
        <v>71</v>
      </c>
      <c r="E2089" s="22"/>
      <c r="F2089" s="22">
        <f>(0)</f>
      </c>
      <c r="G2089" s="22">
        <f>(C2089 * E2089 + C2089 * E2089 * F2089)</f>
      </c>
    </row>
    <row r="2090">
      <c r="A2090" s="5" t="s">
        <v>82</v>
      </c>
      <c r="B2090" s="14" t="s">
        <v>83</v>
      </c>
      <c r="C2090" s="22">
        <f>(1)*(1)*(1)*(1)*(1 + (0))</f>
      </c>
      <c r="D2090" s="22" t="s">
        <v>71</v>
      </c>
      <c r="E2090" s="22"/>
      <c r="F2090" s="22">
        <f>(0)</f>
      </c>
      <c r="G2090" s="22">
        <f>(C2090 * E2090 + C2090 * E2090 * F2090)</f>
      </c>
    </row>
    <row r="2091">
      <c r="A2091" s="5" t="s">
        <v>84</v>
      </c>
      <c r="B2091" s="14" t="s">
        <v>85</v>
      </c>
      <c r="C2091" s="22">
        <f>(1)*(1)*(1)*(1)*(1 + (0))</f>
      </c>
      <c r="D2091" s="22" t="s">
        <v>71</v>
      </c>
      <c r="E2091" s="22"/>
      <c r="F2091" s="22">
        <f>(0)</f>
      </c>
      <c r="G2091" s="22">
        <f>(C2091 * E2091 + C2091 * E2091 * F2091)</f>
      </c>
    </row>
    <row r="2092">
      <c r="A2092" s="5" t="s">
        <v>86</v>
      </c>
      <c r="B2092" s="14" t="s">
        <v>87</v>
      </c>
      <c r="C2092" s="22">
        <f>(1)*(1)*(1)*(1)*(1 + (0))</f>
      </c>
      <c r="D2092" s="22" t="s">
        <v>71</v>
      </c>
      <c r="E2092" s="22"/>
      <c r="F2092" s="22">
        <f>(0)</f>
      </c>
      <c r="G2092" s="22">
        <f>(C2092 * E2092 + C2092 * E2092 * F2092)</f>
      </c>
    </row>
    <row r="2093">
      <c r="A2093" s="5" t="s">
        <v>88</v>
      </c>
      <c r="B2093" s="14" t="s">
        <v>89</v>
      </c>
      <c r="C2093" s="22">
        <f>(1)*(1)*(1)*(1)*(1 + (0))</f>
      </c>
      <c r="D2093" s="22" t="s">
        <v>71</v>
      </c>
      <c r="E2093" s="22"/>
      <c r="F2093" s="22">
        <f>(0)</f>
      </c>
      <c r="G2093" s="22">
        <f>(C2093 * E2093 + C2093 * E2093 * F2093)</f>
      </c>
    </row>
    <row r="2094">
      <c r="A2094" s="5" t="s">
        <v>90</v>
      </c>
      <c r="B2094" s="14" t="s">
        <v>91</v>
      </c>
      <c r="C2094" s="22">
        <f>(1)*(1)*(1)*(1)*(1 + (0))</f>
      </c>
      <c r="D2094" s="22" t="s">
        <v>71</v>
      </c>
      <c r="E2094" s="22"/>
      <c r="F2094" s="22">
        <f>(0)</f>
      </c>
      <c r="G2094" s="22">
        <f>(C2094 * E2094 + C2094 * E2094 * F2094)</f>
      </c>
    </row>
    <row r="2095">
      <c r="A2095" s="5" t="s">
        <v>92</v>
      </c>
      <c r="B2095" s="14" t="s">
        <v>93</v>
      </c>
      <c r="C2095" s="22">
        <f>(1)*(1)*(1)*(1)*(1 + (0))</f>
      </c>
      <c r="D2095" s="22" t="s">
        <v>71</v>
      </c>
      <c r="E2095" s="22"/>
      <c r="F2095" s="22">
        <f>(0)</f>
      </c>
      <c r="G2095" s="22">
        <f>(C2095 * E2095 + C2095 * E2095 * F2095)</f>
      </c>
    </row>
    <row r="2096">
      <c r="A2096" s="5" t="s">
        <v>94</v>
      </c>
      <c r="B2096" s="14" t="s">
        <v>95</v>
      </c>
      <c r="C2096" s="22">
        <f>(1)*(1)*(1)*(1)*(1 + (0))</f>
      </c>
      <c r="D2096" s="22" t="s">
        <v>71</v>
      </c>
      <c r="E2096" s="22"/>
      <c r="F2096" s="22">
        <f>(0)</f>
      </c>
      <c r="G2096" s="22">
        <f>(C2096 * E2096 + C2096 * E2096 * F2096)</f>
      </c>
    </row>
    <row r="2097">
      <c r="A2097" s="5" t="s">
        <v>96</v>
      </c>
      <c r="B2097" s="14" t="s">
        <v>97</v>
      </c>
      <c r="C2097" s="22">
        <f>(1)*(1)*(1)*(1)*(1 + (0))</f>
      </c>
      <c r="D2097" s="22" t="s">
        <v>71</v>
      </c>
      <c r="E2097" s="22"/>
      <c r="F2097" s="22">
        <f>(0)</f>
      </c>
      <c r="G2097" s="22">
        <f>(C2097 * E2097 + C2097 * E2097 * F2097)</f>
      </c>
    </row>
    <row r="2098">
      <c r="A2098" s="5" t="s">
        <v>98</v>
      </c>
      <c r="B2098" s="14" t="s">
        <v>99</v>
      </c>
      <c r="C2098" s="22">
        <f>(1)*(1)*(1)*(1)*(1 + (0))</f>
      </c>
      <c r="D2098" s="22" t="s">
        <v>71</v>
      </c>
      <c r="E2098" s="22"/>
      <c r="F2098" s="22">
        <f>(0)</f>
      </c>
      <c r="G2098" s="22">
        <f>(C2098 * E2098 + C2098 * E2098 * F2098)</f>
      </c>
    </row>
    <row r="2099">
      <c r="A2099" s="5" t="s">
        <v>100</v>
      </c>
      <c r="B2099" s="14" t="s">
        <v>101</v>
      </c>
      <c r="C2099" s="22">
        <f>(1)*(1)*(1)*(1)*(1 + (0))</f>
      </c>
      <c r="D2099" s="22" t="s">
        <v>71</v>
      </c>
      <c r="E2099" s="22"/>
      <c r="F2099" s="22">
        <f>(0)</f>
      </c>
      <c r="G2099" s="22">
        <f>(C2099 * E2099 + C2099 * E2099 * F2099)</f>
      </c>
    </row>
    <row r="2100">
      <c r="A2100" s="5" t="s">
        <v>102</v>
      </c>
      <c r="B2100" s="14" t="s">
        <v>103</v>
      </c>
      <c r="C2100" s="22">
        <f>(1)*(1)*(1)*(1)*(1 + (0))</f>
      </c>
      <c r="D2100" s="22" t="s">
        <v>71</v>
      </c>
      <c r="E2100" s="22"/>
      <c r="F2100" s="22">
        <f>(0)</f>
      </c>
      <c r="G2100" s="22">
        <f>(C2100 * E2100 + C2100 * E2100 * F2100)</f>
      </c>
    </row>
    <row r="2101">
      <c r="A2101" s="5" t="s">
        <v>104</v>
      </c>
      <c r="B2101" s="14" t="s">
        <v>105</v>
      </c>
      <c r="C2101" s="22">
        <f>(1)*(1)*(1)*(1)*(1 + (0))</f>
      </c>
      <c r="D2101" s="22" t="s">
        <v>71</v>
      </c>
      <c r="E2101" s="22"/>
      <c r="F2101" s="22">
        <f>(0)</f>
      </c>
      <c r="G2101" s="22">
        <f>(C2101 * E2101 + C2101 * E2101 * F2101)</f>
      </c>
    </row>
    <row r="2102">
      <c r="A2102" s="3"/>
      <c r="B2102" s="11" t="s">
        <v>106</v>
      </c>
      <c r="C2102" s="20"/>
      <c r="D2102" s="20"/>
      <c r="E2102" s="20"/>
      <c r="F2102" s="20"/>
      <c r="G2102" s="20"/>
    </row>
    <row r="2103">
      <c r="A2103" s="5"/>
      <c r="B2103" s="14" t="s">
        <v>107</v>
      </c>
      <c r="C2103" s="22"/>
      <c r="D2103" s="22" t="s">
        <v>10</v>
      </c>
      <c r="E2103" s="22"/>
      <c r="F2103" s="22">
        <f>(0)</f>
      </c>
      <c r="G2103" s="22">
        <f>(C2103 * E2103 + C2103 * E2103 * F2103)</f>
      </c>
    </row>
    <row r="2104">
      <c r="A2104" s="3"/>
      <c r="B2104" s="11" t="s">
        <v>108</v>
      </c>
      <c r="C2104" s="20"/>
      <c r="D2104" s="20"/>
      <c r="E2104" s="20"/>
      <c r="F2104" s="20"/>
      <c r="G2104" s="20"/>
    </row>
    <row r="2105">
      <c r="A2105" s="4"/>
      <c r="B2105" s="12" t="s">
        <v>109</v>
      </c>
      <c r="C2105" s="21"/>
      <c r="D2105" s="21"/>
      <c r="E2105" s="21"/>
      <c r="F2105" s="21"/>
      <c r="G2105" s="21"/>
    </row>
    <row r="2106">
      <c r="A2106" s="5"/>
      <c r="B2106" s="13" t="s">
        <v>110</v>
      </c>
      <c r="C2106" s="22">
        <f>(19)*(1)*(1)*(1)*(1 + (0))</f>
      </c>
      <c r="D2106" s="22" t="s">
        <v>111</v>
      </c>
      <c r="E2106" s="22"/>
      <c r="F2106" s="22">
        <f>(0)</f>
      </c>
      <c r="G2106" s="22">
        <f>(C2106 * E2106 + C2106 * E2106 * F2106)</f>
      </c>
    </row>
    <row r="2107">
      <c r="A2107" s="5"/>
      <c r="B2107" s="13" t="s">
        <v>113</v>
      </c>
      <c r="C2107" s="22">
        <f>(22)*(1)*(1)*(1)*(1 + (0))</f>
      </c>
      <c r="D2107" s="22" t="s">
        <v>111</v>
      </c>
      <c r="E2107" s="22"/>
      <c r="F2107" s="22">
        <f>(0)</f>
      </c>
      <c r="G2107" s="22">
        <f>(C2107 * E2107 + C2107 * E2107 * F2107)</f>
      </c>
    </row>
    <row r="2108">
      <c r="A2108" s="5"/>
      <c r="B2108" s="13" t="s">
        <v>114</v>
      </c>
      <c r="C2108" s="22">
        <f>(47)*(1)*(1)*(1)*(1 + (0))</f>
      </c>
      <c r="D2108" s="22" t="s">
        <v>111</v>
      </c>
      <c r="E2108" s="22"/>
      <c r="F2108" s="22">
        <f>(0)</f>
      </c>
      <c r="G2108" s="22">
        <f>(C2108 * E2108 + C2108 * E2108 * F2108)</f>
      </c>
    </row>
    <row r="2109">
      <c r="A2109" s="2"/>
      <c r="B2109" s="10" t="s">
        <v>115</v>
      </c>
      <c r="C2109" s="19"/>
      <c r="D2109" s="19"/>
      <c r="E2109" s="19"/>
      <c r="F2109" s="19"/>
      <c r="G2109" s="19"/>
    </row>
    <row r="2110">
      <c r="A2110" s="3"/>
      <c r="B2110" s="11" t="s">
        <v>37</v>
      </c>
      <c r="C2110" s="20"/>
      <c r="D2110" s="20"/>
      <c r="E2110" s="20"/>
      <c r="F2110" s="20"/>
      <c r="G2110" s="20"/>
    </row>
    <row r="2111">
      <c r="A2111" s="5" t="s">
        <v>116</v>
      </c>
      <c r="B2111" s="14" t="s">
        <v>39</v>
      </c>
      <c r="C2111" s="22"/>
      <c r="D2111" s="22" t="s">
        <v>10</v>
      </c>
      <c r="E2111" s="22"/>
      <c r="F2111" s="22">
        <f>(0)</f>
      </c>
      <c r="G2111" s="22">
        <f>(C2111 * E2111 + C2111 * E2111 * F2111)</f>
      </c>
    </row>
    <row r="2112">
      <c r="A2112" s="5" t="s">
        <v>117</v>
      </c>
      <c r="B2112" s="14" t="s">
        <v>41</v>
      </c>
      <c r="C2112" s="22"/>
      <c r="D2112" s="22" t="s">
        <v>10</v>
      </c>
      <c r="E2112" s="22"/>
      <c r="F2112" s="22">
        <f>(0)</f>
      </c>
      <c r="G2112" s="22">
        <f>(C2112 * E2112 + C2112 * E2112 * F2112)</f>
      </c>
    </row>
    <row r="2113">
      <c r="A2113" s="3"/>
      <c r="B2113" s="11" t="s">
        <v>42</v>
      </c>
      <c r="C2113" s="20"/>
      <c r="D2113" s="20"/>
      <c r="E2113" s="20"/>
      <c r="F2113" s="20"/>
      <c r="G2113" s="20"/>
    </row>
    <row r="2114">
      <c r="A2114" s="5"/>
      <c r="B2114" s="14" t="s">
        <v>118</v>
      </c>
      <c r="C2114" s="22"/>
      <c r="D2114" s="22" t="s">
        <v>10</v>
      </c>
      <c r="E2114" s="22"/>
      <c r="F2114" s="22">
        <f>(0)</f>
      </c>
      <c r="G2114" s="22">
        <f>(C2114 * E2114 + C2114 * E2114 * F2114)</f>
      </c>
    </row>
    <row r="2115">
      <c r="A2115" s="5"/>
      <c r="B2115" s="14" t="s">
        <v>1600</v>
      </c>
      <c r="C2115" s="22"/>
      <c r="D2115" s="22" t="s">
        <v>10</v>
      </c>
      <c r="E2115" s="22"/>
      <c r="F2115" s="22">
        <f>(0)</f>
      </c>
      <c r="G2115" s="22">
        <f>(C2115 * E2115 + C2115 * E2115 * F2115)</f>
      </c>
    </row>
    <row r="2116">
      <c r="A2116" s="3"/>
      <c r="B2116" s="11" t="s">
        <v>44</v>
      </c>
      <c r="C2116" s="20"/>
      <c r="D2116" s="20"/>
      <c r="E2116" s="20"/>
      <c r="F2116" s="20"/>
      <c r="G2116" s="20"/>
    </row>
    <row r="2117">
      <c r="A2117" s="4"/>
      <c r="B2117" s="12" t="s">
        <v>45</v>
      </c>
      <c r="C2117" s="21"/>
      <c r="D2117" s="21"/>
      <c r="E2117" s="21"/>
      <c r="F2117" s="21"/>
      <c r="G2117" s="21"/>
    </row>
    <row r="2118">
      <c r="A2118" s="5" t="s">
        <v>120</v>
      </c>
      <c r="B2118" s="13" t="s">
        <v>121</v>
      </c>
      <c r="C2118" s="22"/>
      <c r="D2118" s="22" t="s">
        <v>10</v>
      </c>
      <c r="E2118" s="22"/>
      <c r="F2118" s="22">
        <f>(0)</f>
      </c>
      <c r="G2118" s="22">
        <f>(C2118 * E2118 + C2118 * E2118 * F2118)</f>
      </c>
    </row>
    <row r="2119">
      <c r="A2119" s="5" t="s">
        <v>122</v>
      </c>
      <c r="B2119" s="13" t="s">
        <v>123</v>
      </c>
      <c r="C2119" s="22"/>
      <c r="D2119" s="22" t="s">
        <v>10</v>
      </c>
      <c r="E2119" s="22"/>
      <c r="F2119" s="22">
        <f>(0)</f>
      </c>
      <c r="G2119" s="22">
        <f>(C2119 * E2119 + C2119 * E2119 * F2119)</f>
      </c>
    </row>
    <row r="2120">
      <c r="A2120" s="5" t="s">
        <v>124</v>
      </c>
      <c r="B2120" s="13" t="s">
        <v>125</v>
      </c>
      <c r="C2120" s="22"/>
      <c r="D2120" s="22" t="s">
        <v>10</v>
      </c>
      <c r="E2120" s="22"/>
      <c r="F2120" s="22">
        <f>(0)</f>
      </c>
      <c r="G2120" s="22">
        <f>(C2120 * E2120 + C2120 * E2120 * F2120)</f>
      </c>
    </row>
    <row r="2121">
      <c r="A2121" s="5" t="s">
        <v>126</v>
      </c>
      <c r="B2121" s="13" t="s">
        <v>127</v>
      </c>
      <c r="C2121" s="22"/>
      <c r="D2121" s="22" t="s">
        <v>10</v>
      </c>
      <c r="E2121" s="22"/>
      <c r="F2121" s="22">
        <f>(0)</f>
      </c>
      <c r="G2121" s="22">
        <f>(C2121 * E2121 + C2121 * E2121 * F2121)</f>
      </c>
    </row>
    <row r="2122">
      <c r="A2122" s="3"/>
      <c r="B2122" s="11" t="s">
        <v>68</v>
      </c>
      <c r="C2122" s="20"/>
      <c r="D2122" s="20"/>
      <c r="E2122" s="20"/>
      <c r="F2122" s="20"/>
      <c r="G2122" s="20"/>
    </row>
    <row r="2123">
      <c r="A2123" s="5" t="s">
        <v>128</v>
      </c>
      <c r="B2123" s="14" t="s">
        <v>129</v>
      </c>
      <c r="C2123" s="22">
        <f>(1)*(1)*(1)*(1)*(1 + (0))</f>
      </c>
      <c r="D2123" s="22" t="s">
        <v>71</v>
      </c>
      <c r="E2123" s="22"/>
      <c r="F2123" s="22">
        <f>(0)</f>
      </c>
      <c r="G2123" s="22">
        <f>(C2123 * E2123 + C2123 * E2123 * F2123)</f>
      </c>
    </row>
    <row r="2124">
      <c r="A2124" s="5" t="s">
        <v>130</v>
      </c>
      <c r="B2124" s="14" t="s">
        <v>131</v>
      </c>
      <c r="C2124" s="22">
        <f>(1)*(1)*(1)*(1)*(1 + (0))</f>
      </c>
      <c r="D2124" s="22" t="s">
        <v>71</v>
      </c>
      <c r="E2124" s="22"/>
      <c r="F2124" s="22">
        <f>(0)</f>
      </c>
      <c r="G2124" s="22">
        <f>(C2124 * E2124 + C2124 * E2124 * F2124)</f>
      </c>
    </row>
    <row r="2125">
      <c r="A2125" s="5" t="s">
        <v>132</v>
      </c>
      <c r="B2125" s="14" t="s">
        <v>73</v>
      </c>
      <c r="C2125" s="22">
        <f>(1)*(1)*(1)*(1)*(1 + (0))</f>
      </c>
      <c r="D2125" s="22" t="s">
        <v>71</v>
      </c>
      <c r="E2125" s="22"/>
      <c r="F2125" s="22">
        <f>(0)</f>
      </c>
      <c r="G2125" s="22">
        <f>(C2125 * E2125 + C2125 * E2125 * F2125)</f>
      </c>
    </row>
    <row r="2126">
      <c r="A2126" s="5" t="s">
        <v>133</v>
      </c>
      <c r="B2126" s="14" t="s">
        <v>134</v>
      </c>
      <c r="C2126" s="22">
        <f>(1)*(1)*(1)*(1)*(1 + (0))</f>
      </c>
      <c r="D2126" s="22" t="s">
        <v>71</v>
      </c>
      <c r="E2126" s="22"/>
      <c r="F2126" s="22">
        <f>(0)</f>
      </c>
      <c r="G2126" s="22">
        <f>(C2126 * E2126 + C2126 * E2126 * F2126)</f>
      </c>
    </row>
    <row r="2127">
      <c r="A2127" s="5" t="s">
        <v>135</v>
      </c>
      <c r="B2127" s="14" t="s">
        <v>136</v>
      </c>
      <c r="C2127" s="22">
        <f>(1)*(1)*(1)*(1)*(1 + (0))</f>
      </c>
      <c r="D2127" s="22" t="s">
        <v>71</v>
      </c>
      <c r="E2127" s="22"/>
      <c r="F2127" s="22">
        <f>(0)</f>
      </c>
      <c r="G2127" s="22">
        <f>(C2127 * E2127 + C2127 * E2127 * F2127)</f>
      </c>
    </row>
    <row r="2128">
      <c r="A2128" s="5" t="s">
        <v>137</v>
      </c>
      <c r="B2128" s="14" t="s">
        <v>138</v>
      </c>
      <c r="C2128" s="22">
        <f>(1)*(1)*(1)*(1)*(1 + (0))</f>
      </c>
      <c r="D2128" s="22" t="s">
        <v>71</v>
      </c>
      <c r="E2128" s="22"/>
      <c r="F2128" s="22">
        <f>(0)</f>
      </c>
      <c r="G2128" s="22">
        <f>(C2128 * E2128 + C2128 * E2128 * F2128)</f>
      </c>
    </row>
    <row r="2129">
      <c r="A2129" s="5" t="s">
        <v>139</v>
      </c>
      <c r="B2129" s="14" t="s">
        <v>140</v>
      </c>
      <c r="C2129" s="22">
        <f>(1)*(1)*(1)*(1)*(1 + (0))</f>
      </c>
      <c r="D2129" s="22" t="s">
        <v>71</v>
      </c>
      <c r="E2129" s="22"/>
      <c r="F2129" s="22">
        <f>(0)</f>
      </c>
      <c r="G2129" s="22">
        <f>(C2129 * E2129 + C2129 * E2129 * F2129)</f>
      </c>
    </row>
    <row r="2130">
      <c r="A2130" s="5" t="s">
        <v>141</v>
      </c>
      <c r="B2130" s="14" t="s">
        <v>142</v>
      </c>
      <c r="C2130" s="22">
        <f>(1)*(1)*(1)*(1)*(1 + (0))</f>
      </c>
      <c r="D2130" s="22" t="s">
        <v>71</v>
      </c>
      <c r="E2130" s="22"/>
      <c r="F2130" s="22">
        <f>(0)</f>
      </c>
      <c r="G2130" s="22">
        <f>(C2130 * E2130 + C2130 * E2130 * F2130)</f>
      </c>
    </row>
    <row r="2131">
      <c r="A2131" s="5" t="s">
        <v>143</v>
      </c>
      <c r="B2131" s="14" t="s">
        <v>144</v>
      </c>
      <c r="C2131" s="22">
        <f>(1)*(1)*(1)*(1)*(1 + (0))</f>
      </c>
      <c r="D2131" s="22" t="s">
        <v>71</v>
      </c>
      <c r="E2131" s="22"/>
      <c r="F2131" s="22">
        <f>(0)</f>
      </c>
      <c r="G2131" s="22">
        <f>(C2131 * E2131 + C2131 * E2131 * F2131)</f>
      </c>
    </row>
    <row r="2132">
      <c r="A2132" s="5" t="s">
        <v>145</v>
      </c>
      <c r="B2132" s="14" t="s">
        <v>146</v>
      </c>
      <c r="C2132" s="22">
        <f>(1)*(1)*(1)*(1)*(1 + (0))</f>
      </c>
      <c r="D2132" s="22" t="s">
        <v>71</v>
      </c>
      <c r="E2132" s="22"/>
      <c r="F2132" s="22">
        <f>(0)</f>
      </c>
      <c r="G2132" s="22">
        <f>(C2132 * E2132 + C2132 * E2132 * F2132)</f>
      </c>
    </row>
    <row r="2133">
      <c r="A2133" s="5" t="s">
        <v>147</v>
      </c>
      <c r="B2133" s="14" t="s">
        <v>148</v>
      </c>
      <c r="C2133" s="22">
        <f>(1)*(1)*(1)*(1)*(1 + (0))</f>
      </c>
      <c r="D2133" s="22" t="s">
        <v>71</v>
      </c>
      <c r="E2133" s="22"/>
      <c r="F2133" s="22">
        <f>(0)</f>
      </c>
      <c r="G2133" s="22">
        <f>(C2133 * E2133 + C2133 * E2133 * F2133)</f>
      </c>
    </row>
    <row r="2134">
      <c r="A2134" s="5"/>
      <c r="B2134" s="14" t="s">
        <v>149</v>
      </c>
      <c r="C2134" s="22">
        <f>(1)*(1)*(1)*(1)*(1 + (0))</f>
      </c>
      <c r="D2134" s="22" t="s">
        <v>71</v>
      </c>
      <c r="E2134" s="22"/>
      <c r="F2134" s="22">
        <f>(0)</f>
      </c>
      <c r="G2134" s="22">
        <f>(C2134 * E2134 + C2134 * E2134 * F2134)</f>
      </c>
    </row>
    <row r="2135">
      <c r="A2135" s="3"/>
      <c r="B2135" s="11" t="s">
        <v>150</v>
      </c>
      <c r="C2135" s="20"/>
      <c r="D2135" s="20"/>
      <c r="E2135" s="20"/>
      <c r="F2135" s="20"/>
      <c r="G2135" s="20"/>
    </row>
    <row r="2136">
      <c r="A2136" s="4"/>
      <c r="B2136" s="12" t="s">
        <v>151</v>
      </c>
      <c r="C2136" s="21"/>
      <c r="D2136" s="21"/>
      <c r="E2136" s="21"/>
      <c r="F2136" s="21"/>
      <c r="G2136" s="21"/>
    </row>
    <row r="2137">
      <c r="A2137" s="5"/>
      <c r="B2137" s="13" t="s">
        <v>1601</v>
      </c>
      <c r="C2137" s="22">
        <f>(136)*(1)*(1)*(1)*(1 + (0))</f>
      </c>
      <c r="D2137" s="22" t="s">
        <v>153</v>
      </c>
      <c r="E2137" s="22"/>
      <c r="F2137" s="22">
        <f>(0)</f>
      </c>
      <c r="G2137" s="22">
        <f>(C2137 * E2137 + C2137 * E2137 * F2137)</f>
      </c>
    </row>
    <row r="2138">
      <c r="A2138" s="5"/>
      <c r="B2138" s="13" t="s">
        <v>1602</v>
      </c>
      <c r="C2138" s="22">
        <f>(96)*(1)*(1)*(1)*(1 + (0))</f>
      </c>
      <c r="D2138" s="22" t="s">
        <v>153</v>
      </c>
      <c r="E2138" s="22"/>
      <c r="F2138" s="22">
        <f>(0)</f>
      </c>
      <c r="G2138" s="22">
        <f>(C2138 * E2138 + C2138 * E2138 * F2138)</f>
      </c>
    </row>
    <row r="2139">
      <c r="A2139" s="5"/>
      <c r="B2139" s="13" t="s">
        <v>1603</v>
      </c>
      <c r="C2139" s="22">
        <f>(72)*(1)*(1)*(1)*(1 + (0))</f>
      </c>
      <c r="D2139" s="22" t="s">
        <v>153</v>
      </c>
      <c r="E2139" s="22"/>
      <c r="F2139" s="22">
        <f>(0)</f>
      </c>
      <c r="G2139" s="22">
        <f>(C2139 * E2139 + C2139 * E2139 * F2139)</f>
      </c>
    </row>
    <row r="2140">
      <c r="A2140" s="5"/>
      <c r="B2140" s="13" t="s">
        <v>1604</v>
      </c>
      <c r="C2140" s="22">
        <f>(54)*(1)*(1)*(1)*(1 + (0))</f>
      </c>
      <c r="D2140" s="22" t="s">
        <v>153</v>
      </c>
      <c r="E2140" s="22"/>
      <c r="F2140" s="22">
        <f>(0)</f>
      </c>
      <c r="G2140" s="22">
        <f>(C2140 * E2140 + C2140 * E2140 * F2140)</f>
      </c>
    </row>
    <row r="2141">
      <c r="A2141" s="5"/>
      <c r="B2141" s="13" t="s">
        <v>1605</v>
      </c>
      <c r="C2141" s="22">
        <f>(104)*(1)*(1)*(1)*(1 + (0))</f>
      </c>
      <c r="D2141" s="22" t="s">
        <v>153</v>
      </c>
      <c r="E2141" s="22"/>
      <c r="F2141" s="22">
        <f>(0)</f>
      </c>
      <c r="G2141" s="22">
        <f>(C2141 * E2141 + C2141 * E2141 * F2141)</f>
      </c>
    </row>
    <row r="2142">
      <c r="A2142" s="4"/>
      <c r="B2142" s="12" t="s">
        <v>160</v>
      </c>
      <c r="C2142" s="21"/>
      <c r="D2142" s="21"/>
      <c r="E2142" s="21"/>
      <c r="F2142" s="21"/>
      <c r="G2142" s="21"/>
    </row>
    <row r="2143">
      <c r="A2143" s="5"/>
      <c r="B2143" s="13" t="s">
        <v>161</v>
      </c>
      <c r="C2143" s="22">
        <f>(17)*(1)*(1)*(1)*(1 + (0))</f>
      </c>
      <c r="D2143" s="22" t="s">
        <v>162</v>
      </c>
      <c r="E2143" s="22"/>
      <c r="F2143" s="22">
        <f>(0)</f>
      </c>
      <c r="G2143" s="22">
        <f>(C2143 * E2143 + C2143 * E2143 * F2143)</f>
      </c>
    </row>
    <row r="2144">
      <c r="A2144" s="5"/>
      <c r="B2144" s="13" t="s">
        <v>1606</v>
      </c>
      <c r="C2144" s="22">
        <f>(12)*(1)*(1)*(1)*(1 + (0))</f>
      </c>
      <c r="D2144" s="22" t="s">
        <v>162</v>
      </c>
      <c r="E2144" s="22"/>
      <c r="F2144" s="22">
        <f>(0)</f>
      </c>
      <c r="G2144" s="22">
        <f>(C2144 * E2144 + C2144 * E2144 * F2144)</f>
      </c>
    </row>
    <row r="2145">
      <c r="A2145" s="5"/>
      <c r="B2145" s="13" t="s">
        <v>1607</v>
      </c>
      <c r="C2145" s="22">
        <f>(8)*(1)*(1)*(1)*(1 + (0))</f>
      </c>
      <c r="D2145" s="22" t="s">
        <v>162</v>
      </c>
      <c r="E2145" s="22"/>
      <c r="F2145" s="22">
        <f>(0)</f>
      </c>
      <c r="G2145" s="22">
        <f>(C2145 * E2145 + C2145 * E2145 * F2145)</f>
      </c>
    </row>
    <row r="2146">
      <c r="A2146" s="5"/>
      <c r="B2146" s="13" t="s">
        <v>1608</v>
      </c>
      <c r="C2146" s="22">
        <f>(6)*(1)*(1)*(1)*(1 + (0))</f>
      </c>
      <c r="D2146" s="22" t="s">
        <v>162</v>
      </c>
      <c r="E2146" s="22"/>
      <c r="F2146" s="22">
        <f>(0)</f>
      </c>
      <c r="G2146" s="22">
        <f>(C2146 * E2146 + C2146 * E2146 * F2146)</f>
      </c>
    </row>
    <row r="2147">
      <c r="A2147" s="5"/>
      <c r="B2147" s="13" t="s">
        <v>167</v>
      </c>
      <c r="C2147" s="22">
        <f>(13)*(1)*(1)*(1)*(1 + (0))</f>
      </c>
      <c r="D2147" s="22" t="s">
        <v>162</v>
      </c>
      <c r="E2147" s="22"/>
      <c r="F2147" s="22">
        <f>(0)</f>
      </c>
      <c r="G2147" s="22">
        <f>(C2147 * E2147 + C2147 * E2147 * F2147)</f>
      </c>
    </row>
    <row r="2148">
      <c r="A2148" s="4"/>
      <c r="B2148" s="12" t="s">
        <v>169</v>
      </c>
      <c r="C2148" s="21"/>
      <c r="D2148" s="21"/>
      <c r="E2148" s="21"/>
      <c r="F2148" s="21"/>
      <c r="G2148" s="21"/>
    </row>
    <row r="2149">
      <c r="A2149" s="6"/>
      <c r="B2149" s="15" t="s">
        <v>170</v>
      </c>
      <c r="C2149" s="23"/>
      <c r="D2149" s="23"/>
      <c r="E2149" s="23"/>
      <c r="F2149" s="23"/>
      <c r="G2149" s="23"/>
    </row>
    <row r="2150">
      <c r="A2150" s="5"/>
      <c r="B2150" s="16" t="s">
        <v>1609</v>
      </c>
      <c r="C2150" s="22">
        <f>(39)*(1)*(1)*(1)*(1 + (0))</f>
      </c>
      <c r="D2150" s="22" t="s">
        <v>111</v>
      </c>
      <c r="E2150" s="22"/>
      <c r="F2150" s="22">
        <f>(0)</f>
      </c>
      <c r="G2150" s="22">
        <f>(C2150 * E2150 + C2150 * E2150 * F2150)</f>
      </c>
    </row>
    <row r="2151">
      <c r="A2151" s="5"/>
      <c r="B2151" s="16" t="s">
        <v>1610</v>
      </c>
      <c r="C2151" s="22">
        <f>(62)*(1)*(1)*(1)*(1 + (0))</f>
      </c>
      <c r="D2151" s="22" t="s">
        <v>111</v>
      </c>
      <c r="E2151" s="22"/>
      <c r="F2151" s="22">
        <f>(0)</f>
      </c>
      <c r="G2151" s="22">
        <f>(C2151 * E2151 + C2151 * E2151 * F2151)</f>
      </c>
    </row>
    <row r="2152">
      <c r="A2152" s="5"/>
      <c r="B2152" s="16" t="s">
        <v>1611</v>
      </c>
      <c r="C2152" s="22">
        <f>(46)*(1)*(1)*(1)*(1 + (0))</f>
      </c>
      <c r="D2152" s="22" t="s">
        <v>111</v>
      </c>
      <c r="E2152" s="22"/>
      <c r="F2152" s="22">
        <f>(0)</f>
      </c>
      <c r="G2152" s="22">
        <f>(C2152 * E2152 + C2152 * E2152 * F2152)</f>
      </c>
    </row>
    <row r="2153">
      <c r="A2153" s="5"/>
      <c r="B2153" s="16" t="s">
        <v>1612</v>
      </c>
      <c r="C2153" s="22">
        <f>(35)*(1)*(1)*(1)*(1 + (0))</f>
      </c>
      <c r="D2153" s="22" t="s">
        <v>111</v>
      </c>
      <c r="E2153" s="22"/>
      <c r="F2153" s="22">
        <f>(0)</f>
      </c>
      <c r="G2153" s="22">
        <f>(C2153 * E2153 + C2153 * E2153 * F2153)</f>
      </c>
    </row>
    <row r="2154">
      <c r="A2154" s="5"/>
      <c r="B2154" s="16" t="s">
        <v>1613</v>
      </c>
      <c r="C2154" s="22">
        <f>(17)*(1)*(1)*(1)*(1 + (0))</f>
      </c>
      <c r="D2154" s="22" t="s">
        <v>111</v>
      </c>
      <c r="E2154" s="22"/>
      <c r="F2154" s="22">
        <f>(0)</f>
      </c>
      <c r="G2154" s="22">
        <f>(C2154 * E2154 + C2154 * E2154 * F2154)</f>
      </c>
    </row>
    <row r="2155">
      <c r="A2155" s="4"/>
      <c r="B2155" s="12" t="s">
        <v>178</v>
      </c>
      <c r="C2155" s="21"/>
      <c r="D2155" s="21"/>
      <c r="E2155" s="21"/>
      <c r="F2155" s="21"/>
      <c r="G2155" s="21"/>
    </row>
    <row r="2156">
      <c r="A2156" s="6"/>
      <c r="B2156" s="15" t="s">
        <v>179</v>
      </c>
      <c r="C2156" s="23"/>
      <c r="D2156" s="23"/>
      <c r="E2156" s="23"/>
      <c r="F2156" s="23"/>
      <c r="G2156" s="23"/>
    </row>
    <row r="2157">
      <c r="A2157" s="5"/>
      <c r="B2157" s="16" t="s">
        <v>180</v>
      </c>
      <c r="C2157" s="22"/>
      <c r="D2157" s="22"/>
      <c r="E2157" s="22"/>
      <c r="F2157" s="22"/>
      <c r="G2157" s="22"/>
    </row>
    <row r="2158">
      <c r="A2158" s="5"/>
      <c r="B2158" s="17" t="s">
        <v>181</v>
      </c>
      <c r="C2158" s="22">
        <f>(3.84336)*(1)*(1)*(1)*(1 + (0))</f>
      </c>
      <c r="D2158" s="22" t="s">
        <v>182</v>
      </c>
      <c r="E2158" s="22"/>
      <c r="F2158" s="22">
        <f>(0)</f>
      </c>
      <c r="G2158" s="22">
        <f>(C2158 * E2158 + C2158 * E2158 * F2158)</f>
      </c>
    </row>
    <row r="2159">
      <c r="A2159" s="5"/>
      <c r="B2159" s="17" t="s">
        <v>1614</v>
      </c>
      <c r="C2159" s="22">
        <f>(6.10416)*(1)*(1)*(1)*(1 + (0))</f>
      </c>
      <c r="D2159" s="22" t="s">
        <v>182</v>
      </c>
      <c r="E2159" s="22"/>
      <c r="F2159" s="22">
        <f>(0)</f>
      </c>
      <c r="G2159" s="22">
        <f>(C2159 * E2159 + C2159 * E2159 * F2159)</f>
      </c>
    </row>
    <row r="2160">
      <c r="A2160" s="5"/>
      <c r="B2160" s="17" t="s">
        <v>1615</v>
      </c>
      <c r="C2160" s="22">
        <f>(12.818736)*(1)*(1)*(1)*(1 + (0))</f>
      </c>
      <c r="D2160" s="22" t="s">
        <v>182</v>
      </c>
      <c r="E2160" s="22"/>
      <c r="F2160" s="22">
        <f>(0)</f>
      </c>
      <c r="G2160" s="22">
        <f>(C2160 * E2160 + C2160 * E2160 * F2160)</f>
      </c>
    </row>
    <row r="2161">
      <c r="A2161" s="5"/>
      <c r="B2161" s="17" t="s">
        <v>1616</v>
      </c>
      <c r="C2161" s="22">
        <f>(9.614052)*(1)*(1)*(1)*(1 + (0))</f>
      </c>
      <c r="D2161" s="22" t="s">
        <v>182</v>
      </c>
      <c r="E2161" s="22"/>
      <c r="F2161" s="22">
        <f>(0)</f>
      </c>
      <c r="G2161" s="22">
        <f>(C2161 * E2161 + C2161 * E2161 * F2161)</f>
      </c>
    </row>
    <row r="2162">
      <c r="A2162" s="5"/>
      <c r="B2162" s="17" t="s">
        <v>187</v>
      </c>
      <c r="C2162" s="22">
        <f>(1.65321)*(1)*(1)*(1)*(1 + (0))</f>
      </c>
      <c r="D2162" s="22" t="s">
        <v>182</v>
      </c>
      <c r="E2162" s="22"/>
      <c r="F2162" s="22">
        <f>(0)</f>
      </c>
      <c r="G2162" s="22">
        <f>(C2162 * E2162 + C2162 * E2162 * F2162)</f>
      </c>
    </row>
    <row r="2163">
      <c r="A2163" s="4"/>
      <c r="B2163" s="12" t="s">
        <v>189</v>
      </c>
      <c r="C2163" s="21"/>
      <c r="D2163" s="21"/>
      <c r="E2163" s="21"/>
      <c r="F2163" s="21"/>
      <c r="G2163" s="21"/>
    </row>
    <row r="2164">
      <c r="A2164" s="5"/>
      <c r="B2164" s="13" t="s">
        <v>190</v>
      </c>
      <c r="C2164" s="22">
        <f>(39)*(1)*(1)*(1)*(1 + (0))</f>
      </c>
      <c r="D2164" s="22" t="s">
        <v>111</v>
      </c>
      <c r="E2164" s="22"/>
      <c r="F2164" s="22">
        <f>(0)</f>
      </c>
      <c r="G2164" s="22">
        <f>(C2164 * E2164 + C2164 * E2164 * F2164)</f>
      </c>
    </row>
    <row r="2165">
      <c r="A2165" s="5"/>
      <c r="B2165" s="13" t="s">
        <v>1617</v>
      </c>
      <c r="C2165" s="22">
        <f>(62)*(1)*(1)*(1)*(1 + (0))</f>
      </c>
      <c r="D2165" s="22" t="s">
        <v>111</v>
      </c>
      <c r="E2165" s="22"/>
      <c r="F2165" s="22">
        <f>(0)</f>
      </c>
      <c r="G2165" s="22">
        <f>(C2165 * E2165 + C2165 * E2165 * F2165)</f>
      </c>
    </row>
    <row r="2166">
      <c r="A2166" s="5"/>
      <c r="B2166" s="13" t="s">
        <v>1618</v>
      </c>
      <c r="C2166" s="22">
        <f>(46)*(1)*(1)*(1)*(1 + (0))</f>
      </c>
      <c r="D2166" s="22" t="s">
        <v>111</v>
      </c>
      <c r="E2166" s="22"/>
      <c r="F2166" s="22">
        <f>(0)</f>
      </c>
      <c r="G2166" s="22">
        <f>(C2166 * E2166 + C2166 * E2166 * F2166)</f>
      </c>
    </row>
    <row r="2167">
      <c r="A2167" s="5"/>
      <c r="B2167" s="13" t="s">
        <v>1619</v>
      </c>
      <c r="C2167" s="22">
        <f>(35)*(1)*(1)*(1)*(1 + (0))</f>
      </c>
      <c r="D2167" s="22" t="s">
        <v>111</v>
      </c>
      <c r="E2167" s="22"/>
      <c r="F2167" s="22">
        <f>(0)</f>
      </c>
      <c r="G2167" s="22">
        <f>(C2167 * E2167 + C2167 * E2167 * F2167)</f>
      </c>
    </row>
    <row r="2168">
      <c r="A2168" s="5"/>
      <c r="B2168" s="13" t="s">
        <v>195</v>
      </c>
      <c r="C2168" s="22">
        <f>(17)*(1)*(1)*(1)*(1 + (0))</f>
      </c>
      <c r="D2168" s="22" t="s">
        <v>111</v>
      </c>
      <c r="E2168" s="22"/>
      <c r="F2168" s="22">
        <f>(0)</f>
      </c>
      <c r="G2168" s="22">
        <f>(C2168 * E2168 + C2168 * E2168 * F2168)</f>
      </c>
    </row>
    <row r="2169">
      <c r="A2169" s="4"/>
      <c r="B2169" s="12" t="s">
        <v>197</v>
      </c>
      <c r="C2169" s="21"/>
      <c r="D2169" s="21"/>
      <c r="E2169" s="21"/>
      <c r="F2169" s="21"/>
      <c r="G2169" s="21"/>
    </row>
    <row r="2170">
      <c r="A2170" s="6"/>
      <c r="B2170" s="15" t="s">
        <v>198</v>
      </c>
      <c r="C2170" s="23"/>
      <c r="D2170" s="23"/>
      <c r="E2170" s="23"/>
      <c r="F2170" s="23"/>
      <c r="G2170" s="23"/>
    </row>
    <row r="2171">
      <c r="A2171" s="5"/>
      <c r="B2171" s="16" t="s">
        <v>199</v>
      </c>
      <c r="C2171" s="22">
        <f>(17)*(1)*(1)*(1)*(1 + (0))</f>
      </c>
      <c r="D2171" s="22" t="s">
        <v>162</v>
      </c>
      <c r="E2171" s="22"/>
      <c r="F2171" s="22">
        <f>(0)</f>
      </c>
      <c r="G2171" s="22">
        <f>(C2171 * E2171 + C2171 * E2171 * F2171)</f>
      </c>
    </row>
    <row r="2172">
      <c r="A2172" s="5"/>
      <c r="B2172" s="16" t="s">
        <v>1620</v>
      </c>
      <c r="C2172" s="22">
        <f>(12)*(1)*(1)*(1)*(1 + (0))</f>
      </c>
      <c r="D2172" s="22" t="s">
        <v>162</v>
      </c>
      <c r="E2172" s="22"/>
      <c r="F2172" s="22">
        <f>(0)</f>
      </c>
      <c r="G2172" s="22">
        <f>(C2172 * E2172 + C2172 * E2172 * F2172)</f>
      </c>
    </row>
    <row r="2173">
      <c r="A2173" s="5"/>
      <c r="B2173" s="16" t="s">
        <v>1621</v>
      </c>
      <c r="C2173" s="22">
        <f>(8)*(1)*(1)*(1)*(1 + (0))</f>
      </c>
      <c r="D2173" s="22" t="s">
        <v>162</v>
      </c>
      <c r="E2173" s="22"/>
      <c r="F2173" s="22">
        <f>(0)</f>
      </c>
      <c r="G2173" s="22">
        <f>(C2173 * E2173 + C2173 * E2173 * F2173)</f>
      </c>
    </row>
    <row r="2174">
      <c r="A2174" s="5"/>
      <c r="B2174" s="16" t="s">
        <v>1622</v>
      </c>
      <c r="C2174" s="22">
        <f>(6)*(1)*(1)*(1)*(1 + (0))</f>
      </c>
      <c r="D2174" s="22" t="s">
        <v>162</v>
      </c>
      <c r="E2174" s="22"/>
      <c r="F2174" s="22">
        <f>(0)</f>
      </c>
      <c r="G2174" s="22">
        <f>(C2174 * E2174 + C2174 * E2174 * F2174)</f>
      </c>
    </row>
    <row r="2175">
      <c r="A2175" s="5"/>
      <c r="B2175" s="16" t="s">
        <v>204</v>
      </c>
      <c r="C2175" s="22">
        <f>(13)*(1)*(1)*(1)*(1 + (0))</f>
      </c>
      <c r="D2175" s="22" t="s">
        <v>162</v>
      </c>
      <c r="E2175" s="22"/>
      <c r="F2175" s="22">
        <f>(0)</f>
      </c>
      <c r="G2175" s="22">
        <f>(C2175 * E2175 + C2175 * E2175 * F2175)</f>
      </c>
    </row>
    <row r="2176">
      <c r="A2176" s="6"/>
      <c r="B2176" s="15" t="s">
        <v>206</v>
      </c>
      <c r="C2176" s="23"/>
      <c r="D2176" s="23"/>
      <c r="E2176" s="23"/>
      <c r="F2176" s="23"/>
      <c r="G2176" s="23"/>
    </row>
    <row r="2177">
      <c r="A2177" s="5"/>
      <c r="B2177" s="16" t="s">
        <v>199</v>
      </c>
      <c r="C2177" s="22">
        <f>(17)*(1)*(1)*(1)*(1 + (0))</f>
      </c>
      <c r="D2177" s="22" t="s">
        <v>162</v>
      </c>
      <c r="E2177" s="22"/>
      <c r="F2177" s="22">
        <f>(0)</f>
      </c>
      <c r="G2177" s="22">
        <f>(C2177 * E2177 + C2177 * E2177 * F2177)</f>
      </c>
    </row>
    <row r="2178">
      <c r="A2178" s="5"/>
      <c r="B2178" s="16" t="s">
        <v>1620</v>
      </c>
      <c r="C2178" s="22">
        <f>(12)*(1)*(1)*(1)*(1 + (0))</f>
      </c>
      <c r="D2178" s="22" t="s">
        <v>162</v>
      </c>
      <c r="E2178" s="22"/>
      <c r="F2178" s="22">
        <f>(0)</f>
      </c>
      <c r="G2178" s="22">
        <f>(C2178 * E2178 + C2178 * E2178 * F2178)</f>
      </c>
    </row>
    <row r="2179">
      <c r="A2179" s="5"/>
      <c r="B2179" s="16" t="s">
        <v>1621</v>
      </c>
      <c r="C2179" s="22">
        <f>(8)*(1)*(1)*(1)*(1 + (0))</f>
      </c>
      <c r="D2179" s="22" t="s">
        <v>162</v>
      </c>
      <c r="E2179" s="22"/>
      <c r="F2179" s="22">
        <f>(0)</f>
      </c>
      <c r="G2179" s="22">
        <f>(C2179 * E2179 + C2179 * E2179 * F2179)</f>
      </c>
    </row>
    <row r="2180">
      <c r="A2180" s="5"/>
      <c r="B2180" s="16" t="s">
        <v>1622</v>
      </c>
      <c r="C2180" s="22">
        <f>(6)*(1)*(1)*(1)*(1 + (0))</f>
      </c>
      <c r="D2180" s="22" t="s">
        <v>162</v>
      </c>
      <c r="E2180" s="22"/>
      <c r="F2180" s="22">
        <f>(0)</f>
      </c>
      <c r="G2180" s="22">
        <f>(C2180 * E2180 + C2180 * E2180 * F2180)</f>
      </c>
    </row>
    <row r="2181">
      <c r="A2181" s="5"/>
      <c r="B2181" s="16" t="s">
        <v>204</v>
      </c>
      <c r="C2181" s="22">
        <f>(13)*(1)*(1)*(1)*(1 + (0))</f>
      </c>
      <c r="D2181" s="22" t="s">
        <v>162</v>
      </c>
      <c r="E2181" s="22"/>
      <c r="F2181" s="22">
        <f>(0)</f>
      </c>
      <c r="G2181" s="22">
        <f>(C2181 * E2181 + C2181 * E2181 * F2181)</f>
      </c>
    </row>
    <row r="2182">
      <c r="A2182" s="2"/>
      <c r="B2182" s="10" t="s">
        <v>207</v>
      </c>
      <c r="C2182" s="19"/>
      <c r="D2182" s="19"/>
      <c r="E2182" s="19"/>
      <c r="F2182" s="19"/>
      <c r="G2182" s="19"/>
    </row>
    <row r="2183">
      <c r="A2183" s="3"/>
      <c r="B2183" s="11" t="s">
        <v>37</v>
      </c>
      <c r="C2183" s="20"/>
      <c r="D2183" s="20"/>
      <c r="E2183" s="20"/>
      <c r="F2183" s="20"/>
      <c r="G2183" s="20"/>
    </row>
    <row r="2184">
      <c r="A2184" s="5" t="s">
        <v>208</v>
      </c>
      <c r="B2184" s="14" t="s">
        <v>39</v>
      </c>
      <c r="C2184" s="22"/>
      <c r="D2184" s="22" t="s">
        <v>10</v>
      </c>
      <c r="E2184" s="22"/>
      <c r="F2184" s="22">
        <f>(0)</f>
      </c>
      <c r="G2184" s="22">
        <f>(C2184 * E2184 + C2184 * E2184 * F2184)</f>
      </c>
    </row>
    <row r="2185">
      <c r="A2185" s="5" t="s">
        <v>209</v>
      </c>
      <c r="B2185" s="14" t="s">
        <v>41</v>
      </c>
      <c r="C2185" s="22"/>
      <c r="D2185" s="22" t="s">
        <v>10</v>
      </c>
      <c r="E2185" s="22"/>
      <c r="F2185" s="22">
        <f>(0)</f>
      </c>
      <c r="G2185" s="22">
        <f>(C2185 * E2185 + C2185 * E2185 * F2185)</f>
      </c>
    </row>
    <row r="2186">
      <c r="A2186" s="3"/>
      <c r="B2186" s="11" t="s">
        <v>42</v>
      </c>
      <c r="C2186" s="20"/>
      <c r="D2186" s="20"/>
      <c r="E2186" s="20"/>
      <c r="F2186" s="20"/>
      <c r="G2186" s="20"/>
    </row>
    <row r="2187">
      <c r="A2187" s="5"/>
      <c r="B2187" s="14" t="s">
        <v>118</v>
      </c>
      <c r="C2187" s="22"/>
      <c r="D2187" s="22" t="s">
        <v>10</v>
      </c>
      <c r="E2187" s="22"/>
      <c r="F2187" s="22">
        <f>(0)</f>
      </c>
      <c r="G2187" s="22">
        <f>(C2187 * E2187 + C2187 * E2187 * F2187)</f>
      </c>
    </row>
    <row r="2188">
      <c r="A2188" s="5"/>
      <c r="B2188" s="14" t="s">
        <v>43</v>
      </c>
      <c r="C2188" s="22"/>
      <c r="D2188" s="22" t="s">
        <v>10</v>
      </c>
      <c r="E2188" s="22"/>
      <c r="F2188" s="22">
        <f>(0)</f>
      </c>
      <c r="G2188" s="22">
        <f>(C2188 * E2188 + C2188 * E2188 * F2188)</f>
      </c>
    </row>
    <row r="2189">
      <c r="A2189" s="5"/>
      <c r="B2189" s="14" t="s">
        <v>210</v>
      </c>
      <c r="C2189" s="22"/>
      <c r="D2189" s="22" t="s">
        <v>10</v>
      </c>
      <c r="E2189" s="22"/>
      <c r="F2189" s="22">
        <f>(0)</f>
      </c>
      <c r="G2189" s="22">
        <f>(C2189 * E2189 + C2189 * E2189 * F2189)</f>
      </c>
    </row>
    <row r="2190">
      <c r="A2190" s="3"/>
      <c r="B2190" s="11" t="s">
        <v>44</v>
      </c>
      <c r="C2190" s="20"/>
      <c r="D2190" s="20"/>
      <c r="E2190" s="20"/>
      <c r="F2190" s="20"/>
      <c r="G2190" s="20"/>
    </row>
    <row r="2191">
      <c r="A2191" s="4"/>
      <c r="B2191" s="12" t="s">
        <v>45</v>
      </c>
      <c r="C2191" s="21"/>
      <c r="D2191" s="21"/>
      <c r="E2191" s="21"/>
      <c r="F2191" s="21"/>
      <c r="G2191" s="21"/>
    </row>
    <row r="2192">
      <c r="A2192" s="5" t="s">
        <v>211</v>
      </c>
      <c r="B2192" s="13" t="s">
        <v>212</v>
      </c>
      <c r="C2192" s="22"/>
      <c r="D2192" s="22" t="s">
        <v>10</v>
      </c>
      <c r="E2192" s="22"/>
      <c r="F2192" s="22">
        <f>(0)</f>
      </c>
      <c r="G2192" s="22">
        <f>(C2192 * E2192 + C2192 * E2192 * F2192)</f>
      </c>
    </row>
    <row r="2193">
      <c r="A2193" s="5" t="s">
        <v>213</v>
      </c>
      <c r="B2193" s="13" t="s">
        <v>214</v>
      </c>
      <c r="C2193" s="22"/>
      <c r="D2193" s="22" t="s">
        <v>10</v>
      </c>
      <c r="E2193" s="22"/>
      <c r="F2193" s="22">
        <f>(0)</f>
      </c>
      <c r="G2193" s="22">
        <f>(C2193 * E2193 + C2193 * E2193 * F2193)</f>
      </c>
    </row>
    <row r="2194">
      <c r="A2194" s="5" t="s">
        <v>215</v>
      </c>
      <c r="B2194" s="13" t="s">
        <v>216</v>
      </c>
      <c r="C2194" s="22"/>
      <c r="D2194" s="22" t="s">
        <v>10</v>
      </c>
      <c r="E2194" s="22"/>
      <c r="F2194" s="22">
        <f>(0)</f>
      </c>
      <c r="G2194" s="22">
        <f>(C2194 * E2194 + C2194 * E2194 * F2194)</f>
      </c>
    </row>
    <row r="2195">
      <c r="A2195" s="5" t="s">
        <v>217</v>
      </c>
      <c r="B2195" s="13" t="s">
        <v>218</v>
      </c>
      <c r="C2195" s="22"/>
      <c r="D2195" s="22" t="s">
        <v>10</v>
      </c>
      <c r="E2195" s="22"/>
      <c r="F2195" s="22">
        <f>(0)</f>
      </c>
      <c r="G2195" s="22">
        <f>(C2195 * E2195 + C2195 * E2195 * F2195)</f>
      </c>
    </row>
    <row r="2196">
      <c r="A2196" s="5" t="s">
        <v>219</v>
      </c>
      <c r="B2196" s="13" t="s">
        <v>220</v>
      </c>
      <c r="C2196" s="22"/>
      <c r="D2196" s="22" t="s">
        <v>10</v>
      </c>
      <c r="E2196" s="22"/>
      <c r="F2196" s="22">
        <f>(0)</f>
      </c>
      <c r="G2196" s="22">
        <f>(C2196 * E2196 + C2196 * E2196 * F2196)</f>
      </c>
    </row>
    <row r="2197">
      <c r="A2197" s="5" t="s">
        <v>221</v>
      </c>
      <c r="B2197" s="13" t="s">
        <v>123</v>
      </c>
      <c r="C2197" s="22"/>
      <c r="D2197" s="22" t="s">
        <v>10</v>
      </c>
      <c r="E2197" s="22"/>
      <c r="F2197" s="22">
        <f>(0)</f>
      </c>
      <c r="G2197" s="22">
        <f>(C2197 * E2197 + C2197 * E2197 * F2197)</f>
      </c>
    </row>
    <row r="2198">
      <c r="A2198" s="3"/>
      <c r="B2198" s="11" t="s">
        <v>68</v>
      </c>
      <c r="C2198" s="20"/>
      <c r="D2198" s="20"/>
      <c r="E2198" s="20"/>
      <c r="F2198" s="20"/>
      <c r="G2198" s="20"/>
    </row>
    <row r="2199">
      <c r="A2199" s="5" t="s">
        <v>222</v>
      </c>
      <c r="B2199" s="14" t="s">
        <v>223</v>
      </c>
      <c r="C2199" s="22">
        <f>(1)*(1)*(1)*(1)*(1 + (0))</f>
      </c>
      <c r="D2199" s="22" t="s">
        <v>71</v>
      </c>
      <c r="E2199" s="22"/>
      <c r="F2199" s="22">
        <f>(0)</f>
      </c>
      <c r="G2199" s="22">
        <f>(C2199 * E2199 + C2199 * E2199 * F2199)</f>
      </c>
    </row>
    <row r="2200">
      <c r="A2200" s="5" t="s">
        <v>224</v>
      </c>
      <c r="B2200" s="14" t="s">
        <v>70</v>
      </c>
      <c r="C2200" s="22">
        <f>(1)*(1)*(1)*(1)*(1 + (0))</f>
      </c>
      <c r="D2200" s="22" t="s">
        <v>71</v>
      </c>
      <c r="E2200" s="22"/>
      <c r="F2200" s="22">
        <f>(0)</f>
      </c>
      <c r="G2200" s="22">
        <f>(C2200 * E2200 + C2200 * E2200 * F2200)</f>
      </c>
    </row>
    <row r="2201">
      <c r="A2201" s="5" t="s">
        <v>225</v>
      </c>
      <c r="B2201" s="14" t="s">
        <v>73</v>
      </c>
      <c r="C2201" s="22">
        <f>(1)*(1)*(1)*(1)*(1 + (0))</f>
      </c>
      <c r="D2201" s="22" t="s">
        <v>71</v>
      </c>
      <c r="E2201" s="22"/>
      <c r="F2201" s="22">
        <f>(0)</f>
      </c>
      <c r="G2201" s="22">
        <f>(C2201 * E2201 + C2201 * E2201 * F2201)</f>
      </c>
    </row>
    <row r="2202">
      <c r="A2202" s="5" t="s">
        <v>226</v>
      </c>
      <c r="B2202" s="14" t="s">
        <v>134</v>
      </c>
      <c r="C2202" s="22">
        <f>(1)*(1)*(1)*(1)*(1 + (0))</f>
      </c>
      <c r="D2202" s="22" t="s">
        <v>71</v>
      </c>
      <c r="E2202" s="22"/>
      <c r="F2202" s="22">
        <f>(0)</f>
      </c>
      <c r="G2202" s="22">
        <f>(C2202 * E2202 + C2202 * E2202 * F2202)</f>
      </c>
    </row>
    <row r="2203">
      <c r="A2203" s="5" t="s">
        <v>227</v>
      </c>
      <c r="B2203" s="14" t="s">
        <v>228</v>
      </c>
      <c r="C2203" s="22">
        <f>(1)*(1)*(1)*(1)*(1 + (0))</f>
      </c>
      <c r="D2203" s="22" t="s">
        <v>71</v>
      </c>
      <c r="E2203" s="22"/>
      <c r="F2203" s="22">
        <f>(0)</f>
      </c>
      <c r="G2203" s="22">
        <f>(C2203 * E2203 + C2203 * E2203 * F2203)</f>
      </c>
    </row>
    <row r="2204">
      <c r="A2204" s="5" t="s">
        <v>229</v>
      </c>
      <c r="B2204" s="14" t="s">
        <v>230</v>
      </c>
      <c r="C2204" s="22">
        <f>(1)*(1)*(1)*(1)*(1 + (0))</f>
      </c>
      <c r="D2204" s="22" t="s">
        <v>71</v>
      </c>
      <c r="E2204" s="22"/>
      <c r="F2204" s="22">
        <f>(0)</f>
      </c>
      <c r="G2204" s="22">
        <f>(C2204 * E2204 + C2204 * E2204 * F2204)</f>
      </c>
    </row>
    <row r="2205">
      <c r="A2205" s="5" t="s">
        <v>231</v>
      </c>
      <c r="B2205" s="14" t="s">
        <v>232</v>
      </c>
      <c r="C2205" s="22">
        <f>(1)*(1)*(1)*(1)*(1 + (0))</f>
      </c>
      <c r="D2205" s="22" t="s">
        <v>71</v>
      </c>
      <c r="E2205" s="22"/>
      <c r="F2205" s="22">
        <f>(0)</f>
      </c>
      <c r="G2205" s="22">
        <f>(C2205 * E2205 + C2205 * E2205 * F2205)</f>
      </c>
    </row>
    <row r="2206">
      <c r="A2206" s="5" t="s">
        <v>233</v>
      </c>
      <c r="B2206" s="14" t="s">
        <v>234</v>
      </c>
      <c r="C2206" s="22">
        <f>(1)*(1)*(1)*(1)*(1 + (0))</f>
      </c>
      <c r="D2206" s="22" t="s">
        <v>71</v>
      </c>
      <c r="E2206" s="22"/>
      <c r="F2206" s="22">
        <f>(0)</f>
      </c>
      <c r="G2206" s="22">
        <f>(C2206 * E2206 + C2206 * E2206 * F2206)</f>
      </c>
    </row>
    <row r="2207">
      <c r="A2207" s="5" t="s">
        <v>235</v>
      </c>
      <c r="B2207" s="14" t="s">
        <v>236</v>
      </c>
      <c r="C2207" s="22">
        <f>(1)*(1)*(1)*(1)*(1 + (0))</f>
      </c>
      <c r="D2207" s="22" t="s">
        <v>71</v>
      </c>
      <c r="E2207" s="22"/>
      <c r="F2207" s="22">
        <f>(0)</f>
      </c>
      <c r="G2207" s="22">
        <f>(C2207 * E2207 + C2207 * E2207 * F2207)</f>
      </c>
    </row>
    <row r="2208">
      <c r="A2208" s="5" t="s">
        <v>237</v>
      </c>
      <c r="B2208" s="14" t="s">
        <v>238</v>
      </c>
      <c r="C2208" s="22">
        <f>(1)*(1)*(1)*(1)*(1 + (0))</f>
      </c>
      <c r="D2208" s="22" t="s">
        <v>71</v>
      </c>
      <c r="E2208" s="22"/>
      <c r="F2208" s="22">
        <f>(0)</f>
      </c>
      <c r="G2208" s="22">
        <f>(C2208 * E2208 + C2208 * E2208 * F2208)</f>
      </c>
    </row>
    <row r="2209">
      <c r="A2209" s="5" t="s">
        <v>239</v>
      </c>
      <c r="B2209" s="14" t="s">
        <v>240</v>
      </c>
      <c r="C2209" s="22">
        <f>(1)*(1)*(1)*(1)*(1 + (0))</f>
      </c>
      <c r="D2209" s="22" t="s">
        <v>71</v>
      </c>
      <c r="E2209" s="22"/>
      <c r="F2209" s="22">
        <f>(0)</f>
      </c>
      <c r="G2209" s="22">
        <f>(C2209 * E2209 + C2209 * E2209 * F2209)</f>
      </c>
    </row>
    <row r="2210">
      <c r="A2210" s="3"/>
      <c r="B2210" s="11" t="s">
        <v>106</v>
      </c>
      <c r="C2210" s="20"/>
      <c r="D2210" s="20"/>
      <c r="E2210" s="20"/>
      <c r="F2210" s="20"/>
      <c r="G2210" s="20"/>
    </row>
    <row r="2211">
      <c r="A2211" s="5"/>
      <c r="B2211" s="14" t="s">
        <v>241</v>
      </c>
      <c r="C2211" s="22"/>
      <c r="D2211" s="22" t="s">
        <v>10</v>
      </c>
      <c r="E2211" s="22"/>
      <c r="F2211" s="22">
        <f>(0)</f>
      </c>
      <c r="G2211" s="22">
        <f>(C2211 * E2211 + C2211 * E2211 * F2211)</f>
      </c>
    </row>
    <row r="2212">
      <c r="A2212" s="3"/>
      <c r="B2212" s="11" t="s">
        <v>242</v>
      </c>
      <c r="C2212" s="20"/>
      <c r="D2212" s="20"/>
      <c r="E2212" s="20"/>
      <c r="F2212" s="20"/>
      <c r="G2212" s="20"/>
    </row>
    <row r="2213">
      <c r="A2213" s="5"/>
      <c r="B2213" s="14" t="s">
        <v>1623</v>
      </c>
      <c r="C2213" s="22">
        <f>(650)*(1)*(1)*(1)*(1 + (0))</f>
      </c>
      <c r="D2213" s="22" t="s">
        <v>111</v>
      </c>
      <c r="E2213" s="22"/>
      <c r="F2213" s="22">
        <f>(0)</f>
      </c>
      <c r="G2213" s="22">
        <f>(C2213 * E2213 + C2213 * E2213 * F2213)</f>
      </c>
    </row>
    <row r="2214">
      <c r="A2214" s="5"/>
      <c r="B2214" s="14" t="s">
        <v>244</v>
      </c>
      <c r="C2214" s="22">
        <f>(82)*(1)*(1)*(1)*(1 + (0))</f>
      </c>
      <c r="D2214" s="22" t="s">
        <v>111</v>
      </c>
      <c r="E2214" s="22"/>
      <c r="F2214" s="22">
        <f>(0)</f>
      </c>
      <c r="G2214" s="22">
        <f>(C2214 * E2214 + C2214 * E2214 * F2214)</f>
      </c>
    </row>
    <row r="2215">
      <c r="A2215" s="3"/>
      <c r="B2215" s="11" t="s">
        <v>245</v>
      </c>
      <c r="C2215" s="20"/>
      <c r="D2215" s="20"/>
      <c r="E2215" s="20"/>
      <c r="F2215" s="20"/>
      <c r="G2215" s="20"/>
    </row>
    <row r="2216">
      <c r="A2216" s="4"/>
      <c r="B2216" s="12" t="s">
        <v>246</v>
      </c>
      <c r="C2216" s="21"/>
      <c r="D2216" s="21"/>
      <c r="E2216" s="21"/>
      <c r="F2216" s="21"/>
      <c r="G2216" s="21"/>
    </row>
    <row r="2217">
      <c r="A2217" s="6"/>
      <c r="B2217" s="15" t="s">
        <v>252</v>
      </c>
      <c r="C2217" s="23"/>
      <c r="D2217" s="23"/>
      <c r="E2217" s="23"/>
      <c r="F2217" s="23"/>
      <c r="G2217" s="23"/>
    </row>
    <row r="2218">
      <c r="A2218" s="5"/>
      <c r="B2218" s="16" t="s">
        <v>1624</v>
      </c>
      <c r="C2218" s="22">
        <f>(8)*(1)*(1)*(1)*(1 + (0))</f>
      </c>
      <c r="D2218" s="22" t="s">
        <v>111</v>
      </c>
      <c r="E2218" s="22"/>
      <c r="F2218" s="22">
        <f>(0)</f>
      </c>
      <c r="G2218" s="22">
        <f>(C2218 * E2218 + C2218 * E2218 * F2218)</f>
      </c>
    </row>
    <row r="2219">
      <c r="A2219" s="5"/>
      <c r="B2219" s="16" t="s">
        <v>1625</v>
      </c>
      <c r="C2219" s="22">
        <f>(11)*(1)*(1)*(1)*(1 + (0))</f>
      </c>
      <c r="D2219" s="22" t="s">
        <v>111</v>
      </c>
      <c r="E2219" s="22"/>
      <c r="F2219" s="22">
        <f>(0)</f>
      </c>
      <c r="G2219" s="22">
        <f>(C2219 * E2219 + C2219 * E2219 * F2219)</f>
      </c>
    </row>
    <row r="2220">
      <c r="A2220" s="4"/>
      <c r="B2220" s="12" t="s">
        <v>254</v>
      </c>
      <c r="C2220" s="21"/>
      <c r="D2220" s="21"/>
      <c r="E2220" s="21"/>
      <c r="F2220" s="21"/>
      <c r="G2220" s="21"/>
    </row>
    <row r="2221">
      <c r="A2221" s="6"/>
      <c r="B2221" s="15" t="s">
        <v>252</v>
      </c>
      <c r="C2221" s="23"/>
      <c r="D2221" s="23"/>
      <c r="E2221" s="23"/>
      <c r="F2221" s="23"/>
      <c r="G2221" s="23"/>
    </row>
    <row r="2222">
      <c r="A2222" s="5"/>
      <c r="B2222" s="16" t="s">
        <v>1626</v>
      </c>
      <c r="C2222" s="22">
        <f>(22)*(1)*(1)*(1)*(1 + (0))</f>
      </c>
      <c r="D2222" s="22" t="s">
        <v>111</v>
      </c>
      <c r="E2222" s="22"/>
      <c r="F2222" s="22">
        <f>(0)</f>
      </c>
      <c r="G2222" s="22">
        <f>(C2222 * E2222 + C2222 * E2222 * F2222)</f>
      </c>
    </row>
    <row r="2223">
      <c r="A2223" s="4"/>
      <c r="B2223" s="12" t="s">
        <v>256</v>
      </c>
      <c r="C2223" s="21"/>
      <c r="D2223" s="21"/>
      <c r="E2223" s="21"/>
      <c r="F2223" s="21"/>
      <c r="G2223" s="21"/>
    </row>
    <row r="2224">
      <c r="A2224" s="6"/>
      <c r="B2224" s="15" t="s">
        <v>252</v>
      </c>
      <c r="C2224" s="23"/>
      <c r="D2224" s="23"/>
      <c r="E2224" s="23"/>
      <c r="F2224" s="23"/>
      <c r="G2224" s="23"/>
    </row>
    <row r="2225">
      <c r="A2225" s="5"/>
      <c r="B2225" s="16" t="s">
        <v>1627</v>
      </c>
      <c r="C2225" s="22">
        <f>(21)*(1)*(1)*(1)*(1 + (0))</f>
      </c>
      <c r="D2225" s="22" t="s">
        <v>111</v>
      </c>
      <c r="E2225" s="22"/>
      <c r="F2225" s="22">
        <f>(0)</f>
      </c>
      <c r="G2225" s="22">
        <f>(C2225 * E2225 + C2225 * E2225 * F2225)</f>
      </c>
    </row>
    <row r="2226">
      <c r="A2226" s="5"/>
      <c r="B2226" s="16" t="s">
        <v>1628</v>
      </c>
      <c r="C2226" s="22">
        <f>(27)*(1)*(1)*(1)*(1 + (0))</f>
      </c>
      <c r="D2226" s="22" t="s">
        <v>111</v>
      </c>
      <c r="E2226" s="22"/>
      <c r="F2226" s="22">
        <f>(0)</f>
      </c>
      <c r="G2226" s="22">
        <f>(C2226 * E2226 + C2226 * E2226 * F2226)</f>
      </c>
    </row>
    <row r="2227">
      <c r="A2227" s="4"/>
      <c r="B2227" s="12" t="s">
        <v>261</v>
      </c>
      <c r="C2227" s="21"/>
      <c r="D2227" s="21"/>
      <c r="E2227" s="21"/>
      <c r="F2227" s="21"/>
      <c r="G2227" s="21"/>
    </row>
    <row r="2228">
      <c r="A2228" s="6"/>
      <c r="B2228" s="15" t="s">
        <v>252</v>
      </c>
      <c r="C2228" s="23"/>
      <c r="D2228" s="23"/>
      <c r="E2228" s="23"/>
      <c r="F2228" s="23"/>
      <c r="G2228" s="23"/>
    </row>
    <row r="2229">
      <c r="A2229" s="5"/>
      <c r="B2229" s="16" t="s">
        <v>1629</v>
      </c>
      <c r="C2229" s="22">
        <f>(9)*(1)*(1)*(1)*(1 + (0))</f>
      </c>
      <c r="D2229" s="22" t="s">
        <v>111</v>
      </c>
      <c r="E2229" s="22"/>
      <c r="F2229" s="22">
        <f>(0)</f>
      </c>
      <c r="G2229" s="22">
        <f>(C2229 * E2229 + C2229 * E2229 * F2229)</f>
      </c>
    </row>
    <row r="2230">
      <c r="A2230" s="5"/>
      <c r="B2230" s="16" t="s">
        <v>1630</v>
      </c>
      <c r="C2230" s="22">
        <f>(226)*(1)*(1)*(1)*(1 + (0))</f>
      </c>
      <c r="D2230" s="22" t="s">
        <v>111</v>
      </c>
      <c r="E2230" s="22"/>
      <c r="F2230" s="22">
        <f>(0)</f>
      </c>
      <c r="G2230" s="22">
        <f>(C2230 * E2230 + C2230 * E2230 * F2230)</f>
      </c>
    </row>
    <row r="2231">
      <c r="A2231" s="5"/>
      <c r="B2231" s="16" t="s">
        <v>1631</v>
      </c>
      <c r="C2231" s="22">
        <f>(15)*(1)*(1)*(1)*(1 + (0))</f>
      </c>
      <c r="D2231" s="22" t="s">
        <v>111</v>
      </c>
      <c r="E2231" s="22"/>
      <c r="F2231" s="22">
        <f>(0)</f>
      </c>
      <c r="G2231" s="22">
        <f>(C2231 * E2231 + C2231 * E2231 * F2231)</f>
      </c>
    </row>
    <row r="2232">
      <c r="A2232" s="5"/>
      <c r="B2232" s="16" t="s">
        <v>1632</v>
      </c>
      <c r="C2232" s="22">
        <f>(3)*(1)*(1)*(1)*(1 + (0))</f>
      </c>
      <c r="D2232" s="22" t="s">
        <v>111</v>
      </c>
      <c r="E2232" s="22"/>
      <c r="F2232" s="22">
        <f>(0)</f>
      </c>
      <c r="G2232" s="22">
        <f>(C2232 * E2232 + C2232 * E2232 * F2232)</f>
      </c>
    </row>
    <row r="2233">
      <c r="A2233" s="5"/>
      <c r="B2233" s="16" t="s">
        <v>1633</v>
      </c>
      <c r="C2233" s="22">
        <f>(2)*(1)*(1)*(1)*(1 + (0))</f>
      </c>
      <c r="D2233" s="22" t="s">
        <v>111</v>
      </c>
      <c r="E2233" s="22"/>
      <c r="F2233" s="22">
        <f>(0)</f>
      </c>
      <c r="G2233" s="22">
        <f>(C2233 * E2233 + C2233 * E2233 * F2233)</f>
      </c>
    </row>
    <row r="2234">
      <c r="A2234" s="5"/>
      <c r="B2234" s="16" t="s">
        <v>268</v>
      </c>
      <c r="C2234" s="22">
        <f>(5)*(1)*(1)*(1)*(1 + (0))</f>
      </c>
      <c r="D2234" s="22" t="s">
        <v>111</v>
      </c>
      <c r="E2234" s="22"/>
      <c r="F2234" s="22">
        <f>(0)</f>
      </c>
      <c r="G2234" s="22">
        <f>(C2234 * E2234 + C2234 * E2234 * F2234)</f>
      </c>
    </row>
    <row r="2235">
      <c r="A2235" s="5"/>
      <c r="B2235" s="16" t="s">
        <v>1634</v>
      </c>
      <c r="C2235" s="22">
        <f>(149)*(1)*(1)*(1)*(1 + (0))</f>
      </c>
      <c r="D2235" s="22" t="s">
        <v>24</v>
      </c>
      <c r="E2235" s="22"/>
      <c r="F2235" s="22">
        <f>(0)</f>
      </c>
      <c r="G2235" s="22">
        <f>(C2235 * E2235 + C2235 * E2235 * F2235)</f>
      </c>
    </row>
    <row r="2236">
      <c r="A2236" s="4"/>
      <c r="B2236" s="12" t="s">
        <v>271</v>
      </c>
      <c r="C2236" s="21"/>
      <c r="D2236" s="21"/>
      <c r="E2236" s="21"/>
      <c r="F2236" s="21"/>
      <c r="G2236" s="21"/>
    </row>
    <row r="2237">
      <c r="A2237" s="6"/>
      <c r="B2237" s="15" t="s">
        <v>311</v>
      </c>
      <c r="C2237" s="23"/>
      <c r="D2237" s="23"/>
      <c r="E2237" s="23"/>
      <c r="F2237" s="23"/>
      <c r="G2237" s="23"/>
    </row>
    <row r="2238">
      <c r="A2238" s="5"/>
      <c r="B2238" s="16" t="s">
        <v>1635</v>
      </c>
      <c r="C2238" s="22">
        <f>(22)*(1)*(1)*(1)*(1 + (0))</f>
      </c>
      <c r="D2238" s="22" t="s">
        <v>111</v>
      </c>
      <c r="E2238" s="22"/>
      <c r="F2238" s="22">
        <f>(0)</f>
      </c>
      <c r="G2238" s="22">
        <f>(C2238 * E2238 + C2238 * E2238 * F2238)</f>
      </c>
    </row>
    <row r="2239">
      <c r="A2239" s="5"/>
      <c r="B2239" s="16" t="s">
        <v>1636</v>
      </c>
      <c r="C2239" s="22">
        <f>(193)*(1)*(1)*(1)*(1 + (0))</f>
      </c>
      <c r="D2239" s="22" t="s">
        <v>111</v>
      </c>
      <c r="E2239" s="22"/>
      <c r="F2239" s="22">
        <f>(0)</f>
      </c>
      <c r="G2239" s="22">
        <f>(C2239 * E2239 + C2239 * E2239 * F2239)</f>
      </c>
    </row>
    <row r="2240">
      <c r="A2240" s="5"/>
      <c r="B2240" s="16" t="s">
        <v>1637</v>
      </c>
      <c r="C2240" s="22">
        <f>(20)*(1)*(1)*(1)*(1 + (0))</f>
      </c>
      <c r="D2240" s="22" t="s">
        <v>111</v>
      </c>
      <c r="E2240" s="22"/>
      <c r="F2240" s="22">
        <f>(0)</f>
      </c>
      <c r="G2240" s="22">
        <f>(C2240 * E2240 + C2240 * E2240 * F2240)</f>
      </c>
    </row>
    <row r="2241">
      <c r="A2241" s="5"/>
      <c r="B2241" s="16" t="s">
        <v>1638</v>
      </c>
      <c r="C2241" s="22">
        <f>(11)*(1)*(1)*(1)*(1 + (0))</f>
      </c>
      <c r="D2241" s="22" t="s">
        <v>111</v>
      </c>
      <c r="E2241" s="22"/>
      <c r="F2241" s="22">
        <f>(0)</f>
      </c>
      <c r="G2241" s="22">
        <f>(C2241 * E2241 + C2241 * E2241 * F2241)</f>
      </c>
    </row>
    <row r="2242">
      <c r="A2242" s="5"/>
      <c r="B2242" s="16" t="s">
        <v>1639</v>
      </c>
      <c r="C2242" s="22">
        <f>(5)*(1)*(1)*(1)*(1 + (0))</f>
      </c>
      <c r="D2242" s="22" t="s">
        <v>111</v>
      </c>
      <c r="E2242" s="22"/>
      <c r="F2242" s="22">
        <f>(0)</f>
      </c>
      <c r="G2242" s="22">
        <f>(C2242 * E2242 + C2242 * E2242 * F2242)</f>
      </c>
    </row>
    <row r="2243">
      <c r="A2243" s="5"/>
      <c r="B2243" s="16" t="s">
        <v>1640</v>
      </c>
      <c r="C2243" s="22">
        <f>(1)*(1)*(1)*(1)*(1 + (0))</f>
      </c>
      <c r="D2243" s="22" t="s">
        <v>111</v>
      </c>
      <c r="E2243" s="22"/>
      <c r="F2243" s="22">
        <f>(0)</f>
      </c>
      <c r="G2243" s="22">
        <f>(C2243 * E2243 + C2243 * E2243 * F2243)</f>
      </c>
    </row>
    <row r="2244">
      <c r="A2244" s="5"/>
      <c r="B2244" s="16" t="s">
        <v>1641</v>
      </c>
      <c r="C2244" s="22">
        <f>(1)*(1)*(1)*(1)*(1 + (0))</f>
      </c>
      <c r="D2244" s="22" t="s">
        <v>111</v>
      </c>
      <c r="E2244" s="22"/>
      <c r="F2244" s="22">
        <f>(0)</f>
      </c>
      <c r="G2244" s="22">
        <f>(C2244 * E2244 + C2244 * E2244 * F2244)</f>
      </c>
    </row>
    <row r="2245">
      <c r="A2245" s="5"/>
      <c r="B2245" s="16" t="s">
        <v>1642</v>
      </c>
      <c r="C2245" s="22">
        <f>(5)*(1)*(1)*(1)*(1 + (0))</f>
      </c>
      <c r="D2245" s="22" t="s">
        <v>111</v>
      </c>
      <c r="E2245" s="22"/>
      <c r="F2245" s="22">
        <f>(0)</f>
      </c>
      <c r="G2245" s="22">
        <f>(C2245 * E2245 + C2245 * E2245 * F2245)</f>
      </c>
    </row>
    <row r="2246">
      <c r="A2246" s="5"/>
      <c r="B2246" s="16" t="s">
        <v>1643</v>
      </c>
      <c r="C2246" s="22">
        <f>(5)*(1)*(1)*(1)*(1 + (0))</f>
      </c>
      <c r="D2246" s="22" t="s">
        <v>111</v>
      </c>
      <c r="E2246" s="22"/>
      <c r="F2246" s="22">
        <f>(0)</f>
      </c>
      <c r="G2246" s="22">
        <f>(C2246 * E2246 + C2246 * E2246 * F2246)</f>
      </c>
    </row>
    <row r="2247">
      <c r="A2247" s="5"/>
      <c r="B2247" s="16" t="s">
        <v>1644</v>
      </c>
      <c r="C2247" s="22">
        <f>(4)*(1)*(1)*(1)*(1 + (0))</f>
      </c>
      <c r="D2247" s="22" t="s">
        <v>111</v>
      </c>
      <c r="E2247" s="22"/>
      <c r="F2247" s="22">
        <f>(0)</f>
      </c>
      <c r="G2247" s="22">
        <f>(C2247 * E2247 + C2247 * E2247 * F2247)</f>
      </c>
    </row>
    <row r="2248">
      <c r="A2248" s="5"/>
      <c r="B2248" s="16" t="s">
        <v>1645</v>
      </c>
      <c r="C2248" s="22">
        <f>(2)*(1)*(1)*(1)*(1 + (0))</f>
      </c>
      <c r="D2248" s="22" t="s">
        <v>111</v>
      </c>
      <c r="E2248" s="22"/>
      <c r="F2248" s="22">
        <f>(0)</f>
      </c>
      <c r="G2248" s="22">
        <f>(C2248 * E2248 + C2248 * E2248 * F2248)</f>
      </c>
    </row>
    <row r="2249">
      <c r="A2249" s="5"/>
      <c r="B2249" s="16" t="s">
        <v>1646</v>
      </c>
      <c r="C2249" s="22">
        <f>(98)*(1)*(1)*(1)*(1 + (0))</f>
      </c>
      <c r="D2249" s="22" t="s">
        <v>24</v>
      </c>
      <c r="E2249" s="22"/>
      <c r="F2249" s="22">
        <f>(0)</f>
      </c>
      <c r="G2249" s="22">
        <f>(C2249 * E2249 + C2249 * E2249 * F2249)</f>
      </c>
    </row>
    <row r="2250">
      <c r="A2250" s="5"/>
      <c r="B2250" s="16" t="s">
        <v>286</v>
      </c>
      <c r="C2250" s="22">
        <f>(53)*(1)*(1)*(1)*(1 + (0))</f>
      </c>
      <c r="D2250" s="22" t="s">
        <v>153</v>
      </c>
      <c r="E2250" s="22"/>
      <c r="F2250" s="22">
        <f>(0)</f>
      </c>
      <c r="G2250" s="22">
        <f>(C2250 * E2250 + C2250 * E2250 * F2250)</f>
      </c>
    </row>
    <row r="2251">
      <c r="A2251" s="4"/>
      <c r="B2251" s="12" t="s">
        <v>290</v>
      </c>
      <c r="C2251" s="21"/>
      <c r="D2251" s="21"/>
      <c r="E2251" s="21"/>
      <c r="F2251" s="21"/>
      <c r="G2251" s="21"/>
    </row>
    <row r="2252">
      <c r="A2252" s="6"/>
      <c r="B2252" s="15" t="s">
        <v>311</v>
      </c>
      <c r="C2252" s="23"/>
      <c r="D2252" s="23"/>
      <c r="E2252" s="23"/>
      <c r="F2252" s="23"/>
      <c r="G2252" s="23"/>
    </row>
    <row r="2253">
      <c r="A2253" s="5"/>
      <c r="B2253" s="16" t="s">
        <v>1647</v>
      </c>
      <c r="C2253" s="22">
        <f>(3)*(1)*(1)*(1)*(1 + (0))</f>
      </c>
      <c r="D2253" s="22" t="s">
        <v>111</v>
      </c>
      <c r="E2253" s="22"/>
      <c r="F2253" s="22">
        <f>(0)</f>
      </c>
      <c r="G2253" s="22">
        <f>(C2253 * E2253 + C2253 * E2253 * F2253)</f>
      </c>
    </row>
    <row r="2254">
      <c r="A2254" s="4"/>
      <c r="B2254" s="12" t="s">
        <v>292</v>
      </c>
      <c r="C2254" s="21"/>
      <c r="D2254" s="21"/>
      <c r="E2254" s="21"/>
      <c r="F2254" s="21"/>
      <c r="G2254" s="21"/>
    </row>
    <row r="2255">
      <c r="A2255" s="6"/>
      <c r="B2255" s="15" t="s">
        <v>1648</v>
      </c>
      <c r="C2255" s="23"/>
      <c r="D2255" s="23"/>
      <c r="E2255" s="23"/>
      <c r="F2255" s="23"/>
      <c r="G2255" s="23"/>
    </row>
    <row r="2256">
      <c r="A2256" s="5"/>
      <c r="B2256" s="16" t="s">
        <v>1649</v>
      </c>
      <c r="C2256" s="22">
        <f>(2)*(1)*(1)*(1)*(1 + (0))</f>
      </c>
      <c r="D2256" s="22" t="s">
        <v>111</v>
      </c>
      <c r="E2256" s="22"/>
      <c r="F2256" s="22">
        <f>(0)</f>
      </c>
      <c r="G2256" s="22">
        <f>(C2256 * E2256 + C2256 * E2256 * F2256)</f>
      </c>
    </row>
    <row r="2257">
      <c r="A2257" s="5"/>
      <c r="B2257" s="16" t="s">
        <v>297</v>
      </c>
      <c r="C2257" s="22">
        <f>(2)*(1)*(1)*(1)*(1 + (0))</f>
      </c>
      <c r="D2257" s="22" t="s">
        <v>111</v>
      </c>
      <c r="E2257" s="22"/>
      <c r="F2257" s="22">
        <f>(0)</f>
      </c>
      <c r="G2257" s="22">
        <f>(C2257 * E2257 + C2257 * E2257 * F2257)</f>
      </c>
    </row>
    <row r="2258">
      <c r="A2258" s="5"/>
      <c r="B2258" s="16" t="s">
        <v>1650</v>
      </c>
      <c r="C2258" s="22">
        <f>(15)*(1)*(1)*(1)*(1 + (0))</f>
      </c>
      <c r="D2258" s="22" t="s">
        <v>111</v>
      </c>
      <c r="E2258" s="22"/>
      <c r="F2258" s="22">
        <f>(0)</f>
      </c>
      <c r="G2258" s="22">
        <f>(C2258 * E2258 + C2258 * E2258 * F2258)</f>
      </c>
    </row>
    <row r="2259">
      <c r="A2259" s="5"/>
      <c r="B2259" s="16" t="s">
        <v>1651</v>
      </c>
      <c r="C2259" s="22">
        <f>(6)*(1)*(1)*(1)*(1 + (0))</f>
      </c>
      <c r="D2259" s="22" t="s">
        <v>111</v>
      </c>
      <c r="E2259" s="22"/>
      <c r="F2259" s="22">
        <f>(0)</f>
      </c>
      <c r="G2259" s="22">
        <f>(C2259 * E2259 + C2259 * E2259 * F2259)</f>
      </c>
    </row>
    <row r="2260">
      <c r="A2260" s="6"/>
      <c r="B2260" s="15" t="s">
        <v>311</v>
      </c>
      <c r="C2260" s="23"/>
      <c r="D2260" s="23"/>
      <c r="E2260" s="23"/>
      <c r="F2260" s="23"/>
      <c r="G2260" s="23"/>
    </row>
    <row r="2261">
      <c r="A2261" s="5"/>
      <c r="B2261" s="16" t="s">
        <v>1649</v>
      </c>
      <c r="C2261" s="22">
        <f>(2)*(1)*(1)*(1)*(1 + (0))</f>
      </c>
      <c r="D2261" s="22" t="s">
        <v>111</v>
      </c>
      <c r="E2261" s="22"/>
      <c r="F2261" s="22">
        <f>(0)</f>
      </c>
      <c r="G2261" s="22">
        <f>(C2261 * E2261 + C2261 * E2261 * F2261)</f>
      </c>
    </row>
    <row r="2262">
      <c r="A2262" s="5"/>
      <c r="B2262" s="16" t="s">
        <v>299</v>
      </c>
      <c r="C2262" s="22">
        <f>(1)*(1)*(1)*(1)*(1 + (0))</f>
      </c>
      <c r="D2262" s="22" t="s">
        <v>111</v>
      </c>
      <c r="E2262" s="22"/>
      <c r="F2262" s="22">
        <f>(0)</f>
      </c>
      <c r="G2262" s="22">
        <f>(C2262 * E2262 + C2262 * E2262 * F2262)</f>
      </c>
    </row>
    <row r="2263">
      <c r="A2263" s="5"/>
      <c r="B2263" s="16" t="s">
        <v>1652</v>
      </c>
      <c r="C2263" s="22">
        <f>(3)*(1)*(1)*(1)*(1 + (0))</f>
      </c>
      <c r="D2263" s="22" t="s">
        <v>111</v>
      </c>
      <c r="E2263" s="22"/>
      <c r="F2263" s="22">
        <f>(0)</f>
      </c>
      <c r="G2263" s="22">
        <f>(C2263 * E2263 + C2263 * E2263 * F2263)</f>
      </c>
    </row>
    <row r="2264">
      <c r="A2264" s="5"/>
      <c r="B2264" s="16" t="s">
        <v>1653</v>
      </c>
      <c r="C2264" s="22">
        <f>(18)*(1)*(1)*(1)*(1 + (0))</f>
      </c>
      <c r="D2264" s="22" t="s">
        <v>111</v>
      </c>
      <c r="E2264" s="22"/>
      <c r="F2264" s="22">
        <f>(0)</f>
      </c>
      <c r="G2264" s="22">
        <f>(C2264 * E2264 + C2264 * E2264 * F2264)</f>
      </c>
    </row>
    <row r="2265">
      <c r="A2265" s="4"/>
      <c r="B2265" s="12" t="s">
        <v>303</v>
      </c>
      <c r="C2265" s="21"/>
      <c r="D2265" s="21"/>
      <c r="E2265" s="21"/>
      <c r="F2265" s="21"/>
      <c r="G2265" s="21"/>
    </row>
    <row r="2266">
      <c r="A2266" s="6"/>
      <c r="B2266" s="15" t="s">
        <v>304</v>
      </c>
      <c r="C2266" s="23"/>
      <c r="D2266" s="23"/>
      <c r="E2266" s="23"/>
      <c r="F2266" s="23"/>
      <c r="G2266" s="23"/>
    </row>
    <row r="2267">
      <c r="A2267" s="5"/>
      <c r="B2267" s="16" t="s">
        <v>252</v>
      </c>
      <c r="C2267" s="22"/>
      <c r="D2267" s="22"/>
      <c r="E2267" s="22"/>
      <c r="F2267" s="22"/>
      <c r="G2267" s="22"/>
    </row>
    <row r="2268">
      <c r="A2268" s="5"/>
      <c r="B2268" s="17" t="s">
        <v>1654</v>
      </c>
      <c r="C2268" s="22">
        <f>(14)*(1)*(1)*(1)*(1 + (0))</f>
      </c>
      <c r="D2268" s="22" t="s">
        <v>111</v>
      </c>
      <c r="E2268" s="22"/>
      <c r="F2268" s="22">
        <f>(0)</f>
      </c>
      <c r="G2268" s="22">
        <f>(C2268 * E2268 + C2268 * E2268 * F2268)</f>
      </c>
    </row>
    <row r="2269">
      <c r="A2269" s="5"/>
      <c r="B2269" s="17" t="s">
        <v>1655</v>
      </c>
      <c r="C2269" s="22">
        <f>(3)*(1)*(1)*(1)*(1 + (0))</f>
      </c>
      <c r="D2269" s="22" t="s">
        <v>111</v>
      </c>
      <c r="E2269" s="22"/>
      <c r="F2269" s="22">
        <f>(0)</f>
      </c>
      <c r="G2269" s="22">
        <f>(C2269 * E2269 + C2269 * E2269 * F2269)</f>
      </c>
    </row>
    <row r="2270">
      <c r="A2270" s="6"/>
      <c r="B2270" s="15" t="s">
        <v>307</v>
      </c>
      <c r="C2270" s="23"/>
      <c r="D2270" s="23"/>
      <c r="E2270" s="23"/>
      <c r="F2270" s="23"/>
      <c r="G2270" s="23"/>
    </row>
    <row r="2271">
      <c r="A2271" s="5"/>
      <c r="B2271" s="16" t="s">
        <v>252</v>
      </c>
      <c r="C2271" s="22"/>
      <c r="D2271" s="22"/>
      <c r="E2271" s="22"/>
      <c r="F2271" s="22"/>
      <c r="G2271" s="22"/>
    </row>
    <row r="2272">
      <c r="A2272" s="5"/>
      <c r="B2272" s="17" t="s">
        <v>310</v>
      </c>
      <c r="C2272" s="22">
        <f>(16)*(1)*(1)*(1)*(1 + (0))</f>
      </c>
      <c r="D2272" s="22" t="s">
        <v>111</v>
      </c>
      <c r="E2272" s="22"/>
      <c r="F2272" s="22">
        <f>(0)</f>
      </c>
      <c r="G2272" s="22">
        <f>(C2272 * E2272 + C2272 * E2272 * F2272)</f>
      </c>
    </row>
    <row r="2273">
      <c r="A2273" s="4"/>
      <c r="B2273" s="12" t="s">
        <v>312</v>
      </c>
      <c r="C2273" s="21"/>
      <c r="D2273" s="21"/>
      <c r="E2273" s="21"/>
      <c r="F2273" s="21"/>
      <c r="G2273" s="21"/>
    </row>
    <row r="2274">
      <c r="A2274" s="6"/>
      <c r="B2274" s="15" t="s">
        <v>1656</v>
      </c>
      <c r="C2274" s="23"/>
      <c r="D2274" s="23"/>
      <c r="E2274" s="23"/>
      <c r="F2274" s="23"/>
      <c r="G2274" s="23"/>
    </row>
    <row r="2275">
      <c r="A2275" s="5"/>
      <c r="B2275" s="16" t="s">
        <v>1657</v>
      </c>
      <c r="C2275" s="22">
        <f>(3)*(1)*(1)*(1)*(1 + (0))</f>
      </c>
      <c r="D2275" s="22" t="s">
        <v>111</v>
      </c>
      <c r="E2275" s="22"/>
      <c r="F2275" s="22">
        <f>(0)</f>
      </c>
      <c r="G2275" s="22">
        <f>(C2275 * E2275 + C2275 * E2275 * F2275)</f>
      </c>
    </row>
    <row r="2276">
      <c r="A2276" s="6"/>
      <c r="B2276" s="15" t="s">
        <v>1658</v>
      </c>
      <c r="C2276" s="23"/>
      <c r="D2276" s="23"/>
      <c r="E2276" s="23"/>
      <c r="F2276" s="23"/>
      <c r="G2276" s="23"/>
    </row>
    <row r="2277">
      <c r="A2277" s="5"/>
      <c r="B2277" s="16" t="s">
        <v>317</v>
      </c>
      <c r="C2277" s="22">
        <f>(1)*(1)*(1)*(1)*(1 + (0))</f>
      </c>
      <c r="D2277" s="22" t="s">
        <v>111</v>
      </c>
      <c r="E2277" s="22"/>
      <c r="F2277" s="22">
        <f>(0)</f>
      </c>
      <c r="G2277" s="22">
        <f>(C2277 * E2277 + C2277 * E2277 * F2277)</f>
      </c>
    </row>
    <row r="2278">
      <c r="A2278" s="5"/>
      <c r="B2278" s="16" t="s">
        <v>1659</v>
      </c>
      <c r="C2278" s="22">
        <f>(1)*(1)*(1)*(1)*(1 + (0))</f>
      </c>
      <c r="D2278" s="22" t="s">
        <v>111</v>
      </c>
      <c r="E2278" s="22"/>
      <c r="F2278" s="22">
        <f>(0)</f>
      </c>
      <c r="G2278" s="22">
        <f>(C2278 * E2278 + C2278 * E2278 * F2278)</f>
      </c>
    </row>
    <row r="2279">
      <c r="A2279" s="5"/>
      <c r="B2279" s="16" t="s">
        <v>319</v>
      </c>
      <c r="C2279" s="22">
        <f>(1)*(1)*(1)*(1)*(1 + (0))</f>
      </c>
      <c r="D2279" s="22" t="s">
        <v>111</v>
      </c>
      <c r="E2279" s="22"/>
      <c r="F2279" s="22">
        <f>(0)</f>
      </c>
      <c r="G2279" s="22">
        <f>(C2279 * E2279 + C2279 * E2279 * F2279)</f>
      </c>
    </row>
    <row r="2280">
      <c r="A2280" s="5"/>
      <c r="B2280" s="16" t="s">
        <v>1660</v>
      </c>
      <c r="C2280" s="22">
        <f>(1)*(1)*(1)*(1)*(1 + (0))</f>
      </c>
      <c r="D2280" s="22" t="s">
        <v>111</v>
      </c>
      <c r="E2280" s="22"/>
      <c r="F2280" s="22">
        <f>(0)</f>
      </c>
      <c r="G2280" s="22">
        <f>(C2280 * E2280 + C2280 * E2280 * F2280)</f>
      </c>
    </row>
    <row r="2281">
      <c r="A2281" s="4"/>
      <c r="B2281" s="12" t="s">
        <v>1661</v>
      </c>
      <c r="C2281" s="21"/>
      <c r="D2281" s="21"/>
      <c r="E2281" s="21"/>
      <c r="F2281" s="21"/>
      <c r="G2281" s="21"/>
    </row>
    <row r="2282">
      <c r="A2282" s="5"/>
      <c r="B2282" s="13" t="s">
        <v>323</v>
      </c>
      <c r="C2282" s="22">
        <f>(11)*(1)*(1)*(1)*(1 + (0))</f>
      </c>
      <c r="D2282" s="22" t="s">
        <v>111</v>
      </c>
      <c r="E2282" s="22"/>
      <c r="F2282" s="22">
        <f>(0)</f>
      </c>
      <c r="G2282" s="22">
        <f>(C2282 * E2282 + C2282 * E2282 * F2282)</f>
      </c>
    </row>
    <row r="2283">
      <c r="A2283" s="5"/>
      <c r="B2283" s="13" t="s">
        <v>1662</v>
      </c>
      <c r="C2283" s="22">
        <f>(11)*(1)*(1)*(1)*(1 + (0))</f>
      </c>
      <c r="D2283" s="22" t="s">
        <v>111</v>
      </c>
      <c r="E2283" s="22"/>
      <c r="F2283" s="22">
        <f>(0)</f>
      </c>
      <c r="G2283" s="22">
        <f>(C2283 * E2283 + C2283 * E2283 * F2283)</f>
      </c>
    </row>
    <row r="2284">
      <c r="A2284" s="3"/>
      <c r="B2284" s="11" t="s">
        <v>325</v>
      </c>
      <c r="C2284" s="20"/>
      <c r="D2284" s="20"/>
      <c r="E2284" s="20"/>
      <c r="F2284" s="20"/>
      <c r="G2284" s="20"/>
    </row>
    <row r="2285">
      <c r="A2285" s="4"/>
      <c r="B2285" s="12" t="s">
        <v>326</v>
      </c>
      <c r="C2285" s="21"/>
      <c r="D2285" s="21"/>
      <c r="E2285" s="21"/>
      <c r="F2285" s="21"/>
      <c r="G2285" s="21"/>
    </row>
    <row r="2286">
      <c r="A2286" s="5"/>
      <c r="B2286" s="13" t="s">
        <v>327</v>
      </c>
      <c r="C2286" s="22">
        <f>(987)*(1)*(1)*(1)*(1 + (0))</f>
      </c>
      <c r="D2286" s="22" t="s">
        <v>24</v>
      </c>
      <c r="E2286" s="22"/>
      <c r="F2286" s="22">
        <f>(0)</f>
      </c>
      <c r="G2286" s="22">
        <f>(C2286 * E2286 + C2286 * E2286 * F2286)</f>
      </c>
    </row>
    <row r="2287">
      <c r="A2287" s="5"/>
      <c r="B2287" s="13" t="s">
        <v>328</v>
      </c>
      <c r="C2287" s="22">
        <f>(1071)*(1)*(1)*(1)*(1 + (0))</f>
      </c>
      <c r="D2287" s="22" t="s">
        <v>24</v>
      </c>
      <c r="E2287" s="22"/>
      <c r="F2287" s="22">
        <f>(0)</f>
      </c>
      <c r="G2287" s="22">
        <f>(C2287 * E2287 + C2287 * E2287 * F2287)</f>
      </c>
    </row>
    <row r="2288">
      <c r="A2288" s="5"/>
      <c r="B2288" s="13" t="s">
        <v>329</v>
      </c>
      <c r="C2288" s="22">
        <f>(83)*(1)*(1)*(1)*(1 + (0))</f>
      </c>
      <c r="D2288" s="22" t="s">
        <v>24</v>
      </c>
      <c r="E2288" s="22"/>
      <c r="F2288" s="22">
        <f>(0)</f>
      </c>
      <c r="G2288" s="22">
        <f>(C2288 * E2288 + C2288 * E2288 * F2288)</f>
      </c>
    </row>
    <row r="2289">
      <c r="A2289" s="4"/>
      <c r="B2289" s="12" t="s">
        <v>330</v>
      </c>
      <c r="C2289" s="21"/>
      <c r="D2289" s="21"/>
      <c r="E2289" s="21"/>
      <c r="F2289" s="21"/>
      <c r="G2289" s="21"/>
    </row>
    <row r="2290">
      <c r="A2290" s="5"/>
      <c r="B2290" s="13" t="s">
        <v>331</v>
      </c>
      <c r="C2290" s="22">
        <f>(1820)*(1)*(1)*(1)*(1 + (0))</f>
      </c>
      <c r="D2290" s="22" t="s">
        <v>24</v>
      </c>
      <c r="E2290" s="22"/>
      <c r="F2290" s="22">
        <f>(0)</f>
      </c>
      <c r="G2290" s="22">
        <f>(C2290 * E2290 + C2290 * E2290 * F2290)</f>
      </c>
    </row>
    <row r="2291">
      <c r="A2291" s="5"/>
      <c r="B2291" s="13" t="s">
        <v>332</v>
      </c>
      <c r="C2291" s="22">
        <f>(239)*(1)*(1)*(1)*(1 + (0))</f>
      </c>
      <c r="D2291" s="22" t="s">
        <v>24</v>
      </c>
      <c r="E2291" s="22"/>
      <c r="F2291" s="22">
        <f>(0)</f>
      </c>
      <c r="G2291" s="22">
        <f>(C2291 * E2291 + C2291 * E2291 * F2291)</f>
      </c>
    </row>
    <row r="2292">
      <c r="A2292" s="5"/>
      <c r="B2292" s="13" t="s">
        <v>333</v>
      </c>
      <c r="C2292" s="22">
        <f>(128)*(1)*(1)*(1)*(1 + (0))</f>
      </c>
      <c r="D2292" s="22" t="s">
        <v>24</v>
      </c>
      <c r="E2292" s="22"/>
      <c r="F2292" s="22">
        <f>(0)</f>
      </c>
      <c r="G2292" s="22">
        <f>(C2292 * E2292 + C2292 * E2292 * F2292)</f>
      </c>
    </row>
    <row r="2293">
      <c r="A2293" s="6"/>
      <c r="B2293" s="15" t="s">
        <v>334</v>
      </c>
      <c r="C2293" s="23"/>
      <c r="D2293" s="23"/>
      <c r="E2293" s="23"/>
      <c r="F2293" s="23"/>
      <c r="G2293" s="23"/>
    </row>
    <row r="2294">
      <c r="A2294" s="5"/>
      <c r="B2294" s="16" t="s">
        <v>335</v>
      </c>
      <c r="C2294" s="22">
        <f>(102)*(1)*(1)*(1)*(1 + (0))</f>
      </c>
      <c r="D2294" s="22" t="s">
        <v>153</v>
      </c>
      <c r="E2294" s="22"/>
      <c r="F2294" s="22">
        <f>(0)</f>
      </c>
      <c r="G2294" s="22">
        <f>(C2294 * E2294 + C2294 * E2294 * F2294)</f>
      </c>
    </row>
    <row r="2295">
      <c r="A2295" s="5"/>
      <c r="B2295" s="16" t="s">
        <v>336</v>
      </c>
      <c r="C2295" s="22">
        <f>(54)*(1)*(1)*(1)*(1 + (0))</f>
      </c>
      <c r="D2295" s="22" t="s">
        <v>24</v>
      </c>
      <c r="E2295" s="22"/>
      <c r="F2295" s="22">
        <f>(0)</f>
      </c>
      <c r="G2295" s="22">
        <f>(C2295 * E2295 + C2295 * E2295 * F2295)</f>
      </c>
    </row>
    <row r="2296">
      <c r="A2296" s="4"/>
      <c r="B2296" s="12" t="s">
        <v>337</v>
      </c>
      <c r="C2296" s="21"/>
      <c r="D2296" s="21"/>
      <c r="E2296" s="21"/>
      <c r="F2296" s="21"/>
      <c r="G2296" s="21"/>
    </row>
    <row r="2297">
      <c r="A2297" s="5"/>
      <c r="B2297" s="13" t="s">
        <v>342</v>
      </c>
      <c r="C2297" s="22">
        <f>(1)*(1)*(1)*(1)*(1 + (0))</f>
      </c>
      <c r="D2297" s="22" t="s">
        <v>111</v>
      </c>
      <c r="E2297" s="22"/>
      <c r="F2297" s="22">
        <f>(0)</f>
      </c>
      <c r="G2297" s="22">
        <f>(C2297 * E2297 + C2297 * E2297 * F2297)</f>
      </c>
    </row>
    <row r="2298">
      <c r="A2298" s="5"/>
      <c r="B2298" s="13" t="s">
        <v>340</v>
      </c>
      <c r="C2298" s="22">
        <f>(7)*(1)*(1)*(1)*(1 + (0))</f>
      </c>
      <c r="D2298" s="22" t="s">
        <v>24</v>
      </c>
      <c r="E2298" s="22"/>
      <c r="F2298" s="22">
        <f>(0)</f>
      </c>
      <c r="G2298" s="22">
        <f>(C2298 * E2298 + C2298 * E2298 * F2298)</f>
      </c>
    </row>
    <row r="2299">
      <c r="A2299" s="3"/>
      <c r="B2299" s="11" t="s">
        <v>344</v>
      </c>
      <c r="C2299" s="20"/>
      <c r="D2299" s="20"/>
      <c r="E2299" s="20"/>
      <c r="F2299" s="20"/>
      <c r="G2299" s="20"/>
    </row>
    <row r="2300">
      <c r="A2300" s="5"/>
      <c r="B2300" s="14" t="s">
        <v>345</v>
      </c>
      <c r="C2300" s="22">
        <f>(31)*(1)*(1)*(1)*(1 + (0))</f>
      </c>
      <c r="D2300" s="22" t="s">
        <v>153</v>
      </c>
      <c r="E2300" s="22"/>
      <c r="F2300" s="22">
        <f>(0)</f>
      </c>
      <c r="G2300" s="22">
        <f>(C2300 * E2300 + C2300 * E2300 * F2300)</f>
      </c>
    </row>
    <row r="2301">
      <c r="A2301" s="5"/>
      <c r="B2301" s="14" t="s">
        <v>1663</v>
      </c>
      <c r="C2301" s="22">
        <f>(20)*(1)*(1)*(1)*(1 + (0))</f>
      </c>
      <c r="D2301" s="22" t="s">
        <v>153</v>
      </c>
      <c r="E2301" s="22"/>
      <c r="F2301" s="22">
        <f>(0)</f>
      </c>
      <c r="G2301" s="22">
        <f>(C2301 * E2301 + C2301 * E2301 * F2301)</f>
      </c>
    </row>
    <row r="2302">
      <c r="A2302" s="5"/>
      <c r="B2302" s="14" t="s">
        <v>346</v>
      </c>
      <c r="C2302" s="22">
        <f>(3)*(1)*(1)*(1)*(1 + (0))</f>
      </c>
      <c r="D2302" s="22" t="s">
        <v>153</v>
      </c>
      <c r="E2302" s="22"/>
      <c r="F2302" s="22">
        <f>(0)</f>
      </c>
      <c r="G2302" s="22">
        <f>(C2302 * E2302 + C2302 * E2302 * F2302)</f>
      </c>
    </row>
    <row r="2303">
      <c r="A2303" s="3"/>
      <c r="B2303" s="11" t="s">
        <v>347</v>
      </c>
      <c r="C2303" s="20"/>
      <c r="D2303" s="20"/>
      <c r="E2303" s="20"/>
      <c r="F2303" s="20"/>
      <c r="G2303" s="20"/>
    </row>
    <row r="2304">
      <c r="A2304" s="5"/>
      <c r="B2304" s="14" t="s">
        <v>348</v>
      </c>
      <c r="C2304" s="22">
        <f>(987)*(1)*(1)*(1)*(1 + (0))</f>
      </c>
      <c r="D2304" s="22" t="s">
        <v>24</v>
      </c>
      <c r="E2304" s="22"/>
      <c r="F2304" s="22">
        <f>(0)</f>
      </c>
      <c r="G2304" s="22">
        <f>(C2304 * E2304 + C2304 * E2304 * F2304)</f>
      </c>
    </row>
    <row r="2305">
      <c r="A2305" s="5"/>
      <c r="B2305" s="14" t="s">
        <v>349</v>
      </c>
      <c r="C2305" s="22">
        <f>(987)*(1)*(1)*(1)*(1 + (0))</f>
      </c>
      <c r="D2305" s="22" t="s">
        <v>24</v>
      </c>
      <c r="E2305" s="22"/>
      <c r="F2305" s="22">
        <f>(0)</f>
      </c>
      <c r="G2305" s="22">
        <f>(C2305 * E2305 + C2305 * E2305 * F2305)</f>
      </c>
    </row>
    <row r="2306">
      <c r="A2306" s="2"/>
      <c r="B2306" s="10" t="s">
        <v>350</v>
      </c>
      <c r="C2306" s="19"/>
      <c r="D2306" s="19"/>
      <c r="E2306" s="19"/>
      <c r="F2306" s="19"/>
      <c r="G2306" s="19"/>
    </row>
    <row r="2307">
      <c r="A2307" s="3"/>
      <c r="B2307" s="11" t="s">
        <v>37</v>
      </c>
      <c r="C2307" s="20"/>
      <c r="D2307" s="20"/>
      <c r="E2307" s="20"/>
      <c r="F2307" s="20"/>
      <c r="G2307" s="20"/>
    </row>
    <row r="2308">
      <c r="A2308" s="5" t="s">
        <v>351</v>
      </c>
      <c r="B2308" s="14" t="s">
        <v>39</v>
      </c>
      <c r="C2308" s="22"/>
      <c r="D2308" s="22" t="s">
        <v>10</v>
      </c>
      <c r="E2308" s="22"/>
      <c r="F2308" s="22">
        <f>(0)</f>
      </c>
      <c r="G2308" s="22">
        <f>(C2308 * E2308 + C2308 * E2308 * F2308)</f>
      </c>
    </row>
    <row r="2309">
      <c r="A2309" s="5" t="s">
        <v>352</v>
      </c>
      <c r="B2309" s="14" t="s">
        <v>41</v>
      </c>
      <c r="C2309" s="22"/>
      <c r="D2309" s="22" t="s">
        <v>10</v>
      </c>
      <c r="E2309" s="22"/>
      <c r="F2309" s="22">
        <f>(0)</f>
      </c>
      <c r="G2309" s="22">
        <f>(C2309 * E2309 + C2309 * E2309 * F2309)</f>
      </c>
    </row>
    <row r="2310">
      <c r="A2310" s="3"/>
      <c r="B2310" s="11" t="s">
        <v>42</v>
      </c>
      <c r="C2310" s="20"/>
      <c r="D2310" s="20"/>
      <c r="E2310" s="20"/>
      <c r="F2310" s="20"/>
      <c r="G2310" s="20"/>
    </row>
    <row r="2311">
      <c r="A2311" s="5"/>
      <c r="B2311" s="14" t="s">
        <v>118</v>
      </c>
      <c r="C2311" s="22"/>
      <c r="D2311" s="22" t="s">
        <v>10</v>
      </c>
      <c r="E2311" s="22"/>
      <c r="F2311" s="22">
        <f>(0)</f>
      </c>
      <c r="G2311" s="22">
        <f>(C2311 * E2311 + C2311 * E2311 * F2311)</f>
      </c>
    </row>
    <row r="2312">
      <c r="A2312" s="5"/>
      <c r="B2312" s="14" t="s">
        <v>43</v>
      </c>
      <c r="C2312" s="22"/>
      <c r="D2312" s="22" t="s">
        <v>10</v>
      </c>
      <c r="E2312" s="22"/>
      <c r="F2312" s="22">
        <f>(0)</f>
      </c>
      <c r="G2312" s="22">
        <f>(C2312 * E2312 + C2312 * E2312 * F2312)</f>
      </c>
    </row>
    <row r="2313">
      <c r="A2313" s="5"/>
      <c r="B2313" s="14" t="s">
        <v>210</v>
      </c>
      <c r="C2313" s="22"/>
      <c r="D2313" s="22" t="s">
        <v>10</v>
      </c>
      <c r="E2313" s="22"/>
      <c r="F2313" s="22">
        <f>(0)</f>
      </c>
      <c r="G2313" s="22">
        <f>(C2313 * E2313 + C2313 * E2313 * F2313)</f>
      </c>
    </row>
    <row r="2314">
      <c r="A2314" s="3"/>
      <c r="B2314" s="11" t="s">
        <v>44</v>
      </c>
      <c r="C2314" s="20"/>
      <c r="D2314" s="20"/>
      <c r="E2314" s="20"/>
      <c r="F2314" s="20"/>
      <c r="G2314" s="20"/>
    </row>
    <row r="2315">
      <c r="A2315" s="4"/>
      <c r="B2315" s="12" t="s">
        <v>45</v>
      </c>
      <c r="C2315" s="21"/>
      <c r="D2315" s="21"/>
      <c r="E2315" s="21"/>
      <c r="F2315" s="21"/>
      <c r="G2315" s="21"/>
    </row>
    <row r="2316">
      <c r="A2316" s="5" t="s">
        <v>353</v>
      </c>
      <c r="B2316" s="13" t="s">
        <v>354</v>
      </c>
      <c r="C2316" s="22"/>
      <c r="D2316" s="22" t="s">
        <v>10</v>
      </c>
      <c r="E2316" s="22"/>
      <c r="F2316" s="22">
        <f>(0)</f>
      </c>
      <c r="G2316" s="22">
        <f>(C2316 * E2316 + C2316 * E2316 * F2316)</f>
      </c>
    </row>
    <row r="2317">
      <c r="A2317" s="5" t="s">
        <v>355</v>
      </c>
      <c r="B2317" s="13" t="s">
        <v>356</v>
      </c>
      <c r="C2317" s="22"/>
      <c r="D2317" s="22" t="s">
        <v>10</v>
      </c>
      <c r="E2317" s="22"/>
      <c r="F2317" s="22">
        <f>(0)</f>
      </c>
      <c r="G2317" s="22">
        <f>(C2317 * E2317 + C2317 * E2317 * F2317)</f>
      </c>
    </row>
    <row r="2318">
      <c r="A2318" s="5" t="s">
        <v>357</v>
      </c>
      <c r="B2318" s="13" t="s">
        <v>358</v>
      </c>
      <c r="C2318" s="22"/>
      <c r="D2318" s="22" t="s">
        <v>10</v>
      </c>
      <c r="E2318" s="22"/>
      <c r="F2318" s="22">
        <f>(0)</f>
      </c>
      <c r="G2318" s="22">
        <f>(C2318 * E2318 + C2318 * E2318 * F2318)</f>
      </c>
    </row>
    <row r="2319">
      <c r="A2319" s="5" t="s">
        <v>359</v>
      </c>
      <c r="B2319" s="13" t="s">
        <v>360</v>
      </c>
      <c r="C2319" s="22"/>
      <c r="D2319" s="22" t="s">
        <v>10</v>
      </c>
      <c r="E2319" s="22"/>
      <c r="F2319" s="22">
        <f>(0)</f>
      </c>
      <c r="G2319" s="22">
        <f>(C2319 * E2319 + C2319 * E2319 * F2319)</f>
      </c>
    </row>
    <row r="2320">
      <c r="A2320" s="5" t="s">
        <v>361</v>
      </c>
      <c r="B2320" s="13" t="s">
        <v>362</v>
      </c>
      <c r="C2320" s="22"/>
      <c r="D2320" s="22" t="s">
        <v>10</v>
      </c>
      <c r="E2320" s="22"/>
      <c r="F2320" s="22">
        <f>(0)</f>
      </c>
      <c r="G2320" s="22">
        <f>(C2320 * E2320 + C2320 * E2320 * F2320)</f>
      </c>
    </row>
    <row r="2321">
      <c r="A2321" s="5" t="s">
        <v>363</v>
      </c>
      <c r="B2321" s="13" t="s">
        <v>364</v>
      </c>
      <c r="C2321" s="22"/>
      <c r="D2321" s="22" t="s">
        <v>10</v>
      </c>
      <c r="E2321" s="22"/>
      <c r="F2321" s="22">
        <f>(0)</f>
      </c>
      <c r="G2321" s="22">
        <f>(C2321 * E2321 + C2321 * E2321 * F2321)</f>
      </c>
    </row>
    <row r="2322">
      <c r="A2322" s="5" t="s">
        <v>365</v>
      </c>
      <c r="B2322" s="13" t="s">
        <v>366</v>
      </c>
      <c r="C2322" s="22"/>
      <c r="D2322" s="22" t="s">
        <v>10</v>
      </c>
      <c r="E2322" s="22"/>
      <c r="F2322" s="22">
        <f>(0)</f>
      </c>
      <c r="G2322" s="22">
        <f>(C2322 * E2322 + C2322 * E2322 * F2322)</f>
      </c>
    </row>
    <row r="2323">
      <c r="A2323" s="5" t="s">
        <v>367</v>
      </c>
      <c r="B2323" s="13" t="s">
        <v>368</v>
      </c>
      <c r="C2323" s="22"/>
      <c r="D2323" s="22" t="s">
        <v>10</v>
      </c>
      <c r="E2323" s="22"/>
      <c r="F2323" s="22">
        <f>(0)</f>
      </c>
      <c r="G2323" s="22">
        <f>(C2323 * E2323 + C2323 * E2323 * F2323)</f>
      </c>
    </row>
    <row r="2324">
      <c r="A2324" s="5" t="s">
        <v>369</v>
      </c>
      <c r="B2324" s="13" t="s">
        <v>370</v>
      </c>
      <c r="C2324" s="22"/>
      <c r="D2324" s="22" t="s">
        <v>10</v>
      </c>
      <c r="E2324" s="22"/>
      <c r="F2324" s="22">
        <f>(0)</f>
      </c>
      <c r="G2324" s="22">
        <f>(C2324 * E2324 + C2324 * E2324 * F2324)</f>
      </c>
    </row>
    <row r="2325">
      <c r="A2325" s="5" t="s">
        <v>371</v>
      </c>
      <c r="B2325" s="13" t="s">
        <v>123</v>
      </c>
      <c r="C2325" s="22"/>
      <c r="D2325" s="22" t="s">
        <v>10</v>
      </c>
      <c r="E2325" s="22"/>
      <c r="F2325" s="22">
        <f>(0)</f>
      </c>
      <c r="G2325" s="22">
        <f>(C2325 * E2325 + C2325 * E2325 * F2325)</f>
      </c>
    </row>
    <row r="2326">
      <c r="A2326" s="3"/>
      <c r="B2326" s="11" t="s">
        <v>68</v>
      </c>
      <c r="C2326" s="20"/>
      <c r="D2326" s="20"/>
      <c r="E2326" s="20"/>
      <c r="F2326" s="20"/>
      <c r="G2326" s="20"/>
    </row>
    <row r="2327">
      <c r="A2327" s="5" t="s">
        <v>372</v>
      </c>
      <c r="B2327" s="14" t="s">
        <v>70</v>
      </c>
      <c r="C2327" s="22">
        <f>(1)*(1)*(1)*(1)*(1 + (0))</f>
      </c>
      <c r="D2327" s="22" t="s">
        <v>71</v>
      </c>
      <c r="E2327" s="22"/>
      <c r="F2327" s="22">
        <f>(0)</f>
      </c>
      <c r="G2327" s="22">
        <f>(C2327 * E2327 + C2327 * E2327 * F2327)</f>
      </c>
    </row>
    <row r="2328">
      <c r="A2328" s="5" t="s">
        <v>373</v>
      </c>
      <c r="B2328" s="14" t="s">
        <v>73</v>
      </c>
      <c r="C2328" s="22">
        <f>(1)*(1)*(1)*(1)*(1 + (0))</f>
      </c>
      <c r="D2328" s="22" t="s">
        <v>71</v>
      </c>
      <c r="E2328" s="22"/>
      <c r="F2328" s="22">
        <f>(0)</f>
      </c>
      <c r="G2328" s="22">
        <f>(C2328 * E2328 + C2328 * E2328 * F2328)</f>
      </c>
    </row>
    <row r="2329">
      <c r="A2329" s="5" t="s">
        <v>374</v>
      </c>
      <c r="B2329" s="14" t="s">
        <v>79</v>
      </c>
      <c r="C2329" s="22">
        <f>(1)*(1)*(1)*(1)*(1 + (0))</f>
      </c>
      <c r="D2329" s="22" t="s">
        <v>71</v>
      </c>
      <c r="E2329" s="22"/>
      <c r="F2329" s="22">
        <f>(0)</f>
      </c>
      <c r="G2329" s="22">
        <f>(C2329 * E2329 + C2329 * E2329 * F2329)</f>
      </c>
    </row>
    <row r="2330">
      <c r="A2330" s="5" t="s">
        <v>375</v>
      </c>
      <c r="B2330" s="14" t="s">
        <v>376</v>
      </c>
      <c r="C2330" s="22">
        <f>(1)*(1)*(1)*(1)*(1 + (0))</f>
      </c>
      <c r="D2330" s="22" t="s">
        <v>71</v>
      </c>
      <c r="E2330" s="22"/>
      <c r="F2330" s="22">
        <f>(0)</f>
      </c>
      <c r="G2330" s="22">
        <f>(C2330 * E2330 + C2330 * E2330 * F2330)</f>
      </c>
    </row>
    <row r="2331">
      <c r="A2331" s="5" t="s">
        <v>377</v>
      </c>
      <c r="B2331" s="14" t="s">
        <v>378</v>
      </c>
      <c r="C2331" s="22">
        <f>(1)*(1)*(1)*(1)*(1 + (0))</f>
      </c>
      <c r="D2331" s="22" t="s">
        <v>71</v>
      </c>
      <c r="E2331" s="22"/>
      <c r="F2331" s="22">
        <f>(0)</f>
      </c>
      <c r="G2331" s="22">
        <f>(C2331 * E2331 + C2331 * E2331 * F2331)</f>
      </c>
    </row>
    <row r="2332">
      <c r="A2332" s="3"/>
      <c r="B2332" s="11" t="s">
        <v>106</v>
      </c>
      <c r="C2332" s="20"/>
      <c r="D2332" s="20"/>
      <c r="E2332" s="20"/>
      <c r="F2332" s="20"/>
      <c r="G2332" s="20"/>
    </row>
    <row r="2333">
      <c r="A2333" s="5"/>
      <c r="B2333" s="14" t="s">
        <v>379</v>
      </c>
      <c r="C2333" s="22"/>
      <c r="D2333" s="22" t="s">
        <v>10</v>
      </c>
      <c r="E2333" s="22"/>
      <c r="F2333" s="22">
        <f>(0)</f>
      </c>
      <c r="G2333" s="22">
        <f>(C2333 * E2333 + C2333 * E2333 * F2333)</f>
      </c>
    </row>
    <row r="2334">
      <c r="A2334" s="5"/>
      <c r="B2334" s="14" t="s">
        <v>380</v>
      </c>
      <c r="C2334" s="22"/>
      <c r="D2334" s="22" t="s">
        <v>10</v>
      </c>
      <c r="E2334" s="22"/>
      <c r="F2334" s="22">
        <f>(0)</f>
      </c>
      <c r="G2334" s="22">
        <f>(C2334 * E2334 + C2334 * E2334 * F2334)</f>
      </c>
    </row>
    <row r="2335">
      <c r="A2335" s="3"/>
      <c r="B2335" s="11" t="s">
        <v>381</v>
      </c>
      <c r="C2335" s="20"/>
      <c r="D2335" s="20"/>
      <c r="E2335" s="20"/>
      <c r="F2335" s="20"/>
      <c r="G2335" s="20"/>
    </row>
    <row r="2336">
      <c r="A2336" s="4"/>
      <c r="B2336" s="12" t="s">
        <v>382</v>
      </c>
      <c r="C2336" s="21"/>
      <c r="D2336" s="21"/>
      <c r="E2336" s="21"/>
      <c r="F2336" s="21"/>
      <c r="G2336" s="21"/>
    </row>
    <row r="2337">
      <c r="A2337" s="6"/>
      <c r="B2337" s="15" t="s">
        <v>311</v>
      </c>
      <c r="C2337" s="23"/>
      <c r="D2337" s="23"/>
      <c r="E2337" s="23"/>
      <c r="F2337" s="23"/>
      <c r="G2337" s="23"/>
    </row>
    <row r="2338">
      <c r="A2338" s="5"/>
      <c r="B2338" s="16" t="s">
        <v>383</v>
      </c>
      <c r="C2338" s="22">
        <f>(1071)*(1)*(1)*(1)*(1 + (0))</f>
      </c>
      <c r="D2338" s="22" t="s">
        <v>24</v>
      </c>
      <c r="E2338" s="22"/>
      <c r="F2338" s="22">
        <f>(0)</f>
      </c>
      <c r="G2338" s="22">
        <f>(C2338 * E2338 + C2338 * E2338 * F2338)</f>
      </c>
    </row>
    <row r="2339">
      <c r="A2339" s="5"/>
      <c r="B2339" s="16" t="s">
        <v>384</v>
      </c>
      <c r="C2339" s="22">
        <f>(142)*(1)*(1)*(1)*(1 + (0))</f>
      </c>
      <c r="D2339" s="22" t="s">
        <v>153</v>
      </c>
      <c r="E2339" s="22"/>
      <c r="F2339" s="22">
        <f>(0)</f>
      </c>
      <c r="G2339" s="22">
        <f>(C2339 * E2339 + C2339 * E2339 * F2339)</f>
      </c>
    </row>
    <row r="2340">
      <c r="A2340" s="5"/>
      <c r="B2340" s="16" t="s">
        <v>385</v>
      </c>
      <c r="C2340" s="22">
        <f>(3)*(1)*(1)*(1)*(1 + (0))</f>
      </c>
      <c r="D2340" s="22" t="s">
        <v>24</v>
      </c>
      <c r="E2340" s="22"/>
      <c r="F2340" s="22">
        <f>(0)</f>
      </c>
      <c r="G2340" s="22">
        <f>(C2340 * E2340 + C2340 * E2340 * F2340)</f>
      </c>
    </row>
    <row r="2341">
      <c r="A2341" s="5"/>
      <c r="B2341" s="16" t="s">
        <v>386</v>
      </c>
      <c r="C2341" s="22">
        <f>(114)*(1)*(1)*(1)*(1 + (0))</f>
      </c>
      <c r="D2341" s="22" t="s">
        <v>153</v>
      </c>
      <c r="E2341" s="22"/>
      <c r="F2341" s="22">
        <f>(0)</f>
      </c>
      <c r="G2341" s="22">
        <f>(C2341 * E2341 + C2341 * E2341 * F2341)</f>
      </c>
    </row>
    <row r="2342">
      <c r="A2342" s="5"/>
      <c r="B2342" s="16" t="s">
        <v>387</v>
      </c>
      <c r="C2342" s="22">
        <f>(136)*(1)*(1)*(1)*(1 + (0))</f>
      </c>
      <c r="D2342" s="22" t="s">
        <v>153</v>
      </c>
      <c r="E2342" s="22"/>
      <c r="F2342" s="22">
        <f>(0)</f>
      </c>
      <c r="G2342" s="22">
        <f>(C2342 * E2342 + C2342 * E2342 * F2342)</f>
      </c>
    </row>
    <row r="2343">
      <c r="A2343" s="4"/>
      <c r="B2343" s="12" t="s">
        <v>389</v>
      </c>
      <c r="C2343" s="21"/>
      <c r="D2343" s="21"/>
      <c r="E2343" s="21"/>
      <c r="F2343" s="21"/>
      <c r="G2343" s="21"/>
    </row>
    <row r="2344">
      <c r="A2344" s="6"/>
      <c r="B2344" s="15" t="s">
        <v>311</v>
      </c>
      <c r="C2344" s="23"/>
      <c r="D2344" s="23"/>
      <c r="E2344" s="23"/>
      <c r="F2344" s="23"/>
      <c r="G2344" s="23"/>
    </row>
    <row r="2345">
      <c r="A2345" s="5"/>
      <c r="B2345" s="16" t="s">
        <v>390</v>
      </c>
      <c r="C2345" s="22">
        <f>(21)*(1)*(1)*(1)*(1 + (0))</f>
      </c>
      <c r="D2345" s="22" t="s">
        <v>153</v>
      </c>
      <c r="E2345" s="22"/>
      <c r="F2345" s="22">
        <f>(0)</f>
      </c>
      <c r="G2345" s="22">
        <f>(C2345 * E2345 + C2345 * E2345 * F2345)</f>
      </c>
    </row>
    <row r="2346">
      <c r="A2346" s="4"/>
      <c r="B2346" s="12" t="s">
        <v>1664</v>
      </c>
      <c r="C2346" s="21"/>
      <c r="D2346" s="21"/>
      <c r="E2346" s="21"/>
      <c r="F2346" s="21"/>
      <c r="G2346" s="21"/>
    </row>
    <row r="2347">
      <c r="A2347" s="6"/>
      <c r="B2347" s="15" t="s">
        <v>252</v>
      </c>
      <c r="C2347" s="23"/>
      <c r="D2347" s="23"/>
      <c r="E2347" s="23"/>
      <c r="F2347" s="23"/>
      <c r="G2347" s="23"/>
    </row>
    <row r="2348">
      <c r="A2348" s="5"/>
      <c r="B2348" s="16" t="s">
        <v>1665</v>
      </c>
      <c r="C2348" s="22">
        <f>(24)*(1)*(1)*(1)*(1 + (0))</f>
      </c>
      <c r="D2348" s="22" t="s">
        <v>24</v>
      </c>
      <c r="E2348" s="22"/>
      <c r="F2348" s="22">
        <f>(0)</f>
      </c>
      <c r="G2348" s="22">
        <f>(C2348 * E2348 + C2348 * E2348 * F2348)</f>
      </c>
    </row>
    <row r="2349">
      <c r="A2349" s="5"/>
      <c r="B2349" s="16" t="s">
        <v>1666</v>
      </c>
      <c r="C2349" s="22">
        <f>(6)*(1)*(1)*(1)*(1 + (0))</f>
      </c>
      <c r="D2349" s="22" t="s">
        <v>24</v>
      </c>
      <c r="E2349" s="22"/>
      <c r="F2349" s="22">
        <f>(0)</f>
      </c>
      <c r="G2349" s="22">
        <f>(C2349 * E2349 + C2349 * E2349 * F2349)</f>
      </c>
    </row>
    <row r="2350">
      <c r="A2350" s="5"/>
      <c r="B2350" s="16" t="s">
        <v>1667</v>
      </c>
      <c r="C2350" s="22">
        <f>(128)*(1)*(1)*(1)*(1 + (0))</f>
      </c>
      <c r="D2350" s="22" t="s">
        <v>24</v>
      </c>
      <c r="E2350" s="22"/>
      <c r="F2350" s="22">
        <f>(0)</f>
      </c>
      <c r="G2350" s="22">
        <f>(C2350 * E2350 + C2350 * E2350 * F2350)</f>
      </c>
    </row>
    <row r="2351">
      <c r="A2351" s="6"/>
      <c r="B2351" s="15" t="s">
        <v>311</v>
      </c>
      <c r="C2351" s="23"/>
      <c r="D2351" s="23"/>
      <c r="E2351" s="23"/>
      <c r="F2351" s="23"/>
      <c r="G2351" s="23"/>
    </row>
    <row r="2352">
      <c r="A2352" s="5"/>
      <c r="B2352" s="16" t="s">
        <v>1665</v>
      </c>
      <c r="C2352" s="22">
        <f>(7)*(1)*(1)*(1)*(1 + (0))</f>
      </c>
      <c r="D2352" s="22" t="s">
        <v>24</v>
      </c>
      <c r="E2352" s="22"/>
      <c r="F2352" s="22">
        <f>(0)</f>
      </c>
      <c r="G2352" s="22">
        <f>(C2352 * E2352 + C2352 * E2352 * F2352)</f>
      </c>
    </row>
    <row r="2353">
      <c r="A2353" s="5"/>
      <c r="B2353" s="16" t="s">
        <v>1667</v>
      </c>
      <c r="C2353" s="22">
        <f>(159)*(1)*(1)*(1)*(1 + (0))</f>
      </c>
      <c r="D2353" s="22" t="s">
        <v>24</v>
      </c>
      <c r="E2353" s="22"/>
      <c r="F2353" s="22">
        <f>(0)</f>
      </c>
      <c r="G2353" s="22">
        <f>(C2353 * E2353 + C2353 * E2353 * F2353)</f>
      </c>
    </row>
    <row r="2354">
      <c r="A2354" s="4"/>
      <c r="B2354" s="12" t="s">
        <v>1668</v>
      </c>
      <c r="C2354" s="21"/>
      <c r="D2354" s="21"/>
      <c r="E2354" s="21"/>
      <c r="F2354" s="21"/>
      <c r="G2354" s="21"/>
    </row>
    <row r="2355">
      <c r="A2355" s="6"/>
      <c r="B2355" s="15" t="s">
        <v>304</v>
      </c>
      <c r="C2355" s="23"/>
      <c r="D2355" s="23"/>
      <c r="E2355" s="23"/>
      <c r="F2355" s="23"/>
      <c r="G2355" s="23"/>
    </row>
    <row r="2356">
      <c r="A2356" s="5"/>
      <c r="B2356" s="16" t="s">
        <v>252</v>
      </c>
      <c r="C2356" s="22"/>
      <c r="D2356" s="22"/>
      <c r="E2356" s="22"/>
      <c r="F2356" s="22"/>
      <c r="G2356" s="22"/>
    </row>
    <row r="2357">
      <c r="A2357" s="5"/>
      <c r="B2357" s="17" t="s">
        <v>1669</v>
      </c>
      <c r="C2357" s="22">
        <f>(28)*(1)*(1)*(1)*(1 + (0))</f>
      </c>
      <c r="D2357" s="22" t="s">
        <v>24</v>
      </c>
      <c r="E2357" s="22"/>
      <c r="F2357" s="22">
        <f>(0)</f>
      </c>
      <c r="G2357" s="22">
        <f>(C2357 * E2357 + C2357 * E2357 * F2357)</f>
      </c>
    </row>
    <row r="2358">
      <c r="A2358" s="6"/>
      <c r="B2358" s="15" t="s">
        <v>307</v>
      </c>
      <c r="C2358" s="23"/>
      <c r="D2358" s="23"/>
      <c r="E2358" s="23"/>
      <c r="F2358" s="23"/>
      <c r="G2358" s="23"/>
    </row>
    <row r="2359">
      <c r="A2359" s="5"/>
      <c r="B2359" s="16" t="s">
        <v>1648</v>
      </c>
      <c r="C2359" s="22"/>
      <c r="D2359" s="22"/>
      <c r="E2359" s="22"/>
      <c r="F2359" s="22"/>
      <c r="G2359" s="22"/>
    </row>
    <row r="2360">
      <c r="A2360" s="5"/>
      <c r="B2360" s="17" t="s">
        <v>1669</v>
      </c>
      <c r="C2360" s="22">
        <f>(159)*(1)*(1)*(1)*(1 + (0))</f>
      </c>
      <c r="D2360" s="22" t="s">
        <v>24</v>
      </c>
      <c r="E2360" s="22"/>
      <c r="F2360" s="22">
        <f>(0)</f>
      </c>
      <c r="G2360" s="22">
        <f>(C2360 * E2360 + C2360 * E2360 * F2360)</f>
      </c>
    </row>
    <row r="2361">
      <c r="A2361" s="4"/>
      <c r="B2361" s="12" t="s">
        <v>397</v>
      </c>
      <c r="C2361" s="21"/>
      <c r="D2361" s="21"/>
      <c r="E2361" s="21"/>
      <c r="F2361" s="21"/>
      <c r="G2361" s="21"/>
    </row>
    <row r="2362">
      <c r="A2362" s="6"/>
      <c r="B2362" s="15" t="s">
        <v>1656</v>
      </c>
      <c r="C2362" s="23"/>
      <c r="D2362" s="23"/>
      <c r="E2362" s="23"/>
      <c r="F2362" s="23"/>
      <c r="G2362" s="23"/>
    </row>
    <row r="2363">
      <c r="A2363" s="5"/>
      <c r="B2363" s="16" t="s">
        <v>398</v>
      </c>
      <c r="C2363" s="22">
        <f>(204)*(1)*(1)*(1)*(1 + (0))</f>
      </c>
      <c r="D2363" s="22" t="s">
        <v>153</v>
      </c>
      <c r="E2363" s="22"/>
      <c r="F2363" s="22">
        <f>(0)</f>
      </c>
      <c r="G2363" s="22">
        <f>(C2363 * E2363 + C2363 * E2363 * F2363)</f>
      </c>
    </row>
    <row r="2364">
      <c r="A2364" s="6"/>
      <c r="B2364" s="15" t="s">
        <v>1658</v>
      </c>
      <c r="C2364" s="23"/>
      <c r="D2364" s="23"/>
      <c r="E2364" s="23"/>
      <c r="F2364" s="23"/>
      <c r="G2364" s="23"/>
    </row>
    <row r="2365">
      <c r="A2365" s="5"/>
      <c r="B2365" s="16" t="s">
        <v>398</v>
      </c>
      <c r="C2365" s="22">
        <f>(73)*(1)*(1)*(1)*(1 + (0))</f>
      </c>
      <c r="D2365" s="22" t="s">
        <v>153</v>
      </c>
      <c r="E2365" s="22"/>
      <c r="F2365" s="22">
        <f>(0)</f>
      </c>
      <c r="G2365" s="22">
        <f>(C2365 * E2365 + C2365 * E2365 * F2365)</f>
      </c>
    </row>
    <row r="2366">
      <c r="A2366" s="3"/>
      <c r="B2366" s="11" t="s">
        <v>399</v>
      </c>
      <c r="C2366" s="20"/>
      <c r="D2366" s="20"/>
      <c r="E2366" s="20"/>
      <c r="F2366" s="20"/>
      <c r="G2366" s="20"/>
    </row>
    <row r="2367">
      <c r="A2367" s="4"/>
      <c r="B2367" s="12" t="s">
        <v>400</v>
      </c>
      <c r="C2367" s="21"/>
      <c r="D2367" s="21"/>
      <c r="E2367" s="21"/>
      <c r="F2367" s="21"/>
      <c r="G2367" s="21"/>
    </row>
    <row r="2368">
      <c r="A2368" s="6"/>
      <c r="B2368" s="15" t="s">
        <v>252</v>
      </c>
      <c r="C2368" s="23"/>
      <c r="D2368" s="23"/>
      <c r="E2368" s="23"/>
      <c r="F2368" s="23"/>
      <c r="G2368" s="23"/>
    </row>
    <row r="2369">
      <c r="A2369" s="5"/>
      <c r="B2369" s="16" t="s">
        <v>401</v>
      </c>
      <c r="C2369" s="22">
        <f>(35)*(1)*(1)*(1)*(1 + (0))</f>
      </c>
      <c r="D2369" s="22" t="s">
        <v>24</v>
      </c>
      <c r="E2369" s="22"/>
      <c r="F2369" s="22">
        <f>(0)</f>
      </c>
      <c r="G2369" s="22">
        <f>(C2369 * E2369 + C2369 * E2369 * F2369)</f>
      </c>
    </row>
    <row r="2370">
      <c r="A2370" s="5"/>
      <c r="B2370" s="16" t="s">
        <v>402</v>
      </c>
      <c r="C2370" s="22">
        <f>(35)*(1)*(1)*(1)*(1 + (0))</f>
      </c>
      <c r="D2370" s="22" t="s">
        <v>24</v>
      </c>
      <c r="E2370" s="22"/>
      <c r="F2370" s="22">
        <f>(0)</f>
      </c>
      <c r="G2370" s="22">
        <f>(C2370 * E2370 + C2370 * E2370 * F2370)</f>
      </c>
    </row>
    <row r="2371">
      <c r="A2371" s="4"/>
      <c r="B2371" s="12" t="s">
        <v>406</v>
      </c>
      <c r="C2371" s="21"/>
      <c r="D2371" s="21"/>
      <c r="E2371" s="21"/>
      <c r="F2371" s="21"/>
      <c r="G2371" s="21"/>
    </row>
    <row r="2372">
      <c r="A2372" s="6"/>
      <c r="B2372" s="15" t="s">
        <v>406</v>
      </c>
      <c r="C2372" s="23"/>
      <c r="D2372" s="23"/>
      <c r="E2372" s="23"/>
      <c r="F2372" s="23"/>
      <c r="G2372" s="23"/>
    </row>
    <row r="2373">
      <c r="A2373" s="5"/>
      <c r="B2373" s="16" t="s">
        <v>252</v>
      </c>
      <c r="C2373" s="22"/>
      <c r="D2373" s="22"/>
      <c r="E2373" s="22"/>
      <c r="F2373" s="22"/>
      <c r="G2373" s="22"/>
    </row>
    <row r="2374">
      <c r="A2374" s="5"/>
      <c r="B2374" s="17" t="s">
        <v>407</v>
      </c>
      <c r="C2374" s="22">
        <f>(47)*(1)*(1)*(1)*(1 + (0))</f>
      </c>
      <c r="D2374" s="22" t="s">
        <v>24</v>
      </c>
      <c r="E2374" s="22"/>
      <c r="F2374" s="22">
        <f>(0)</f>
      </c>
      <c r="G2374" s="22">
        <f>(C2374 * E2374 + C2374 * E2374 * F2374)</f>
      </c>
    </row>
    <row r="2375">
      <c r="A2375" s="4"/>
      <c r="B2375" s="12" t="s">
        <v>408</v>
      </c>
      <c r="C2375" s="21"/>
      <c r="D2375" s="21"/>
      <c r="E2375" s="21"/>
      <c r="F2375" s="21"/>
      <c r="G2375" s="21"/>
    </row>
    <row r="2376">
      <c r="A2376" s="6"/>
      <c r="B2376" s="15" t="s">
        <v>252</v>
      </c>
      <c r="C2376" s="23"/>
      <c r="D2376" s="23"/>
      <c r="E2376" s="23"/>
      <c r="F2376" s="23"/>
      <c r="G2376" s="23"/>
    </row>
    <row r="2377">
      <c r="A2377" s="5"/>
      <c r="B2377" s="16" t="s">
        <v>1670</v>
      </c>
      <c r="C2377" s="22">
        <f>(329)*(1)*(1)*(1)*(1 + (0))</f>
      </c>
      <c r="D2377" s="22" t="s">
        <v>153</v>
      </c>
      <c r="E2377" s="22"/>
      <c r="F2377" s="22">
        <f>(0)</f>
      </c>
      <c r="G2377" s="22">
        <f>(C2377 * E2377 + C2377 * E2377 * F2377)</f>
      </c>
    </row>
    <row r="2378">
      <c r="A2378" s="5"/>
      <c r="B2378" s="16" t="s">
        <v>1671</v>
      </c>
      <c r="C2378" s="22">
        <f>(44)*(1)*(1)*(1)*(1 + (0))</f>
      </c>
      <c r="D2378" s="22" t="s">
        <v>24</v>
      </c>
      <c r="E2378" s="22"/>
      <c r="F2378" s="22">
        <f>(0)</f>
      </c>
      <c r="G2378" s="22">
        <f>(C2378 * E2378 + C2378 * E2378 * F2378)</f>
      </c>
    </row>
    <row r="2379">
      <c r="A2379" s="4"/>
      <c r="B2379" s="12" t="s">
        <v>411</v>
      </c>
      <c r="C2379" s="21"/>
      <c r="D2379" s="21"/>
      <c r="E2379" s="21"/>
      <c r="F2379" s="21"/>
      <c r="G2379" s="21"/>
    </row>
    <row r="2380">
      <c r="A2380" s="6"/>
      <c r="B2380" s="15" t="s">
        <v>252</v>
      </c>
      <c r="C2380" s="23"/>
      <c r="D2380" s="23"/>
      <c r="E2380" s="23"/>
      <c r="F2380" s="23"/>
      <c r="G2380" s="23"/>
    </row>
    <row r="2381">
      <c r="A2381" s="5"/>
      <c r="B2381" s="16" t="s">
        <v>413</v>
      </c>
      <c r="C2381" s="22">
        <f>(163)*(1)*(1)*(1)*(1 + (0))</f>
      </c>
      <c r="D2381" s="22" t="s">
        <v>153</v>
      </c>
      <c r="E2381" s="22"/>
      <c r="F2381" s="22">
        <f>(0)</f>
      </c>
      <c r="G2381" s="22">
        <f>(C2381 * E2381 + C2381 * E2381 * F2381)</f>
      </c>
    </row>
    <row r="2382">
      <c r="A2382" s="5"/>
      <c r="B2382" s="16" t="s">
        <v>414</v>
      </c>
      <c r="C2382" s="22">
        <f>(115)*(1)*(1)*(1)*(1 + (0))</f>
      </c>
      <c r="D2382" s="22" t="s">
        <v>153</v>
      </c>
      <c r="E2382" s="22"/>
      <c r="F2382" s="22">
        <f>(0)</f>
      </c>
      <c r="G2382" s="22">
        <f>(C2382 * E2382 + C2382 * E2382 * F2382)</f>
      </c>
    </row>
    <row r="2383">
      <c r="A2383" s="5"/>
      <c r="B2383" s="16" t="s">
        <v>415</v>
      </c>
      <c r="C2383" s="22">
        <f>(72)*(1)*(1)*(1)*(1 + (0))</f>
      </c>
      <c r="D2383" s="22" t="s">
        <v>153</v>
      </c>
      <c r="E2383" s="22"/>
      <c r="F2383" s="22">
        <f>(0)</f>
      </c>
      <c r="G2383" s="22">
        <f>(C2383 * E2383 + C2383 * E2383 * F2383)</f>
      </c>
    </row>
    <row r="2384">
      <c r="A2384" s="5"/>
      <c r="B2384" s="16" t="s">
        <v>416</v>
      </c>
      <c r="C2384" s="22">
        <f>(987)*(1)*(1)*(1)*(1 + (0))</f>
      </c>
      <c r="D2384" s="22" t="s">
        <v>24</v>
      </c>
      <c r="E2384" s="22"/>
      <c r="F2384" s="22">
        <f>(0)</f>
      </c>
      <c r="G2384" s="22">
        <f>(C2384 * E2384 + C2384 * E2384 * F2384)</f>
      </c>
    </row>
    <row r="2385">
      <c r="A2385" s="4"/>
      <c r="B2385" s="12" t="s">
        <v>1664</v>
      </c>
      <c r="C2385" s="21"/>
      <c r="D2385" s="21"/>
      <c r="E2385" s="21"/>
      <c r="F2385" s="21"/>
      <c r="G2385" s="21"/>
    </row>
    <row r="2386">
      <c r="A2386" s="6"/>
      <c r="B2386" s="15" t="s">
        <v>252</v>
      </c>
      <c r="C2386" s="23"/>
      <c r="D2386" s="23"/>
      <c r="E2386" s="23"/>
      <c r="F2386" s="23"/>
      <c r="G2386" s="23"/>
    </row>
    <row r="2387">
      <c r="A2387" s="5"/>
      <c r="B2387" s="16" t="s">
        <v>1666</v>
      </c>
      <c r="C2387" s="22">
        <f>(17)*(1)*(1)*(1)*(1 + (0))</f>
      </c>
      <c r="D2387" s="22" t="s">
        <v>24</v>
      </c>
      <c r="E2387" s="22"/>
      <c r="F2387" s="22">
        <f>(0)</f>
      </c>
      <c r="G2387" s="22">
        <f>(C2387 * E2387 + C2387 * E2387 * F2387)</f>
      </c>
    </row>
    <row r="2388">
      <c r="A2388" s="5"/>
      <c r="B2388" s="16" t="s">
        <v>1672</v>
      </c>
      <c r="C2388" s="22">
        <f>(40)*(1)*(1)*(1)*(1 + (0))</f>
      </c>
      <c r="D2388" s="22" t="s">
        <v>24</v>
      </c>
      <c r="E2388" s="22"/>
      <c r="F2388" s="22">
        <f>(0)</f>
      </c>
      <c r="G2388" s="22">
        <f>(C2388 * E2388 + C2388 * E2388 * F2388)</f>
      </c>
    </row>
    <row r="2389">
      <c r="A2389" s="6"/>
      <c r="B2389" s="15" t="s">
        <v>311</v>
      </c>
      <c r="C2389" s="23"/>
      <c r="D2389" s="23"/>
      <c r="E2389" s="23"/>
      <c r="F2389" s="23"/>
      <c r="G2389" s="23"/>
    </row>
    <row r="2390">
      <c r="A2390" s="5"/>
      <c r="B2390" s="16" t="s">
        <v>1666</v>
      </c>
      <c r="C2390" s="22">
        <f>(18)*(1)*(1)*(1)*(1 + (0))</f>
      </c>
      <c r="D2390" s="22" t="s">
        <v>24</v>
      </c>
      <c r="E2390" s="22"/>
      <c r="F2390" s="22">
        <f>(0)</f>
      </c>
      <c r="G2390" s="22">
        <f>(C2390 * E2390 + C2390 * E2390 * F2390)</f>
      </c>
    </row>
    <row r="2391">
      <c r="A2391" s="5"/>
      <c r="B2391" s="16" t="s">
        <v>1672</v>
      </c>
      <c r="C2391" s="22">
        <f>(20)*(1)*(1)*(1)*(1 + (0))</f>
      </c>
      <c r="D2391" s="22" t="s">
        <v>24</v>
      </c>
      <c r="E2391" s="22"/>
      <c r="F2391" s="22">
        <f>(0)</f>
      </c>
      <c r="G2391" s="22">
        <f>(C2391 * E2391 + C2391 * E2391 * F2391)</f>
      </c>
    </row>
    <row r="2392">
      <c r="A2392" s="4"/>
      <c r="B2392" s="12" t="s">
        <v>1668</v>
      </c>
      <c r="C2392" s="21"/>
      <c r="D2392" s="21"/>
      <c r="E2392" s="21"/>
      <c r="F2392" s="21"/>
      <c r="G2392" s="21"/>
    </row>
    <row r="2393">
      <c r="A2393" s="6"/>
      <c r="B2393" s="15" t="s">
        <v>304</v>
      </c>
      <c r="C2393" s="23"/>
      <c r="D2393" s="23"/>
      <c r="E2393" s="23"/>
      <c r="F2393" s="23"/>
      <c r="G2393" s="23"/>
    </row>
    <row r="2394">
      <c r="A2394" s="5"/>
      <c r="B2394" s="16" t="s">
        <v>252</v>
      </c>
      <c r="C2394" s="22"/>
      <c r="D2394" s="22"/>
      <c r="E2394" s="22"/>
      <c r="F2394" s="22"/>
      <c r="G2394" s="22"/>
    </row>
    <row r="2395">
      <c r="A2395" s="5"/>
      <c r="B2395" s="17" t="s">
        <v>1673</v>
      </c>
      <c r="C2395" s="22">
        <f>(133)*(1)*(1)*(1)*(1 + (0))</f>
      </c>
      <c r="D2395" s="22" t="s">
        <v>24</v>
      </c>
      <c r="E2395" s="22"/>
      <c r="F2395" s="22">
        <f>(0)</f>
      </c>
      <c r="G2395" s="22">
        <f>(C2395 * E2395 + C2395 * E2395 * F2395)</f>
      </c>
    </row>
    <row r="2396">
      <c r="A2396" s="4"/>
      <c r="B2396" s="12" t="s">
        <v>424</v>
      </c>
      <c r="C2396" s="21"/>
      <c r="D2396" s="21"/>
      <c r="E2396" s="21"/>
      <c r="F2396" s="21"/>
      <c r="G2396" s="21"/>
    </row>
    <row r="2397">
      <c r="A2397" s="6"/>
      <c r="B2397" s="15" t="s">
        <v>323</v>
      </c>
      <c r="C2397" s="23"/>
      <c r="D2397" s="23"/>
      <c r="E2397" s="23"/>
      <c r="F2397" s="23"/>
      <c r="G2397" s="23"/>
    </row>
    <row r="2398">
      <c r="A2398" s="5"/>
      <c r="B2398" s="16" t="s">
        <v>425</v>
      </c>
      <c r="C2398" s="22">
        <f>(16)*(1)*(1)*(1)*(1 + (0))</f>
      </c>
      <c r="D2398" s="22" t="s">
        <v>24</v>
      </c>
      <c r="E2398" s="22"/>
      <c r="F2398" s="22">
        <f>(0)</f>
      </c>
      <c r="G2398" s="22">
        <f>(C2398 * E2398 + C2398 * E2398 * F2398)</f>
      </c>
    </row>
    <row r="2399">
      <c r="A2399" s="5"/>
      <c r="B2399" s="16" t="s">
        <v>426</v>
      </c>
      <c r="C2399" s="22">
        <f>(14)*(1)*(1)*(1)*(1 + (0))</f>
      </c>
      <c r="D2399" s="22" t="s">
        <v>153</v>
      </c>
      <c r="E2399" s="22"/>
      <c r="F2399" s="22">
        <f>(0)</f>
      </c>
      <c r="G2399" s="22">
        <f>(C2399 * E2399 + C2399 * E2399 * F2399)</f>
      </c>
    </row>
    <row r="2400">
      <c r="A2400" s="5"/>
      <c r="B2400" s="16" t="s">
        <v>427</v>
      </c>
      <c r="C2400" s="22">
        <f>(51)*(1)*(1)*(1)*(1 + (0))</f>
      </c>
      <c r="D2400" s="22" t="s">
        <v>153</v>
      </c>
      <c r="E2400" s="22"/>
      <c r="F2400" s="22">
        <f>(0)</f>
      </c>
      <c r="G2400" s="22">
        <f>(C2400 * E2400 + C2400 * E2400 * F2400)</f>
      </c>
    </row>
    <row r="2401">
      <c r="A2401" s="5"/>
      <c r="B2401" s="16" t="s">
        <v>428</v>
      </c>
      <c r="C2401" s="22">
        <f>(27)*(1)*(1)*(1)*(1 + (0))</f>
      </c>
      <c r="D2401" s="22" t="s">
        <v>24</v>
      </c>
      <c r="E2401" s="22"/>
      <c r="F2401" s="22">
        <f>(0)</f>
      </c>
      <c r="G2401" s="22">
        <f>(C2401 * E2401 + C2401 * E2401 * F2401)</f>
      </c>
    </row>
    <row r="2402">
      <c r="A2402" s="5"/>
      <c r="B2402" s="16" t="s">
        <v>429</v>
      </c>
      <c r="C2402" s="22">
        <f>(31)*(1)*(1)*(1)*(1 + (0))</f>
      </c>
      <c r="D2402" s="22" t="s">
        <v>153</v>
      </c>
      <c r="E2402" s="22"/>
      <c r="F2402" s="22">
        <f>(0)</f>
      </c>
      <c r="G2402" s="22">
        <f>(C2402 * E2402 + C2402 * E2402 * F2402)</f>
      </c>
    </row>
    <row r="2403">
      <c r="A2403" s="5"/>
      <c r="B2403" s="16" t="s">
        <v>430</v>
      </c>
      <c r="C2403" s="22">
        <f>(8)*(1)*(1)*(1)*(1 + (0))</f>
      </c>
      <c r="D2403" s="22" t="s">
        <v>153</v>
      </c>
      <c r="E2403" s="22"/>
      <c r="F2403" s="22">
        <f>(0)</f>
      </c>
      <c r="G2403" s="22">
        <f>(C2403 * E2403 + C2403 * E2403 * F2403)</f>
      </c>
    </row>
    <row r="2404">
      <c r="A2404" s="6"/>
      <c r="B2404" s="15" t="s">
        <v>1662</v>
      </c>
      <c r="C2404" s="23"/>
      <c r="D2404" s="23"/>
      <c r="E2404" s="23"/>
      <c r="F2404" s="23"/>
      <c r="G2404" s="23"/>
    </row>
    <row r="2405">
      <c r="A2405" s="5"/>
      <c r="B2405" s="16" t="s">
        <v>425</v>
      </c>
      <c r="C2405" s="22">
        <f>(16)*(1)*(1)*(1)*(1 + (0))</f>
      </c>
      <c r="D2405" s="22" t="s">
        <v>24</v>
      </c>
      <c r="E2405" s="22"/>
      <c r="F2405" s="22">
        <f>(0)</f>
      </c>
      <c r="G2405" s="22">
        <f>(C2405 * E2405 + C2405 * E2405 * F2405)</f>
      </c>
    </row>
    <row r="2406">
      <c r="A2406" s="5"/>
      <c r="B2406" s="16" t="s">
        <v>426</v>
      </c>
      <c r="C2406" s="22">
        <f>(14)*(1)*(1)*(1)*(1 + (0))</f>
      </c>
      <c r="D2406" s="22" t="s">
        <v>153</v>
      </c>
      <c r="E2406" s="22"/>
      <c r="F2406" s="22">
        <f>(0)</f>
      </c>
      <c r="G2406" s="22">
        <f>(C2406 * E2406 + C2406 * E2406 * F2406)</f>
      </c>
    </row>
    <row r="2407">
      <c r="A2407" s="5"/>
      <c r="B2407" s="16" t="s">
        <v>427</v>
      </c>
      <c r="C2407" s="22">
        <f>(51)*(1)*(1)*(1)*(1 + (0))</f>
      </c>
      <c r="D2407" s="22" t="s">
        <v>153</v>
      </c>
      <c r="E2407" s="22"/>
      <c r="F2407" s="22">
        <f>(0)</f>
      </c>
      <c r="G2407" s="22">
        <f>(C2407 * E2407 + C2407 * E2407 * F2407)</f>
      </c>
    </row>
    <row r="2408">
      <c r="A2408" s="5"/>
      <c r="B2408" s="16" t="s">
        <v>428</v>
      </c>
      <c r="C2408" s="22">
        <f>(27)*(1)*(1)*(1)*(1 + (0))</f>
      </c>
      <c r="D2408" s="22" t="s">
        <v>24</v>
      </c>
      <c r="E2408" s="22"/>
      <c r="F2408" s="22">
        <f>(0)</f>
      </c>
      <c r="G2408" s="22">
        <f>(C2408 * E2408 + C2408 * E2408 * F2408)</f>
      </c>
    </row>
    <row r="2409">
      <c r="A2409" s="5"/>
      <c r="B2409" s="16" t="s">
        <v>429</v>
      </c>
      <c r="C2409" s="22">
        <f>(31)*(1)*(1)*(1)*(1 + (0))</f>
      </c>
      <c r="D2409" s="22" t="s">
        <v>153</v>
      </c>
      <c r="E2409" s="22"/>
      <c r="F2409" s="22">
        <f>(0)</f>
      </c>
      <c r="G2409" s="22">
        <f>(C2409 * E2409 + C2409 * E2409 * F2409)</f>
      </c>
    </row>
    <row r="2410">
      <c r="A2410" s="5"/>
      <c r="B2410" s="16" t="s">
        <v>430</v>
      </c>
      <c r="C2410" s="22">
        <f>(8)*(1)*(1)*(1)*(1 + (0))</f>
      </c>
      <c r="D2410" s="22" t="s">
        <v>153</v>
      </c>
      <c r="E2410" s="22"/>
      <c r="F2410" s="22">
        <f>(0)</f>
      </c>
      <c r="G2410" s="22">
        <f>(C2410 * E2410 + C2410 * E2410 * F2410)</f>
      </c>
    </row>
    <row r="2411">
      <c r="A2411" s="2"/>
      <c r="B2411" s="10" t="s">
        <v>178</v>
      </c>
      <c r="C2411" s="19"/>
      <c r="D2411" s="19"/>
      <c r="E2411" s="19"/>
      <c r="F2411" s="19"/>
      <c r="G2411" s="19"/>
    </row>
    <row r="2412">
      <c r="A2412" s="3"/>
      <c r="B2412" s="11" t="s">
        <v>37</v>
      </c>
      <c r="C2412" s="20"/>
      <c r="D2412" s="20"/>
      <c r="E2412" s="20"/>
      <c r="F2412" s="20"/>
      <c r="G2412" s="20"/>
    </row>
    <row r="2413">
      <c r="A2413" s="5" t="s">
        <v>431</v>
      </c>
      <c r="B2413" s="14" t="s">
        <v>39</v>
      </c>
      <c r="C2413" s="22"/>
      <c r="D2413" s="22" t="s">
        <v>10</v>
      </c>
      <c r="E2413" s="22"/>
      <c r="F2413" s="22">
        <f>(0)</f>
      </c>
      <c r="G2413" s="22">
        <f>(C2413 * E2413 + C2413 * E2413 * F2413)</f>
      </c>
    </row>
    <row r="2414">
      <c r="A2414" s="5" t="s">
        <v>432</v>
      </c>
      <c r="B2414" s="14" t="s">
        <v>41</v>
      </c>
      <c r="C2414" s="22"/>
      <c r="D2414" s="22" t="s">
        <v>10</v>
      </c>
      <c r="E2414" s="22"/>
      <c r="F2414" s="22">
        <f>(0)</f>
      </c>
      <c r="G2414" s="22">
        <f>(C2414 * E2414 + C2414 * E2414 * F2414)</f>
      </c>
    </row>
    <row r="2415">
      <c r="A2415" s="3"/>
      <c r="B2415" s="11" t="s">
        <v>42</v>
      </c>
      <c r="C2415" s="20"/>
      <c r="D2415" s="20"/>
      <c r="E2415" s="20"/>
      <c r="F2415" s="20"/>
      <c r="G2415" s="20"/>
    </row>
    <row r="2416">
      <c r="A2416" s="5"/>
      <c r="B2416" s="14" t="s">
        <v>118</v>
      </c>
      <c r="C2416" s="22"/>
      <c r="D2416" s="22" t="s">
        <v>10</v>
      </c>
      <c r="E2416" s="22"/>
      <c r="F2416" s="22">
        <f>(0)</f>
      </c>
      <c r="G2416" s="22">
        <f>(C2416 * E2416 + C2416 * E2416 * F2416)</f>
      </c>
    </row>
    <row r="2417">
      <c r="A2417" s="5"/>
      <c r="B2417" s="14" t="s">
        <v>43</v>
      </c>
      <c r="C2417" s="22"/>
      <c r="D2417" s="22" t="s">
        <v>10</v>
      </c>
      <c r="E2417" s="22"/>
      <c r="F2417" s="22">
        <f>(0)</f>
      </c>
      <c r="G2417" s="22">
        <f>(C2417 * E2417 + C2417 * E2417 * F2417)</f>
      </c>
    </row>
    <row r="2418">
      <c r="A2418" s="5"/>
      <c r="B2418" s="14" t="s">
        <v>210</v>
      </c>
      <c r="C2418" s="22"/>
      <c r="D2418" s="22" t="s">
        <v>10</v>
      </c>
      <c r="E2418" s="22"/>
      <c r="F2418" s="22">
        <f>(0)</f>
      </c>
      <c r="G2418" s="22">
        <f>(C2418 * E2418 + C2418 * E2418 * F2418)</f>
      </c>
    </row>
    <row r="2419">
      <c r="A2419" s="3"/>
      <c r="B2419" s="11" t="s">
        <v>44</v>
      </c>
      <c r="C2419" s="20"/>
      <c r="D2419" s="20"/>
      <c r="E2419" s="20"/>
      <c r="F2419" s="20"/>
      <c r="G2419" s="20"/>
    </row>
    <row r="2420">
      <c r="A2420" s="4"/>
      <c r="B2420" s="12" t="s">
        <v>45</v>
      </c>
      <c r="C2420" s="21"/>
      <c r="D2420" s="21"/>
      <c r="E2420" s="21"/>
      <c r="F2420" s="21"/>
      <c r="G2420" s="21"/>
    </row>
    <row r="2421">
      <c r="A2421" s="5" t="s">
        <v>433</v>
      </c>
      <c r="B2421" s="13" t="s">
        <v>434</v>
      </c>
      <c r="C2421" s="22"/>
      <c r="D2421" s="22" t="s">
        <v>10</v>
      </c>
      <c r="E2421" s="22"/>
      <c r="F2421" s="22">
        <f>(0)</f>
      </c>
      <c r="G2421" s="22">
        <f>(C2421 * E2421 + C2421 * E2421 * F2421)</f>
      </c>
    </row>
    <row r="2422">
      <c r="A2422" s="5" t="s">
        <v>435</v>
      </c>
      <c r="B2422" s="13" t="s">
        <v>436</v>
      </c>
      <c r="C2422" s="22"/>
      <c r="D2422" s="22" t="s">
        <v>10</v>
      </c>
      <c r="E2422" s="22"/>
      <c r="F2422" s="22">
        <f>(0)</f>
      </c>
      <c r="G2422" s="22">
        <f>(C2422 * E2422 + C2422 * E2422 * F2422)</f>
      </c>
    </row>
    <row r="2423">
      <c r="A2423" s="5" t="s">
        <v>437</v>
      </c>
      <c r="B2423" s="13" t="s">
        <v>438</v>
      </c>
      <c r="C2423" s="22"/>
      <c r="D2423" s="22" t="s">
        <v>10</v>
      </c>
      <c r="E2423" s="22"/>
      <c r="F2423" s="22">
        <f>(0)</f>
      </c>
      <c r="G2423" s="22">
        <f>(C2423 * E2423 + C2423 * E2423 * F2423)</f>
      </c>
    </row>
    <row r="2424">
      <c r="A2424" s="5" t="s">
        <v>439</v>
      </c>
      <c r="B2424" s="13" t="s">
        <v>440</v>
      </c>
      <c r="C2424" s="22"/>
      <c r="D2424" s="22" t="s">
        <v>10</v>
      </c>
      <c r="E2424" s="22"/>
      <c r="F2424" s="22">
        <f>(0)</f>
      </c>
      <c r="G2424" s="22">
        <f>(C2424 * E2424 + C2424 * E2424 * F2424)</f>
      </c>
    </row>
    <row r="2425">
      <c r="A2425" s="5" t="s">
        <v>441</v>
      </c>
      <c r="B2425" s="13" t="s">
        <v>123</v>
      </c>
      <c r="C2425" s="22"/>
      <c r="D2425" s="22" t="s">
        <v>10</v>
      </c>
      <c r="E2425" s="22"/>
      <c r="F2425" s="22">
        <f>(0)</f>
      </c>
      <c r="G2425" s="22">
        <f>(C2425 * E2425 + C2425 * E2425 * F2425)</f>
      </c>
    </row>
    <row r="2426">
      <c r="A2426" s="3"/>
      <c r="B2426" s="11" t="s">
        <v>68</v>
      </c>
      <c r="C2426" s="20"/>
      <c r="D2426" s="20"/>
      <c r="E2426" s="20"/>
      <c r="F2426" s="20"/>
      <c r="G2426" s="20"/>
    </row>
    <row r="2427">
      <c r="A2427" s="5" t="s">
        <v>442</v>
      </c>
      <c r="B2427" s="14" t="s">
        <v>70</v>
      </c>
      <c r="C2427" s="22">
        <f>(1)*(1)*(1)*(1)*(1 + (0))</f>
      </c>
      <c r="D2427" s="22" t="s">
        <v>71</v>
      </c>
      <c r="E2427" s="22"/>
      <c r="F2427" s="22">
        <f>(0)</f>
      </c>
      <c r="G2427" s="22">
        <f>(C2427 * E2427 + C2427 * E2427 * F2427)</f>
      </c>
    </row>
    <row r="2428">
      <c r="A2428" s="5" t="s">
        <v>443</v>
      </c>
      <c r="B2428" s="14" t="s">
        <v>73</v>
      </c>
      <c r="C2428" s="22">
        <f>(1)*(1)*(1)*(1)*(1 + (0))</f>
      </c>
      <c r="D2428" s="22" t="s">
        <v>71</v>
      </c>
      <c r="E2428" s="22"/>
      <c r="F2428" s="22">
        <f>(0)</f>
      </c>
      <c r="G2428" s="22">
        <f>(C2428 * E2428 + C2428 * E2428 * F2428)</f>
      </c>
    </row>
    <row r="2429">
      <c r="A2429" s="5" t="s">
        <v>444</v>
      </c>
      <c r="B2429" s="14" t="s">
        <v>445</v>
      </c>
      <c r="C2429" s="22">
        <f>(1)*(1)*(1)*(1)*(1 + (0))</f>
      </c>
      <c r="D2429" s="22" t="s">
        <v>71</v>
      </c>
      <c r="E2429" s="22"/>
      <c r="F2429" s="22">
        <f>(0)</f>
      </c>
      <c r="G2429" s="22">
        <f>(C2429 * E2429 + C2429 * E2429 * F2429)</f>
      </c>
    </row>
    <row r="2430">
      <c r="A2430" s="5" t="s">
        <v>446</v>
      </c>
      <c r="B2430" s="14" t="s">
        <v>447</v>
      </c>
      <c r="C2430" s="22">
        <f>(1)*(1)*(1)*(1)*(1 + (0))</f>
      </c>
      <c r="D2430" s="22" t="s">
        <v>71</v>
      </c>
      <c r="E2430" s="22"/>
      <c r="F2430" s="22">
        <f>(0)</f>
      </c>
      <c r="G2430" s="22">
        <f>(C2430 * E2430 + C2430 * E2430 * F2430)</f>
      </c>
    </row>
    <row r="2431">
      <c r="A2431" s="5" t="s">
        <v>448</v>
      </c>
      <c r="B2431" s="14" t="s">
        <v>449</v>
      </c>
      <c r="C2431" s="22">
        <f>(1)*(1)*(1)*(1)*(1 + (0))</f>
      </c>
      <c r="D2431" s="22" t="s">
        <v>71</v>
      </c>
      <c r="E2431" s="22"/>
      <c r="F2431" s="22">
        <f>(0)</f>
      </c>
      <c r="G2431" s="22">
        <f>(C2431 * E2431 + C2431 * E2431 * F2431)</f>
      </c>
    </row>
    <row r="2432">
      <c r="A2432" s="5" t="s">
        <v>450</v>
      </c>
      <c r="B2432" s="14" t="s">
        <v>451</v>
      </c>
      <c r="C2432" s="22">
        <f>(1)*(1)*(1)*(1)*(1 + (0))</f>
      </c>
      <c r="D2432" s="22" t="s">
        <v>71</v>
      </c>
      <c r="E2432" s="22"/>
      <c r="F2432" s="22">
        <f>(0)</f>
      </c>
      <c r="G2432" s="22">
        <f>(C2432 * E2432 + C2432 * E2432 * F2432)</f>
      </c>
    </row>
    <row r="2433">
      <c r="A2433" s="3"/>
      <c r="B2433" s="11" t="s">
        <v>106</v>
      </c>
      <c r="C2433" s="20"/>
      <c r="D2433" s="20"/>
      <c r="E2433" s="20"/>
      <c r="F2433" s="20"/>
      <c r="G2433" s="20"/>
    </row>
    <row r="2434">
      <c r="A2434" s="5"/>
      <c r="B2434" s="14" t="s">
        <v>452</v>
      </c>
      <c r="C2434" s="22"/>
      <c r="D2434" s="22" t="s">
        <v>10</v>
      </c>
      <c r="E2434" s="22"/>
      <c r="F2434" s="22">
        <f>(0)</f>
      </c>
      <c r="G2434" s="22">
        <f>(C2434 * E2434 + C2434 * E2434 * F2434)</f>
      </c>
    </row>
    <row r="2435">
      <c r="A2435" s="3"/>
      <c r="B2435" s="11" t="s">
        <v>453</v>
      </c>
      <c r="C2435" s="20"/>
      <c r="D2435" s="20"/>
      <c r="E2435" s="20"/>
      <c r="F2435" s="20"/>
      <c r="G2435" s="20"/>
    </row>
    <row r="2436">
      <c r="A2436" s="5"/>
      <c r="B2436" s="14" t="s">
        <v>454</v>
      </c>
      <c r="C2436" s="22">
        <f>(0.8)*(1)*(1)*(1)*(1 + (0))</f>
      </c>
      <c r="D2436" s="22" t="s">
        <v>182</v>
      </c>
      <c r="E2436" s="22"/>
      <c r="F2436" s="22">
        <f>(0)</f>
      </c>
      <c r="G2436" s="22">
        <f>(C2436 * E2436 + C2436 * E2436 * F2436)</f>
      </c>
    </row>
    <row r="2437">
      <c r="A2437" s="5"/>
      <c r="B2437" s="14" t="s">
        <v>455</v>
      </c>
      <c r="C2437" s="22">
        <f>(71.66)*(1)*(1)*(1)*(1 + (0))</f>
      </c>
      <c r="D2437" s="22" t="s">
        <v>182</v>
      </c>
      <c r="E2437" s="22"/>
      <c r="F2437" s="22">
        <f>(0)</f>
      </c>
      <c r="G2437" s="22">
        <f>(C2437 * E2437 + C2437 * E2437 * F2437)</f>
      </c>
    </row>
    <row r="2438">
      <c r="A2438" s="3"/>
      <c r="B2438" s="11" t="s">
        <v>457</v>
      </c>
      <c r="C2438" s="20"/>
      <c r="D2438" s="20"/>
      <c r="E2438" s="20"/>
      <c r="F2438" s="20"/>
      <c r="G2438" s="20"/>
    </row>
    <row r="2439">
      <c r="A2439" s="4"/>
      <c r="B2439" s="12" t="s">
        <v>397</v>
      </c>
      <c r="C2439" s="21"/>
      <c r="D2439" s="21"/>
      <c r="E2439" s="21"/>
      <c r="F2439" s="21"/>
      <c r="G2439" s="21"/>
    </row>
    <row r="2440">
      <c r="A2440" s="6"/>
      <c r="B2440" s="15" t="s">
        <v>1656</v>
      </c>
      <c r="C2440" s="23"/>
      <c r="D2440" s="23"/>
      <c r="E2440" s="23"/>
      <c r="F2440" s="23"/>
      <c r="G2440" s="23"/>
    </row>
    <row r="2441">
      <c r="A2441" s="5"/>
      <c r="B2441" s="16" t="s">
        <v>458</v>
      </c>
      <c r="C2441" s="22">
        <f>(0.59334465)*(1)*(1)*(1)*(1 + (0))</f>
      </c>
      <c r="D2441" s="22" t="s">
        <v>182</v>
      </c>
      <c r="E2441" s="22"/>
      <c r="F2441" s="22">
        <f>(0)</f>
      </c>
      <c r="G2441" s="22">
        <f>(C2441 * E2441 + C2441 * E2441 * F2441)</f>
      </c>
    </row>
    <row r="2442">
      <c r="A2442" s="6"/>
      <c r="B2442" s="15" t="s">
        <v>1658</v>
      </c>
      <c r="C2442" s="23"/>
      <c r="D2442" s="23"/>
      <c r="E2442" s="23"/>
      <c r="F2442" s="23"/>
      <c r="G2442" s="23"/>
    </row>
    <row r="2443">
      <c r="A2443" s="5"/>
      <c r="B2443" s="16" t="s">
        <v>458</v>
      </c>
      <c r="C2443" s="22">
        <f>(0.209948652)*(1)*(1)*(1)*(1 + (0))</f>
      </c>
      <c r="D2443" s="22" t="s">
        <v>182</v>
      </c>
      <c r="E2443" s="22"/>
      <c r="F2443" s="22">
        <f>(0)</f>
      </c>
      <c r="G2443" s="22">
        <f>(C2443 * E2443 + C2443 * E2443 * F2443)</f>
      </c>
    </row>
    <row r="2444">
      <c r="A2444" s="3"/>
      <c r="B2444" s="11" t="s">
        <v>459</v>
      </c>
      <c r="C2444" s="20"/>
      <c r="D2444" s="20"/>
      <c r="E2444" s="20"/>
      <c r="F2444" s="20"/>
      <c r="G2444" s="20"/>
    </row>
    <row r="2445">
      <c r="A2445" s="4"/>
      <c r="B2445" s="12" t="s">
        <v>400</v>
      </c>
      <c r="C2445" s="21"/>
      <c r="D2445" s="21"/>
      <c r="E2445" s="21"/>
      <c r="F2445" s="21"/>
      <c r="G2445" s="21"/>
    </row>
    <row r="2446">
      <c r="A2446" s="6"/>
      <c r="B2446" s="15" t="s">
        <v>252</v>
      </c>
      <c r="C2446" s="23"/>
      <c r="D2446" s="23"/>
      <c r="E2446" s="23"/>
      <c r="F2446" s="23"/>
      <c r="G2446" s="23"/>
    </row>
    <row r="2447">
      <c r="A2447" s="5"/>
      <c r="B2447" s="16" t="s">
        <v>460</v>
      </c>
      <c r="C2447" s="22">
        <f>(2.7216)*(1)*(1)*(1)*(1 + (0))</f>
      </c>
      <c r="D2447" s="22" t="s">
        <v>182</v>
      </c>
      <c r="E2447" s="22"/>
      <c r="F2447" s="22">
        <f>(0)</f>
      </c>
      <c r="G2447" s="22">
        <f>(C2447 * E2447 + C2447 * E2447 * F2447)</f>
      </c>
    </row>
    <row r="2448">
      <c r="A2448" s="4"/>
      <c r="B2448" s="12" t="s">
        <v>406</v>
      </c>
      <c r="C2448" s="21"/>
      <c r="D2448" s="21"/>
      <c r="E2448" s="21"/>
      <c r="F2448" s="21"/>
      <c r="G2448" s="21"/>
    </row>
    <row r="2449">
      <c r="A2449" s="6"/>
      <c r="B2449" s="15" t="s">
        <v>252</v>
      </c>
      <c r="C2449" s="23"/>
      <c r="D2449" s="23"/>
      <c r="E2449" s="23"/>
      <c r="F2449" s="23"/>
      <c r="G2449" s="23"/>
    </row>
    <row r="2450">
      <c r="A2450" s="5"/>
      <c r="B2450" s="16" t="s">
        <v>462</v>
      </c>
      <c r="C2450" s="22">
        <f>(3.16008130037361)*(1)*(1)*(1)*(1 + (0))</f>
      </c>
      <c r="D2450" s="22" t="s">
        <v>182</v>
      </c>
      <c r="E2450" s="22"/>
      <c r="F2450" s="22">
        <f>(0)</f>
      </c>
      <c r="G2450" s="22">
        <f>(C2450 * E2450 + C2450 * E2450 * F2450)</f>
      </c>
    </row>
    <row r="2451">
      <c r="A2451" s="4"/>
      <c r="B2451" s="12" t="s">
        <v>408</v>
      </c>
      <c r="C2451" s="21"/>
      <c r="D2451" s="21"/>
      <c r="E2451" s="21"/>
      <c r="F2451" s="21"/>
      <c r="G2451" s="21"/>
    </row>
    <row r="2452">
      <c r="A2452" s="6"/>
      <c r="B2452" s="15" t="s">
        <v>252</v>
      </c>
      <c r="C2452" s="23"/>
      <c r="D2452" s="23"/>
      <c r="E2452" s="23"/>
      <c r="F2452" s="23"/>
      <c r="G2452" s="23"/>
    </row>
    <row r="2453">
      <c r="A2453" s="5"/>
      <c r="B2453" s="16" t="s">
        <v>463</v>
      </c>
      <c r="C2453" s="22">
        <f>(14.0683416466153)*(1)*(1)*(1)*(1 + (0))</f>
      </c>
      <c r="D2453" s="22" t="s">
        <v>182</v>
      </c>
      <c r="E2453" s="22"/>
      <c r="F2453" s="22">
        <f>(0)</f>
      </c>
      <c r="G2453" s="22">
        <f>(C2453 * E2453 + C2453 * E2453 * F2453)</f>
      </c>
    </row>
    <row r="2454">
      <c r="A2454" s="4"/>
      <c r="B2454" s="12" t="s">
        <v>411</v>
      </c>
      <c r="C2454" s="21"/>
      <c r="D2454" s="21"/>
      <c r="E2454" s="21"/>
      <c r="F2454" s="21"/>
      <c r="G2454" s="21"/>
    </row>
    <row r="2455">
      <c r="A2455" s="6"/>
      <c r="B2455" s="15" t="s">
        <v>252</v>
      </c>
      <c r="C2455" s="23"/>
      <c r="D2455" s="23"/>
      <c r="E2455" s="23"/>
      <c r="F2455" s="23"/>
      <c r="G2455" s="23"/>
    </row>
    <row r="2456">
      <c r="A2456" s="5"/>
      <c r="B2456" s="16" t="s">
        <v>464</v>
      </c>
      <c r="C2456" s="22">
        <f>(14.8534536536809)*(1)*(1)*(1)*(1 + (0))</f>
      </c>
      <c r="D2456" s="22" t="s">
        <v>182</v>
      </c>
      <c r="E2456" s="22"/>
      <c r="F2456" s="22">
        <f>(0)</f>
      </c>
      <c r="G2456" s="22">
        <f>(C2456 * E2456 + C2456 * E2456 * F2456)</f>
      </c>
    </row>
    <row r="2457">
      <c r="A2457" s="5"/>
      <c r="B2457" s="16" t="s">
        <v>465</v>
      </c>
      <c r="C2457" s="22">
        <f>(0.170950215627614)*(1)*(1)*(1)*(1 + (0))</f>
      </c>
      <c r="D2457" s="22" t="s">
        <v>182</v>
      </c>
      <c r="E2457" s="22"/>
      <c r="F2457" s="22">
        <f>(0)</f>
      </c>
      <c r="G2457" s="22">
        <f>(C2457 * E2457 + C2457 * E2457 * F2457)</f>
      </c>
    </row>
    <row r="2458">
      <c r="A2458" s="4"/>
      <c r="B2458" s="12" t="s">
        <v>382</v>
      </c>
      <c r="C2458" s="21"/>
      <c r="D2458" s="21"/>
      <c r="E2458" s="21"/>
      <c r="F2458" s="21"/>
      <c r="G2458" s="21"/>
    </row>
    <row r="2459">
      <c r="A2459" s="6"/>
      <c r="B2459" s="15" t="s">
        <v>311</v>
      </c>
      <c r="C2459" s="23"/>
      <c r="D2459" s="23"/>
      <c r="E2459" s="23"/>
      <c r="F2459" s="23"/>
      <c r="G2459" s="23"/>
    </row>
    <row r="2460">
      <c r="A2460" s="5"/>
      <c r="B2460" s="16" t="s">
        <v>466</v>
      </c>
      <c r="C2460" s="22">
        <f>(12.4297623824048)*(1)*(1)*(1)*(1 + (0))</f>
      </c>
      <c r="D2460" s="22" t="s">
        <v>182</v>
      </c>
      <c r="E2460" s="22"/>
      <c r="F2460" s="22">
        <f>(0)</f>
      </c>
      <c r="G2460" s="22">
        <f>(C2460 * E2460 + C2460 * E2460 * F2460)</f>
      </c>
    </row>
    <row r="2461">
      <c r="A2461" s="5"/>
      <c r="B2461" s="16" t="s">
        <v>467</v>
      </c>
      <c r="C2461" s="22">
        <f>(0.227170504654322)*(1)*(1)*(1)*(1 + (0))</f>
      </c>
      <c r="D2461" s="22" t="s">
        <v>182</v>
      </c>
      <c r="E2461" s="22"/>
      <c r="F2461" s="22">
        <f>(0)</f>
      </c>
      <c r="G2461" s="22">
        <f>(C2461 * E2461 + C2461 * E2461 * F2461)</f>
      </c>
    </row>
    <row r="2462">
      <c r="A2462" s="4"/>
      <c r="B2462" s="12" t="s">
        <v>389</v>
      </c>
      <c r="C2462" s="21"/>
      <c r="D2462" s="21"/>
      <c r="E2462" s="21"/>
      <c r="F2462" s="21"/>
      <c r="G2462" s="21"/>
    </row>
    <row r="2463">
      <c r="A2463" s="6"/>
      <c r="B2463" s="15" t="s">
        <v>311</v>
      </c>
      <c r="C2463" s="23"/>
      <c r="D2463" s="23"/>
      <c r="E2463" s="23"/>
      <c r="F2463" s="23"/>
      <c r="G2463" s="23"/>
    </row>
    <row r="2464">
      <c r="A2464" s="5"/>
      <c r="B2464" s="16" t="s">
        <v>470</v>
      </c>
      <c r="C2464" s="22">
        <f>(0.809452077976895)*(1)*(1)*(1)*(1 + (0))</f>
      </c>
      <c r="D2464" s="22" t="s">
        <v>182</v>
      </c>
      <c r="E2464" s="22"/>
      <c r="F2464" s="22">
        <f>(0)</f>
      </c>
      <c r="G2464" s="22">
        <f>(C2464 * E2464 + C2464 * E2464 * F2464)</f>
      </c>
    </row>
    <row r="2465">
      <c r="A2465" s="4"/>
      <c r="B2465" s="12" t="s">
        <v>1664</v>
      </c>
      <c r="C2465" s="21"/>
      <c r="D2465" s="21"/>
      <c r="E2465" s="21"/>
      <c r="F2465" s="21"/>
      <c r="G2465" s="21"/>
    </row>
    <row r="2466">
      <c r="A2466" s="6"/>
      <c r="B2466" s="15" t="s">
        <v>252</v>
      </c>
      <c r="C2466" s="23"/>
      <c r="D2466" s="23"/>
      <c r="E2466" s="23"/>
      <c r="F2466" s="23"/>
      <c r="G2466" s="23"/>
    </row>
    <row r="2467">
      <c r="A2467" s="5"/>
      <c r="B2467" s="16" t="s">
        <v>471</v>
      </c>
      <c r="C2467" s="22">
        <f>(0.483875)*(1)*(1)*(1)*(1 + (0))</f>
      </c>
      <c r="D2467" s="22" t="s">
        <v>182</v>
      </c>
      <c r="E2467" s="22"/>
      <c r="F2467" s="22">
        <f>(0)</f>
      </c>
      <c r="G2467" s="22">
        <f>(C2467 * E2467 + C2467 * E2467 * F2467)</f>
      </c>
    </row>
    <row r="2468">
      <c r="A2468" s="5"/>
      <c r="B2468" s="16" t="s">
        <v>474</v>
      </c>
      <c r="C2468" s="22">
        <f>(0.474)*(1)*(1)*(1)*(1 + (0))</f>
      </c>
      <c r="D2468" s="22" t="s">
        <v>182</v>
      </c>
      <c r="E2468" s="22"/>
      <c r="F2468" s="22">
        <f>(0)</f>
      </c>
      <c r="G2468" s="22">
        <f>(C2468 * E2468 + C2468 * E2468 * F2468)</f>
      </c>
    </row>
    <row r="2469">
      <c r="A2469" s="5"/>
      <c r="B2469" s="16" t="s">
        <v>472</v>
      </c>
      <c r="C2469" s="22">
        <f>(3.5933625)*(1)*(1)*(1)*(1 + (0))</f>
      </c>
      <c r="D2469" s="22" t="s">
        <v>182</v>
      </c>
      <c r="E2469" s="22"/>
      <c r="F2469" s="22">
        <f>(0)</f>
      </c>
      <c r="G2469" s="22">
        <f>(C2469 * E2469 + C2469 * E2469 * F2469)</f>
      </c>
    </row>
    <row r="2470">
      <c r="A2470" s="5"/>
      <c r="B2470" s="16" t="s">
        <v>473</v>
      </c>
      <c r="C2470" s="22">
        <f>(1.304)*(1)*(1)*(1)*(1 + (0))</f>
      </c>
      <c r="D2470" s="22" t="s">
        <v>182</v>
      </c>
      <c r="E2470" s="22"/>
      <c r="F2470" s="22">
        <f>(0)</f>
      </c>
      <c r="G2470" s="22">
        <f>(C2470 * E2470 + C2470 * E2470 * F2470)</f>
      </c>
    </row>
    <row r="2471">
      <c r="A2471" s="6"/>
      <c r="B2471" s="15" t="s">
        <v>311</v>
      </c>
      <c r="C2471" s="23"/>
      <c r="D2471" s="23"/>
      <c r="E2471" s="23"/>
      <c r="F2471" s="23"/>
      <c r="G2471" s="23"/>
    </row>
    <row r="2472">
      <c r="A2472" s="5"/>
      <c r="B2472" s="16" t="s">
        <v>471</v>
      </c>
      <c r="C2472" s="22">
        <f>(0.37975)*(1)*(1)*(1)*(1 + (0))</f>
      </c>
      <c r="D2472" s="22" t="s">
        <v>182</v>
      </c>
      <c r="E2472" s="22"/>
      <c r="F2472" s="22">
        <f>(0)</f>
      </c>
      <c r="G2472" s="22">
        <f>(C2472 * E2472 + C2472 * E2472 * F2472)</f>
      </c>
    </row>
    <row r="2473">
      <c r="A2473" s="5"/>
      <c r="B2473" s="16" t="s">
        <v>474</v>
      </c>
      <c r="C2473" s="22">
        <f>(0.124)*(1)*(1)*(1)*(1 + (0))</f>
      </c>
      <c r="D2473" s="22" t="s">
        <v>182</v>
      </c>
      <c r="E2473" s="22"/>
      <c r="F2473" s="22">
        <f>(0)</f>
      </c>
      <c r="G2473" s="22">
        <f>(C2473 * E2473 + C2473 * E2473 * F2473)</f>
      </c>
    </row>
    <row r="2474">
      <c r="A2474" s="5"/>
      <c r="B2474" s="16" t="s">
        <v>473</v>
      </c>
      <c r="C2474" s="22">
        <f>(0.64)*(1)*(1)*(1)*(1 + (0))</f>
      </c>
      <c r="D2474" s="22" t="s">
        <v>182</v>
      </c>
      <c r="E2474" s="22"/>
      <c r="F2474" s="22">
        <f>(0)</f>
      </c>
      <c r="G2474" s="22">
        <f>(C2474 * E2474 + C2474 * E2474 * F2474)</f>
      </c>
    </row>
    <row r="2475">
      <c r="A2475" s="5"/>
      <c r="B2475" s="16" t="s">
        <v>472</v>
      </c>
      <c r="C2475" s="22">
        <f>(4.465125)*(1)*(1)*(1)*(1 + (0))</f>
      </c>
      <c r="D2475" s="22" t="s">
        <v>182</v>
      </c>
      <c r="E2475" s="22"/>
      <c r="F2475" s="22">
        <f>(0)</f>
      </c>
      <c r="G2475" s="22">
        <f>(C2475 * E2475 + C2475 * E2475 * F2475)</f>
      </c>
    </row>
    <row r="2476">
      <c r="A2476" s="4"/>
      <c r="B2476" s="12" t="s">
        <v>1668</v>
      </c>
      <c r="C2476" s="21"/>
      <c r="D2476" s="21"/>
      <c r="E2476" s="21"/>
      <c r="F2476" s="21"/>
      <c r="G2476" s="21"/>
    </row>
    <row r="2477">
      <c r="A2477" s="6"/>
      <c r="B2477" s="15" t="s">
        <v>304</v>
      </c>
      <c r="C2477" s="23"/>
      <c r="D2477" s="23"/>
      <c r="E2477" s="23"/>
      <c r="F2477" s="23"/>
      <c r="G2477" s="23"/>
    </row>
    <row r="2478">
      <c r="A2478" s="5"/>
      <c r="B2478" s="16" t="s">
        <v>252</v>
      </c>
      <c r="C2478" s="22"/>
      <c r="D2478" s="22"/>
      <c r="E2478" s="22"/>
      <c r="F2478" s="22"/>
      <c r="G2478" s="22"/>
    </row>
    <row r="2479">
      <c r="A2479" s="5"/>
      <c r="B2479" s="17" t="s">
        <v>476</v>
      </c>
      <c r="C2479" s="22">
        <f>(3.5142542377562)*(1)*(1)*(1)*(1 + (0))</f>
      </c>
      <c r="D2479" s="22" t="s">
        <v>182</v>
      </c>
      <c r="E2479" s="22"/>
      <c r="F2479" s="22">
        <f>(0)</f>
      </c>
      <c r="G2479" s="22">
        <f>(C2479 * E2479 + C2479 * E2479 * F2479)</f>
      </c>
    </row>
    <row r="2480">
      <c r="A2480" s="5"/>
      <c r="B2480" s="17" t="s">
        <v>477</v>
      </c>
      <c r="C2480" s="22">
        <f>(0.740931083109927)*(1)*(1)*(1)*(1 + (0))</f>
      </c>
      <c r="D2480" s="22" t="s">
        <v>182</v>
      </c>
      <c r="E2480" s="22"/>
      <c r="F2480" s="22">
        <f>(0)</f>
      </c>
      <c r="G2480" s="22">
        <f>(C2480 * E2480 + C2480 * E2480 * F2480)</f>
      </c>
    </row>
    <row r="2481">
      <c r="A2481" s="6"/>
      <c r="B2481" s="15" t="s">
        <v>307</v>
      </c>
      <c r="C2481" s="23"/>
      <c r="D2481" s="23"/>
      <c r="E2481" s="23"/>
      <c r="F2481" s="23"/>
      <c r="G2481" s="23"/>
    </row>
    <row r="2482">
      <c r="A2482" s="5"/>
      <c r="B2482" s="16" t="s">
        <v>1648</v>
      </c>
      <c r="C2482" s="22"/>
      <c r="D2482" s="22"/>
      <c r="E2482" s="22"/>
      <c r="F2482" s="22"/>
      <c r="G2482" s="22"/>
    </row>
    <row r="2483">
      <c r="A2483" s="5"/>
      <c r="B2483" s="17" t="s">
        <v>477</v>
      </c>
      <c r="C2483" s="22">
        <f>(4.22539729020177)*(1)*(1)*(1)*(1 + (0))</f>
      </c>
      <c r="D2483" s="22" t="s">
        <v>182</v>
      </c>
      <c r="E2483" s="22"/>
      <c r="F2483" s="22">
        <f>(0)</f>
      </c>
      <c r="G2483" s="22">
        <f>(C2483 * E2483 + C2483 * E2483 * F2483)</f>
      </c>
    </row>
    <row r="2484">
      <c r="A2484" s="4"/>
      <c r="B2484" s="12" t="s">
        <v>1674</v>
      </c>
      <c r="C2484" s="21"/>
      <c r="D2484" s="21"/>
      <c r="E2484" s="21"/>
      <c r="F2484" s="21"/>
      <c r="G2484" s="21"/>
    </row>
    <row r="2485">
      <c r="A2485" s="5"/>
      <c r="B2485" s="13" t="s">
        <v>480</v>
      </c>
      <c r="C2485" s="22">
        <f>(1.63241053833778)*(1)*(1)*(1)*(1 + (0))</f>
      </c>
      <c r="D2485" s="22" t="s">
        <v>182</v>
      </c>
      <c r="E2485" s="22"/>
      <c r="F2485" s="22">
        <f>(0)</f>
      </c>
      <c r="G2485" s="22">
        <f>(C2485 * E2485 + C2485 * E2485 * F2485)</f>
      </c>
    </row>
    <row r="2486">
      <c r="A2486" s="5"/>
      <c r="B2486" s="13" t="s">
        <v>481</v>
      </c>
      <c r="C2486" s="22">
        <f>(1.62505189609136)*(1)*(1)*(1)*(1 + (0))</f>
      </c>
      <c r="D2486" s="22" t="s">
        <v>182</v>
      </c>
      <c r="E2486" s="22"/>
      <c r="F2486" s="22">
        <f>(0)</f>
      </c>
      <c r="G2486" s="22">
        <f>(C2486 * E2486 + C2486 * E2486 * F2486)</f>
      </c>
    </row>
    <row r="2487">
      <c r="A2487" s="2"/>
      <c r="B2487" s="10" t="s">
        <v>484</v>
      </c>
      <c r="C2487" s="19"/>
      <c r="D2487" s="19"/>
      <c r="E2487" s="19"/>
      <c r="F2487" s="19"/>
      <c r="G2487" s="19"/>
    </row>
    <row r="2488">
      <c r="A2488" s="3"/>
      <c r="B2488" s="11" t="s">
        <v>37</v>
      </c>
      <c r="C2488" s="20"/>
      <c r="D2488" s="20"/>
      <c r="E2488" s="20"/>
      <c r="F2488" s="20"/>
      <c r="G2488" s="20"/>
    </row>
    <row r="2489">
      <c r="A2489" s="5" t="s">
        <v>485</v>
      </c>
      <c r="B2489" s="14" t="s">
        <v>39</v>
      </c>
      <c r="C2489" s="22"/>
      <c r="D2489" s="22" t="s">
        <v>10</v>
      </c>
      <c r="E2489" s="22"/>
      <c r="F2489" s="22">
        <f>(0)</f>
      </c>
      <c r="G2489" s="22">
        <f>(C2489 * E2489 + C2489 * E2489 * F2489)</f>
      </c>
    </row>
    <row r="2490">
      <c r="A2490" s="5" t="s">
        <v>486</v>
      </c>
      <c r="B2490" s="14" t="s">
        <v>41</v>
      </c>
      <c r="C2490" s="22"/>
      <c r="D2490" s="22" t="s">
        <v>10</v>
      </c>
      <c r="E2490" s="22"/>
      <c r="F2490" s="22">
        <f>(0)</f>
      </c>
      <c r="G2490" s="22">
        <f>(C2490 * E2490 + C2490 * E2490 * F2490)</f>
      </c>
    </row>
    <row r="2491">
      <c r="A2491" s="3"/>
      <c r="B2491" s="11" t="s">
        <v>42</v>
      </c>
      <c r="C2491" s="20"/>
      <c r="D2491" s="20"/>
      <c r="E2491" s="20"/>
      <c r="F2491" s="20"/>
      <c r="G2491" s="20"/>
    </row>
    <row r="2492">
      <c r="A2492" s="5"/>
      <c r="B2492" s="14" t="s">
        <v>118</v>
      </c>
      <c r="C2492" s="22"/>
      <c r="D2492" s="22" t="s">
        <v>10</v>
      </c>
      <c r="E2492" s="22"/>
      <c r="F2492" s="22">
        <f>(0)</f>
      </c>
      <c r="G2492" s="22">
        <f>(C2492 * E2492 + C2492 * E2492 * F2492)</f>
      </c>
    </row>
    <row r="2493">
      <c r="A2493" s="5"/>
      <c r="B2493" s="14" t="s">
        <v>43</v>
      </c>
      <c r="C2493" s="22"/>
      <c r="D2493" s="22" t="s">
        <v>10</v>
      </c>
      <c r="E2493" s="22"/>
      <c r="F2493" s="22">
        <f>(0)</f>
      </c>
      <c r="G2493" s="22">
        <f>(C2493 * E2493 + C2493 * E2493 * F2493)</f>
      </c>
    </row>
    <row r="2494">
      <c r="A2494" s="3"/>
      <c r="B2494" s="11" t="s">
        <v>44</v>
      </c>
      <c r="C2494" s="20"/>
      <c r="D2494" s="20"/>
      <c r="E2494" s="20"/>
      <c r="F2494" s="20"/>
      <c r="G2494" s="20"/>
    </row>
    <row r="2495">
      <c r="A2495" s="4"/>
      <c r="B2495" s="12" t="s">
        <v>45</v>
      </c>
      <c r="C2495" s="21"/>
      <c r="D2495" s="21"/>
      <c r="E2495" s="21"/>
      <c r="F2495" s="21"/>
      <c r="G2495" s="21"/>
    </row>
    <row r="2496">
      <c r="A2496" s="5" t="s">
        <v>487</v>
      </c>
      <c r="B2496" s="13" t="s">
        <v>488</v>
      </c>
      <c r="C2496" s="22"/>
      <c r="D2496" s="22" t="s">
        <v>10</v>
      </c>
      <c r="E2496" s="22"/>
      <c r="F2496" s="22">
        <f>(0)</f>
      </c>
      <c r="G2496" s="22">
        <f>(C2496 * E2496 + C2496 * E2496 * F2496)</f>
      </c>
    </row>
    <row r="2497">
      <c r="A2497" s="5" t="s">
        <v>489</v>
      </c>
      <c r="B2497" s="13" t="s">
        <v>123</v>
      </c>
      <c r="C2497" s="22"/>
      <c r="D2497" s="22" t="s">
        <v>10</v>
      </c>
      <c r="E2497" s="22"/>
      <c r="F2497" s="22">
        <f>(0)</f>
      </c>
      <c r="G2497" s="22">
        <f>(C2497 * E2497 + C2497 * E2497 * F2497)</f>
      </c>
    </row>
    <row r="2498">
      <c r="A2498" s="3"/>
      <c r="B2498" s="11" t="s">
        <v>68</v>
      </c>
      <c r="C2498" s="20"/>
      <c r="D2498" s="20"/>
      <c r="E2498" s="20"/>
      <c r="F2498" s="20"/>
      <c r="G2498" s="20"/>
    </row>
    <row r="2499">
      <c r="A2499" s="5" t="s">
        <v>490</v>
      </c>
      <c r="B2499" s="14" t="s">
        <v>70</v>
      </c>
      <c r="C2499" s="22">
        <f>(1)*(1)*(1)*(1)*(1 + (0))</f>
      </c>
      <c r="D2499" s="22" t="s">
        <v>71</v>
      </c>
      <c r="E2499" s="22"/>
      <c r="F2499" s="22">
        <f>(0)</f>
      </c>
      <c r="G2499" s="22">
        <f>(C2499 * E2499 + C2499 * E2499 * F2499)</f>
      </c>
    </row>
    <row r="2500">
      <c r="A2500" s="5" t="s">
        <v>491</v>
      </c>
      <c r="B2500" s="14" t="s">
        <v>492</v>
      </c>
      <c r="C2500" s="22">
        <f>(1)*(1)*(1)*(1)*(1 + (0))</f>
      </c>
      <c r="D2500" s="22" t="s">
        <v>71</v>
      </c>
      <c r="E2500" s="22"/>
      <c r="F2500" s="22">
        <f>(0)</f>
      </c>
      <c r="G2500" s="22">
        <f>(C2500 * E2500 + C2500 * E2500 * F2500)</f>
      </c>
    </row>
    <row r="2501">
      <c r="A2501" s="5" t="s">
        <v>493</v>
      </c>
      <c r="B2501" s="14" t="s">
        <v>73</v>
      </c>
      <c r="C2501" s="22">
        <f>(1)*(1)*(1)*(1)*(1 + (0))</f>
      </c>
      <c r="D2501" s="22" t="s">
        <v>71</v>
      </c>
      <c r="E2501" s="22"/>
      <c r="F2501" s="22">
        <f>(0)</f>
      </c>
      <c r="G2501" s="22">
        <f>(C2501 * E2501 + C2501 * E2501 * F2501)</f>
      </c>
    </row>
    <row r="2502">
      <c r="A2502" s="5" t="s">
        <v>494</v>
      </c>
      <c r="B2502" s="14" t="s">
        <v>495</v>
      </c>
      <c r="C2502" s="22">
        <f>(1)*(1)*(1)*(1)*(1 + (0))</f>
      </c>
      <c r="D2502" s="22" t="s">
        <v>71</v>
      </c>
      <c r="E2502" s="22"/>
      <c r="F2502" s="22">
        <f>(0)</f>
      </c>
      <c r="G2502" s="22">
        <f>(C2502 * E2502 + C2502 * E2502 * F2502)</f>
      </c>
    </row>
    <row r="2503">
      <c r="A2503" s="5" t="s">
        <v>496</v>
      </c>
      <c r="B2503" s="14" t="s">
        <v>497</v>
      </c>
      <c r="C2503" s="22">
        <f>(1)*(1)*(1)*(1)*(1 + (0))</f>
      </c>
      <c r="D2503" s="22" t="s">
        <v>71</v>
      </c>
      <c r="E2503" s="22"/>
      <c r="F2503" s="22">
        <f>(0)</f>
      </c>
      <c r="G2503" s="22">
        <f>(C2503 * E2503 + C2503 * E2503 * F2503)</f>
      </c>
    </row>
    <row r="2504">
      <c r="A2504" s="5" t="s">
        <v>498</v>
      </c>
      <c r="B2504" s="14" t="s">
        <v>499</v>
      </c>
      <c r="C2504" s="22">
        <f>(1)*(1)*(1)*(1)*(1 + (0))</f>
      </c>
      <c r="D2504" s="22" t="s">
        <v>71</v>
      </c>
      <c r="E2504" s="22"/>
      <c r="F2504" s="22">
        <f>(0)</f>
      </c>
      <c r="G2504" s="22">
        <f>(C2504 * E2504 + C2504 * E2504 * F2504)</f>
      </c>
    </row>
    <row r="2505">
      <c r="A2505" s="5" t="s">
        <v>500</v>
      </c>
      <c r="B2505" s="14" t="s">
        <v>501</v>
      </c>
      <c r="C2505" s="22">
        <f>(1)*(1)*(1)*(1)*(1 + (0))</f>
      </c>
      <c r="D2505" s="22" t="s">
        <v>71</v>
      </c>
      <c r="E2505" s="22"/>
      <c r="F2505" s="22">
        <f>(0)</f>
      </c>
      <c r="G2505" s="22">
        <f>(C2505 * E2505 + C2505 * E2505 * F2505)</f>
      </c>
    </row>
    <row r="2506">
      <c r="A2506" s="5" t="s">
        <v>502</v>
      </c>
      <c r="B2506" s="14" t="s">
        <v>503</v>
      </c>
      <c r="C2506" s="22">
        <f>(1)*(1)*(1)*(1)*(1 + (0))</f>
      </c>
      <c r="D2506" s="22" t="s">
        <v>71</v>
      </c>
      <c r="E2506" s="22"/>
      <c r="F2506" s="22">
        <f>(0)</f>
      </c>
      <c r="G2506" s="22">
        <f>(C2506 * E2506 + C2506 * E2506 * F2506)</f>
      </c>
    </row>
    <row r="2507">
      <c r="A2507" s="5" t="s">
        <v>504</v>
      </c>
      <c r="B2507" s="14" t="s">
        <v>505</v>
      </c>
      <c r="C2507" s="22">
        <f>(1)*(1)*(1)*(1)*(1 + (0))</f>
      </c>
      <c r="D2507" s="22" t="s">
        <v>71</v>
      </c>
      <c r="E2507" s="22"/>
      <c r="F2507" s="22">
        <f>(0)</f>
      </c>
      <c r="G2507" s="22">
        <f>(C2507 * E2507 + C2507 * E2507 * F2507)</f>
      </c>
    </row>
    <row r="2508">
      <c r="A2508" s="5" t="s">
        <v>506</v>
      </c>
      <c r="B2508" s="14" t="s">
        <v>507</v>
      </c>
      <c r="C2508" s="22">
        <f>(1)*(1)*(1)*(1)*(1 + (0))</f>
      </c>
      <c r="D2508" s="22" t="s">
        <v>71</v>
      </c>
      <c r="E2508" s="22"/>
      <c r="F2508" s="22">
        <f>(0)</f>
      </c>
      <c r="G2508" s="22">
        <f>(C2508 * E2508 + C2508 * E2508 * F2508)</f>
      </c>
    </row>
    <row r="2509">
      <c r="A2509" s="5" t="s">
        <v>508</v>
      </c>
      <c r="B2509" s="14" t="s">
        <v>509</v>
      </c>
      <c r="C2509" s="22">
        <f>(1)*(1)*(1)*(1)*(1 + (0))</f>
      </c>
      <c r="D2509" s="22" t="s">
        <v>71</v>
      </c>
      <c r="E2509" s="22"/>
      <c r="F2509" s="22">
        <f>(0)</f>
      </c>
      <c r="G2509" s="22">
        <f>(C2509 * E2509 + C2509 * E2509 * F2509)</f>
      </c>
    </row>
    <row r="2510">
      <c r="A2510" s="5" t="s">
        <v>510</v>
      </c>
      <c r="B2510" s="14" t="s">
        <v>511</v>
      </c>
      <c r="C2510" s="22">
        <f>(1)*(1)*(1)*(1)*(1 + (0))</f>
      </c>
      <c r="D2510" s="22" t="s">
        <v>71</v>
      </c>
      <c r="E2510" s="22"/>
      <c r="F2510" s="22">
        <f>(0)</f>
      </c>
      <c r="G2510" s="22">
        <f>(C2510 * E2510 + C2510 * E2510 * F2510)</f>
      </c>
    </row>
    <row r="2511">
      <c r="A2511" s="5" t="s">
        <v>512</v>
      </c>
      <c r="B2511" s="14" t="s">
        <v>513</v>
      </c>
      <c r="C2511" s="22">
        <f>(1)*(1)*(1)*(1)*(1 + (0))</f>
      </c>
      <c r="D2511" s="22" t="s">
        <v>71</v>
      </c>
      <c r="E2511" s="22"/>
      <c r="F2511" s="22">
        <f>(0)</f>
      </c>
      <c r="G2511" s="22">
        <f>(C2511 * E2511 + C2511 * E2511 * F2511)</f>
      </c>
    </row>
    <row r="2512">
      <c r="A2512" s="3"/>
      <c r="B2512" s="11" t="s">
        <v>514</v>
      </c>
      <c r="C2512" s="20"/>
      <c r="D2512" s="20"/>
      <c r="E2512" s="20"/>
      <c r="F2512" s="20"/>
      <c r="G2512" s="20"/>
    </row>
    <row r="2513">
      <c r="A2513" s="5"/>
      <c r="B2513" s="14" t="s">
        <v>515</v>
      </c>
      <c r="C2513" s="22">
        <f>(6.71)*(1)*(1)*(1)*(1 + (0))</f>
      </c>
      <c r="D2513" s="22" t="s">
        <v>182</v>
      </c>
      <c r="E2513" s="22"/>
      <c r="F2513" s="22">
        <f>(0)</f>
      </c>
      <c r="G2513" s="22">
        <f>(C2513 * E2513 + C2513 * E2513 * F2513)</f>
      </c>
    </row>
    <row r="2514">
      <c r="A2514" s="3"/>
      <c r="B2514" s="11" t="s">
        <v>516</v>
      </c>
      <c r="C2514" s="20"/>
      <c r="D2514" s="20"/>
      <c r="E2514" s="20"/>
      <c r="F2514" s="20"/>
      <c r="G2514" s="20"/>
    </row>
    <row r="2515">
      <c r="A2515" s="4"/>
      <c r="B2515" s="12" t="s">
        <v>382</v>
      </c>
      <c r="C2515" s="21"/>
      <c r="D2515" s="21"/>
      <c r="E2515" s="21"/>
      <c r="F2515" s="21"/>
      <c r="G2515" s="21"/>
    </row>
    <row r="2516">
      <c r="A2516" s="6"/>
      <c r="B2516" s="15" t="s">
        <v>311</v>
      </c>
      <c r="C2516" s="23"/>
      <c r="D2516" s="23"/>
      <c r="E2516" s="23"/>
      <c r="F2516" s="23"/>
      <c r="G2516" s="23"/>
    </row>
    <row r="2517">
      <c r="A2517" s="5"/>
      <c r="B2517" s="16" t="s">
        <v>517</v>
      </c>
      <c r="C2517" s="22">
        <f>(6.7120716864986)*(1)*(1)*(1)*(1 + (0))</f>
      </c>
      <c r="D2517" s="22" t="s">
        <v>182</v>
      </c>
      <c r="E2517" s="22"/>
      <c r="F2517" s="22">
        <f>(0)</f>
      </c>
      <c r="G2517" s="22">
        <f>(C2517 * E2517 + C2517 * E2517 * F2517)</f>
      </c>
    </row>
    <row r="2518">
      <c r="A2518" s="5"/>
      <c r="B2518" s="7" t="s">
        <v>519</v>
      </c>
      <c r="C2518" s="22"/>
      <c r="D2518" s="22"/>
      <c r="E2518" s="22"/>
      <c r="F2518" s="22">
        <f>(0)</f>
      </c>
      <c r="G2518" s="22">
        <f>(C2518 * E2518 + C2518 * E2518 * F2518)</f>
      </c>
    </row>
    <row r="2519">
      <c r="A2519" s="2"/>
      <c r="B2519" s="10" t="s">
        <v>520</v>
      </c>
      <c r="C2519" s="19"/>
      <c r="D2519" s="19"/>
      <c r="E2519" s="19"/>
      <c r="F2519" s="19"/>
      <c r="G2519" s="19"/>
    </row>
    <row r="2520">
      <c r="A2520" s="3"/>
      <c r="B2520" s="11" t="s">
        <v>37</v>
      </c>
      <c r="C2520" s="20"/>
      <c r="D2520" s="20"/>
      <c r="E2520" s="20"/>
      <c r="F2520" s="20"/>
      <c r="G2520" s="20"/>
    </row>
    <row r="2521">
      <c r="A2521" s="5" t="s">
        <v>521</v>
      </c>
      <c r="B2521" s="14" t="s">
        <v>39</v>
      </c>
      <c r="C2521" s="22"/>
      <c r="D2521" s="22" t="s">
        <v>10</v>
      </c>
      <c r="E2521" s="22"/>
      <c r="F2521" s="22">
        <f>(0)</f>
      </c>
      <c r="G2521" s="22">
        <f>(C2521 * E2521 + C2521 * E2521 * F2521)</f>
      </c>
    </row>
    <row r="2522">
      <c r="A2522" s="5" t="s">
        <v>522</v>
      </c>
      <c r="B2522" s="14" t="s">
        <v>41</v>
      </c>
      <c r="C2522" s="22"/>
      <c r="D2522" s="22" t="s">
        <v>10</v>
      </c>
      <c r="E2522" s="22"/>
      <c r="F2522" s="22">
        <f>(0)</f>
      </c>
      <c r="G2522" s="22">
        <f>(C2522 * E2522 + C2522 * E2522 * F2522)</f>
      </c>
    </row>
    <row r="2523">
      <c r="A2523" s="3"/>
      <c r="B2523" s="11" t="s">
        <v>523</v>
      </c>
      <c r="C2523" s="20"/>
      <c r="D2523" s="20"/>
      <c r="E2523" s="20"/>
      <c r="F2523" s="20"/>
      <c r="G2523" s="20"/>
    </row>
    <row r="2524">
      <c r="A2524" s="5"/>
      <c r="B2524" s="14" t="s">
        <v>524</v>
      </c>
      <c r="C2524" s="22"/>
      <c r="D2524" s="22" t="s">
        <v>10</v>
      </c>
      <c r="E2524" s="22"/>
      <c r="F2524" s="22">
        <f>(0)</f>
      </c>
      <c r="G2524" s="22">
        <f>(C2524 * E2524 + C2524 * E2524 * F2524)</f>
      </c>
    </row>
    <row r="2525">
      <c r="A2525" s="5"/>
      <c r="B2525" s="14" t="s">
        <v>1675</v>
      </c>
      <c r="C2525" s="22"/>
      <c r="D2525" s="22" t="s">
        <v>10</v>
      </c>
      <c r="E2525" s="22"/>
      <c r="F2525" s="22">
        <f>(0)</f>
      </c>
      <c r="G2525" s="22">
        <f>(C2525 * E2525 + C2525 * E2525 * F2525)</f>
      </c>
    </row>
    <row r="2526">
      <c r="A2526" s="3"/>
      <c r="B2526" s="11" t="s">
        <v>44</v>
      </c>
      <c r="C2526" s="20"/>
      <c r="D2526" s="20"/>
      <c r="E2526" s="20"/>
      <c r="F2526" s="20"/>
      <c r="G2526" s="20"/>
    </row>
    <row r="2527">
      <c r="A2527" s="4"/>
      <c r="B2527" s="12" t="s">
        <v>45</v>
      </c>
      <c r="C2527" s="21"/>
      <c r="D2527" s="21"/>
      <c r="E2527" s="21"/>
      <c r="F2527" s="21"/>
      <c r="G2527" s="21"/>
    </row>
    <row r="2528">
      <c r="A2528" s="5" t="s">
        <v>527</v>
      </c>
      <c r="B2528" s="13" t="s">
        <v>528</v>
      </c>
      <c r="C2528" s="22"/>
      <c r="D2528" s="22" t="s">
        <v>10</v>
      </c>
      <c r="E2528" s="22"/>
      <c r="F2528" s="22">
        <f>(0)</f>
      </c>
      <c r="G2528" s="22">
        <f>(C2528 * E2528 + C2528 * E2528 * F2528)</f>
      </c>
    </row>
    <row r="2529">
      <c r="A2529" s="5" t="s">
        <v>529</v>
      </c>
      <c r="B2529" s="13" t="s">
        <v>530</v>
      </c>
      <c r="C2529" s="22"/>
      <c r="D2529" s="22" t="s">
        <v>10</v>
      </c>
      <c r="E2529" s="22"/>
      <c r="F2529" s="22">
        <f>(0)</f>
      </c>
      <c r="G2529" s="22">
        <f>(C2529 * E2529 + C2529 * E2529 * F2529)</f>
      </c>
    </row>
    <row r="2530">
      <c r="A2530" s="5" t="s">
        <v>531</v>
      </c>
      <c r="B2530" s="13" t="s">
        <v>532</v>
      </c>
      <c r="C2530" s="22"/>
      <c r="D2530" s="22" t="s">
        <v>10</v>
      </c>
      <c r="E2530" s="22"/>
      <c r="F2530" s="22">
        <f>(0)</f>
      </c>
      <c r="G2530" s="22">
        <f>(C2530 * E2530 + C2530 * E2530 * F2530)</f>
      </c>
    </row>
    <row r="2531">
      <c r="A2531" s="5" t="s">
        <v>533</v>
      </c>
      <c r="B2531" s="13" t="s">
        <v>534</v>
      </c>
      <c r="C2531" s="22"/>
      <c r="D2531" s="22" t="s">
        <v>10</v>
      </c>
      <c r="E2531" s="22"/>
      <c r="F2531" s="22">
        <f>(0)</f>
      </c>
      <c r="G2531" s="22">
        <f>(C2531 * E2531 + C2531 * E2531 * F2531)</f>
      </c>
    </row>
    <row r="2532">
      <c r="A2532" s="5" t="s">
        <v>535</v>
      </c>
      <c r="B2532" s="13" t="s">
        <v>536</v>
      </c>
      <c r="C2532" s="22"/>
      <c r="D2532" s="22" t="s">
        <v>10</v>
      </c>
      <c r="E2532" s="22"/>
      <c r="F2532" s="22">
        <f>(0)</f>
      </c>
      <c r="G2532" s="22">
        <f>(C2532 * E2532 + C2532 * E2532 * F2532)</f>
      </c>
    </row>
    <row r="2533">
      <c r="A2533" s="5" t="s">
        <v>537</v>
      </c>
      <c r="B2533" s="13" t="s">
        <v>538</v>
      </c>
      <c r="C2533" s="22"/>
      <c r="D2533" s="22" t="s">
        <v>10</v>
      </c>
      <c r="E2533" s="22"/>
      <c r="F2533" s="22">
        <f>(0)</f>
      </c>
      <c r="G2533" s="22">
        <f>(C2533 * E2533 + C2533 * E2533 * F2533)</f>
      </c>
    </row>
    <row r="2534">
      <c r="A2534" s="5" t="s">
        <v>539</v>
      </c>
      <c r="B2534" s="13" t="s">
        <v>123</v>
      </c>
      <c r="C2534" s="22"/>
      <c r="D2534" s="22" t="s">
        <v>10</v>
      </c>
      <c r="E2534" s="22"/>
      <c r="F2534" s="22">
        <f>(0)</f>
      </c>
      <c r="G2534" s="22">
        <f>(C2534 * E2534 + C2534 * E2534 * F2534)</f>
      </c>
    </row>
    <row r="2535">
      <c r="A2535" s="3"/>
      <c r="B2535" s="11" t="s">
        <v>68</v>
      </c>
      <c r="C2535" s="20"/>
      <c r="D2535" s="20"/>
      <c r="E2535" s="20"/>
      <c r="F2535" s="20"/>
      <c r="G2535" s="20"/>
    </row>
    <row r="2536">
      <c r="A2536" s="5" t="s">
        <v>540</v>
      </c>
      <c r="B2536" s="14" t="s">
        <v>70</v>
      </c>
      <c r="C2536" s="22">
        <f>(1)*(1)*(1)*(1)*(1 + (0))</f>
      </c>
      <c r="D2536" s="22" t="s">
        <v>71</v>
      </c>
      <c r="E2536" s="22"/>
      <c r="F2536" s="22">
        <f>(0)</f>
      </c>
      <c r="G2536" s="22">
        <f>(C2536 * E2536 + C2536 * E2536 * F2536)</f>
      </c>
    </row>
    <row r="2537">
      <c r="A2537" s="5" t="s">
        <v>541</v>
      </c>
      <c r="B2537" s="14" t="s">
        <v>73</v>
      </c>
      <c r="C2537" s="22">
        <f>(1)*(1)*(1)*(1)*(1 + (0))</f>
      </c>
      <c r="D2537" s="22" t="s">
        <v>71</v>
      </c>
      <c r="E2537" s="22"/>
      <c r="F2537" s="22">
        <f>(0)</f>
      </c>
      <c r="G2537" s="22">
        <f>(C2537 * E2537 + C2537 * E2537 * F2537)</f>
      </c>
    </row>
    <row r="2538">
      <c r="A2538" s="5" t="s">
        <v>542</v>
      </c>
      <c r="B2538" s="14" t="s">
        <v>543</v>
      </c>
      <c r="C2538" s="22">
        <f>(1)*(1)*(1)*(1)*(1 + (0))</f>
      </c>
      <c r="D2538" s="22" t="s">
        <v>71</v>
      </c>
      <c r="E2538" s="22"/>
      <c r="F2538" s="22">
        <f>(0)</f>
      </c>
      <c r="G2538" s="22">
        <f>(C2538 * E2538 + C2538 * E2538 * F2538)</f>
      </c>
    </row>
    <row r="2539">
      <c r="A2539" s="5" t="s">
        <v>544</v>
      </c>
      <c r="B2539" s="14" t="s">
        <v>545</v>
      </c>
      <c r="C2539" s="22">
        <f>(1)*(1)*(1)*(1)*(1 + (0))</f>
      </c>
      <c r="D2539" s="22" t="s">
        <v>71</v>
      </c>
      <c r="E2539" s="22"/>
      <c r="F2539" s="22">
        <f>(0)</f>
      </c>
      <c r="G2539" s="22">
        <f>(C2539 * E2539 + C2539 * E2539 * F2539)</f>
      </c>
    </row>
    <row r="2540">
      <c r="A2540" s="5" t="s">
        <v>546</v>
      </c>
      <c r="B2540" s="14" t="s">
        <v>547</v>
      </c>
      <c r="C2540" s="22">
        <f>(1)*(1)*(1)*(1)*(1 + (0))</f>
      </c>
      <c r="D2540" s="22" t="s">
        <v>71</v>
      </c>
      <c r="E2540" s="22"/>
      <c r="F2540" s="22">
        <f>(0)</f>
      </c>
      <c r="G2540" s="22">
        <f>(C2540 * E2540 + C2540 * E2540 * F2540)</f>
      </c>
    </row>
    <row r="2541">
      <c r="A2541" s="5" t="s">
        <v>548</v>
      </c>
      <c r="B2541" s="14" t="s">
        <v>549</v>
      </c>
      <c r="C2541" s="22">
        <f>(1)*(1)*(1)*(1)*(1 + (0))</f>
      </c>
      <c r="D2541" s="22" t="s">
        <v>71</v>
      </c>
      <c r="E2541" s="22"/>
      <c r="F2541" s="22">
        <f>(0)</f>
      </c>
      <c r="G2541" s="22">
        <f>(C2541 * E2541 + C2541 * E2541 * F2541)</f>
      </c>
    </row>
    <row r="2542">
      <c r="A2542" s="5" t="s">
        <v>550</v>
      </c>
      <c r="B2542" s="14" t="s">
        <v>551</v>
      </c>
      <c r="C2542" s="22">
        <f>(1)*(1)*(1)*(1)*(1 + (0))</f>
      </c>
      <c r="D2542" s="22" t="s">
        <v>71</v>
      </c>
      <c r="E2542" s="22"/>
      <c r="F2542" s="22">
        <f>(0)</f>
      </c>
      <c r="G2542" s="22">
        <f>(C2542 * E2542 + C2542 * E2542 * F2542)</f>
      </c>
    </row>
    <row r="2543">
      <c r="A2543" s="5" t="s">
        <v>552</v>
      </c>
      <c r="B2543" s="14" t="s">
        <v>553</v>
      </c>
      <c r="C2543" s="22">
        <f>(1)*(1)*(1)*(1)*(1 + (0))</f>
      </c>
      <c r="D2543" s="22" t="s">
        <v>71</v>
      </c>
      <c r="E2543" s="22"/>
      <c r="F2543" s="22">
        <f>(0)</f>
      </c>
      <c r="G2543" s="22">
        <f>(C2543 * E2543 + C2543 * E2543 * F2543)</f>
      </c>
    </row>
    <row r="2544">
      <c r="A2544" s="5" t="s">
        <v>554</v>
      </c>
      <c r="B2544" s="14" t="s">
        <v>555</v>
      </c>
      <c r="C2544" s="22">
        <f>(1)*(1)*(1)*(1)*(1 + (0))</f>
      </c>
      <c r="D2544" s="22" t="s">
        <v>71</v>
      </c>
      <c r="E2544" s="22"/>
      <c r="F2544" s="22">
        <f>(0)</f>
      </c>
      <c r="G2544" s="22">
        <f>(C2544 * E2544 + C2544 * E2544 * F2544)</f>
      </c>
    </row>
    <row r="2545">
      <c r="A2545" s="5" t="s">
        <v>556</v>
      </c>
      <c r="B2545" s="14" t="s">
        <v>447</v>
      </c>
      <c r="C2545" s="22">
        <f>(1)*(1)*(1)*(1)*(1 + (0))</f>
      </c>
      <c r="D2545" s="22" t="s">
        <v>71</v>
      </c>
      <c r="E2545" s="22"/>
      <c r="F2545" s="22">
        <f>(0)</f>
      </c>
      <c r="G2545" s="22">
        <f>(C2545 * E2545 + C2545 * E2545 * F2545)</f>
      </c>
    </row>
    <row r="2546">
      <c r="A2546" s="5" t="s">
        <v>557</v>
      </c>
      <c r="B2546" s="14" t="s">
        <v>558</v>
      </c>
      <c r="C2546" s="22">
        <f>(1)*(1)*(1)*(1)*(1 + (0))</f>
      </c>
      <c r="D2546" s="22" t="s">
        <v>71</v>
      </c>
      <c r="E2546" s="22"/>
      <c r="F2546" s="22">
        <f>(0)</f>
      </c>
      <c r="G2546" s="22">
        <f>(C2546 * E2546 + C2546 * E2546 * F2546)</f>
      </c>
    </row>
    <row r="2547">
      <c r="A2547" s="3"/>
      <c r="B2547" s="11" t="s">
        <v>560</v>
      </c>
      <c r="C2547" s="20"/>
      <c r="D2547" s="20"/>
      <c r="E2547" s="20"/>
      <c r="F2547" s="20"/>
      <c r="G2547" s="20"/>
    </row>
    <row r="2548">
      <c r="A2548" s="4"/>
      <c r="B2548" s="12" t="s">
        <v>392</v>
      </c>
      <c r="C2548" s="21"/>
      <c r="D2548" s="21"/>
      <c r="E2548" s="21"/>
      <c r="F2548" s="21"/>
      <c r="G2548" s="21"/>
    </row>
    <row r="2549">
      <c r="A2549" s="6"/>
      <c r="B2549" s="15" t="s">
        <v>311</v>
      </c>
      <c r="C2549" s="23"/>
      <c r="D2549" s="23"/>
      <c r="E2549" s="23"/>
      <c r="F2549" s="23"/>
      <c r="G2549" s="23"/>
    </row>
    <row r="2550">
      <c r="A2550" s="5"/>
      <c r="B2550" s="16" t="s">
        <v>1676</v>
      </c>
      <c r="C2550" s="22">
        <f>(0.55335)*(1)*(1)*(1)*(1 + (0))</f>
      </c>
      <c r="D2550" s="22" t="s">
        <v>182</v>
      </c>
      <c r="E2550" s="22"/>
      <c r="F2550" s="22">
        <f>(0)</f>
      </c>
      <c r="G2550" s="22">
        <f>(C2550 * E2550 + C2550 * E2550 * F2550)</f>
      </c>
    </row>
    <row r="2551">
      <c r="A2551" s="5"/>
      <c r="B2551" s="16" t="s">
        <v>563</v>
      </c>
      <c r="C2551" s="22">
        <f>(0.0825)*(1)*(1)*(1)*(1 + (0))</f>
      </c>
      <c r="D2551" s="22" t="s">
        <v>182</v>
      </c>
      <c r="E2551" s="22"/>
      <c r="F2551" s="22">
        <f>(0)</f>
      </c>
      <c r="G2551" s="22">
        <f>(C2551 * E2551 + C2551 * E2551 * F2551)</f>
      </c>
    </row>
    <row r="2552">
      <c r="A2552" s="5"/>
      <c r="B2552" s="16" t="s">
        <v>564</v>
      </c>
      <c r="C2552" s="22">
        <f>(3)*(1)*(1)*(1)*(1 + (0))</f>
      </c>
      <c r="D2552" s="22" t="s">
        <v>162</v>
      </c>
      <c r="E2552" s="22"/>
      <c r="F2552" s="22">
        <f>(0)</f>
      </c>
      <c r="G2552" s="22">
        <f>(C2552 * E2552 + C2552 * E2552 * F2552)</f>
      </c>
    </row>
    <row r="2553">
      <c r="A2553" s="4"/>
      <c r="B2553" s="12" t="s">
        <v>565</v>
      </c>
      <c r="C2553" s="21"/>
      <c r="D2553" s="21"/>
      <c r="E2553" s="21"/>
      <c r="F2553" s="21"/>
      <c r="G2553" s="21"/>
    </row>
    <row r="2554">
      <c r="A2554" s="6"/>
      <c r="B2554" s="15" t="s">
        <v>1677</v>
      </c>
      <c r="C2554" s="23"/>
      <c r="D2554" s="23"/>
      <c r="E2554" s="23"/>
      <c r="F2554" s="23"/>
      <c r="G2554" s="23"/>
    </row>
    <row r="2555">
      <c r="A2555" s="5"/>
      <c r="B2555" s="16" t="s">
        <v>578</v>
      </c>
      <c r="C2555" s="22">
        <f>(9.14031519568526)*(1)*(1)*(1)*(1 + (0))</f>
      </c>
      <c r="D2555" s="22" t="s">
        <v>182</v>
      </c>
      <c r="E2555" s="22"/>
      <c r="F2555" s="22">
        <f>(0)</f>
      </c>
      <c r="G2555" s="22">
        <f>(C2555 * E2555 + C2555 * E2555 * F2555)</f>
      </c>
    </row>
    <row r="2556">
      <c r="A2556" s="5"/>
      <c r="B2556" s="16" t="s">
        <v>582</v>
      </c>
      <c r="C2556" s="22">
        <f>(0.449888725891746)*(1)*(1)*(1)*(1 + (0))</f>
      </c>
      <c r="D2556" s="22" t="s">
        <v>182</v>
      </c>
      <c r="E2556" s="22"/>
      <c r="F2556" s="22">
        <f>(0)</f>
      </c>
      <c r="G2556" s="22">
        <f>(C2556 * E2556 + C2556 * E2556 * F2556)</f>
      </c>
    </row>
    <row r="2557">
      <c r="A2557" s="5"/>
      <c r="B2557" s="16" t="s">
        <v>580</v>
      </c>
      <c r="C2557" s="22">
        <f>(3.20680764177705)*(1)*(1)*(1)*(1 + (0))</f>
      </c>
      <c r="D2557" s="22" t="s">
        <v>182</v>
      </c>
      <c r="E2557" s="22"/>
      <c r="F2557" s="22">
        <f>(0)</f>
      </c>
      <c r="G2557" s="22">
        <f>(C2557 * E2557 + C2557 * E2557 * F2557)</f>
      </c>
    </row>
    <row r="2558">
      <c r="A2558" s="5"/>
      <c r="B2558" s="16" t="s">
        <v>581</v>
      </c>
      <c r="C2558" s="22">
        <f>(0.756848978340131)*(1)*(1)*(1)*(1 + (0))</f>
      </c>
      <c r="D2558" s="22" t="s">
        <v>182</v>
      </c>
      <c r="E2558" s="22"/>
      <c r="F2558" s="22">
        <f>(0)</f>
      </c>
      <c r="G2558" s="22">
        <f>(C2558 * E2558 + C2558 * E2558 * F2558)</f>
      </c>
    </row>
    <row r="2559">
      <c r="A2559" s="5"/>
      <c r="B2559" s="16" t="s">
        <v>563</v>
      </c>
      <c r="C2559" s="22">
        <f>(2.034)*(1)*(1)*(1)*(1 + (0))</f>
      </c>
      <c r="D2559" s="22" t="s">
        <v>182</v>
      </c>
      <c r="E2559" s="22"/>
      <c r="F2559" s="22">
        <f>(0)</f>
      </c>
      <c r="G2559" s="22">
        <f>(C2559 * E2559 + C2559 * E2559 * F2559)</f>
      </c>
    </row>
    <row r="2560">
      <c r="A2560" s="6"/>
      <c r="B2560" s="15" t="s">
        <v>566</v>
      </c>
      <c r="C2560" s="23"/>
      <c r="D2560" s="23"/>
      <c r="E2560" s="23"/>
      <c r="F2560" s="23"/>
      <c r="G2560" s="23"/>
    </row>
    <row r="2561">
      <c r="A2561" s="5"/>
      <c r="B2561" s="16" t="s">
        <v>567</v>
      </c>
      <c r="C2561" s="22">
        <f>(0.541080939119569)*(1)*(1)*(1)*(1 + (0))</f>
      </c>
      <c r="D2561" s="22" t="s">
        <v>182</v>
      </c>
      <c r="E2561" s="22"/>
      <c r="F2561" s="22">
        <f>(0)</f>
      </c>
      <c r="G2561" s="22">
        <f>(C2561 * E2561 + C2561 * E2561 * F2561)</f>
      </c>
    </row>
    <row r="2562">
      <c r="A2562" s="5"/>
      <c r="B2562" s="16" t="s">
        <v>568</v>
      </c>
      <c r="C2562" s="22">
        <f>(0.344067560596461)*(1)*(1)*(1)*(1 + (0))</f>
      </c>
      <c r="D2562" s="22" t="s">
        <v>182</v>
      </c>
      <c r="E2562" s="22"/>
      <c r="F2562" s="22">
        <f>(0)</f>
      </c>
      <c r="G2562" s="22">
        <f>(C2562 * E2562 + C2562 * E2562 * F2562)</f>
      </c>
    </row>
    <row r="2563">
      <c r="A2563" s="5"/>
      <c r="B2563" s="16" t="s">
        <v>570</v>
      </c>
      <c r="C2563" s="22">
        <f>(0.784990512895251)*(1)*(1)*(1)*(1 + (0))</f>
      </c>
      <c r="D2563" s="22" t="s">
        <v>182</v>
      </c>
      <c r="E2563" s="22"/>
      <c r="F2563" s="22">
        <f>(0)</f>
      </c>
      <c r="G2563" s="22">
        <f>(C2563 * E2563 + C2563 * E2563 * F2563)</f>
      </c>
    </row>
    <row r="2564">
      <c r="A2564" s="5"/>
      <c r="B2564" s="16" t="s">
        <v>569</v>
      </c>
      <c r="C2564" s="22">
        <f>(0.130019500204903)*(1)*(1)*(1)*(1 + (0))</f>
      </c>
      <c r="D2564" s="22" t="s">
        <v>182</v>
      </c>
      <c r="E2564" s="22"/>
      <c r="F2564" s="22">
        <f>(0)</f>
      </c>
      <c r="G2564" s="22">
        <f>(C2564 * E2564 + C2564 * E2564 * F2564)</f>
      </c>
    </row>
    <row r="2565">
      <c r="A2565" s="5"/>
      <c r="B2565" s="16" t="s">
        <v>563</v>
      </c>
      <c r="C2565" s="22">
        <f>(0.2685)*(1)*(1)*(1)*(1 + (0))</f>
      </c>
      <c r="D2565" s="22" t="s">
        <v>182</v>
      </c>
      <c r="E2565" s="22"/>
      <c r="F2565" s="22">
        <f>(0)</f>
      </c>
      <c r="G2565" s="22">
        <f>(C2565 * E2565 + C2565 * E2565 * F2565)</f>
      </c>
    </row>
    <row r="2566">
      <c r="A2566" s="5"/>
      <c r="B2566" s="16" t="s">
        <v>571</v>
      </c>
      <c r="C2566" s="22">
        <f>(1)*(1)*(1)*(1)*(1 + (0))</f>
      </c>
      <c r="D2566" s="22" t="s">
        <v>162</v>
      </c>
      <c r="E2566" s="22"/>
      <c r="F2566" s="22">
        <f>(0)</f>
      </c>
      <c r="G2566" s="22">
        <f>(C2566 * E2566 + C2566 * E2566 * F2566)</f>
      </c>
    </row>
    <row r="2567">
      <c r="A2567" s="5"/>
      <c r="B2567" s="16" t="s">
        <v>572</v>
      </c>
      <c r="C2567" s="22">
        <f>(1)*(1)*(1)*(1)*(1 + (0))</f>
      </c>
      <c r="D2567" s="22" t="s">
        <v>162</v>
      </c>
      <c r="E2567" s="22"/>
      <c r="F2567" s="22">
        <f>(0)</f>
      </c>
      <c r="G2567" s="22">
        <f>(C2567 * E2567 + C2567 * E2567 * F2567)</f>
      </c>
    </row>
    <row r="2568">
      <c r="A2568" s="6"/>
      <c r="B2568" s="15" t="s">
        <v>1678</v>
      </c>
      <c r="C2568" s="23"/>
      <c r="D2568" s="23"/>
      <c r="E2568" s="23"/>
      <c r="F2568" s="23"/>
      <c r="G2568" s="23"/>
    </row>
    <row r="2569">
      <c r="A2569" s="5"/>
      <c r="B2569" s="16" t="s">
        <v>567</v>
      </c>
      <c r="C2569" s="22">
        <f>(0.524699590670407)*(1)*(1)*(1)*(1 + (0))</f>
      </c>
      <c r="D2569" s="22" t="s">
        <v>182</v>
      </c>
      <c r="E2569" s="22"/>
      <c r="F2569" s="22">
        <f>(0)</f>
      </c>
      <c r="G2569" s="22">
        <f>(C2569 * E2569 + C2569 * E2569 * F2569)</f>
      </c>
    </row>
    <row r="2570">
      <c r="A2570" s="5"/>
      <c r="B2570" s="16" t="s">
        <v>568</v>
      </c>
      <c r="C2570" s="22">
        <f>(0.346051651285597)*(1)*(1)*(1)*(1 + (0))</f>
      </c>
      <c r="D2570" s="22" t="s">
        <v>182</v>
      </c>
      <c r="E2570" s="22"/>
      <c r="F2570" s="22">
        <f>(0)</f>
      </c>
      <c r="G2570" s="22">
        <f>(C2570 * E2570 + C2570 * E2570 * F2570)</f>
      </c>
    </row>
    <row r="2571">
      <c r="A2571" s="5"/>
      <c r="B2571" s="16" t="s">
        <v>1679</v>
      </c>
      <c r="C2571" s="22">
        <f>(0.396101211453154)*(1)*(1)*(1)*(1 + (0))</f>
      </c>
      <c r="D2571" s="22" t="s">
        <v>182</v>
      </c>
      <c r="E2571" s="22"/>
      <c r="F2571" s="22">
        <f>(0)</f>
      </c>
      <c r="G2571" s="22">
        <f>(C2571 * E2571 + C2571 * E2571 * F2571)</f>
      </c>
    </row>
    <row r="2572">
      <c r="A2572" s="5"/>
      <c r="B2572" s="16" t="s">
        <v>570</v>
      </c>
      <c r="C2572" s="22">
        <f>(1.07276849095538)*(1)*(1)*(1)*(1 + (0))</f>
      </c>
      <c r="D2572" s="22" t="s">
        <v>182</v>
      </c>
      <c r="E2572" s="22"/>
      <c r="F2572" s="22">
        <f>(0)</f>
      </c>
      <c r="G2572" s="22">
        <f>(C2572 * E2572 + C2572 * E2572 * F2572)</f>
      </c>
    </row>
    <row r="2573">
      <c r="A2573" s="5"/>
      <c r="B2573" s="16" t="s">
        <v>578</v>
      </c>
      <c r="C2573" s="22">
        <f>(0.405008547372627)*(1)*(1)*(1)*(1 + (0))</f>
      </c>
      <c r="D2573" s="22" t="s">
        <v>182</v>
      </c>
      <c r="E2573" s="22"/>
      <c r="F2573" s="22">
        <f>(0)</f>
      </c>
      <c r="G2573" s="22">
        <f>(C2573 * E2573 + C2573 * E2573 * F2573)</f>
      </c>
    </row>
    <row r="2574">
      <c r="A2574" s="5"/>
      <c r="B2574" s="16" t="s">
        <v>569</v>
      </c>
      <c r="C2574" s="22">
        <f>(0.378881779085543)*(1)*(1)*(1)*(1 + (0))</f>
      </c>
      <c r="D2574" s="22" t="s">
        <v>182</v>
      </c>
      <c r="E2574" s="22"/>
      <c r="F2574" s="22">
        <f>(0)</f>
      </c>
      <c r="G2574" s="22">
        <f>(C2574 * E2574 + C2574 * E2574 * F2574)</f>
      </c>
    </row>
    <row r="2575">
      <c r="A2575" s="5"/>
      <c r="B2575" s="16" t="s">
        <v>563</v>
      </c>
      <c r="C2575" s="22">
        <f>(0.4695)*(1)*(1)*(1)*(1 + (0))</f>
      </c>
      <c r="D2575" s="22" t="s">
        <v>182</v>
      </c>
      <c r="E2575" s="22"/>
      <c r="F2575" s="22">
        <f>(0)</f>
      </c>
      <c r="G2575" s="22">
        <f>(C2575 * E2575 + C2575 * E2575 * F2575)</f>
      </c>
    </row>
    <row r="2576">
      <c r="A2576" s="5"/>
      <c r="B2576" s="16" t="s">
        <v>571</v>
      </c>
      <c r="C2576" s="22">
        <f>(1)*(1)*(1)*(1)*(1 + (0))</f>
      </c>
      <c r="D2576" s="22" t="s">
        <v>162</v>
      </c>
      <c r="E2576" s="22"/>
      <c r="F2576" s="22">
        <f>(0)</f>
      </c>
      <c r="G2576" s="22">
        <f>(C2576 * E2576 + C2576 * E2576 * F2576)</f>
      </c>
    </row>
    <row r="2577">
      <c r="A2577" s="5"/>
      <c r="B2577" s="16" t="s">
        <v>572</v>
      </c>
      <c r="C2577" s="22">
        <f>(1)*(1)*(1)*(1)*(1 + (0))</f>
      </c>
      <c r="D2577" s="22" t="s">
        <v>162</v>
      </c>
      <c r="E2577" s="22"/>
      <c r="F2577" s="22">
        <f>(0)</f>
      </c>
      <c r="G2577" s="22">
        <f>(C2577 * E2577 + C2577 * E2577 * F2577)</f>
      </c>
    </row>
    <row r="2578">
      <c r="A2578" s="4"/>
      <c r="B2578" s="12" t="s">
        <v>583</v>
      </c>
      <c r="C2578" s="21"/>
      <c r="D2578" s="21"/>
      <c r="E2578" s="21"/>
      <c r="F2578" s="21"/>
      <c r="G2578" s="21"/>
    </row>
    <row r="2579">
      <c r="A2579" s="6"/>
      <c r="B2579" s="15" t="s">
        <v>1677</v>
      </c>
      <c r="C2579" s="23"/>
      <c r="D2579" s="23"/>
      <c r="E2579" s="23"/>
      <c r="F2579" s="23"/>
      <c r="G2579" s="23"/>
    </row>
    <row r="2580">
      <c r="A2580" s="5"/>
      <c r="B2580" s="16" t="s">
        <v>584</v>
      </c>
      <c r="C2580" s="22">
        <f>(0.521479561153789)*(1)*(1)*(1)*(1 + (0))</f>
      </c>
      <c r="D2580" s="22" t="s">
        <v>182</v>
      </c>
      <c r="E2580" s="22"/>
      <c r="F2580" s="22">
        <f>(0)</f>
      </c>
      <c r="G2580" s="22">
        <f>(C2580 * E2580 + C2580 * E2580 * F2580)</f>
      </c>
    </row>
    <row r="2581">
      <c r="A2581" s="5"/>
      <c r="B2581" s="16" t="s">
        <v>585</v>
      </c>
      <c r="C2581" s="22">
        <f>(0.26656)*(1)*(1)*(1)*(1 + (0))</f>
      </c>
      <c r="D2581" s="22" t="s">
        <v>182</v>
      </c>
      <c r="E2581" s="22"/>
      <c r="F2581" s="22">
        <f>(0)</f>
      </c>
      <c r="G2581" s="22">
        <f>(C2581 * E2581 + C2581 * E2581 * F2581)</f>
      </c>
    </row>
    <row r="2582">
      <c r="A2582" s="5"/>
      <c r="B2582" s="16" t="s">
        <v>563</v>
      </c>
      <c r="C2582" s="22">
        <f>(0.1185)*(1)*(1)*(1)*(1 + (0))</f>
      </c>
      <c r="D2582" s="22" t="s">
        <v>182</v>
      </c>
      <c r="E2582" s="22"/>
      <c r="F2582" s="22">
        <f>(0)</f>
      </c>
      <c r="G2582" s="22">
        <f>(C2582 * E2582 + C2582 * E2582 * F2582)</f>
      </c>
    </row>
    <row r="2583">
      <c r="A2583" s="6"/>
      <c r="B2583" s="15" t="s">
        <v>566</v>
      </c>
      <c r="C2583" s="23"/>
      <c r="D2583" s="23"/>
      <c r="E2583" s="23"/>
      <c r="F2583" s="23"/>
      <c r="G2583" s="23"/>
    </row>
    <row r="2584">
      <c r="A2584" s="5"/>
      <c r="B2584" s="16" t="s">
        <v>584</v>
      </c>
      <c r="C2584" s="22">
        <f>(0.0645409883396892)*(1)*(1)*(1)*(1 + (0))</f>
      </c>
      <c r="D2584" s="22" t="s">
        <v>182</v>
      </c>
      <c r="E2584" s="22"/>
      <c r="F2584" s="22">
        <f>(0)</f>
      </c>
      <c r="G2584" s="22">
        <f>(C2584 * E2584 + C2584 * E2584 * F2584)</f>
      </c>
    </row>
    <row r="2585">
      <c r="A2585" s="5"/>
      <c r="B2585" s="16" t="s">
        <v>585</v>
      </c>
      <c r="C2585" s="22">
        <f>(0.02856)*(1)*(1)*(1)*(1 + (0))</f>
      </c>
      <c r="D2585" s="22" t="s">
        <v>182</v>
      </c>
      <c r="E2585" s="22"/>
      <c r="F2585" s="22">
        <f>(0)</f>
      </c>
      <c r="G2585" s="22">
        <f>(C2585 * E2585 + C2585 * E2585 * F2585)</f>
      </c>
    </row>
    <row r="2586">
      <c r="A2586" s="5"/>
      <c r="B2586" s="16" t="s">
        <v>563</v>
      </c>
      <c r="C2586" s="22">
        <f>(0.0135)*(1)*(1)*(1)*(1 + (0))</f>
      </c>
      <c r="D2586" s="22" t="s">
        <v>182</v>
      </c>
      <c r="E2586" s="22"/>
      <c r="F2586" s="22">
        <f>(0)</f>
      </c>
      <c r="G2586" s="22">
        <f>(C2586 * E2586 + C2586 * E2586 * F2586)</f>
      </c>
    </row>
    <row r="2587">
      <c r="A2587" s="6"/>
      <c r="B2587" s="15" t="s">
        <v>1678</v>
      </c>
      <c r="C2587" s="23"/>
      <c r="D2587" s="23"/>
      <c r="E2587" s="23"/>
      <c r="F2587" s="23"/>
      <c r="G2587" s="23"/>
    </row>
    <row r="2588">
      <c r="A2588" s="5"/>
      <c r="B2588" s="16" t="s">
        <v>584</v>
      </c>
      <c r="C2588" s="22">
        <f>(0.146230534098293)*(1)*(1)*(1)*(1 + (0))</f>
      </c>
      <c r="D2588" s="22" t="s">
        <v>182</v>
      </c>
      <c r="E2588" s="22"/>
      <c r="F2588" s="22">
        <f>(0)</f>
      </c>
      <c r="G2588" s="22">
        <f>(C2588 * E2588 + C2588 * E2588 * F2588)</f>
      </c>
    </row>
    <row r="2589">
      <c r="A2589" s="5"/>
      <c r="B2589" s="16" t="s">
        <v>585</v>
      </c>
      <c r="C2589" s="22">
        <f>(0.02856)*(1)*(1)*(1)*(1 + (0))</f>
      </c>
      <c r="D2589" s="22" t="s">
        <v>182</v>
      </c>
      <c r="E2589" s="22"/>
      <c r="F2589" s="22">
        <f>(0)</f>
      </c>
      <c r="G2589" s="22">
        <f>(C2589 * E2589 + C2589 * E2589 * F2589)</f>
      </c>
    </row>
    <row r="2590">
      <c r="A2590" s="5"/>
      <c r="B2590" s="16" t="s">
        <v>563</v>
      </c>
      <c r="C2590" s="22">
        <f>(0.027)*(1)*(1)*(1)*(1 + (0))</f>
      </c>
      <c r="D2590" s="22" t="s">
        <v>182</v>
      </c>
      <c r="E2590" s="22"/>
      <c r="F2590" s="22">
        <f>(0)</f>
      </c>
      <c r="G2590" s="22">
        <f>(C2590 * E2590 + C2590 * E2590 * F2590)</f>
      </c>
    </row>
    <row r="2591">
      <c r="A2591" s="4"/>
      <c r="B2591" s="12" t="s">
        <v>586</v>
      </c>
      <c r="C2591" s="21"/>
      <c r="D2591" s="21"/>
      <c r="E2591" s="21"/>
      <c r="F2591" s="21"/>
      <c r="G2591" s="21"/>
    </row>
    <row r="2592">
      <c r="A2592" s="6"/>
      <c r="B2592" s="15" t="s">
        <v>1677</v>
      </c>
      <c r="C2592" s="23"/>
      <c r="D2592" s="23"/>
      <c r="E2592" s="23"/>
      <c r="F2592" s="23"/>
      <c r="G2592" s="23"/>
    </row>
    <row r="2593">
      <c r="A2593" s="5"/>
      <c r="B2593" s="16" t="s">
        <v>595</v>
      </c>
      <c r="C2593" s="22">
        <f>(240)*(1)*(1)*(1)*(1 + (0))</f>
      </c>
      <c r="D2593" s="22" t="s">
        <v>153</v>
      </c>
      <c r="E2593" s="22"/>
      <c r="F2593" s="22">
        <f>(0)</f>
      </c>
      <c r="G2593" s="22">
        <f>(C2593 * E2593 + C2593 * E2593 * F2593)</f>
      </c>
    </row>
    <row r="2594">
      <c r="A2594" s="5"/>
      <c r="B2594" s="16" t="s">
        <v>594</v>
      </c>
      <c r="C2594" s="22">
        <f>(404)*(1)*(1)*(1)*(1 + (0))</f>
      </c>
      <c r="D2594" s="22" t="s">
        <v>153</v>
      </c>
      <c r="E2594" s="22"/>
      <c r="F2594" s="22">
        <f>(0)</f>
      </c>
      <c r="G2594" s="22">
        <f>(C2594 * E2594 + C2594 * E2594 * F2594)</f>
      </c>
    </row>
    <row r="2595">
      <c r="A2595" s="5"/>
      <c r="B2595" s="16" t="s">
        <v>596</v>
      </c>
      <c r="C2595" s="22">
        <f>(173)*(1)*(1)*(1)*(1 + (0))</f>
      </c>
      <c r="D2595" s="22" t="s">
        <v>153</v>
      </c>
      <c r="E2595" s="22"/>
      <c r="F2595" s="22">
        <f>(0)</f>
      </c>
      <c r="G2595" s="22">
        <f>(C2595 * E2595 + C2595 * E2595 * F2595)</f>
      </c>
    </row>
    <row r="2596">
      <c r="A2596" s="5"/>
      <c r="B2596" s="16" t="s">
        <v>597</v>
      </c>
      <c r="C2596" s="22">
        <f>(1075)*(1)*(1)*(1)*(1 + (0))</f>
      </c>
      <c r="D2596" s="22" t="s">
        <v>153</v>
      </c>
      <c r="E2596" s="22"/>
      <c r="F2596" s="22">
        <f>(0)</f>
      </c>
      <c r="G2596" s="22">
        <f>(C2596 * E2596 + C2596 * E2596 * F2596)</f>
      </c>
    </row>
    <row r="2597">
      <c r="A2597" s="5"/>
      <c r="B2597" s="16" t="s">
        <v>1680</v>
      </c>
      <c r="C2597" s="22">
        <f>(72)*(1)*(1)*(1)*(1 + (0))</f>
      </c>
      <c r="D2597" s="22" t="s">
        <v>153</v>
      </c>
      <c r="E2597" s="22"/>
      <c r="F2597" s="22">
        <f>(0)</f>
      </c>
      <c r="G2597" s="22">
        <f>(C2597 * E2597 + C2597 * E2597 * F2597)</f>
      </c>
    </row>
    <row r="2598">
      <c r="A2598" s="5"/>
      <c r="B2598" s="16" t="s">
        <v>1681</v>
      </c>
      <c r="C2598" s="22">
        <f>(216)*(1)*(1)*(1)*(1 + (0))</f>
      </c>
      <c r="D2598" s="22" t="s">
        <v>153</v>
      </c>
      <c r="E2598" s="22"/>
      <c r="F2598" s="22">
        <f>(0)</f>
      </c>
      <c r="G2598" s="22">
        <f>(C2598 * E2598 + C2598 * E2598 * F2598)</f>
      </c>
    </row>
    <row r="2599">
      <c r="A2599" s="6"/>
      <c r="B2599" s="15" t="s">
        <v>566</v>
      </c>
      <c r="C2599" s="23"/>
      <c r="D2599" s="23"/>
      <c r="E2599" s="23"/>
      <c r="F2599" s="23"/>
      <c r="G2599" s="23"/>
    </row>
    <row r="2600">
      <c r="A2600" s="5"/>
      <c r="B2600" s="16" t="s">
        <v>587</v>
      </c>
      <c r="C2600" s="22">
        <f>(8)*(1)*(1)*(1)*(1 + (0))</f>
      </c>
      <c r="D2600" s="22" t="s">
        <v>153</v>
      </c>
      <c r="E2600" s="22"/>
      <c r="F2600" s="22">
        <f>(0)</f>
      </c>
      <c r="G2600" s="22">
        <f>(C2600 * E2600 + C2600 * E2600 * F2600)</f>
      </c>
    </row>
    <row r="2601">
      <c r="A2601" s="5"/>
      <c r="B2601" s="16" t="s">
        <v>588</v>
      </c>
      <c r="C2601" s="22">
        <f>(31)*(1)*(1)*(1)*(1 + (0))</f>
      </c>
      <c r="D2601" s="22" t="s">
        <v>153</v>
      </c>
      <c r="E2601" s="22"/>
      <c r="F2601" s="22">
        <f>(0)</f>
      </c>
      <c r="G2601" s="22">
        <f>(C2601 * E2601 + C2601 * E2601 * F2601)</f>
      </c>
    </row>
    <row r="2602">
      <c r="A2602" s="5"/>
      <c r="B2602" s="16" t="s">
        <v>1682</v>
      </c>
      <c r="C2602" s="22">
        <f>(11)*(1)*(1)*(1)*(1 + (0))</f>
      </c>
      <c r="D2602" s="22" t="s">
        <v>153</v>
      </c>
      <c r="E2602" s="22"/>
      <c r="F2602" s="22">
        <f>(0)</f>
      </c>
      <c r="G2602" s="22">
        <f>(C2602 * E2602 + C2602 * E2602 * F2602)</f>
      </c>
    </row>
    <row r="2603">
      <c r="A2603" s="5"/>
      <c r="B2603" s="16" t="s">
        <v>1683</v>
      </c>
      <c r="C2603" s="22">
        <f>(19)*(1)*(1)*(1)*(1 + (0))</f>
      </c>
      <c r="D2603" s="22" t="s">
        <v>153</v>
      </c>
      <c r="E2603" s="22"/>
      <c r="F2603" s="22">
        <f>(0)</f>
      </c>
      <c r="G2603" s="22">
        <f>(C2603 * E2603 + C2603 * E2603 * F2603)</f>
      </c>
    </row>
    <row r="2604">
      <c r="A2604" s="6"/>
      <c r="B2604" s="15" t="s">
        <v>1678</v>
      </c>
      <c r="C2604" s="23"/>
      <c r="D2604" s="23"/>
      <c r="E2604" s="23"/>
      <c r="F2604" s="23"/>
      <c r="G2604" s="23"/>
    </row>
    <row r="2605">
      <c r="A2605" s="5"/>
      <c r="B2605" s="16" t="s">
        <v>1684</v>
      </c>
      <c r="C2605" s="22">
        <f>(8)*(1)*(1)*(1)*(1 + (0))</f>
      </c>
      <c r="D2605" s="22" t="s">
        <v>153</v>
      </c>
      <c r="E2605" s="22"/>
      <c r="F2605" s="22">
        <f>(0)</f>
      </c>
      <c r="G2605" s="22">
        <f>(C2605 * E2605 + C2605 * E2605 * F2605)</f>
      </c>
    </row>
    <row r="2606">
      <c r="A2606" s="5"/>
      <c r="B2606" s="16" t="s">
        <v>587</v>
      </c>
      <c r="C2606" s="22">
        <f>(22)*(1)*(1)*(1)*(1 + (0))</f>
      </c>
      <c r="D2606" s="22" t="s">
        <v>153</v>
      </c>
      <c r="E2606" s="22"/>
      <c r="F2606" s="22">
        <f>(0)</f>
      </c>
      <c r="G2606" s="22">
        <f>(C2606 * E2606 + C2606 * E2606 * F2606)</f>
      </c>
    </row>
    <row r="2607">
      <c r="A2607" s="5"/>
      <c r="B2607" s="16" t="s">
        <v>588</v>
      </c>
      <c r="C2607" s="22">
        <f>(20)*(1)*(1)*(1)*(1 + (0))</f>
      </c>
      <c r="D2607" s="22" t="s">
        <v>153</v>
      </c>
      <c r="E2607" s="22"/>
      <c r="F2607" s="22">
        <f>(0)</f>
      </c>
      <c r="G2607" s="22">
        <f>(C2607 * E2607 + C2607 * E2607 * F2607)</f>
      </c>
    </row>
    <row r="2608">
      <c r="A2608" s="5"/>
      <c r="B2608" s="16" t="s">
        <v>593</v>
      </c>
      <c r="C2608" s="22">
        <f>(36)*(1)*(1)*(1)*(1 + (0))</f>
      </c>
      <c r="D2608" s="22" t="s">
        <v>153</v>
      </c>
      <c r="E2608" s="22"/>
      <c r="F2608" s="22">
        <f>(0)</f>
      </c>
      <c r="G2608" s="22">
        <f>(C2608 * E2608 + C2608 * E2608 * F2608)</f>
      </c>
    </row>
    <row r="2609">
      <c r="A2609" s="5"/>
      <c r="B2609" s="16" t="s">
        <v>1682</v>
      </c>
      <c r="C2609" s="22">
        <f>(11)*(1)*(1)*(1)*(1 + (0))</f>
      </c>
      <c r="D2609" s="22" t="s">
        <v>153</v>
      </c>
      <c r="E2609" s="22"/>
      <c r="F2609" s="22">
        <f>(0)</f>
      </c>
      <c r="G2609" s="22">
        <f>(C2609 * E2609 + C2609 * E2609 * F2609)</f>
      </c>
    </row>
    <row r="2610">
      <c r="A2610" s="5"/>
      <c r="B2610" s="16" t="s">
        <v>1683</v>
      </c>
      <c r="C2610" s="22">
        <f>(19)*(1)*(1)*(1)*(1 + (0))</f>
      </c>
      <c r="D2610" s="22" t="s">
        <v>153</v>
      </c>
      <c r="E2610" s="22"/>
      <c r="F2610" s="22">
        <f>(0)</f>
      </c>
      <c r="G2610" s="22">
        <f>(C2610 * E2610 + C2610 * E2610 * F2610)</f>
      </c>
    </row>
    <row r="2611">
      <c r="A2611" s="5"/>
      <c r="B2611" s="16" t="s">
        <v>1685</v>
      </c>
      <c r="C2611" s="22">
        <f>(15)*(1)*(1)*(1)*(1 + (0))</f>
      </c>
      <c r="D2611" s="22" t="s">
        <v>153</v>
      </c>
      <c r="E2611" s="22"/>
      <c r="F2611" s="22">
        <f>(0)</f>
      </c>
      <c r="G2611" s="22">
        <f>(C2611 * E2611 + C2611 * E2611 * F2611)</f>
      </c>
    </row>
    <row r="2612">
      <c r="A2612" s="4"/>
      <c r="B2612" s="12" t="s">
        <v>598</v>
      </c>
      <c r="C2612" s="21"/>
      <c r="D2612" s="21"/>
      <c r="E2612" s="21"/>
      <c r="F2612" s="21"/>
      <c r="G2612" s="21"/>
    </row>
    <row r="2613">
      <c r="A2613" s="6"/>
      <c r="B2613" s="15" t="s">
        <v>252</v>
      </c>
      <c r="C2613" s="23"/>
      <c r="D2613" s="23"/>
      <c r="E2613" s="23"/>
      <c r="F2613" s="23"/>
      <c r="G2613" s="23"/>
    </row>
    <row r="2614">
      <c r="A2614" s="5"/>
      <c r="B2614" s="16" t="s">
        <v>1686</v>
      </c>
      <c r="C2614" s="22">
        <f>(1.92885)*(1)*(1)*(1)*(1 + (0))</f>
      </c>
      <c r="D2614" s="22" t="s">
        <v>182</v>
      </c>
      <c r="E2614" s="22"/>
      <c r="F2614" s="22">
        <f>(0)</f>
      </c>
      <c r="G2614" s="22">
        <f>(C2614 * E2614 + C2614 * E2614 * F2614)</f>
      </c>
    </row>
    <row r="2615">
      <c r="A2615" s="5"/>
      <c r="B2615" s="16" t="s">
        <v>1687</v>
      </c>
      <c r="C2615" s="22">
        <f>(0.1834)*(1)*(1)*(1)*(1 + (0))</f>
      </c>
      <c r="D2615" s="22" t="s">
        <v>182</v>
      </c>
      <c r="E2615" s="22"/>
      <c r="F2615" s="22">
        <f>(0)</f>
      </c>
      <c r="G2615" s="22">
        <f>(C2615 * E2615 + C2615 * E2615 * F2615)</f>
      </c>
    </row>
    <row r="2616">
      <c r="A2616" s="5"/>
      <c r="B2616" s="16" t="s">
        <v>1688</v>
      </c>
      <c r="C2616" s="22">
        <f>(0.154748837560336)*(1)*(1)*(1)*(1 + (0))</f>
      </c>
      <c r="D2616" s="22" t="s">
        <v>182</v>
      </c>
      <c r="E2616" s="22"/>
      <c r="F2616" s="22">
        <f>(0)</f>
      </c>
      <c r="G2616" s="22">
        <f>(C2616 * E2616 + C2616 * E2616 * F2616)</f>
      </c>
    </row>
    <row r="2617">
      <c r="A2617" s="5"/>
      <c r="B2617" s="16" t="s">
        <v>563</v>
      </c>
      <c r="C2617" s="22">
        <f>(0.3255)*(1)*(1)*(1)*(1 + (0))</f>
      </c>
      <c r="D2617" s="22"/>
      <c r="E2617" s="22"/>
      <c r="F2617" s="22">
        <f>(0)</f>
      </c>
      <c r="G2617" s="22">
        <f>(C2617 * E2617 + C2617 * E2617 * F2617)</f>
      </c>
    </row>
    <row r="2618">
      <c r="A2618" s="5"/>
      <c r="B2618" s="16" t="s">
        <v>1689</v>
      </c>
      <c r="C2618" s="22">
        <f>(66)*(1)*(1)*(1)*(1 + (0))</f>
      </c>
      <c r="D2618" s="22" t="s">
        <v>162</v>
      </c>
      <c r="E2618" s="22"/>
      <c r="F2618" s="22">
        <f>(0)</f>
      </c>
      <c r="G2618" s="22">
        <f>(C2618 * E2618 + C2618 * E2618 * F2618)</f>
      </c>
    </row>
    <row r="2619">
      <c r="A2619" s="5"/>
      <c r="B2619" s="16" t="s">
        <v>1690</v>
      </c>
      <c r="C2619" s="22">
        <f>(2)*(1)*(1)*(1)*(1 + (0))</f>
      </c>
      <c r="D2619" s="22" t="s">
        <v>162</v>
      </c>
      <c r="E2619" s="22"/>
      <c r="F2619" s="22">
        <f>(0)</f>
      </c>
      <c r="G2619" s="22">
        <f>(C2619 * E2619 + C2619 * E2619 * F2619)</f>
      </c>
    </row>
    <row r="2620">
      <c r="A2620" s="5"/>
      <c r="B2620" s="16" t="s">
        <v>1691</v>
      </c>
      <c r="C2620" s="22">
        <f>(1)*(1)*(1)*(1)*(1 + (0))</f>
      </c>
      <c r="D2620" s="22" t="s">
        <v>162</v>
      </c>
      <c r="E2620" s="22"/>
      <c r="F2620" s="22">
        <f>(0)</f>
      </c>
      <c r="G2620" s="22">
        <f>(C2620 * E2620 + C2620 * E2620 * F2620)</f>
      </c>
    </row>
    <row r="2621">
      <c r="A2621" s="6"/>
      <c r="B2621" s="15" t="s">
        <v>311</v>
      </c>
      <c r="C2621" s="23"/>
      <c r="D2621" s="23"/>
      <c r="E2621" s="23"/>
      <c r="F2621" s="23"/>
      <c r="G2621" s="23"/>
    </row>
    <row r="2622">
      <c r="A2622" s="5"/>
      <c r="B2622" s="16" t="s">
        <v>1692</v>
      </c>
      <c r="C2622" s="22">
        <f>(1.06713)*(1)*(1)*(1)*(1 + (0))</f>
      </c>
      <c r="D2622" s="22" t="s">
        <v>182</v>
      </c>
      <c r="E2622" s="22"/>
      <c r="F2622" s="22">
        <f>(0)</f>
      </c>
      <c r="G2622" s="22">
        <f>(C2622 * E2622 + C2622 * E2622 * F2622)</f>
      </c>
    </row>
    <row r="2623">
      <c r="A2623" s="5"/>
      <c r="B2623" s="16" t="s">
        <v>1693</v>
      </c>
      <c r="C2623" s="22">
        <f>(2.03886)*(1)*(1)*(1)*(1 + (0))</f>
      </c>
      <c r="D2623" s="22" t="s">
        <v>182</v>
      </c>
      <c r="E2623" s="22"/>
      <c r="F2623" s="22">
        <f>(0)</f>
      </c>
      <c r="G2623" s="22">
        <f>(C2623 * E2623 + C2623 * E2623 * F2623)</f>
      </c>
    </row>
    <row r="2624">
      <c r="A2624" s="5"/>
      <c r="B2624" s="16" t="s">
        <v>563</v>
      </c>
      <c r="C2624" s="22">
        <f>(0.4665)*(1)*(1)*(1)*(1 + (0))</f>
      </c>
      <c r="D2624" s="22"/>
      <c r="E2624" s="22"/>
      <c r="F2624" s="22">
        <f>(0)</f>
      </c>
      <c r="G2624" s="22">
        <f>(C2624 * E2624 + C2624 * E2624 * F2624)</f>
      </c>
    </row>
    <row r="2625">
      <c r="A2625" s="5"/>
      <c r="B2625" s="16" t="s">
        <v>1689</v>
      </c>
      <c r="C2625" s="22">
        <f>(18)*(1)*(1)*(1)*(1 + (0))</f>
      </c>
      <c r="D2625" s="22" t="s">
        <v>162</v>
      </c>
      <c r="E2625" s="22"/>
      <c r="F2625" s="22">
        <f>(0)</f>
      </c>
      <c r="G2625" s="22">
        <f>(C2625 * E2625 + C2625 * E2625 * F2625)</f>
      </c>
    </row>
    <row r="2626">
      <c r="A2626" s="5"/>
      <c r="B2626" s="16" t="s">
        <v>1694</v>
      </c>
      <c r="C2626" s="22">
        <f>(18)*(1)*(1)*(1)*(1 + (0))</f>
      </c>
      <c r="D2626" s="22" t="s">
        <v>162</v>
      </c>
      <c r="E2626" s="22"/>
      <c r="F2626" s="22">
        <f>(0)</f>
      </c>
      <c r="G2626" s="22">
        <f>(C2626 * E2626 + C2626 * E2626 * F2626)</f>
      </c>
    </row>
    <row r="2627">
      <c r="A2627" s="4"/>
      <c r="B2627" s="12" t="s">
        <v>610</v>
      </c>
      <c r="C2627" s="21"/>
      <c r="D2627" s="21"/>
      <c r="E2627" s="21"/>
      <c r="F2627" s="21"/>
      <c r="G2627" s="21"/>
    </row>
    <row r="2628">
      <c r="A2628" s="6"/>
      <c r="B2628" s="15" t="s">
        <v>311</v>
      </c>
      <c r="C2628" s="23"/>
      <c r="D2628" s="23"/>
      <c r="E2628" s="23"/>
      <c r="F2628" s="23"/>
      <c r="G2628" s="23"/>
    </row>
    <row r="2629">
      <c r="A2629" s="5"/>
      <c r="B2629" s="16" t="s">
        <v>611</v>
      </c>
      <c r="C2629" s="22">
        <f>(67)*(1)*(1)*(1)*(1 + (0))</f>
      </c>
      <c r="D2629" s="22" t="s">
        <v>24</v>
      </c>
      <c r="E2629" s="22"/>
      <c r="F2629" s="22">
        <f>(0)</f>
      </c>
      <c r="G2629" s="22">
        <f>(C2629 * E2629 + C2629 * E2629 * F2629)</f>
      </c>
    </row>
    <row r="2630">
      <c r="A2630" s="6"/>
      <c r="B2630" s="15" t="s">
        <v>566</v>
      </c>
      <c r="C2630" s="23"/>
      <c r="D2630" s="23"/>
      <c r="E2630" s="23"/>
      <c r="F2630" s="23"/>
      <c r="G2630" s="23"/>
    </row>
    <row r="2631">
      <c r="A2631" s="5"/>
      <c r="B2631" s="16" t="s">
        <v>611</v>
      </c>
      <c r="C2631" s="22">
        <f>(82)*(1)*(1)*(1)*(1 + (0))</f>
      </c>
      <c r="D2631" s="22" t="s">
        <v>24</v>
      </c>
      <c r="E2631" s="22"/>
      <c r="F2631" s="22">
        <f>(0)</f>
      </c>
      <c r="G2631" s="22">
        <f>(C2631 * E2631 + C2631 * E2631 * F2631)</f>
      </c>
    </row>
    <row r="2632">
      <c r="A2632" s="6"/>
      <c r="B2632" s="15" t="s">
        <v>1678</v>
      </c>
      <c r="C2632" s="23"/>
      <c r="D2632" s="23"/>
      <c r="E2632" s="23"/>
      <c r="F2632" s="23"/>
      <c r="G2632" s="23"/>
    </row>
    <row r="2633">
      <c r="A2633" s="5"/>
      <c r="B2633" s="16" t="s">
        <v>611</v>
      </c>
      <c r="C2633" s="22">
        <f>(80)*(1)*(1)*(1)*(1 + (0))</f>
      </c>
      <c r="D2633" s="22" t="s">
        <v>24</v>
      </c>
      <c r="E2633" s="22"/>
      <c r="F2633" s="22">
        <f>(0)</f>
      </c>
      <c r="G2633" s="22">
        <f>(C2633 * E2633 + C2633 * E2633 * F2633)</f>
      </c>
    </row>
    <row r="2634">
      <c r="A2634" s="4"/>
      <c r="B2634" s="12" t="s">
        <v>612</v>
      </c>
      <c r="C2634" s="21"/>
      <c r="D2634" s="21"/>
      <c r="E2634" s="21"/>
      <c r="F2634" s="21"/>
      <c r="G2634" s="21"/>
    </row>
    <row r="2635">
      <c r="A2635" s="6"/>
      <c r="B2635" s="15" t="s">
        <v>1695</v>
      </c>
      <c r="C2635" s="23"/>
      <c r="D2635" s="23"/>
      <c r="E2635" s="23"/>
      <c r="F2635" s="23"/>
      <c r="G2635" s="23"/>
    </row>
    <row r="2636">
      <c r="A2636" s="5"/>
      <c r="B2636" s="16" t="s">
        <v>614</v>
      </c>
      <c r="C2636" s="22">
        <f>(1.1718)*(1)*(1)*(1)*(1 + (0))</f>
      </c>
      <c r="D2636" s="22" t="s">
        <v>182</v>
      </c>
      <c r="E2636" s="22"/>
      <c r="F2636" s="22">
        <f>(0)</f>
      </c>
      <c r="G2636" s="22">
        <f>(C2636 * E2636 + C2636 * E2636 * F2636)</f>
      </c>
    </row>
    <row r="2637">
      <c r="A2637" s="5"/>
      <c r="B2637" s="16" t="s">
        <v>1696</v>
      </c>
      <c r="C2637" s="22">
        <f>(9)*(1)*(1)*(1)*(1 + (0))</f>
      </c>
      <c r="D2637" s="22" t="s">
        <v>162</v>
      </c>
      <c r="E2637" s="22"/>
      <c r="F2637" s="22">
        <f>(0)</f>
      </c>
      <c r="G2637" s="22">
        <f>(C2637 * E2637 + C2637 * E2637 * F2637)</f>
      </c>
    </row>
    <row r="2638">
      <c r="A2638" s="5"/>
      <c r="B2638" s="16" t="s">
        <v>616</v>
      </c>
      <c r="C2638" s="22">
        <f>(0.815870105265143)*(1)*(1)*(1)*(1 + (0))</f>
      </c>
      <c r="D2638" s="22" t="s">
        <v>182</v>
      </c>
      <c r="E2638" s="22"/>
      <c r="F2638" s="22">
        <f>(0)</f>
      </c>
      <c r="G2638" s="22">
        <f>(C2638 * E2638 + C2638 * E2638 * F2638)</f>
      </c>
    </row>
    <row r="2639">
      <c r="A2639" s="5"/>
      <c r="B2639" s="16" t="s">
        <v>1697</v>
      </c>
      <c r="C2639" s="22">
        <f>(7)*(1)*(1)*(1)*(1 + (0))</f>
      </c>
      <c r="D2639" s="22" t="s">
        <v>162</v>
      </c>
      <c r="E2639" s="22"/>
      <c r="F2639" s="22">
        <f>(0)</f>
      </c>
      <c r="G2639" s="22">
        <f>(C2639 * E2639 + C2639 * E2639 * F2639)</f>
      </c>
    </row>
    <row r="2640">
      <c r="A2640" s="5"/>
      <c r="B2640" s="16" t="s">
        <v>615</v>
      </c>
      <c r="C2640" s="22">
        <f>(0.549513791514708)*(1)*(1)*(1)*(1 + (0))</f>
      </c>
      <c r="D2640" s="22" t="s">
        <v>182</v>
      </c>
      <c r="E2640" s="22"/>
      <c r="F2640" s="22">
        <f>(0)</f>
      </c>
      <c r="G2640" s="22">
        <f>(C2640 * E2640 + C2640 * E2640 * F2640)</f>
      </c>
    </row>
    <row r="2641">
      <c r="A2641" s="5"/>
      <c r="B2641" s="16" t="s">
        <v>563</v>
      </c>
      <c r="C2641" s="22">
        <f>(0.381)*(1)*(1)*(1)*(1 + (0))</f>
      </c>
      <c r="D2641" s="22" t="s">
        <v>182</v>
      </c>
      <c r="E2641" s="22"/>
      <c r="F2641" s="22">
        <f>(0)</f>
      </c>
      <c r="G2641" s="22">
        <f>(C2641 * E2641 + C2641 * E2641 * F2641)</f>
      </c>
    </row>
    <row r="2642">
      <c r="A2642" s="6"/>
      <c r="B2642" s="15" t="s">
        <v>1698</v>
      </c>
      <c r="C2642" s="23"/>
      <c r="D2642" s="23"/>
      <c r="E2642" s="23"/>
      <c r="F2642" s="23"/>
      <c r="G2642" s="23"/>
    </row>
    <row r="2643">
      <c r="A2643" s="5"/>
      <c r="B2643" s="16" t="s">
        <v>1699</v>
      </c>
      <c r="C2643" s="22">
        <f>(2.232)*(1)*(1)*(1)*(1 + (0))</f>
      </c>
      <c r="D2643" s="22" t="s">
        <v>182</v>
      </c>
      <c r="E2643" s="22"/>
      <c r="F2643" s="22">
        <f>(0)</f>
      </c>
      <c r="G2643" s="22">
        <f>(C2643 * E2643 + C2643 * E2643 * F2643)</f>
      </c>
    </row>
    <row r="2644">
      <c r="A2644" s="5"/>
      <c r="B2644" s="16" t="s">
        <v>1696</v>
      </c>
      <c r="C2644" s="22">
        <f>(12)*(1)*(1)*(1)*(1 + (0))</f>
      </c>
      <c r="D2644" s="22" t="s">
        <v>162</v>
      </c>
      <c r="E2644" s="22"/>
      <c r="F2644" s="22">
        <f>(0)</f>
      </c>
      <c r="G2644" s="22">
        <f>(C2644 * E2644 + C2644 * E2644 * F2644)</f>
      </c>
    </row>
    <row r="2645">
      <c r="A2645" s="5"/>
      <c r="B2645" s="16" t="s">
        <v>1700</v>
      </c>
      <c r="C2645" s="22">
        <f>(1.11017617318495)*(1)*(1)*(1)*(1 + (0))</f>
      </c>
      <c r="D2645" s="22" t="s">
        <v>182</v>
      </c>
      <c r="E2645" s="22"/>
      <c r="F2645" s="22">
        <f>(0)</f>
      </c>
      <c r="G2645" s="22">
        <f>(C2645 * E2645 + C2645 * E2645 * F2645)</f>
      </c>
    </row>
    <row r="2646">
      <c r="A2646" s="5"/>
      <c r="B2646" s="16" t="s">
        <v>1697</v>
      </c>
      <c r="C2646" s="22">
        <f>(12)*(1)*(1)*(1)*(1 + (0))</f>
      </c>
      <c r="D2646" s="22" t="s">
        <v>162</v>
      </c>
      <c r="E2646" s="22"/>
      <c r="F2646" s="22">
        <f>(0)</f>
      </c>
      <c r="G2646" s="22">
        <f>(C2646 * E2646 + C2646 * E2646 * F2646)</f>
      </c>
    </row>
    <row r="2647">
      <c r="A2647" s="5"/>
      <c r="B2647" s="16" t="s">
        <v>1701</v>
      </c>
      <c r="C2647" s="22">
        <f>(0.547968820088969)*(1)*(1)*(1)*(1 + (0))</f>
      </c>
      <c r="D2647" s="22" t="s">
        <v>182</v>
      </c>
      <c r="E2647" s="22"/>
      <c r="F2647" s="22">
        <f>(0)</f>
      </c>
      <c r="G2647" s="22">
        <f>(C2647 * E2647 + C2647 * E2647 * F2647)</f>
      </c>
    </row>
    <row r="2648">
      <c r="A2648" s="5"/>
      <c r="B2648" s="16" t="s">
        <v>563</v>
      </c>
      <c r="C2648" s="22">
        <f>(0.5835)*(1)*(1)*(1)*(1 + (0))</f>
      </c>
      <c r="D2648" s="22" t="s">
        <v>182</v>
      </c>
      <c r="E2648" s="22"/>
      <c r="F2648" s="22">
        <f>(0)</f>
      </c>
      <c r="G2648" s="22">
        <f>(C2648 * E2648 + C2648 * E2648 * F2648)</f>
      </c>
    </row>
    <row r="2649">
      <c r="A2649" s="3"/>
      <c r="B2649" s="11" t="s">
        <v>619</v>
      </c>
      <c r="C2649" s="20"/>
      <c r="D2649" s="20"/>
      <c r="E2649" s="20"/>
      <c r="F2649" s="20"/>
      <c r="G2649" s="20"/>
    </row>
    <row r="2650">
      <c r="A2650" s="4"/>
      <c r="B2650" s="12" t="s">
        <v>620</v>
      </c>
      <c r="C2650" s="21"/>
      <c r="D2650" s="21"/>
      <c r="E2650" s="21"/>
      <c r="F2650" s="21"/>
      <c r="G2650" s="21"/>
    </row>
    <row r="2651">
      <c r="A2651" s="5"/>
      <c r="B2651" s="13" t="s">
        <v>621</v>
      </c>
      <c r="C2651" s="22">
        <f>(0.63)*(1)*(1)*(1)*(1 + (0))</f>
      </c>
      <c r="D2651" s="22" t="s">
        <v>182</v>
      </c>
      <c r="E2651" s="22"/>
      <c r="F2651" s="22">
        <f>(0)</f>
      </c>
      <c r="G2651" s="22">
        <f>(C2651 * E2651 + C2651 * E2651 * F2651)</f>
      </c>
    </row>
    <row r="2652">
      <c r="A2652" s="5"/>
      <c r="B2652" s="13" t="s">
        <v>623</v>
      </c>
      <c r="C2652" s="22">
        <f>(21.25)*(1)*(1)*(1)*(1 + (0))</f>
      </c>
      <c r="D2652" s="22" t="s">
        <v>182</v>
      </c>
      <c r="E2652" s="22"/>
      <c r="F2652" s="22">
        <f>(0)</f>
      </c>
      <c r="G2652" s="22">
        <f>(C2652 * E2652 + C2652 * E2652 * F2652)</f>
      </c>
    </row>
    <row r="2653">
      <c r="A2653" s="5"/>
      <c r="B2653" s="13" t="s">
        <v>1702</v>
      </c>
      <c r="C2653" s="22">
        <f>(1.22)*(1)*(1)*(1)*(1 + (0))</f>
      </c>
      <c r="D2653" s="22" t="s">
        <v>182</v>
      </c>
      <c r="E2653" s="22"/>
      <c r="F2653" s="22">
        <f>(0)</f>
      </c>
      <c r="G2653" s="22">
        <f>(C2653 * E2653 + C2653 * E2653 * F2653)</f>
      </c>
    </row>
    <row r="2654">
      <c r="A2654" s="5"/>
      <c r="B2654" s="13" t="s">
        <v>622</v>
      </c>
      <c r="C2654" s="22">
        <f>(6.16)*(1)*(1)*(1)*(1 + (0))</f>
      </c>
      <c r="D2654" s="22" t="s">
        <v>182</v>
      </c>
      <c r="E2654" s="22"/>
      <c r="F2654" s="22">
        <f>(0)</f>
      </c>
      <c r="G2654" s="22">
        <f>(C2654 * E2654 + C2654 * E2654 * F2654)</f>
      </c>
    </row>
    <row r="2655">
      <c r="A2655" s="5"/>
      <c r="B2655" s="13" t="s">
        <v>624</v>
      </c>
      <c r="C2655" s="22">
        <f>(7.39)*(1)*(1)*(1)*(1 + (0))</f>
      </c>
      <c r="D2655" s="22" t="s">
        <v>182</v>
      </c>
      <c r="E2655" s="22"/>
      <c r="F2655" s="22">
        <f>(0)</f>
      </c>
      <c r="G2655" s="22">
        <f>(C2655 * E2655 + C2655 * E2655 * F2655)</f>
      </c>
    </row>
    <row r="2656">
      <c r="A2656" s="4"/>
      <c r="B2656" s="12" t="s">
        <v>625</v>
      </c>
      <c r="C2656" s="21"/>
      <c r="D2656" s="21"/>
      <c r="E2656" s="21"/>
      <c r="F2656" s="21"/>
      <c r="G2656" s="21"/>
    </row>
    <row r="2657">
      <c r="A2657" s="5"/>
      <c r="B2657" s="13" t="s">
        <v>1703</v>
      </c>
      <c r="C2657" s="22">
        <f>(0.63)*(1)*(1)*(1)*(1 + (0))</f>
      </c>
      <c r="D2657" s="22" t="s">
        <v>182</v>
      </c>
      <c r="E2657" s="22"/>
      <c r="F2657" s="22">
        <f>(0)</f>
      </c>
      <c r="G2657" s="22">
        <f>(C2657 * E2657 + C2657 * E2657 * F2657)</f>
      </c>
    </row>
    <row r="2658">
      <c r="A2658" s="5"/>
      <c r="B2658" s="13" t="s">
        <v>628</v>
      </c>
      <c r="C2658" s="22">
        <f>(21.25)*(1)*(1)*(1)*(1 + (0))</f>
      </c>
      <c r="D2658" s="22" t="s">
        <v>182</v>
      </c>
      <c r="E2658" s="22"/>
      <c r="F2658" s="22">
        <f>(0)</f>
      </c>
      <c r="G2658" s="22">
        <f>(C2658 * E2658 + C2658 * E2658 * F2658)</f>
      </c>
    </row>
    <row r="2659">
      <c r="A2659" s="5"/>
      <c r="B2659" s="13" t="s">
        <v>1704</v>
      </c>
      <c r="C2659" s="22">
        <f>(1.22)*(1)*(1)*(1)*(1 + (0))</f>
      </c>
      <c r="D2659" s="22" t="s">
        <v>182</v>
      </c>
      <c r="E2659" s="22"/>
      <c r="F2659" s="22">
        <f>(0)</f>
      </c>
      <c r="G2659" s="22">
        <f>(C2659 * E2659 + C2659 * E2659 * F2659)</f>
      </c>
    </row>
    <row r="2660">
      <c r="A2660" s="5"/>
      <c r="B2660" s="13" t="s">
        <v>627</v>
      </c>
      <c r="C2660" s="22">
        <f>(6.16)*(1)*(1)*(1)*(1 + (0))</f>
      </c>
      <c r="D2660" s="22" t="s">
        <v>182</v>
      </c>
      <c r="E2660" s="22"/>
      <c r="F2660" s="22">
        <f>(0)</f>
      </c>
      <c r="G2660" s="22">
        <f>(C2660 * E2660 + C2660 * E2660 * F2660)</f>
      </c>
    </row>
    <row r="2661">
      <c r="A2661" s="5"/>
      <c r="B2661" s="13" t="s">
        <v>1705</v>
      </c>
      <c r="C2661" s="22">
        <f>(7.39)*(1)*(1)*(1)*(1 + (0))</f>
      </c>
      <c r="D2661" s="22" t="s">
        <v>182</v>
      </c>
      <c r="E2661" s="22"/>
      <c r="F2661" s="22">
        <f>(0)</f>
      </c>
      <c r="G2661" s="22">
        <f>(C2661 * E2661 + C2661 * E2661 * F2661)</f>
      </c>
    </row>
    <row r="2662">
      <c r="A2662" s="4"/>
      <c r="B2662" s="12" t="s">
        <v>629</v>
      </c>
      <c r="C2662" s="21"/>
      <c r="D2662" s="21"/>
      <c r="E2662" s="21"/>
      <c r="F2662" s="21"/>
      <c r="G2662" s="21"/>
    </row>
    <row r="2663">
      <c r="A2663" s="5"/>
      <c r="B2663" s="13" t="s">
        <v>1706</v>
      </c>
      <c r="C2663" s="22">
        <f>(0.63)*(1)*(1)*(1)*(1 + (0))</f>
      </c>
      <c r="D2663" s="22" t="s">
        <v>182</v>
      </c>
      <c r="E2663" s="22"/>
      <c r="F2663" s="22">
        <f>(0)</f>
      </c>
      <c r="G2663" s="22">
        <f>(C2663 * E2663 + C2663 * E2663 * F2663)</f>
      </c>
    </row>
    <row r="2664">
      <c r="A2664" s="5"/>
      <c r="B2664" s="13" t="s">
        <v>1707</v>
      </c>
      <c r="C2664" s="22">
        <f>(21.25)*(1)*(1)*(1)*(1 + (0))</f>
      </c>
      <c r="D2664" s="22" t="s">
        <v>182</v>
      </c>
      <c r="E2664" s="22"/>
      <c r="F2664" s="22">
        <f>(0)</f>
      </c>
      <c r="G2664" s="22">
        <f>(C2664 * E2664 + C2664 * E2664 * F2664)</f>
      </c>
    </row>
    <row r="2665">
      <c r="A2665" s="5"/>
      <c r="B2665" s="13" t="s">
        <v>1708</v>
      </c>
      <c r="C2665" s="22">
        <f>(1.22)*(1)*(1)*(1)*(1 + (0))</f>
      </c>
      <c r="D2665" s="22" t="s">
        <v>182</v>
      </c>
      <c r="E2665" s="22"/>
      <c r="F2665" s="22">
        <f>(0)</f>
      </c>
      <c r="G2665" s="22">
        <f>(C2665 * E2665 + C2665 * E2665 * F2665)</f>
      </c>
    </row>
    <row r="2666">
      <c r="A2666" s="5"/>
      <c r="B2666" s="13" t="s">
        <v>630</v>
      </c>
      <c r="C2666" s="22">
        <f>(7.39)*(1)*(1)*(1)*(1 + (0))</f>
      </c>
      <c r="D2666" s="22" t="s">
        <v>182</v>
      </c>
      <c r="E2666" s="22"/>
      <c r="F2666" s="22">
        <f>(0)</f>
      </c>
      <c r="G2666" s="22">
        <f>(C2666 * E2666 + C2666 * E2666 * F2666)</f>
      </c>
    </row>
    <row r="2667">
      <c r="A2667" s="2"/>
      <c r="B2667" s="10" t="s">
        <v>631</v>
      </c>
      <c r="C2667" s="19"/>
      <c r="D2667" s="19"/>
      <c r="E2667" s="19"/>
      <c r="F2667" s="19"/>
      <c r="G2667" s="19"/>
    </row>
    <row r="2668">
      <c r="A2668" s="3"/>
      <c r="B2668" s="11" t="s">
        <v>37</v>
      </c>
      <c r="C2668" s="20"/>
      <c r="D2668" s="20"/>
      <c r="E2668" s="20"/>
      <c r="F2668" s="20"/>
      <c r="G2668" s="20"/>
    </row>
    <row r="2669">
      <c r="A2669" s="5" t="s">
        <v>632</v>
      </c>
      <c r="B2669" s="14" t="s">
        <v>39</v>
      </c>
      <c r="C2669" s="22"/>
      <c r="D2669" s="22" t="s">
        <v>10</v>
      </c>
      <c r="E2669" s="22"/>
      <c r="F2669" s="22">
        <f>(0)</f>
      </c>
      <c r="G2669" s="22">
        <f>(C2669 * E2669 + C2669 * E2669 * F2669)</f>
      </c>
    </row>
    <row r="2670">
      <c r="A2670" s="5" t="s">
        <v>633</v>
      </c>
      <c r="B2670" s="14" t="s">
        <v>41</v>
      </c>
      <c r="C2670" s="22"/>
      <c r="D2670" s="22" t="s">
        <v>10</v>
      </c>
      <c r="E2670" s="22"/>
      <c r="F2670" s="22">
        <f>(0)</f>
      </c>
      <c r="G2670" s="22">
        <f>(C2670 * E2670 + C2670 * E2670 * F2670)</f>
      </c>
    </row>
    <row r="2671">
      <c r="A2671" s="3"/>
      <c r="B2671" s="11" t="s">
        <v>523</v>
      </c>
      <c r="C2671" s="20"/>
      <c r="D2671" s="20"/>
      <c r="E2671" s="20"/>
      <c r="F2671" s="20"/>
      <c r="G2671" s="20"/>
    </row>
    <row r="2672">
      <c r="A2672" s="5"/>
      <c r="B2672" s="14" t="s">
        <v>1709</v>
      </c>
      <c r="C2672" s="22"/>
      <c r="D2672" s="22" t="s">
        <v>10</v>
      </c>
      <c r="E2672" s="22"/>
      <c r="F2672" s="22">
        <f>(0)</f>
      </c>
      <c r="G2672" s="22">
        <f>(C2672 * E2672 + C2672 * E2672 * F2672)</f>
      </c>
    </row>
    <row r="2673">
      <c r="A2673" s="5"/>
      <c r="B2673" s="14" t="s">
        <v>635</v>
      </c>
      <c r="C2673" s="22"/>
      <c r="D2673" s="22" t="s">
        <v>10</v>
      </c>
      <c r="E2673" s="22"/>
      <c r="F2673" s="22">
        <f>(0)</f>
      </c>
      <c r="G2673" s="22">
        <f>(C2673 * E2673 + C2673 * E2673 * F2673)</f>
      </c>
    </row>
    <row r="2674">
      <c r="A2674" s="3"/>
      <c r="B2674" s="11" t="s">
        <v>44</v>
      </c>
      <c r="C2674" s="20"/>
      <c r="D2674" s="20"/>
      <c r="E2674" s="20"/>
      <c r="F2674" s="20"/>
      <c r="G2674" s="20"/>
    </row>
    <row r="2675">
      <c r="A2675" s="4"/>
      <c r="B2675" s="12" t="s">
        <v>45</v>
      </c>
      <c r="C2675" s="21"/>
      <c r="D2675" s="21"/>
      <c r="E2675" s="21"/>
      <c r="F2675" s="21"/>
      <c r="G2675" s="21"/>
    </row>
    <row r="2676">
      <c r="A2676" s="5" t="s">
        <v>637</v>
      </c>
      <c r="B2676" s="13" t="s">
        <v>638</v>
      </c>
      <c r="C2676" s="22"/>
      <c r="D2676" s="22" t="s">
        <v>10</v>
      </c>
      <c r="E2676" s="22"/>
      <c r="F2676" s="22">
        <f>(0)</f>
      </c>
      <c r="G2676" s="22">
        <f>(C2676 * E2676 + C2676 * E2676 * F2676)</f>
      </c>
    </row>
    <row r="2677">
      <c r="A2677" s="5" t="s">
        <v>639</v>
      </c>
      <c r="B2677" s="13" t="s">
        <v>640</v>
      </c>
      <c r="C2677" s="22"/>
      <c r="D2677" s="22" t="s">
        <v>10</v>
      </c>
      <c r="E2677" s="22"/>
      <c r="F2677" s="22">
        <f>(0)</f>
      </c>
      <c r="G2677" s="22">
        <f>(C2677 * E2677 + C2677 * E2677 * F2677)</f>
      </c>
    </row>
    <row r="2678">
      <c r="A2678" s="5" t="s">
        <v>641</v>
      </c>
      <c r="B2678" s="13" t="s">
        <v>642</v>
      </c>
      <c r="C2678" s="22"/>
      <c r="D2678" s="22" t="s">
        <v>10</v>
      </c>
      <c r="E2678" s="22"/>
      <c r="F2678" s="22">
        <f>(0)</f>
      </c>
      <c r="G2678" s="22">
        <f>(C2678 * E2678 + C2678 * E2678 * F2678)</f>
      </c>
    </row>
    <row r="2679">
      <c r="A2679" s="5" t="s">
        <v>643</v>
      </c>
      <c r="B2679" s="13" t="s">
        <v>644</v>
      </c>
      <c r="C2679" s="22"/>
      <c r="D2679" s="22" t="s">
        <v>10</v>
      </c>
      <c r="E2679" s="22"/>
      <c r="F2679" s="22">
        <f>(0)</f>
      </c>
      <c r="G2679" s="22">
        <f>(C2679 * E2679 + C2679 * E2679 * F2679)</f>
      </c>
    </row>
    <row r="2680">
      <c r="A2680" s="5" t="s">
        <v>645</v>
      </c>
      <c r="B2680" s="13" t="s">
        <v>646</v>
      </c>
      <c r="C2680" s="22"/>
      <c r="D2680" s="22" t="s">
        <v>10</v>
      </c>
      <c r="E2680" s="22"/>
      <c r="F2680" s="22">
        <f>(0)</f>
      </c>
      <c r="G2680" s="22">
        <f>(C2680 * E2680 + C2680 * E2680 * F2680)</f>
      </c>
    </row>
    <row r="2681">
      <c r="A2681" s="5" t="s">
        <v>647</v>
      </c>
      <c r="B2681" s="13" t="s">
        <v>648</v>
      </c>
      <c r="C2681" s="22"/>
      <c r="D2681" s="22" t="s">
        <v>10</v>
      </c>
      <c r="E2681" s="22"/>
      <c r="F2681" s="22">
        <f>(0)</f>
      </c>
      <c r="G2681" s="22">
        <f>(C2681 * E2681 + C2681 * E2681 * F2681)</f>
      </c>
    </row>
    <row r="2682">
      <c r="A2682" s="5" t="s">
        <v>649</v>
      </c>
      <c r="B2682" s="13" t="s">
        <v>650</v>
      </c>
      <c r="C2682" s="22"/>
      <c r="D2682" s="22" t="s">
        <v>10</v>
      </c>
      <c r="E2682" s="22"/>
      <c r="F2682" s="22">
        <f>(0)</f>
      </c>
      <c r="G2682" s="22">
        <f>(C2682 * E2682 + C2682 * E2682 * F2682)</f>
      </c>
    </row>
    <row r="2683">
      <c r="A2683" s="5" t="s">
        <v>651</v>
      </c>
      <c r="B2683" s="13" t="s">
        <v>652</v>
      </c>
      <c r="C2683" s="22"/>
      <c r="D2683" s="22" t="s">
        <v>10</v>
      </c>
      <c r="E2683" s="22"/>
      <c r="F2683" s="22">
        <f>(0)</f>
      </c>
      <c r="G2683" s="22">
        <f>(C2683 * E2683 + C2683 * E2683 * F2683)</f>
      </c>
    </row>
    <row r="2684">
      <c r="A2684" s="5" t="s">
        <v>653</v>
      </c>
      <c r="B2684" s="13" t="s">
        <v>654</v>
      </c>
      <c r="C2684" s="22"/>
      <c r="D2684" s="22" t="s">
        <v>10</v>
      </c>
      <c r="E2684" s="22"/>
      <c r="F2684" s="22">
        <f>(0)</f>
      </c>
      <c r="G2684" s="22">
        <f>(C2684 * E2684 + C2684 * E2684 * F2684)</f>
      </c>
    </row>
    <row r="2685">
      <c r="A2685" s="3"/>
      <c r="B2685" s="11" t="s">
        <v>68</v>
      </c>
      <c r="C2685" s="20"/>
      <c r="D2685" s="20"/>
      <c r="E2685" s="20"/>
      <c r="F2685" s="20"/>
      <c r="G2685" s="20"/>
    </row>
    <row r="2686">
      <c r="A2686" s="5" t="s">
        <v>655</v>
      </c>
      <c r="B2686" s="14" t="s">
        <v>656</v>
      </c>
      <c r="C2686" s="22">
        <f>(1)*(1)*(1)*(1)*(1 + (0))</f>
      </c>
      <c r="D2686" s="22" t="s">
        <v>71</v>
      </c>
      <c r="E2686" s="22"/>
      <c r="F2686" s="22">
        <f>(0)</f>
      </c>
      <c r="G2686" s="22">
        <f>(C2686 * E2686 + C2686 * E2686 * F2686)</f>
      </c>
    </row>
    <row r="2687">
      <c r="A2687" s="5" t="s">
        <v>657</v>
      </c>
      <c r="B2687" s="14" t="s">
        <v>658</v>
      </c>
      <c r="C2687" s="22">
        <f>(1)*(1)*(1)*(1)*(1 + (0))</f>
      </c>
      <c r="D2687" s="22" t="s">
        <v>71</v>
      </c>
      <c r="E2687" s="22"/>
      <c r="F2687" s="22">
        <f>(0)</f>
      </c>
      <c r="G2687" s="22">
        <f>(C2687 * E2687 + C2687 * E2687 * F2687)</f>
      </c>
    </row>
    <row r="2688">
      <c r="A2688" s="5" t="s">
        <v>659</v>
      </c>
      <c r="B2688" s="14" t="s">
        <v>660</v>
      </c>
      <c r="C2688" s="22">
        <f>(1)*(1)*(1)*(1)*(1 + (0))</f>
      </c>
      <c r="D2688" s="22" t="s">
        <v>71</v>
      </c>
      <c r="E2688" s="22"/>
      <c r="F2688" s="22">
        <f>(0)</f>
      </c>
      <c r="G2688" s="22">
        <f>(C2688 * E2688 + C2688 * E2688 * F2688)</f>
      </c>
    </row>
    <row r="2689">
      <c r="A2689" s="5" t="s">
        <v>661</v>
      </c>
      <c r="B2689" s="14" t="s">
        <v>77</v>
      </c>
      <c r="C2689" s="22">
        <f>(1)*(1)*(1)*(1)*(1 + (0))</f>
      </c>
      <c r="D2689" s="22" t="s">
        <v>71</v>
      </c>
      <c r="E2689" s="22"/>
      <c r="F2689" s="22">
        <f>(0)</f>
      </c>
      <c r="G2689" s="22">
        <f>(C2689 * E2689 + C2689 * E2689 * F2689)</f>
      </c>
    </row>
    <row r="2690">
      <c r="A2690" s="5" t="s">
        <v>662</v>
      </c>
      <c r="B2690" s="14" t="s">
        <v>663</v>
      </c>
      <c r="C2690" s="22">
        <f>(1)*(1)*(1)*(1)*(1 + (0))</f>
      </c>
      <c r="D2690" s="22" t="s">
        <v>71</v>
      </c>
      <c r="E2690" s="22"/>
      <c r="F2690" s="22">
        <f>(0)</f>
      </c>
      <c r="G2690" s="22">
        <f>(C2690 * E2690 + C2690 * E2690 * F2690)</f>
      </c>
    </row>
    <row r="2691">
      <c r="A2691" s="5" t="s">
        <v>664</v>
      </c>
      <c r="B2691" s="14" t="s">
        <v>665</v>
      </c>
      <c r="C2691" s="22">
        <f>(1)*(1)*(1)*(1)*(1 + (0))</f>
      </c>
      <c r="D2691" s="22" t="s">
        <v>71</v>
      </c>
      <c r="E2691" s="22"/>
      <c r="F2691" s="22">
        <f>(0)</f>
      </c>
      <c r="G2691" s="22">
        <f>(C2691 * E2691 + C2691 * E2691 * F2691)</f>
      </c>
    </row>
    <row r="2692">
      <c r="A2692" s="5" t="s">
        <v>666</v>
      </c>
      <c r="B2692" s="14" t="s">
        <v>667</v>
      </c>
      <c r="C2692" s="22">
        <f>(1)*(1)*(1)*(1)*(1 + (0))</f>
      </c>
      <c r="D2692" s="22" t="s">
        <v>71</v>
      </c>
      <c r="E2692" s="22"/>
      <c r="F2692" s="22">
        <f>(0)</f>
      </c>
      <c r="G2692" s="22">
        <f>(C2692 * E2692 + C2692 * E2692 * F2692)</f>
      </c>
    </row>
    <row r="2693">
      <c r="A2693" s="5" t="s">
        <v>668</v>
      </c>
      <c r="B2693" s="14" t="s">
        <v>669</v>
      </c>
      <c r="C2693" s="22">
        <f>(1)*(1)*(1)*(1)*(1 + (0))</f>
      </c>
      <c r="D2693" s="22" t="s">
        <v>71</v>
      </c>
      <c r="E2693" s="22"/>
      <c r="F2693" s="22">
        <f>(0)</f>
      </c>
      <c r="G2693" s="22">
        <f>(C2693 * E2693 + C2693 * E2693 * F2693)</f>
      </c>
    </row>
    <row r="2694">
      <c r="A2694" s="3"/>
      <c r="B2694" s="11" t="s">
        <v>106</v>
      </c>
      <c r="C2694" s="20"/>
      <c r="D2694" s="20"/>
      <c r="E2694" s="20"/>
      <c r="F2694" s="20"/>
      <c r="G2694" s="20"/>
    </row>
    <row r="2695">
      <c r="A2695" s="5"/>
      <c r="B2695" s="14" t="s">
        <v>670</v>
      </c>
      <c r="C2695" s="22"/>
      <c r="D2695" s="22" t="s">
        <v>10</v>
      </c>
      <c r="E2695" s="22"/>
      <c r="F2695" s="22">
        <f>(0)</f>
      </c>
      <c r="G2695" s="22">
        <f>(C2695 * E2695 + C2695 * E2695 * F2695)</f>
      </c>
    </row>
    <row r="2696">
      <c r="A2696" s="5"/>
      <c r="B2696" s="14" t="s">
        <v>671</v>
      </c>
      <c r="C2696" s="22"/>
      <c r="D2696" s="22" t="s">
        <v>10</v>
      </c>
      <c r="E2696" s="22"/>
      <c r="F2696" s="22">
        <f>(0)</f>
      </c>
      <c r="G2696" s="22">
        <f>(C2696 * E2696 + C2696 * E2696 * F2696)</f>
      </c>
    </row>
    <row r="2697">
      <c r="A2697" s="3"/>
      <c r="B2697" s="11" t="s">
        <v>672</v>
      </c>
      <c r="C2697" s="20"/>
      <c r="D2697" s="20"/>
      <c r="E2697" s="20"/>
      <c r="F2697" s="20"/>
      <c r="G2697" s="20"/>
    </row>
    <row r="2698">
      <c r="A2698" s="4"/>
      <c r="B2698" s="12" t="s">
        <v>673</v>
      </c>
      <c r="C2698" s="21"/>
      <c r="D2698" s="21"/>
      <c r="E2698" s="21"/>
      <c r="F2698" s="21"/>
      <c r="G2698" s="21"/>
    </row>
    <row r="2699">
      <c r="A2699" s="6"/>
      <c r="B2699" s="15" t="s">
        <v>674</v>
      </c>
      <c r="C2699" s="23"/>
      <c r="D2699" s="23"/>
      <c r="E2699" s="23"/>
      <c r="F2699" s="23"/>
      <c r="G2699" s="23"/>
    </row>
    <row r="2700">
      <c r="A2700" s="5"/>
      <c r="B2700" s="16" t="s">
        <v>675</v>
      </c>
      <c r="C2700" s="22"/>
      <c r="D2700" s="22"/>
      <c r="E2700" s="22"/>
      <c r="F2700" s="22"/>
      <c r="G2700" s="22"/>
    </row>
    <row r="2701">
      <c r="A2701" s="5"/>
      <c r="B2701" s="17" t="s">
        <v>1695</v>
      </c>
      <c r="C2701" s="22">
        <f>(98)*(1)*(1)*(1)*(1 + (0))</f>
      </c>
      <c r="D2701" s="22" t="s">
        <v>24</v>
      </c>
      <c r="E2701" s="22"/>
      <c r="F2701" s="22">
        <f>(0)</f>
      </c>
      <c r="G2701" s="22">
        <f>(C2701 * E2701 + C2701 * E2701 * F2701)</f>
      </c>
    </row>
    <row r="2702">
      <c r="A2702" s="5"/>
      <c r="B2702" s="17" t="s">
        <v>1698</v>
      </c>
      <c r="C2702" s="22">
        <f>(13)*(1)*(1)*(1)*(1 + (0))</f>
      </c>
      <c r="D2702" s="22" t="s">
        <v>24</v>
      </c>
      <c r="E2702" s="22"/>
      <c r="F2702" s="22">
        <f>(0)</f>
      </c>
      <c r="G2702" s="22">
        <f>(C2702 * E2702 + C2702 * E2702 * F2702)</f>
      </c>
    </row>
    <row r="2703">
      <c r="A2703" s="5"/>
      <c r="B2703" s="16" t="s">
        <v>677</v>
      </c>
      <c r="C2703" s="22"/>
      <c r="D2703" s="22"/>
      <c r="E2703" s="22"/>
      <c r="F2703" s="22"/>
      <c r="G2703" s="22"/>
    </row>
    <row r="2704">
      <c r="A2704" s="5"/>
      <c r="B2704" s="17" t="s">
        <v>1710</v>
      </c>
      <c r="C2704" s="22">
        <f>(15)*(1)*(1)*(1)*(1 + (0))</f>
      </c>
      <c r="D2704" s="22" t="s">
        <v>24</v>
      </c>
      <c r="E2704" s="22"/>
      <c r="F2704" s="22">
        <f>(0)</f>
      </c>
      <c r="G2704" s="22">
        <f>(C2704 * E2704 + C2704 * E2704 * F2704)</f>
      </c>
    </row>
    <row r="2705">
      <c r="A2705" s="5"/>
      <c r="B2705" s="16" t="s">
        <v>678</v>
      </c>
      <c r="C2705" s="22"/>
      <c r="D2705" s="22"/>
      <c r="E2705" s="22"/>
      <c r="F2705" s="22"/>
      <c r="G2705" s="22"/>
    </row>
    <row r="2706">
      <c r="A2706" s="5"/>
      <c r="B2706" s="17" t="s">
        <v>1711</v>
      </c>
      <c r="C2706" s="22">
        <f>(112)*(1)*(1)*(1)*(1 + (0))</f>
      </c>
      <c r="D2706" s="22" t="s">
        <v>153</v>
      </c>
      <c r="E2706" s="22"/>
      <c r="F2706" s="22">
        <f>(0)</f>
      </c>
      <c r="G2706" s="22">
        <f>(C2706 * E2706 + C2706 * E2706 * F2706)</f>
      </c>
    </row>
    <row r="2707">
      <c r="A2707" s="5"/>
      <c r="B2707" s="17" t="s">
        <v>1698</v>
      </c>
      <c r="C2707" s="22">
        <f>(24)*(1)*(1)*(1)*(1 + (0))</f>
      </c>
      <c r="D2707" s="22" t="s">
        <v>153</v>
      </c>
      <c r="E2707" s="22"/>
      <c r="F2707" s="22">
        <f>(0)</f>
      </c>
      <c r="G2707" s="22">
        <f>(C2707 * E2707 + C2707 * E2707 * F2707)</f>
      </c>
    </row>
    <row r="2708">
      <c r="A2708" s="4"/>
      <c r="B2708" s="12" t="s">
        <v>679</v>
      </c>
      <c r="C2708" s="21"/>
      <c r="D2708" s="21"/>
      <c r="E2708" s="21"/>
      <c r="F2708" s="21"/>
      <c r="G2708" s="21"/>
    </row>
    <row r="2709">
      <c r="A2709" s="6"/>
      <c r="B2709" s="15" t="s">
        <v>680</v>
      </c>
      <c r="C2709" s="23"/>
      <c r="D2709" s="23"/>
      <c r="E2709" s="23"/>
      <c r="F2709" s="23"/>
      <c r="G2709" s="23"/>
    </row>
    <row r="2710">
      <c r="A2710" s="5"/>
      <c r="B2710" s="16" t="s">
        <v>681</v>
      </c>
      <c r="C2710" s="22"/>
      <c r="D2710" s="22"/>
      <c r="E2710" s="22"/>
      <c r="F2710" s="22"/>
      <c r="G2710" s="22"/>
    </row>
    <row r="2711">
      <c r="A2711" s="5"/>
      <c r="B2711" s="17" t="s">
        <v>1698</v>
      </c>
      <c r="C2711" s="22">
        <f>(116)*(1)*(1)*(1)*(1 + (0))</f>
      </c>
      <c r="D2711" s="22" t="s">
        <v>24</v>
      </c>
      <c r="E2711" s="22"/>
      <c r="F2711" s="22">
        <f>(0)</f>
      </c>
      <c r="G2711" s="22">
        <f>(C2711 * E2711 + C2711 * E2711 * F2711)</f>
      </c>
    </row>
    <row r="2712">
      <c r="A2712" s="5"/>
      <c r="B2712" s="16" t="s">
        <v>678</v>
      </c>
      <c r="C2712" s="22"/>
      <c r="D2712" s="22"/>
      <c r="E2712" s="22"/>
      <c r="F2712" s="22"/>
      <c r="G2712" s="22"/>
    </row>
    <row r="2713">
      <c r="A2713" s="5"/>
      <c r="B2713" s="17" t="s">
        <v>1698</v>
      </c>
      <c r="C2713" s="22">
        <f>(35)*(1)*(1)*(1)*(1 + (0))</f>
      </c>
      <c r="D2713" s="22" t="s">
        <v>153</v>
      </c>
      <c r="E2713" s="22"/>
      <c r="F2713" s="22">
        <f>(0)</f>
      </c>
      <c r="G2713" s="22">
        <f>(C2713 * E2713 + C2713 * E2713 * F2713)</f>
      </c>
    </row>
    <row r="2714">
      <c r="A2714" s="6"/>
      <c r="B2714" s="15" t="s">
        <v>1712</v>
      </c>
      <c r="C2714" s="23"/>
      <c r="D2714" s="23"/>
      <c r="E2714" s="23"/>
      <c r="F2714" s="23"/>
      <c r="G2714" s="23"/>
    </row>
    <row r="2715">
      <c r="A2715" s="5"/>
      <c r="B2715" s="16" t="s">
        <v>678</v>
      </c>
      <c r="C2715" s="22"/>
      <c r="D2715" s="22"/>
      <c r="E2715" s="22"/>
      <c r="F2715" s="22"/>
      <c r="G2715" s="22"/>
    </row>
    <row r="2716">
      <c r="A2716" s="5"/>
      <c r="B2716" s="17" t="s">
        <v>1698</v>
      </c>
      <c r="C2716" s="22">
        <f>(18)*(1)*(1)*(1)*(1 + (0))</f>
      </c>
      <c r="D2716" s="22" t="s">
        <v>153</v>
      </c>
      <c r="E2716" s="22"/>
      <c r="F2716" s="22">
        <f>(0)</f>
      </c>
      <c r="G2716" s="22">
        <f>(C2716 * E2716 + C2716 * E2716 * F2716)</f>
      </c>
    </row>
    <row r="2717">
      <c r="A2717" s="6"/>
      <c r="B2717" s="15" t="s">
        <v>1713</v>
      </c>
      <c r="C2717" s="23"/>
      <c r="D2717" s="23"/>
      <c r="E2717" s="23"/>
      <c r="F2717" s="23"/>
      <c r="G2717" s="23"/>
    </row>
    <row r="2718">
      <c r="A2718" s="5"/>
      <c r="B2718" s="16" t="s">
        <v>678</v>
      </c>
      <c r="C2718" s="22"/>
      <c r="D2718" s="22"/>
      <c r="E2718" s="22"/>
      <c r="F2718" s="22"/>
      <c r="G2718" s="22"/>
    </row>
    <row r="2719">
      <c r="A2719" s="5"/>
      <c r="B2719" s="17" t="s">
        <v>1711</v>
      </c>
      <c r="C2719" s="22">
        <f>(144)*(1)*(1)*(1)*(1 + (0))</f>
      </c>
      <c r="D2719" s="22" t="s">
        <v>153</v>
      </c>
      <c r="E2719" s="22"/>
      <c r="F2719" s="22">
        <f>(0)</f>
      </c>
      <c r="G2719" s="22">
        <f>(C2719 * E2719 + C2719 * E2719 * F2719)</f>
      </c>
    </row>
    <row r="2720">
      <c r="A2720" s="4"/>
      <c r="B2720" s="12" t="s">
        <v>682</v>
      </c>
      <c r="C2720" s="21"/>
      <c r="D2720" s="21"/>
      <c r="E2720" s="21"/>
      <c r="F2720" s="21"/>
      <c r="G2720" s="21"/>
    </row>
    <row r="2721">
      <c r="A2721" s="6"/>
      <c r="B2721" s="15" t="s">
        <v>680</v>
      </c>
      <c r="C2721" s="23"/>
      <c r="D2721" s="23"/>
      <c r="E2721" s="23"/>
      <c r="F2721" s="23"/>
      <c r="G2721" s="23"/>
    </row>
    <row r="2722">
      <c r="A2722" s="5"/>
      <c r="B2722" s="16" t="s">
        <v>683</v>
      </c>
      <c r="C2722" s="22"/>
      <c r="D2722" s="22"/>
      <c r="E2722" s="22"/>
      <c r="F2722" s="22"/>
      <c r="G2722" s="22"/>
    </row>
    <row r="2723">
      <c r="A2723" s="5"/>
      <c r="B2723" s="17" t="s">
        <v>1698</v>
      </c>
      <c r="C2723" s="22">
        <f>(75)*(1)*(1)*(1)*(1 + (0))</f>
      </c>
      <c r="D2723" s="22" t="s">
        <v>24</v>
      </c>
      <c r="E2723" s="22"/>
      <c r="F2723" s="22">
        <f>(0)</f>
      </c>
      <c r="G2723" s="22">
        <f>(C2723 * E2723 + C2723 * E2723 * F2723)</f>
      </c>
    </row>
    <row r="2724">
      <c r="A2724" s="5"/>
      <c r="B2724" s="16" t="s">
        <v>685</v>
      </c>
      <c r="C2724" s="22"/>
      <c r="D2724" s="22"/>
      <c r="E2724" s="22"/>
      <c r="F2724" s="22"/>
      <c r="G2724" s="22"/>
    </row>
    <row r="2725">
      <c r="A2725" s="5"/>
      <c r="B2725" s="17" t="s">
        <v>1698</v>
      </c>
      <c r="C2725" s="22">
        <f>(10)*(1)*(1)*(1)*(1 + (0))</f>
      </c>
      <c r="D2725" s="22" t="s">
        <v>24</v>
      </c>
      <c r="E2725" s="22"/>
      <c r="F2725" s="22">
        <f>(0)</f>
      </c>
      <c r="G2725" s="22">
        <f>(C2725 * E2725 + C2725 * E2725 * F2725)</f>
      </c>
    </row>
    <row r="2726">
      <c r="A2726" s="2"/>
      <c r="B2726" s="10" t="s">
        <v>689</v>
      </c>
      <c r="C2726" s="19"/>
      <c r="D2726" s="19"/>
      <c r="E2726" s="19"/>
      <c r="F2726" s="19"/>
      <c r="G2726" s="19"/>
    </row>
    <row r="2727">
      <c r="A2727" s="3"/>
      <c r="B2727" s="11" t="s">
        <v>37</v>
      </c>
      <c r="C2727" s="20"/>
      <c r="D2727" s="20"/>
      <c r="E2727" s="20"/>
      <c r="F2727" s="20"/>
      <c r="G2727" s="20"/>
    </row>
    <row r="2728">
      <c r="A2728" s="5" t="s">
        <v>690</v>
      </c>
      <c r="B2728" s="14" t="s">
        <v>39</v>
      </c>
      <c r="C2728" s="22"/>
      <c r="D2728" s="22" t="s">
        <v>10</v>
      </c>
      <c r="E2728" s="22"/>
      <c r="F2728" s="22">
        <f>(0)</f>
      </c>
      <c r="G2728" s="22">
        <f>(C2728 * E2728 + C2728 * E2728 * F2728)</f>
      </c>
    </row>
    <row r="2729">
      <c r="A2729" s="5" t="s">
        <v>691</v>
      </c>
      <c r="B2729" s="14" t="s">
        <v>41</v>
      </c>
      <c r="C2729" s="22"/>
      <c r="D2729" s="22" t="s">
        <v>10</v>
      </c>
      <c r="E2729" s="22"/>
      <c r="F2729" s="22">
        <f>(0)</f>
      </c>
      <c r="G2729" s="22">
        <f>(C2729 * E2729 + C2729 * E2729 * F2729)</f>
      </c>
    </row>
    <row r="2730">
      <c r="A2730" s="3"/>
      <c r="B2730" s="11" t="s">
        <v>42</v>
      </c>
      <c r="C2730" s="20"/>
      <c r="D2730" s="20"/>
      <c r="E2730" s="20"/>
      <c r="F2730" s="20"/>
      <c r="G2730" s="20"/>
    </row>
    <row r="2731">
      <c r="A2731" s="5"/>
      <c r="B2731" s="14" t="s">
        <v>692</v>
      </c>
      <c r="C2731" s="22"/>
      <c r="D2731" s="22" t="s">
        <v>10</v>
      </c>
      <c r="E2731" s="22"/>
      <c r="F2731" s="22">
        <f>(0)</f>
      </c>
      <c r="G2731" s="22">
        <f>(C2731 * E2731 + C2731 * E2731 * F2731)</f>
      </c>
    </row>
    <row r="2732">
      <c r="A2732" s="5"/>
      <c r="B2732" s="14" t="s">
        <v>693</v>
      </c>
      <c r="C2732" s="22"/>
      <c r="D2732" s="22" t="s">
        <v>10</v>
      </c>
      <c r="E2732" s="22"/>
      <c r="F2732" s="22">
        <f>(0)</f>
      </c>
      <c r="G2732" s="22">
        <f>(C2732 * E2732 + C2732 * E2732 * F2732)</f>
      </c>
    </row>
    <row r="2733">
      <c r="A2733" s="5"/>
      <c r="B2733" s="14" t="s">
        <v>694</v>
      </c>
      <c r="C2733" s="22"/>
      <c r="D2733" s="22" t="s">
        <v>10</v>
      </c>
      <c r="E2733" s="22"/>
      <c r="F2733" s="22">
        <f>(0)</f>
      </c>
      <c r="G2733" s="22">
        <f>(C2733 * E2733 + C2733 * E2733 * F2733)</f>
      </c>
    </row>
    <row r="2734">
      <c r="A2734" s="3"/>
      <c r="B2734" s="11" t="s">
        <v>44</v>
      </c>
      <c r="C2734" s="20"/>
      <c r="D2734" s="20"/>
      <c r="E2734" s="20"/>
      <c r="F2734" s="20"/>
      <c r="G2734" s="20"/>
    </row>
    <row r="2735">
      <c r="A2735" s="4"/>
      <c r="B2735" s="12" t="s">
        <v>45</v>
      </c>
      <c r="C2735" s="21"/>
      <c r="D2735" s="21"/>
      <c r="E2735" s="21"/>
      <c r="F2735" s="21"/>
      <c r="G2735" s="21"/>
    </row>
    <row r="2736">
      <c r="A2736" s="5" t="s">
        <v>695</v>
      </c>
      <c r="B2736" s="13" t="s">
        <v>696</v>
      </c>
      <c r="C2736" s="22"/>
      <c r="D2736" s="22" t="s">
        <v>10</v>
      </c>
      <c r="E2736" s="22"/>
      <c r="F2736" s="22">
        <f>(0)</f>
      </c>
      <c r="G2736" s="22">
        <f>(C2736 * E2736 + C2736 * E2736 * F2736)</f>
      </c>
    </row>
    <row r="2737">
      <c r="A2737" s="5" t="s">
        <v>697</v>
      </c>
      <c r="B2737" s="13" t="s">
        <v>698</v>
      </c>
      <c r="C2737" s="22"/>
      <c r="D2737" s="22" t="s">
        <v>10</v>
      </c>
      <c r="E2737" s="22"/>
      <c r="F2737" s="22">
        <f>(0)</f>
      </c>
      <c r="G2737" s="22">
        <f>(C2737 * E2737 + C2737 * E2737 * F2737)</f>
      </c>
    </row>
    <row r="2738">
      <c r="A2738" s="5" t="s">
        <v>699</v>
      </c>
      <c r="B2738" s="13" t="s">
        <v>700</v>
      </c>
      <c r="C2738" s="22"/>
      <c r="D2738" s="22" t="s">
        <v>10</v>
      </c>
      <c r="E2738" s="22"/>
      <c r="F2738" s="22">
        <f>(0)</f>
      </c>
      <c r="G2738" s="22">
        <f>(C2738 * E2738 + C2738 * E2738 * F2738)</f>
      </c>
    </row>
    <row r="2739">
      <c r="A2739" s="5" t="s">
        <v>701</v>
      </c>
      <c r="B2739" s="13" t="s">
        <v>646</v>
      </c>
      <c r="C2739" s="22"/>
      <c r="D2739" s="22" t="s">
        <v>10</v>
      </c>
      <c r="E2739" s="22"/>
      <c r="F2739" s="22">
        <f>(0)</f>
      </c>
      <c r="G2739" s="22">
        <f>(C2739 * E2739 + C2739 * E2739 * F2739)</f>
      </c>
    </row>
    <row r="2740">
      <c r="A2740" s="5" t="s">
        <v>702</v>
      </c>
      <c r="B2740" s="13" t="s">
        <v>648</v>
      </c>
      <c r="C2740" s="22"/>
      <c r="D2740" s="22" t="s">
        <v>10</v>
      </c>
      <c r="E2740" s="22"/>
      <c r="F2740" s="22">
        <f>(0)</f>
      </c>
      <c r="G2740" s="22">
        <f>(C2740 * E2740 + C2740 * E2740 * F2740)</f>
      </c>
    </row>
    <row r="2741">
      <c r="A2741" s="5" t="s">
        <v>703</v>
      </c>
      <c r="B2741" s="13" t="s">
        <v>704</v>
      </c>
      <c r="C2741" s="22"/>
      <c r="D2741" s="22" t="s">
        <v>10</v>
      </c>
      <c r="E2741" s="22"/>
      <c r="F2741" s="22">
        <f>(0)</f>
      </c>
      <c r="G2741" s="22">
        <f>(C2741 * E2741 + C2741 * E2741 * F2741)</f>
      </c>
    </row>
    <row r="2742">
      <c r="A2742" s="5" t="s">
        <v>705</v>
      </c>
      <c r="B2742" s="13" t="s">
        <v>123</v>
      </c>
      <c r="C2742" s="22"/>
      <c r="D2742" s="22" t="s">
        <v>10</v>
      </c>
      <c r="E2742" s="22"/>
      <c r="F2742" s="22">
        <f>(0)</f>
      </c>
      <c r="G2742" s="22">
        <f>(C2742 * E2742 + C2742 * E2742 * F2742)</f>
      </c>
    </row>
    <row r="2743">
      <c r="A2743" s="3"/>
      <c r="B2743" s="11" t="s">
        <v>68</v>
      </c>
      <c r="C2743" s="20"/>
      <c r="D2743" s="20"/>
      <c r="E2743" s="20"/>
      <c r="F2743" s="20"/>
      <c r="G2743" s="20"/>
    </row>
    <row r="2744">
      <c r="A2744" s="5" t="s">
        <v>706</v>
      </c>
      <c r="B2744" s="14" t="s">
        <v>707</v>
      </c>
      <c r="C2744" s="22">
        <f>(1)*(1)*(1)*(1)*(1 + (0))</f>
      </c>
      <c r="D2744" s="22" t="s">
        <v>71</v>
      </c>
      <c r="E2744" s="22"/>
      <c r="F2744" s="22">
        <f>(0)</f>
      </c>
      <c r="G2744" s="22">
        <f>(C2744 * E2744 + C2744 * E2744 * F2744)</f>
      </c>
    </row>
    <row r="2745">
      <c r="A2745" s="5" t="s">
        <v>708</v>
      </c>
      <c r="B2745" s="14" t="s">
        <v>709</v>
      </c>
      <c r="C2745" s="22">
        <f>(1)*(1)*(1)*(1)*(1 + (0))</f>
      </c>
      <c r="D2745" s="22" t="s">
        <v>71</v>
      </c>
      <c r="E2745" s="22"/>
      <c r="F2745" s="22">
        <f>(0)</f>
      </c>
      <c r="G2745" s="22">
        <f>(C2745 * E2745 + C2745 * E2745 * F2745)</f>
      </c>
    </row>
    <row r="2746">
      <c r="A2746" s="5" t="s">
        <v>710</v>
      </c>
      <c r="B2746" s="14" t="s">
        <v>711</v>
      </c>
      <c r="C2746" s="22">
        <f>(1)*(1)*(1)*(1)*(1 + (0))</f>
      </c>
      <c r="D2746" s="22" t="s">
        <v>71</v>
      </c>
      <c r="E2746" s="22"/>
      <c r="F2746" s="22">
        <f>(0)</f>
      </c>
      <c r="G2746" s="22">
        <f>(C2746 * E2746 + C2746 * E2746 * F2746)</f>
      </c>
    </row>
    <row r="2747">
      <c r="A2747" s="5" t="s">
        <v>712</v>
      </c>
      <c r="B2747" s="14" t="s">
        <v>79</v>
      </c>
      <c r="C2747" s="22">
        <f>(1)*(1)*(1)*(1)*(1 + (0))</f>
      </c>
      <c r="D2747" s="22" t="s">
        <v>71</v>
      </c>
      <c r="E2747" s="22"/>
      <c r="F2747" s="22">
        <f>(0)</f>
      </c>
      <c r="G2747" s="22">
        <f>(C2747 * E2747 + C2747 * E2747 * F2747)</f>
      </c>
    </row>
    <row r="2748">
      <c r="A2748" s="5" t="s">
        <v>713</v>
      </c>
      <c r="B2748" s="14" t="s">
        <v>714</v>
      </c>
      <c r="C2748" s="22">
        <f>(1)*(1)*(1)*(1)*(1 + (0))</f>
      </c>
      <c r="D2748" s="22" t="s">
        <v>71</v>
      </c>
      <c r="E2748" s="22"/>
      <c r="F2748" s="22">
        <f>(0)</f>
      </c>
      <c r="G2748" s="22">
        <f>(C2748 * E2748 + C2748 * E2748 * F2748)</f>
      </c>
    </row>
    <row r="2749">
      <c r="A2749" s="5" t="s">
        <v>715</v>
      </c>
      <c r="B2749" s="14" t="s">
        <v>716</v>
      </c>
      <c r="C2749" s="22">
        <f>(1)*(1)*(1)*(1)*(1 + (0))</f>
      </c>
      <c r="D2749" s="22" t="s">
        <v>71</v>
      </c>
      <c r="E2749" s="22"/>
      <c r="F2749" s="22">
        <f>(0)</f>
      </c>
      <c r="G2749" s="22">
        <f>(C2749 * E2749 + C2749 * E2749 * F2749)</f>
      </c>
    </row>
    <row r="2750">
      <c r="A2750" s="5" t="s">
        <v>717</v>
      </c>
      <c r="B2750" s="14" t="s">
        <v>718</v>
      </c>
      <c r="C2750" s="22">
        <f>(1)*(1)*(1)*(1)*(1 + (0))</f>
      </c>
      <c r="D2750" s="22" t="s">
        <v>71</v>
      </c>
      <c r="E2750" s="22"/>
      <c r="F2750" s="22">
        <f>(0)</f>
      </c>
      <c r="G2750" s="22">
        <f>(C2750 * E2750 + C2750 * E2750 * F2750)</f>
      </c>
    </row>
    <row r="2751">
      <c r="A2751" s="5" t="s">
        <v>719</v>
      </c>
      <c r="B2751" s="14" t="s">
        <v>720</v>
      </c>
      <c r="C2751" s="22">
        <f>(1)*(1)*(1)*(1)*(1 + (0))</f>
      </c>
      <c r="D2751" s="22" t="s">
        <v>71</v>
      </c>
      <c r="E2751" s="22"/>
      <c r="F2751" s="22">
        <f>(0)</f>
      </c>
      <c r="G2751" s="22">
        <f>(C2751 * E2751 + C2751 * E2751 * F2751)</f>
      </c>
    </row>
    <row r="2752">
      <c r="A2752" s="3"/>
      <c r="B2752" s="11" t="s">
        <v>721</v>
      </c>
      <c r="C2752" s="20"/>
      <c r="D2752" s="20"/>
      <c r="E2752" s="20"/>
      <c r="F2752" s="20"/>
      <c r="G2752" s="20"/>
    </row>
    <row r="2753">
      <c r="A2753" s="5"/>
      <c r="B2753" s="14" t="s">
        <v>722</v>
      </c>
      <c r="C2753" s="22">
        <f>(1261)*(1)*(1)*(1)*(1 + (0))</f>
      </c>
      <c r="D2753" s="22" t="s">
        <v>24</v>
      </c>
      <c r="E2753" s="22"/>
      <c r="F2753" s="22">
        <f>(0)</f>
      </c>
      <c r="G2753" s="22">
        <f>(C2753 * E2753 + C2753 * E2753 * F2753)</f>
      </c>
    </row>
    <row r="2754">
      <c r="A2754" s="3"/>
      <c r="B2754" s="11" t="s">
        <v>723</v>
      </c>
      <c r="C2754" s="20"/>
      <c r="D2754" s="20"/>
      <c r="E2754" s="20"/>
      <c r="F2754" s="20"/>
      <c r="G2754" s="20"/>
    </row>
    <row r="2755">
      <c r="A2755" s="5"/>
      <c r="B2755" s="14" t="s">
        <v>724</v>
      </c>
      <c r="C2755" s="22">
        <f>(1251)*(1)*(1)*(1)*(1 + (0))</f>
      </c>
      <c r="D2755" s="22" t="s">
        <v>24</v>
      </c>
      <c r="E2755" s="22"/>
      <c r="F2755" s="22">
        <f>(0)</f>
      </c>
      <c r="G2755" s="22">
        <f>(C2755 * E2755 + C2755 * E2755 * F2755)</f>
      </c>
    </row>
    <row r="2756">
      <c r="A2756" s="5"/>
      <c r="B2756" s="14" t="s">
        <v>725</v>
      </c>
      <c r="C2756" s="22">
        <f>(80)*(1)*(1)*(1)*(1 + (0))</f>
      </c>
      <c r="D2756" s="22" t="s">
        <v>24</v>
      </c>
      <c r="E2756" s="22"/>
      <c r="F2756" s="22">
        <f>(0)</f>
      </c>
      <c r="G2756" s="22">
        <f>(C2756 * E2756 + C2756 * E2756 * F2756)</f>
      </c>
    </row>
    <row r="2757">
      <c r="A2757" s="5"/>
      <c r="B2757" s="14" t="s">
        <v>726</v>
      </c>
      <c r="C2757" s="22">
        <f>(373)*(1)*(1)*(1)*(1 + (0))</f>
      </c>
      <c r="D2757" s="22" t="s">
        <v>24</v>
      </c>
      <c r="E2757" s="22"/>
      <c r="F2757" s="22">
        <f>(0)</f>
      </c>
      <c r="G2757" s="22">
        <f>(C2757 * E2757 + C2757 * E2757 * F2757)</f>
      </c>
    </row>
    <row r="2758">
      <c r="A2758" s="5"/>
      <c r="B2758" s="14" t="s">
        <v>727</v>
      </c>
      <c r="C2758" s="22">
        <f>(1251)*(1)*(1)*(1)*(1 + (0))</f>
      </c>
      <c r="D2758" s="22" t="s">
        <v>24</v>
      </c>
      <c r="E2758" s="22"/>
      <c r="F2758" s="22">
        <f>(0)</f>
      </c>
      <c r="G2758" s="22">
        <f>(C2758 * E2758 + C2758 * E2758 * F2758)</f>
      </c>
    </row>
    <row r="2759">
      <c r="A2759" s="3"/>
      <c r="B2759" s="11" t="s">
        <v>728</v>
      </c>
      <c r="C2759" s="20"/>
      <c r="D2759" s="20"/>
      <c r="E2759" s="20"/>
      <c r="F2759" s="20"/>
      <c r="G2759" s="20"/>
    </row>
    <row r="2760">
      <c r="A2760" s="5"/>
      <c r="B2760" s="14" t="s">
        <v>729</v>
      </c>
      <c r="C2760" s="22">
        <f>(1251)*(1)*(1)*(1)*(1 + (0))</f>
      </c>
      <c r="D2760" s="22" t="s">
        <v>24</v>
      </c>
      <c r="E2760" s="22"/>
      <c r="F2760" s="22">
        <f>(0)</f>
      </c>
      <c r="G2760" s="22">
        <f>(C2760 * E2760 + C2760 * E2760 * F2760)</f>
      </c>
    </row>
    <row r="2761">
      <c r="A2761" s="3"/>
      <c r="B2761" s="11" t="s">
        <v>730</v>
      </c>
      <c r="C2761" s="20"/>
      <c r="D2761" s="20"/>
      <c r="E2761" s="20"/>
      <c r="F2761" s="20"/>
      <c r="G2761" s="20"/>
    </row>
    <row r="2762">
      <c r="A2762" s="4"/>
      <c r="B2762" s="12" t="s">
        <v>731</v>
      </c>
      <c r="C2762" s="21"/>
      <c r="D2762" s="21"/>
      <c r="E2762" s="21"/>
      <c r="F2762" s="21"/>
      <c r="G2762" s="21"/>
    </row>
    <row r="2763">
      <c r="A2763" s="5"/>
      <c r="B2763" s="13" t="s">
        <v>732</v>
      </c>
      <c r="C2763" s="22">
        <f>(11)*(1)*(1)*(1)*(1 + (0))</f>
      </c>
      <c r="D2763" s="22" t="s">
        <v>153</v>
      </c>
      <c r="E2763" s="22"/>
      <c r="F2763" s="22">
        <f>(0)</f>
      </c>
      <c r="G2763" s="22">
        <f>(C2763 * E2763 + C2763 * E2763 * F2763)</f>
      </c>
    </row>
    <row r="2764">
      <c r="A2764" s="5"/>
      <c r="B2764" s="13" t="s">
        <v>733</v>
      </c>
      <c r="C2764" s="22">
        <f>(48)*(1)*(1)*(1)*(1 + (0))</f>
      </c>
      <c r="D2764" s="22" t="s">
        <v>153</v>
      </c>
      <c r="E2764" s="22"/>
      <c r="F2764" s="22">
        <f>(0)</f>
      </c>
      <c r="G2764" s="22">
        <f>(C2764 * E2764 + C2764 * E2764 * F2764)</f>
      </c>
    </row>
    <row r="2765">
      <c r="A2765" s="4"/>
      <c r="B2765" s="12" t="s">
        <v>734</v>
      </c>
      <c r="C2765" s="21"/>
      <c r="D2765" s="21"/>
      <c r="E2765" s="21"/>
      <c r="F2765" s="21"/>
      <c r="G2765" s="21"/>
    </row>
    <row r="2766">
      <c r="A2766" s="5"/>
      <c r="B2766" s="13" t="s">
        <v>735</v>
      </c>
      <c r="C2766" s="22">
        <f>(11)*(1)*(1)*(1)*(1 + (0))</f>
      </c>
      <c r="D2766" s="22" t="s">
        <v>153</v>
      </c>
      <c r="E2766" s="22"/>
      <c r="F2766" s="22">
        <f>(0)</f>
      </c>
      <c r="G2766" s="22">
        <f>(C2766 * E2766 + C2766 * E2766 * F2766)</f>
      </c>
    </row>
    <row r="2767">
      <c r="A2767" s="5"/>
      <c r="B2767" s="13" t="s">
        <v>736</v>
      </c>
      <c r="C2767" s="22">
        <f>(11)*(1)*(1)*(1)*(1 + (0))</f>
      </c>
      <c r="D2767" s="22" t="s">
        <v>153</v>
      </c>
      <c r="E2767" s="22"/>
      <c r="F2767" s="22">
        <f>(0)</f>
      </c>
      <c r="G2767" s="22">
        <f>(C2767 * E2767 + C2767 * E2767 * F2767)</f>
      </c>
    </row>
    <row r="2768">
      <c r="A2768" s="5"/>
      <c r="B2768" s="13" t="s">
        <v>1714</v>
      </c>
      <c r="C2768" s="22">
        <f>(182)*(1)*(1)*(1)*(1 + (0))</f>
      </c>
      <c r="D2768" s="22" t="s">
        <v>153</v>
      </c>
      <c r="E2768" s="22"/>
      <c r="F2768" s="22">
        <f>(0)</f>
      </c>
      <c r="G2768" s="22">
        <f>(C2768 * E2768 + C2768 * E2768 * F2768)</f>
      </c>
    </row>
    <row r="2769">
      <c r="A2769" s="4"/>
      <c r="B2769" s="12" t="s">
        <v>738</v>
      </c>
      <c r="C2769" s="21"/>
      <c r="D2769" s="21"/>
      <c r="E2769" s="21"/>
      <c r="F2769" s="21"/>
      <c r="G2769" s="21"/>
    </row>
    <row r="2770">
      <c r="A2770" s="5"/>
      <c r="B2770" s="13" t="s">
        <v>739</v>
      </c>
      <c r="C2770" s="22">
        <f>(75)*(1)*(1)*(1)*(1 + (0))</f>
      </c>
      <c r="D2770" s="22" t="s">
        <v>24</v>
      </c>
      <c r="E2770" s="22"/>
      <c r="F2770" s="22">
        <f>(0)</f>
      </c>
      <c r="G2770" s="22">
        <f>(C2770 * E2770 + C2770 * E2770 * F2770)</f>
      </c>
    </row>
    <row r="2771">
      <c r="A2771" s="3"/>
      <c r="B2771" s="11" t="s">
        <v>740</v>
      </c>
      <c r="C2771" s="20"/>
      <c r="D2771" s="20"/>
      <c r="E2771" s="20"/>
      <c r="F2771" s="20"/>
      <c r="G2771" s="20"/>
    </row>
    <row r="2772">
      <c r="A2772" s="5"/>
      <c r="B2772" s="14" t="s">
        <v>741</v>
      </c>
      <c r="C2772" s="22">
        <f>(54)*(1)*(1)*(1)*(1 + (0))</f>
      </c>
      <c r="D2772" s="22" t="s">
        <v>153</v>
      </c>
      <c r="E2772" s="22"/>
      <c r="F2772" s="22">
        <f>(0)</f>
      </c>
      <c r="G2772" s="22">
        <f>(C2772 * E2772 + C2772 * E2772 * F2772)</f>
      </c>
    </row>
    <row r="2773">
      <c r="A2773" s="5"/>
      <c r="B2773" s="14" t="s">
        <v>742</v>
      </c>
      <c r="C2773" s="22">
        <f>(10)*(1)*(1)*(1)*(1 + (0))</f>
      </c>
      <c r="D2773" s="22" t="s">
        <v>153</v>
      </c>
      <c r="E2773" s="22"/>
      <c r="F2773" s="22">
        <f>(0)</f>
      </c>
      <c r="G2773" s="22">
        <f>(C2773 * E2773 + C2773 * E2773 * F2773)</f>
      </c>
    </row>
    <row r="2774">
      <c r="A2774" s="5"/>
      <c r="B2774" s="14" t="s">
        <v>1715</v>
      </c>
      <c r="C2774" s="22">
        <f>(7)*(1)*(1)*(1)*(1 + (0))</f>
      </c>
      <c r="D2774" s="22" t="s">
        <v>153</v>
      </c>
      <c r="E2774" s="22"/>
      <c r="F2774" s="22">
        <f>(0)</f>
      </c>
      <c r="G2774" s="22">
        <f>(C2774 * E2774 + C2774 * E2774 * F2774)</f>
      </c>
    </row>
    <row r="2775">
      <c r="A2775" s="5"/>
      <c r="B2775" s="14" t="s">
        <v>1716</v>
      </c>
      <c r="C2775" s="22">
        <f>(1)*(1)*(1)*(1)*(1 + (0))</f>
      </c>
      <c r="D2775" s="22" t="s">
        <v>162</v>
      </c>
      <c r="E2775" s="22"/>
      <c r="F2775" s="22">
        <f>(0)</f>
      </c>
      <c r="G2775" s="22">
        <f>(C2775 * E2775 + C2775 * E2775 * F2775)</f>
      </c>
    </row>
    <row r="2776">
      <c r="A2776" s="5"/>
      <c r="B2776" s="14" t="s">
        <v>747</v>
      </c>
      <c r="C2776" s="22">
        <f>(2)*(1)*(1)*(1)*(1 + (0))</f>
      </c>
      <c r="D2776" s="22" t="s">
        <v>162</v>
      </c>
      <c r="E2776" s="22"/>
      <c r="F2776" s="22">
        <f>(0)</f>
      </c>
      <c r="G2776" s="22">
        <f>(C2776 * E2776 + C2776 * E2776 * F2776)</f>
      </c>
    </row>
    <row r="2777">
      <c r="A2777" s="5"/>
      <c r="B2777" s="14" t="s">
        <v>748</v>
      </c>
      <c r="C2777" s="22">
        <f>(8)*(1)*(1)*(1)*(1 + (0))</f>
      </c>
      <c r="D2777" s="22" t="s">
        <v>162</v>
      </c>
      <c r="E2777" s="22"/>
      <c r="F2777" s="22">
        <f>(0)</f>
      </c>
      <c r="G2777" s="22">
        <f>(C2777 * E2777 + C2777 * E2777 * F2777)</f>
      </c>
    </row>
    <row r="2778">
      <c r="A2778" s="5"/>
      <c r="B2778" s="14" t="s">
        <v>749</v>
      </c>
      <c r="C2778" s="22">
        <f>(54)*(1)*(1)*(1)*(1 + (0))</f>
      </c>
      <c r="D2778" s="22" t="s">
        <v>153</v>
      </c>
      <c r="E2778" s="22"/>
      <c r="F2778" s="22">
        <f>(0)</f>
      </c>
      <c r="G2778" s="22">
        <f>(C2778 * E2778 + C2778 * E2778 * F2778)</f>
      </c>
    </row>
    <row r="2779">
      <c r="A2779" s="5"/>
      <c r="B2779" s="14" t="s">
        <v>750</v>
      </c>
      <c r="C2779" s="22">
        <f>(2)*(1)*(1)*(1)*(1 + (0))</f>
      </c>
      <c r="D2779" s="22" t="s">
        <v>162</v>
      </c>
      <c r="E2779" s="22"/>
      <c r="F2779" s="22">
        <f>(0)</f>
      </c>
      <c r="G2779" s="22">
        <f>(C2779 * E2779 + C2779 * E2779 * F2779)</f>
      </c>
    </row>
    <row r="2780">
      <c r="A2780" s="5"/>
      <c r="B2780" s="14" t="s">
        <v>751</v>
      </c>
      <c r="C2780" s="22">
        <f>(8)*(1)*(1)*(1)*(1 + (0))</f>
      </c>
      <c r="D2780" s="22" t="s">
        <v>162</v>
      </c>
      <c r="E2780" s="22"/>
      <c r="F2780" s="22">
        <f>(0)</f>
      </c>
      <c r="G2780" s="22">
        <f>(C2780 * E2780 + C2780 * E2780 * F2780)</f>
      </c>
    </row>
    <row r="2781">
      <c r="A2781" s="5"/>
      <c r="B2781" s="14" t="s">
        <v>752</v>
      </c>
      <c r="C2781" s="22">
        <f>(2)*(1)*(1)*(1)*(1 + (0))</f>
      </c>
      <c r="D2781" s="22" t="s">
        <v>162</v>
      </c>
      <c r="E2781" s="22"/>
      <c r="F2781" s="22">
        <f>(0)</f>
      </c>
      <c r="G2781" s="22">
        <f>(C2781 * E2781 + C2781 * E2781 * F2781)</f>
      </c>
    </row>
    <row r="2782">
      <c r="A2782" s="3"/>
      <c r="B2782" s="11" t="s">
        <v>753</v>
      </c>
      <c r="C2782" s="20"/>
      <c r="D2782" s="20"/>
      <c r="E2782" s="20"/>
      <c r="F2782" s="20"/>
      <c r="G2782" s="20"/>
    </row>
    <row r="2783">
      <c r="A2783" s="5"/>
      <c r="B2783" s="14" t="s">
        <v>754</v>
      </c>
      <c r="C2783" s="22">
        <f>(1)*(1)*(1)*(1)*(1 + (0))</f>
      </c>
      <c r="D2783" s="22" t="s">
        <v>162</v>
      </c>
      <c r="E2783" s="22"/>
      <c r="F2783" s="22">
        <f>(0)</f>
      </c>
      <c r="G2783" s="22">
        <f>(C2783 * E2783 + C2783 * E2783 * F2783)</f>
      </c>
    </row>
    <row r="2784">
      <c r="A2784" s="5"/>
      <c r="B2784" s="14" t="s">
        <v>755</v>
      </c>
      <c r="C2784" s="22">
        <f>(1)*(1)*(1)*(1)*(1 + (0))</f>
      </c>
      <c r="D2784" s="22" t="s">
        <v>162</v>
      </c>
      <c r="E2784" s="22"/>
      <c r="F2784" s="22">
        <f>(0)</f>
      </c>
      <c r="G2784" s="22">
        <f>(C2784 * E2784 + C2784 * E2784 * F2784)</f>
      </c>
    </row>
    <row r="2785">
      <c r="A2785" s="5"/>
      <c r="B2785" s="14" t="s">
        <v>756</v>
      </c>
      <c r="C2785" s="22">
        <f>(1)*(1)*(1)*(1)*(1 + (0))</f>
      </c>
      <c r="D2785" s="22" t="s">
        <v>71</v>
      </c>
      <c r="E2785" s="22"/>
      <c r="F2785" s="22">
        <f>(0)</f>
      </c>
      <c r="G2785" s="22">
        <f>(C2785 * E2785 + C2785 * E2785 * F2785)</f>
      </c>
    </row>
    <row r="2786">
      <c r="A2786" s="2"/>
      <c r="B2786" s="10" t="s">
        <v>757</v>
      </c>
      <c r="C2786" s="19"/>
      <c r="D2786" s="19"/>
      <c r="E2786" s="19"/>
      <c r="F2786" s="19"/>
      <c r="G2786" s="19"/>
    </row>
    <row r="2787">
      <c r="A2787" s="3"/>
      <c r="B2787" s="11" t="s">
        <v>37</v>
      </c>
      <c r="C2787" s="20"/>
      <c r="D2787" s="20"/>
      <c r="E2787" s="20"/>
      <c r="F2787" s="20"/>
      <c r="G2787" s="20"/>
    </row>
    <row r="2788">
      <c r="A2788" s="5" t="s">
        <v>758</v>
      </c>
      <c r="B2788" s="14" t="s">
        <v>759</v>
      </c>
      <c r="C2788" s="22"/>
      <c r="D2788" s="22" t="s">
        <v>10</v>
      </c>
      <c r="E2788" s="22"/>
      <c r="F2788" s="22">
        <f>(0)</f>
      </c>
      <c r="G2788" s="22">
        <f>(C2788 * E2788 + C2788 * E2788 * F2788)</f>
      </c>
    </row>
    <row r="2789">
      <c r="A2789" s="5" t="s">
        <v>760</v>
      </c>
      <c r="B2789" s="14" t="s">
        <v>41</v>
      </c>
      <c r="C2789" s="22"/>
      <c r="D2789" s="22" t="s">
        <v>10</v>
      </c>
      <c r="E2789" s="22"/>
      <c r="F2789" s="22">
        <f>(0)</f>
      </c>
      <c r="G2789" s="22">
        <f>(C2789 * E2789 + C2789 * E2789 * F2789)</f>
      </c>
    </row>
    <row r="2790">
      <c r="A2790" s="3"/>
      <c r="B2790" s="11" t="s">
        <v>42</v>
      </c>
      <c r="C2790" s="20"/>
      <c r="D2790" s="20"/>
      <c r="E2790" s="20"/>
      <c r="F2790" s="20"/>
      <c r="G2790" s="20"/>
    </row>
    <row r="2791">
      <c r="A2791" s="5"/>
      <c r="B2791" s="14" t="s">
        <v>761</v>
      </c>
      <c r="C2791" s="22"/>
      <c r="D2791" s="22" t="s">
        <v>10</v>
      </c>
      <c r="E2791" s="22"/>
      <c r="F2791" s="22">
        <f>(0)</f>
      </c>
      <c r="G2791" s="22">
        <f>(C2791 * E2791 + C2791 * E2791 * F2791)</f>
      </c>
    </row>
    <row r="2792">
      <c r="A2792" s="5"/>
      <c r="B2792" s="14" t="s">
        <v>762</v>
      </c>
      <c r="C2792" s="22"/>
      <c r="D2792" s="22" t="s">
        <v>10</v>
      </c>
      <c r="E2792" s="22"/>
      <c r="F2792" s="22">
        <f>(0)</f>
      </c>
      <c r="G2792" s="22">
        <f>(C2792 * E2792 + C2792 * E2792 * F2792)</f>
      </c>
    </row>
    <row r="2793">
      <c r="A2793" s="5"/>
      <c r="B2793" s="14" t="s">
        <v>763</v>
      </c>
      <c r="C2793" s="22"/>
      <c r="D2793" s="22" t="s">
        <v>10</v>
      </c>
      <c r="E2793" s="22"/>
      <c r="F2793" s="22">
        <f>(0)</f>
      </c>
      <c r="G2793" s="22">
        <f>(C2793 * E2793 + C2793 * E2793 * F2793)</f>
      </c>
    </row>
    <row r="2794">
      <c r="A2794" s="5"/>
      <c r="B2794" s="14" t="s">
        <v>764</v>
      </c>
      <c r="C2794" s="22"/>
      <c r="D2794" s="22" t="s">
        <v>10</v>
      </c>
      <c r="E2794" s="22"/>
      <c r="F2794" s="22">
        <f>(0)</f>
      </c>
      <c r="G2794" s="22">
        <f>(C2794 * E2794 + C2794 * E2794 * F2794)</f>
      </c>
    </row>
    <row r="2795">
      <c r="A2795" s="3"/>
      <c r="B2795" s="11" t="s">
        <v>44</v>
      </c>
      <c r="C2795" s="20"/>
      <c r="D2795" s="20"/>
      <c r="E2795" s="20"/>
      <c r="F2795" s="20"/>
      <c r="G2795" s="20"/>
    </row>
    <row r="2796">
      <c r="A2796" s="4"/>
      <c r="B2796" s="12" t="s">
        <v>45</v>
      </c>
      <c r="C2796" s="21"/>
      <c r="D2796" s="21"/>
      <c r="E2796" s="21"/>
      <c r="F2796" s="21"/>
      <c r="G2796" s="21"/>
    </row>
    <row r="2797">
      <c r="A2797" s="5" t="s">
        <v>765</v>
      </c>
      <c r="B2797" s="13" t="s">
        <v>696</v>
      </c>
      <c r="C2797" s="22"/>
      <c r="D2797" s="22" t="s">
        <v>10</v>
      </c>
      <c r="E2797" s="22"/>
      <c r="F2797" s="22">
        <f>(0)</f>
      </c>
      <c r="G2797" s="22">
        <f>(C2797 * E2797 + C2797 * E2797 * F2797)</f>
      </c>
    </row>
    <row r="2798">
      <c r="A2798" s="5" t="s">
        <v>766</v>
      </c>
      <c r="B2798" s="13" t="s">
        <v>767</v>
      </c>
      <c r="C2798" s="22"/>
      <c r="D2798" s="22" t="s">
        <v>10</v>
      </c>
      <c r="E2798" s="22"/>
      <c r="F2798" s="22">
        <f>(0)</f>
      </c>
      <c r="G2798" s="22">
        <f>(C2798 * E2798 + C2798 * E2798 * F2798)</f>
      </c>
    </row>
    <row r="2799">
      <c r="A2799" s="5" t="s">
        <v>768</v>
      </c>
      <c r="B2799" s="13" t="s">
        <v>769</v>
      </c>
      <c r="C2799" s="22"/>
      <c r="D2799" s="22" t="s">
        <v>10</v>
      </c>
      <c r="E2799" s="22"/>
      <c r="F2799" s="22">
        <f>(0)</f>
      </c>
      <c r="G2799" s="22">
        <f>(C2799 * E2799 + C2799 * E2799 * F2799)</f>
      </c>
    </row>
    <row r="2800">
      <c r="A2800" s="5" t="s">
        <v>770</v>
      </c>
      <c r="B2800" s="13" t="s">
        <v>654</v>
      </c>
      <c r="C2800" s="22"/>
      <c r="D2800" s="22" t="s">
        <v>10</v>
      </c>
      <c r="E2800" s="22"/>
      <c r="F2800" s="22">
        <f>(0)</f>
      </c>
      <c r="G2800" s="22">
        <f>(C2800 * E2800 + C2800 * E2800 * F2800)</f>
      </c>
    </row>
    <row r="2801">
      <c r="A2801" s="6"/>
      <c r="B2801" s="15" t="s">
        <v>771</v>
      </c>
      <c r="C2801" s="23"/>
      <c r="D2801" s="23"/>
      <c r="E2801" s="23"/>
      <c r="F2801" s="23"/>
      <c r="G2801" s="23"/>
    </row>
    <row r="2802">
      <c r="A2802" s="5" t="s">
        <v>772</v>
      </c>
      <c r="B2802" s="16" t="s">
        <v>528</v>
      </c>
      <c r="C2802" s="22"/>
      <c r="D2802" s="22" t="s">
        <v>10</v>
      </c>
      <c r="E2802" s="22"/>
      <c r="F2802" s="22">
        <f>(0)</f>
      </c>
      <c r="G2802" s="22">
        <f>(C2802 * E2802 + C2802 * E2802 * F2802)</f>
      </c>
    </row>
    <row r="2803">
      <c r="A2803" s="5" t="s">
        <v>773</v>
      </c>
      <c r="B2803" s="16" t="s">
        <v>530</v>
      </c>
      <c r="C2803" s="22"/>
      <c r="D2803" s="22" t="s">
        <v>10</v>
      </c>
      <c r="E2803" s="22"/>
      <c r="F2803" s="22">
        <f>(0)</f>
      </c>
      <c r="G2803" s="22">
        <f>(C2803 * E2803 + C2803 * E2803 * F2803)</f>
      </c>
    </row>
    <row r="2804">
      <c r="A2804" s="5" t="s">
        <v>774</v>
      </c>
      <c r="B2804" s="16" t="s">
        <v>532</v>
      </c>
      <c r="C2804" s="22"/>
      <c r="D2804" s="22" t="s">
        <v>10</v>
      </c>
      <c r="E2804" s="22"/>
      <c r="F2804" s="22">
        <f>(0)</f>
      </c>
      <c r="G2804" s="22">
        <f>(C2804 * E2804 + C2804 * E2804 * F2804)</f>
      </c>
    </row>
    <row r="2805">
      <c r="A2805" s="5" t="s">
        <v>775</v>
      </c>
      <c r="B2805" s="16" t="s">
        <v>536</v>
      </c>
      <c r="C2805" s="22"/>
      <c r="D2805" s="22" t="s">
        <v>10</v>
      </c>
      <c r="E2805" s="22"/>
      <c r="F2805" s="22">
        <f>(0)</f>
      </c>
      <c r="G2805" s="22">
        <f>(C2805 * E2805 + C2805 * E2805 * F2805)</f>
      </c>
    </row>
    <row r="2806">
      <c r="A2806" s="5" t="s">
        <v>776</v>
      </c>
      <c r="B2806" s="16" t="s">
        <v>777</v>
      </c>
      <c r="C2806" s="22"/>
      <c r="D2806" s="22" t="s">
        <v>10</v>
      </c>
      <c r="E2806" s="22"/>
      <c r="F2806" s="22">
        <f>(0)</f>
      </c>
      <c r="G2806" s="22">
        <f>(C2806 * E2806 + C2806 * E2806 * F2806)</f>
      </c>
    </row>
    <row r="2807">
      <c r="A2807" s="6"/>
      <c r="B2807" s="15" t="s">
        <v>778</v>
      </c>
      <c r="C2807" s="23"/>
      <c r="D2807" s="23"/>
      <c r="E2807" s="23"/>
      <c r="F2807" s="23"/>
      <c r="G2807" s="23"/>
    </row>
    <row r="2808">
      <c r="A2808" s="5" t="s">
        <v>779</v>
      </c>
      <c r="B2808" s="16" t="s">
        <v>780</v>
      </c>
      <c r="C2808" s="22"/>
      <c r="D2808" s="22" t="s">
        <v>10</v>
      </c>
      <c r="E2808" s="22"/>
      <c r="F2808" s="22">
        <f>(0)</f>
      </c>
      <c r="G2808" s="22">
        <f>(C2808 * E2808 + C2808 * E2808 * F2808)</f>
      </c>
    </row>
    <row r="2809">
      <c r="A2809" s="5" t="s">
        <v>781</v>
      </c>
      <c r="B2809" s="16" t="s">
        <v>782</v>
      </c>
      <c r="C2809" s="22"/>
      <c r="D2809" s="22" t="s">
        <v>10</v>
      </c>
      <c r="E2809" s="22"/>
      <c r="F2809" s="22">
        <f>(0)</f>
      </c>
      <c r="G2809" s="22">
        <f>(C2809 * E2809 + C2809 * E2809 * F2809)</f>
      </c>
    </row>
    <row r="2810">
      <c r="A2810" s="5" t="s">
        <v>783</v>
      </c>
      <c r="B2810" s="16" t="s">
        <v>784</v>
      </c>
      <c r="C2810" s="22"/>
      <c r="D2810" s="22" t="s">
        <v>10</v>
      </c>
      <c r="E2810" s="22"/>
      <c r="F2810" s="22">
        <f>(0)</f>
      </c>
      <c r="G2810" s="22">
        <f>(C2810 * E2810 + C2810 * E2810 * F2810)</f>
      </c>
    </row>
    <row r="2811">
      <c r="A2811" s="5" t="s">
        <v>785</v>
      </c>
      <c r="B2811" s="16" t="s">
        <v>786</v>
      </c>
      <c r="C2811" s="22"/>
      <c r="D2811" s="22" t="s">
        <v>10</v>
      </c>
      <c r="E2811" s="22"/>
      <c r="F2811" s="22">
        <f>(0)</f>
      </c>
      <c r="G2811" s="22">
        <f>(C2811 * E2811 + C2811 * E2811 * F2811)</f>
      </c>
    </row>
    <row r="2812">
      <c r="A2812" s="5" t="s">
        <v>787</v>
      </c>
      <c r="B2812" s="16" t="s">
        <v>788</v>
      </c>
      <c r="C2812" s="22"/>
      <c r="D2812" s="22" t="s">
        <v>10</v>
      </c>
      <c r="E2812" s="22"/>
      <c r="F2812" s="22">
        <f>(0)</f>
      </c>
      <c r="G2812" s="22">
        <f>(C2812 * E2812 + C2812 * E2812 * F2812)</f>
      </c>
    </row>
    <row r="2813">
      <c r="A2813" s="5" t="s">
        <v>789</v>
      </c>
      <c r="B2813" s="16" t="s">
        <v>769</v>
      </c>
      <c r="C2813" s="22"/>
      <c r="D2813" s="22" t="s">
        <v>10</v>
      </c>
      <c r="E2813" s="22"/>
      <c r="F2813" s="22">
        <f>(0)</f>
      </c>
      <c r="G2813" s="22">
        <f>(C2813 * E2813 + C2813 * E2813 * F2813)</f>
      </c>
    </row>
    <row r="2814">
      <c r="A2814" s="6"/>
      <c r="B2814" s="15" t="s">
        <v>790</v>
      </c>
      <c r="C2814" s="23"/>
      <c r="D2814" s="23"/>
      <c r="E2814" s="23"/>
      <c r="F2814" s="23"/>
      <c r="G2814" s="23"/>
    </row>
    <row r="2815">
      <c r="A2815" s="5" t="s">
        <v>791</v>
      </c>
      <c r="B2815" s="16" t="s">
        <v>652</v>
      </c>
      <c r="C2815" s="22"/>
      <c r="D2815" s="22" t="s">
        <v>10</v>
      </c>
      <c r="E2815" s="22"/>
      <c r="F2815" s="22">
        <f>(0)</f>
      </c>
      <c r="G2815" s="22">
        <f>(C2815 * E2815 + C2815 * E2815 * F2815)</f>
      </c>
    </row>
    <row r="2816">
      <c r="A2816" s="5" t="s">
        <v>792</v>
      </c>
      <c r="B2816" s="16" t="s">
        <v>700</v>
      </c>
      <c r="C2816" s="22"/>
      <c r="D2816" s="22" t="s">
        <v>10</v>
      </c>
      <c r="E2816" s="22"/>
      <c r="F2816" s="22">
        <f>(0)</f>
      </c>
      <c r="G2816" s="22">
        <f>(C2816 * E2816 + C2816 * E2816 * F2816)</f>
      </c>
    </row>
    <row r="2817">
      <c r="A2817" s="5" t="s">
        <v>793</v>
      </c>
      <c r="B2817" s="16" t="s">
        <v>650</v>
      </c>
      <c r="C2817" s="22"/>
      <c r="D2817" s="22" t="s">
        <v>10</v>
      </c>
      <c r="E2817" s="22"/>
      <c r="F2817" s="22">
        <f>(0)</f>
      </c>
      <c r="G2817" s="22">
        <f>(C2817 * E2817 + C2817 * E2817 * F2817)</f>
      </c>
    </row>
    <row r="2818">
      <c r="A2818" s="3"/>
      <c r="B2818" s="11" t="s">
        <v>68</v>
      </c>
      <c r="C2818" s="20"/>
      <c r="D2818" s="20"/>
      <c r="E2818" s="20"/>
      <c r="F2818" s="20"/>
      <c r="G2818" s="20"/>
    </row>
    <row r="2819">
      <c r="A2819" s="5" t="s">
        <v>794</v>
      </c>
      <c r="B2819" s="14" t="s">
        <v>70</v>
      </c>
      <c r="C2819" s="22">
        <f>(1)*(1)*(1)*(1)*(1 + (0))</f>
      </c>
      <c r="D2819" s="22" t="s">
        <v>71</v>
      </c>
      <c r="E2819" s="22"/>
      <c r="F2819" s="22">
        <f>(0)</f>
      </c>
      <c r="G2819" s="22">
        <f>(C2819 * E2819 + C2819 * E2819 * F2819)</f>
      </c>
    </row>
    <row r="2820">
      <c r="A2820" s="5" t="s">
        <v>795</v>
      </c>
      <c r="B2820" s="14" t="s">
        <v>796</v>
      </c>
      <c r="C2820" s="22">
        <f>(1)*(1)*(1)*(1)*(1 + (0))</f>
      </c>
      <c r="D2820" s="22" t="s">
        <v>71</v>
      </c>
      <c r="E2820" s="22"/>
      <c r="F2820" s="22">
        <f>(0)</f>
      </c>
      <c r="G2820" s="22">
        <f>(C2820 * E2820 + C2820 * E2820 * F2820)</f>
      </c>
    </row>
    <row r="2821">
      <c r="A2821" s="5" t="s">
        <v>797</v>
      </c>
      <c r="B2821" s="14" t="s">
        <v>798</v>
      </c>
      <c r="C2821" s="22">
        <f>(1)*(1)*(1)*(1)*(1 + (0))</f>
      </c>
      <c r="D2821" s="22" t="s">
        <v>71</v>
      </c>
      <c r="E2821" s="22"/>
      <c r="F2821" s="22">
        <f>(0)</f>
      </c>
      <c r="G2821" s="22">
        <f>(C2821 * E2821 + C2821 * E2821 * F2821)</f>
      </c>
    </row>
    <row r="2822">
      <c r="A2822" s="5" t="s">
        <v>799</v>
      </c>
      <c r="B2822" s="14" t="s">
        <v>800</v>
      </c>
      <c r="C2822" s="22">
        <f>(1)*(1)*(1)*(1)*(1 + (0))</f>
      </c>
      <c r="D2822" s="22" t="s">
        <v>71</v>
      </c>
      <c r="E2822" s="22"/>
      <c r="F2822" s="22">
        <f>(0)</f>
      </c>
      <c r="G2822" s="22">
        <f>(C2822 * E2822 + C2822 * E2822 * F2822)</f>
      </c>
    </row>
    <row r="2823">
      <c r="A2823" s="5" t="s">
        <v>801</v>
      </c>
      <c r="B2823" s="14" t="s">
        <v>73</v>
      </c>
      <c r="C2823" s="22">
        <f>(1)*(1)*(1)*(1)*(1 + (0))</f>
      </c>
      <c r="D2823" s="22" t="s">
        <v>71</v>
      </c>
      <c r="E2823" s="22"/>
      <c r="F2823" s="22">
        <f>(0)</f>
      </c>
      <c r="G2823" s="22">
        <f>(C2823 * E2823 + C2823 * E2823 * F2823)</f>
      </c>
    </row>
    <row r="2824">
      <c r="A2824" s="5" t="s">
        <v>802</v>
      </c>
      <c r="B2824" s="14" t="s">
        <v>803</v>
      </c>
      <c r="C2824" s="22">
        <f>(1)*(1)*(1)*(1)*(1 + (0))</f>
      </c>
      <c r="D2824" s="22" t="s">
        <v>71</v>
      </c>
      <c r="E2824" s="22"/>
      <c r="F2824" s="22">
        <f>(0)</f>
      </c>
      <c r="G2824" s="22">
        <f>(C2824 * E2824 + C2824 * E2824 * F2824)</f>
      </c>
    </row>
    <row r="2825">
      <c r="A2825" s="5" t="s">
        <v>804</v>
      </c>
      <c r="B2825" s="14" t="s">
        <v>805</v>
      </c>
      <c r="C2825" s="22">
        <f>(1)*(1)*(1)*(1)*(1 + (0))</f>
      </c>
      <c r="D2825" s="22" t="s">
        <v>71</v>
      </c>
      <c r="E2825" s="22"/>
      <c r="F2825" s="22">
        <f>(0)</f>
      </c>
      <c r="G2825" s="22">
        <f>(C2825 * E2825 + C2825 * E2825 * F2825)</f>
      </c>
    </row>
    <row r="2826">
      <c r="A2826" s="5" t="s">
        <v>806</v>
      </c>
      <c r="B2826" s="14" t="s">
        <v>230</v>
      </c>
      <c r="C2826" s="22">
        <f>(1)*(1)*(1)*(1)*(1 + (0))</f>
      </c>
      <c r="D2826" s="22" t="s">
        <v>71</v>
      </c>
      <c r="E2826" s="22"/>
      <c r="F2826" s="22">
        <f>(0)</f>
      </c>
      <c r="G2826" s="22">
        <f>(C2826 * E2826 + C2826 * E2826 * F2826)</f>
      </c>
    </row>
    <row r="2827">
      <c r="A2827" s="5" t="s">
        <v>807</v>
      </c>
      <c r="B2827" s="14" t="s">
        <v>808</v>
      </c>
      <c r="C2827" s="22">
        <f>(1)*(1)*(1)*(1)*(1 + (0))</f>
      </c>
      <c r="D2827" s="22" t="s">
        <v>71</v>
      </c>
      <c r="E2827" s="22"/>
      <c r="F2827" s="22">
        <f>(0)</f>
      </c>
      <c r="G2827" s="22">
        <f>(C2827 * E2827 + C2827 * E2827 * F2827)</f>
      </c>
    </row>
    <row r="2828">
      <c r="A2828" s="5" t="s">
        <v>809</v>
      </c>
      <c r="B2828" s="14" t="s">
        <v>810</v>
      </c>
      <c r="C2828" s="22">
        <f>(1)*(1)*(1)*(1)*(1 + (0))</f>
      </c>
      <c r="D2828" s="22" t="s">
        <v>71</v>
      </c>
      <c r="E2828" s="22"/>
      <c r="F2828" s="22">
        <f>(0)</f>
      </c>
      <c r="G2828" s="22">
        <f>(C2828 * E2828 + C2828 * E2828 * F2828)</f>
      </c>
    </row>
    <row r="2829">
      <c r="A2829" s="5" t="s">
        <v>811</v>
      </c>
      <c r="B2829" s="14" t="s">
        <v>812</v>
      </c>
      <c r="C2829" s="22">
        <f>(1)*(1)*(1)*(1)*(1 + (0))</f>
      </c>
      <c r="D2829" s="22" t="s">
        <v>71</v>
      </c>
      <c r="E2829" s="22"/>
      <c r="F2829" s="22">
        <f>(0)</f>
      </c>
      <c r="G2829" s="22">
        <f>(C2829 * E2829 + C2829 * E2829 * F2829)</f>
      </c>
    </row>
    <row r="2830">
      <c r="A2830" s="5" t="s">
        <v>813</v>
      </c>
      <c r="B2830" s="14" t="s">
        <v>814</v>
      </c>
      <c r="C2830" s="22">
        <f>(1)*(1)*(1)*(1)*(1 + (0))</f>
      </c>
      <c r="D2830" s="22" t="s">
        <v>71</v>
      </c>
      <c r="E2830" s="22"/>
      <c r="F2830" s="22">
        <f>(0)</f>
      </c>
      <c r="G2830" s="22">
        <f>(C2830 * E2830 + C2830 * E2830 * F2830)</f>
      </c>
    </row>
    <row r="2831">
      <c r="A2831" s="5" t="s">
        <v>815</v>
      </c>
      <c r="B2831" s="14" t="s">
        <v>816</v>
      </c>
      <c r="C2831" s="22">
        <f>(1)*(1)*(1)*(1)*(1 + (0))</f>
      </c>
      <c r="D2831" s="22" t="s">
        <v>71</v>
      </c>
      <c r="E2831" s="22"/>
      <c r="F2831" s="22">
        <f>(0)</f>
      </c>
      <c r="G2831" s="22">
        <f>(C2831 * E2831 + C2831 * E2831 * F2831)</f>
      </c>
    </row>
    <row r="2832">
      <c r="A2832" s="5" t="s">
        <v>817</v>
      </c>
      <c r="B2832" s="14" t="s">
        <v>667</v>
      </c>
      <c r="C2832" s="22">
        <f>(1)*(1)*(1)*(1)*(1 + (0))</f>
      </c>
      <c r="D2832" s="22" t="s">
        <v>71</v>
      </c>
      <c r="E2832" s="22"/>
      <c r="F2832" s="22">
        <f>(0)</f>
      </c>
      <c r="G2832" s="22">
        <f>(C2832 * E2832 + C2832 * E2832 * F2832)</f>
      </c>
    </row>
    <row r="2833">
      <c r="A2833" s="3"/>
      <c r="B2833" s="11" t="s">
        <v>819</v>
      </c>
      <c r="C2833" s="20"/>
      <c r="D2833" s="20"/>
      <c r="E2833" s="20"/>
      <c r="F2833" s="20"/>
      <c r="G2833" s="20"/>
    </row>
    <row r="2834">
      <c r="A2834" s="4"/>
      <c r="B2834" s="12" t="s">
        <v>820</v>
      </c>
      <c r="C2834" s="21"/>
      <c r="D2834" s="21"/>
      <c r="E2834" s="21"/>
      <c r="F2834" s="21"/>
      <c r="G2834" s="21"/>
    </row>
    <row r="2835">
      <c r="A2835" s="5"/>
      <c r="B2835" s="13" t="s">
        <v>1717</v>
      </c>
      <c r="C2835" s="22">
        <f>(14)*(1)*(1)*(1)*(1 + (0))</f>
      </c>
      <c r="D2835" s="22" t="s">
        <v>24</v>
      </c>
      <c r="E2835" s="22"/>
      <c r="F2835" s="22">
        <f>(0)</f>
      </c>
      <c r="G2835" s="22">
        <f>(C2835 * E2835 + C2835 * E2835 * F2835)</f>
      </c>
    </row>
    <row r="2836">
      <c r="A2836" s="5"/>
      <c r="B2836" s="13" t="s">
        <v>1718</v>
      </c>
      <c r="C2836" s="22">
        <f>(83)*(1)*(1)*(1)*(1 + (0))</f>
      </c>
      <c r="D2836" s="22" t="s">
        <v>24</v>
      </c>
      <c r="E2836" s="22"/>
      <c r="F2836" s="22">
        <f>(0)</f>
      </c>
      <c r="G2836" s="22">
        <f>(C2836 * E2836 + C2836 * E2836 * F2836)</f>
      </c>
    </row>
    <row r="2837">
      <c r="A2837" s="4"/>
      <c r="B2837" s="12" t="s">
        <v>1719</v>
      </c>
      <c r="C2837" s="21"/>
      <c r="D2837" s="21"/>
      <c r="E2837" s="21"/>
      <c r="F2837" s="21"/>
      <c r="G2837" s="21"/>
    </row>
    <row r="2838">
      <c r="A2838" s="5"/>
      <c r="B2838" s="13" t="s">
        <v>1717</v>
      </c>
      <c r="C2838" s="22">
        <f>(262)*(1)*(1)*(1)*(1 + (0))</f>
      </c>
      <c r="D2838" s="22" t="s">
        <v>24</v>
      </c>
      <c r="E2838" s="22"/>
      <c r="F2838" s="22">
        <f>(0)</f>
      </c>
      <c r="G2838" s="22">
        <f>(C2838 * E2838 + C2838 * E2838 * F2838)</f>
      </c>
    </row>
    <row r="2839">
      <c r="A2839" s="5"/>
      <c r="B2839" s="13" t="s">
        <v>1718</v>
      </c>
      <c r="C2839" s="22">
        <f>(269)*(1)*(1)*(1)*(1 + (0))</f>
      </c>
      <c r="D2839" s="22" t="s">
        <v>24</v>
      </c>
      <c r="E2839" s="22"/>
      <c r="F2839" s="22">
        <f>(0)</f>
      </c>
      <c r="G2839" s="22">
        <f>(C2839 * E2839 + C2839 * E2839 * F2839)</f>
      </c>
    </row>
    <row r="2840">
      <c r="A2840" s="4"/>
      <c r="B2840" s="12" t="s">
        <v>1720</v>
      </c>
      <c r="C2840" s="21"/>
      <c r="D2840" s="21"/>
      <c r="E2840" s="21"/>
      <c r="F2840" s="21"/>
      <c r="G2840" s="21"/>
    </row>
    <row r="2841">
      <c r="A2841" s="5"/>
      <c r="B2841" s="13" t="s">
        <v>1717</v>
      </c>
      <c r="C2841" s="22">
        <f>(6)*(1)*(1)*(1)*(1 + (0))</f>
      </c>
      <c r="D2841" s="22" t="s">
        <v>24</v>
      </c>
      <c r="E2841" s="22"/>
      <c r="F2841" s="22">
        <f>(0)</f>
      </c>
      <c r="G2841" s="22">
        <f>(C2841 * E2841 + C2841 * E2841 * F2841)</f>
      </c>
    </row>
    <row r="2842">
      <c r="A2842" s="5"/>
      <c r="B2842" s="13" t="s">
        <v>1718</v>
      </c>
      <c r="C2842" s="22">
        <f>(6)*(1)*(1)*(1)*(1 + (0))</f>
      </c>
      <c r="D2842" s="22" t="s">
        <v>24</v>
      </c>
      <c r="E2842" s="22"/>
      <c r="F2842" s="22">
        <f>(0)</f>
      </c>
      <c r="G2842" s="22">
        <f>(C2842 * E2842 + C2842 * E2842 * F2842)</f>
      </c>
    </row>
    <row r="2843">
      <c r="A2843" s="4"/>
      <c r="B2843" s="12" t="s">
        <v>823</v>
      </c>
      <c r="C2843" s="21"/>
      <c r="D2843" s="21"/>
      <c r="E2843" s="21"/>
      <c r="F2843" s="21"/>
      <c r="G2843" s="21"/>
    </row>
    <row r="2844">
      <c r="A2844" s="5"/>
      <c r="B2844" s="13" t="s">
        <v>1717</v>
      </c>
      <c r="C2844" s="22">
        <f>(76)*(1)*(1)*(1)*(1 + (0))</f>
      </c>
      <c r="D2844" s="22" t="s">
        <v>24</v>
      </c>
      <c r="E2844" s="22"/>
      <c r="F2844" s="22">
        <f>(0)</f>
      </c>
      <c r="G2844" s="22">
        <f>(C2844 * E2844 + C2844 * E2844 * F2844)</f>
      </c>
    </row>
    <row r="2845">
      <c r="A2845" s="5"/>
      <c r="B2845" s="13" t="s">
        <v>1718</v>
      </c>
      <c r="C2845" s="22">
        <f>(30)*(1)*(1)*(1)*(1 + (0))</f>
      </c>
      <c r="D2845" s="22" t="s">
        <v>24</v>
      </c>
      <c r="E2845" s="22"/>
      <c r="F2845" s="22">
        <f>(0)</f>
      </c>
      <c r="G2845" s="22">
        <f>(C2845 * E2845 + C2845 * E2845 * F2845)</f>
      </c>
    </row>
    <row r="2846">
      <c r="A2846" s="4"/>
      <c r="B2846" s="12" t="s">
        <v>824</v>
      </c>
      <c r="C2846" s="21"/>
      <c r="D2846" s="21"/>
      <c r="E2846" s="21"/>
      <c r="F2846" s="21"/>
      <c r="G2846" s="21"/>
    </row>
    <row r="2847">
      <c r="A2847" s="5"/>
      <c r="B2847" s="13" t="s">
        <v>1718</v>
      </c>
      <c r="C2847" s="22">
        <f>(51)*(1)*(1)*(1)*(1 + (0))</f>
      </c>
      <c r="D2847" s="22" t="s">
        <v>24</v>
      </c>
      <c r="E2847" s="22"/>
      <c r="F2847" s="22">
        <f>(0)</f>
      </c>
      <c r="G2847" s="22">
        <f>(C2847 * E2847 + C2847 * E2847 * F2847)</f>
      </c>
    </row>
    <row r="2848">
      <c r="A2848" s="4"/>
      <c r="B2848" s="12" t="s">
        <v>1721</v>
      </c>
      <c r="C2848" s="21"/>
      <c r="D2848" s="21"/>
      <c r="E2848" s="21"/>
      <c r="F2848" s="21"/>
      <c r="G2848" s="21"/>
    </row>
    <row r="2849">
      <c r="A2849" s="5"/>
      <c r="B2849" s="13" t="s">
        <v>1717</v>
      </c>
      <c r="C2849" s="22">
        <f>(2)*(1)*(1)*(1)*(1 + (0))</f>
      </c>
      <c r="D2849" s="22" t="s">
        <v>24</v>
      </c>
      <c r="E2849" s="22"/>
      <c r="F2849" s="22">
        <f>(0)</f>
      </c>
      <c r="G2849" s="22">
        <f>(C2849 * E2849 + C2849 * E2849 * F2849)</f>
      </c>
    </row>
    <row r="2850">
      <c r="A2850" s="5"/>
      <c r="B2850" s="13" t="s">
        <v>1718</v>
      </c>
      <c r="C2850" s="22">
        <f>(2)*(1)*(1)*(1)*(1 + (0))</f>
      </c>
      <c r="D2850" s="22" t="s">
        <v>24</v>
      </c>
      <c r="E2850" s="22"/>
      <c r="F2850" s="22">
        <f>(0)</f>
      </c>
      <c r="G2850" s="22">
        <f>(C2850 * E2850 + C2850 * E2850 * F2850)</f>
      </c>
    </row>
    <row r="2851">
      <c r="A2851" s="4"/>
      <c r="B2851" s="12" t="s">
        <v>826</v>
      </c>
      <c r="C2851" s="21"/>
      <c r="D2851" s="21"/>
      <c r="E2851" s="21"/>
      <c r="F2851" s="21"/>
      <c r="G2851" s="21"/>
    </row>
    <row r="2852">
      <c r="A2852" s="5"/>
      <c r="B2852" s="13" t="s">
        <v>1717</v>
      </c>
      <c r="C2852" s="22">
        <f>(108)*(1)*(1)*(1)*(1 + (0))</f>
      </c>
      <c r="D2852" s="22" t="s">
        <v>24</v>
      </c>
      <c r="E2852" s="22"/>
      <c r="F2852" s="22">
        <f>(0)</f>
      </c>
      <c r="G2852" s="22">
        <f>(C2852 * E2852 + C2852 * E2852 * F2852)</f>
      </c>
    </row>
    <row r="2853">
      <c r="A2853" s="5"/>
      <c r="B2853" s="13" t="s">
        <v>1718</v>
      </c>
      <c r="C2853" s="22">
        <f>(177)*(1)*(1)*(1)*(1 + (0))</f>
      </c>
      <c r="D2853" s="22" t="s">
        <v>24</v>
      </c>
      <c r="E2853" s="22"/>
      <c r="F2853" s="22">
        <f>(0)</f>
      </c>
      <c r="G2853" s="22">
        <f>(C2853 * E2853 + C2853 * E2853 * F2853)</f>
      </c>
    </row>
    <row r="2854">
      <c r="A2854" s="2"/>
      <c r="B2854" s="10" t="s">
        <v>828</v>
      </c>
      <c r="C2854" s="19"/>
      <c r="D2854" s="19"/>
      <c r="E2854" s="19"/>
      <c r="F2854" s="19"/>
      <c r="G2854" s="19"/>
    </row>
    <row r="2855">
      <c r="A2855" s="3"/>
      <c r="B2855" s="11" t="s">
        <v>37</v>
      </c>
      <c r="C2855" s="20"/>
      <c r="D2855" s="20"/>
      <c r="E2855" s="20"/>
      <c r="F2855" s="20"/>
      <c r="G2855" s="20"/>
    </row>
    <row r="2856">
      <c r="A2856" s="5" t="s">
        <v>829</v>
      </c>
      <c r="B2856" s="14" t="s">
        <v>39</v>
      </c>
      <c r="C2856" s="22"/>
      <c r="D2856" s="22" t="s">
        <v>10</v>
      </c>
      <c r="E2856" s="22"/>
      <c r="F2856" s="22">
        <f>(0)</f>
      </c>
      <c r="G2856" s="22">
        <f>(C2856 * E2856 + C2856 * E2856 * F2856)</f>
      </c>
    </row>
    <row r="2857">
      <c r="A2857" s="5" t="s">
        <v>830</v>
      </c>
      <c r="B2857" s="14" t="s">
        <v>41</v>
      </c>
      <c r="C2857" s="22"/>
      <c r="D2857" s="22" t="s">
        <v>10</v>
      </c>
      <c r="E2857" s="22"/>
      <c r="F2857" s="22">
        <f>(0)</f>
      </c>
      <c r="G2857" s="22">
        <f>(C2857 * E2857 + C2857 * E2857 * F2857)</f>
      </c>
    </row>
    <row r="2858">
      <c r="A2858" s="3"/>
      <c r="B2858" s="11" t="s">
        <v>42</v>
      </c>
      <c r="C2858" s="20"/>
      <c r="D2858" s="20"/>
      <c r="E2858" s="20"/>
      <c r="F2858" s="20"/>
      <c r="G2858" s="20"/>
    </row>
    <row r="2859">
      <c r="A2859" s="5"/>
      <c r="B2859" s="14" t="s">
        <v>1722</v>
      </c>
      <c r="C2859" s="22"/>
      <c r="D2859" s="22" t="s">
        <v>10</v>
      </c>
      <c r="E2859" s="22"/>
      <c r="F2859" s="22">
        <f>(0)</f>
      </c>
      <c r="G2859" s="22">
        <f>(C2859 * E2859 + C2859 * E2859 * F2859)</f>
      </c>
    </row>
    <row r="2860">
      <c r="A2860" s="5"/>
      <c r="B2860" s="14" t="s">
        <v>1723</v>
      </c>
      <c r="C2860" s="22"/>
      <c r="D2860" s="22" t="s">
        <v>10</v>
      </c>
      <c r="E2860" s="22"/>
      <c r="F2860" s="22">
        <f>(0)</f>
      </c>
      <c r="G2860" s="22">
        <f>(C2860 * E2860 + C2860 * E2860 * F2860)</f>
      </c>
    </row>
    <row r="2861">
      <c r="A2861" s="3"/>
      <c r="B2861" s="11" t="s">
        <v>44</v>
      </c>
      <c r="C2861" s="20"/>
      <c r="D2861" s="20"/>
      <c r="E2861" s="20"/>
      <c r="F2861" s="20"/>
      <c r="G2861" s="20"/>
    </row>
    <row r="2862">
      <c r="A2862" s="4"/>
      <c r="B2862" s="12" t="s">
        <v>45</v>
      </c>
      <c r="C2862" s="21"/>
      <c r="D2862" s="21"/>
      <c r="E2862" s="21"/>
      <c r="F2862" s="21"/>
      <c r="G2862" s="21"/>
    </row>
    <row r="2863">
      <c r="A2863" s="5" t="s">
        <v>831</v>
      </c>
      <c r="B2863" s="13" t="s">
        <v>832</v>
      </c>
      <c r="C2863" s="22"/>
      <c r="D2863" s="22" t="s">
        <v>10</v>
      </c>
      <c r="E2863" s="22"/>
      <c r="F2863" s="22">
        <f>(0)</f>
      </c>
      <c r="G2863" s="22">
        <f>(C2863 * E2863 + C2863 * E2863 * F2863)</f>
      </c>
    </row>
    <row r="2864">
      <c r="A2864" s="5" t="s">
        <v>833</v>
      </c>
      <c r="B2864" s="13" t="s">
        <v>530</v>
      </c>
      <c r="C2864" s="22"/>
      <c r="D2864" s="22" t="s">
        <v>10</v>
      </c>
      <c r="E2864" s="22"/>
      <c r="F2864" s="22">
        <f>(0)</f>
      </c>
      <c r="G2864" s="22">
        <f>(C2864 * E2864 + C2864 * E2864 * F2864)</f>
      </c>
    </row>
    <row r="2865">
      <c r="A2865" s="5" t="s">
        <v>834</v>
      </c>
      <c r="B2865" s="13" t="s">
        <v>835</v>
      </c>
      <c r="C2865" s="22"/>
      <c r="D2865" s="22" t="s">
        <v>10</v>
      </c>
      <c r="E2865" s="22"/>
      <c r="F2865" s="22">
        <f>(0)</f>
      </c>
      <c r="G2865" s="22">
        <f>(C2865 * E2865 + C2865 * E2865 * F2865)</f>
      </c>
    </row>
    <row r="2866">
      <c r="A2866" s="5" t="s">
        <v>836</v>
      </c>
      <c r="B2866" s="13" t="s">
        <v>837</v>
      </c>
      <c r="C2866" s="22"/>
      <c r="D2866" s="22" t="s">
        <v>10</v>
      </c>
      <c r="E2866" s="22"/>
      <c r="F2866" s="22">
        <f>(0)</f>
      </c>
      <c r="G2866" s="22">
        <f>(C2866 * E2866 + C2866 * E2866 * F2866)</f>
      </c>
    </row>
    <row r="2867">
      <c r="A2867" s="5" t="s">
        <v>838</v>
      </c>
      <c r="B2867" s="13" t="s">
        <v>839</v>
      </c>
      <c r="C2867" s="22"/>
      <c r="D2867" s="22" t="s">
        <v>10</v>
      </c>
      <c r="E2867" s="22"/>
      <c r="F2867" s="22">
        <f>(0)</f>
      </c>
      <c r="G2867" s="22">
        <f>(C2867 * E2867 + C2867 * E2867 * F2867)</f>
      </c>
    </row>
    <row r="2868">
      <c r="A2868" s="5" t="s">
        <v>840</v>
      </c>
      <c r="B2868" s="13" t="s">
        <v>841</v>
      </c>
      <c r="C2868" s="22"/>
      <c r="D2868" s="22" t="s">
        <v>10</v>
      </c>
      <c r="E2868" s="22"/>
      <c r="F2868" s="22">
        <f>(0)</f>
      </c>
      <c r="G2868" s="22">
        <f>(C2868 * E2868 + C2868 * E2868 * F2868)</f>
      </c>
    </row>
    <row r="2869">
      <c r="A2869" s="5" t="s">
        <v>842</v>
      </c>
      <c r="B2869" s="13" t="s">
        <v>843</v>
      </c>
      <c r="C2869" s="22"/>
      <c r="D2869" s="22" t="s">
        <v>10</v>
      </c>
      <c r="E2869" s="22"/>
      <c r="F2869" s="22">
        <f>(0)</f>
      </c>
      <c r="G2869" s="22">
        <f>(C2869 * E2869 + C2869 * E2869 * F2869)</f>
      </c>
    </row>
    <row r="2870">
      <c r="A2870" s="5" t="s">
        <v>844</v>
      </c>
      <c r="B2870" s="13" t="s">
        <v>845</v>
      </c>
      <c r="C2870" s="22"/>
      <c r="D2870" s="22" t="s">
        <v>10</v>
      </c>
      <c r="E2870" s="22"/>
      <c r="F2870" s="22">
        <f>(0)</f>
      </c>
      <c r="G2870" s="22">
        <f>(C2870 * E2870 + C2870 * E2870 * F2870)</f>
      </c>
    </row>
    <row r="2871">
      <c r="A2871" s="5" t="s">
        <v>846</v>
      </c>
      <c r="B2871" s="13" t="s">
        <v>847</v>
      </c>
      <c r="C2871" s="22"/>
      <c r="D2871" s="22" t="s">
        <v>10</v>
      </c>
      <c r="E2871" s="22"/>
      <c r="F2871" s="22">
        <f>(0)</f>
      </c>
      <c r="G2871" s="22">
        <f>(C2871 * E2871 + C2871 * E2871 * F2871)</f>
      </c>
    </row>
    <row r="2872">
      <c r="A2872" s="5" t="s">
        <v>848</v>
      </c>
      <c r="B2872" s="13" t="s">
        <v>849</v>
      </c>
      <c r="C2872" s="22"/>
      <c r="D2872" s="22" t="s">
        <v>10</v>
      </c>
      <c r="E2872" s="22"/>
      <c r="F2872" s="22">
        <f>(0)</f>
      </c>
      <c r="G2872" s="22">
        <f>(C2872 * E2872 + C2872 * E2872 * F2872)</f>
      </c>
    </row>
    <row r="2873">
      <c r="A2873" s="5" t="s">
        <v>850</v>
      </c>
      <c r="B2873" s="13" t="s">
        <v>851</v>
      </c>
      <c r="C2873" s="22"/>
      <c r="D2873" s="22" t="s">
        <v>10</v>
      </c>
      <c r="E2873" s="22"/>
      <c r="F2873" s="22">
        <f>(0)</f>
      </c>
      <c r="G2873" s="22">
        <f>(C2873 * E2873 + C2873 * E2873 * F2873)</f>
      </c>
    </row>
    <row r="2874">
      <c r="A2874" s="5" t="s">
        <v>852</v>
      </c>
      <c r="B2874" s="13" t="s">
        <v>853</v>
      </c>
      <c r="C2874" s="22"/>
      <c r="D2874" s="22" t="s">
        <v>10</v>
      </c>
      <c r="E2874" s="22"/>
      <c r="F2874" s="22">
        <f>(0)</f>
      </c>
      <c r="G2874" s="22">
        <f>(C2874 * E2874 + C2874 * E2874 * F2874)</f>
      </c>
    </row>
    <row r="2875">
      <c r="A2875" s="5" t="s">
        <v>854</v>
      </c>
      <c r="B2875" s="13" t="s">
        <v>123</v>
      </c>
      <c r="C2875" s="22"/>
      <c r="D2875" s="22" t="s">
        <v>10</v>
      </c>
      <c r="E2875" s="22"/>
      <c r="F2875" s="22">
        <f>(0)</f>
      </c>
      <c r="G2875" s="22">
        <f>(C2875 * E2875 + C2875 * E2875 * F2875)</f>
      </c>
    </row>
    <row r="2876">
      <c r="A2876" s="3"/>
      <c r="B2876" s="11" t="s">
        <v>68</v>
      </c>
      <c r="C2876" s="20"/>
      <c r="D2876" s="20"/>
      <c r="E2876" s="20"/>
      <c r="F2876" s="20"/>
      <c r="G2876" s="20"/>
    </row>
    <row r="2877">
      <c r="A2877" s="5" t="s">
        <v>857</v>
      </c>
      <c r="B2877" s="14" t="s">
        <v>858</v>
      </c>
      <c r="C2877" s="22">
        <f>(1)*(1)*(1)*(1)*(1 + (0))</f>
      </c>
      <c r="D2877" s="22" t="s">
        <v>71</v>
      </c>
      <c r="E2877" s="22"/>
      <c r="F2877" s="22">
        <f>(0)</f>
      </c>
      <c r="G2877" s="22">
        <f>(C2877 * E2877 + C2877 * E2877 * F2877)</f>
      </c>
    </row>
    <row r="2878">
      <c r="A2878" s="5" t="s">
        <v>859</v>
      </c>
      <c r="B2878" s="14" t="s">
        <v>136</v>
      </c>
      <c r="C2878" s="22">
        <f>(1)*(1)*(1)*(1)*(1 + (0))</f>
      </c>
      <c r="D2878" s="22" t="s">
        <v>71</v>
      </c>
      <c r="E2878" s="22"/>
      <c r="F2878" s="22">
        <f>(0)</f>
      </c>
      <c r="G2878" s="22">
        <f>(C2878 * E2878 + C2878 * E2878 * F2878)</f>
      </c>
    </row>
    <row r="2879">
      <c r="A2879" s="5" t="s">
        <v>860</v>
      </c>
      <c r="B2879" s="14" t="s">
        <v>77</v>
      </c>
      <c r="C2879" s="22">
        <f>(1)*(1)*(1)*(1)*(1 + (0))</f>
      </c>
      <c r="D2879" s="22" t="s">
        <v>71</v>
      </c>
      <c r="E2879" s="22"/>
      <c r="F2879" s="22">
        <f>(0)</f>
      </c>
      <c r="G2879" s="22">
        <f>(C2879 * E2879 + C2879 * E2879 * F2879)</f>
      </c>
    </row>
    <row r="2880">
      <c r="A2880" s="5" t="s">
        <v>861</v>
      </c>
      <c r="B2880" s="14" t="s">
        <v>70</v>
      </c>
      <c r="C2880" s="22">
        <f>(1)*(1)*(1)*(1)*(1 + (0))</f>
      </c>
      <c r="D2880" s="22" t="s">
        <v>71</v>
      </c>
      <c r="E2880" s="22"/>
      <c r="F2880" s="22">
        <f>(0)</f>
      </c>
      <c r="G2880" s="22">
        <f>(C2880 * E2880 + C2880 * E2880 * F2880)</f>
      </c>
    </row>
    <row r="2881">
      <c r="A2881" s="5" t="s">
        <v>862</v>
      </c>
      <c r="B2881" s="14" t="s">
        <v>863</v>
      </c>
      <c r="C2881" s="22">
        <f>(1)*(1)*(1)*(1)*(1 + (0))</f>
      </c>
      <c r="D2881" s="22" t="s">
        <v>71</v>
      </c>
      <c r="E2881" s="22"/>
      <c r="F2881" s="22">
        <f>(0)</f>
      </c>
      <c r="G2881" s="22">
        <f>(C2881 * E2881 + C2881 * E2881 * F2881)</f>
      </c>
    </row>
    <row r="2882">
      <c r="A2882" s="5" t="s">
        <v>864</v>
      </c>
      <c r="B2882" s="14" t="s">
        <v>816</v>
      </c>
      <c r="C2882" s="22">
        <f>(1)*(1)*(1)*(1)*(1 + (0))</f>
      </c>
      <c r="D2882" s="22" t="s">
        <v>71</v>
      </c>
      <c r="E2882" s="22"/>
      <c r="F2882" s="22">
        <f>(0)</f>
      </c>
      <c r="G2882" s="22">
        <f>(C2882 * E2882 + C2882 * E2882 * F2882)</f>
      </c>
    </row>
    <row r="2883">
      <c r="A2883" s="5" t="s">
        <v>865</v>
      </c>
      <c r="B2883" s="14" t="s">
        <v>798</v>
      </c>
      <c r="C2883" s="22">
        <f>(1)*(1)*(1)*(1)*(1 + (0))</f>
      </c>
      <c r="D2883" s="22" t="s">
        <v>71</v>
      </c>
      <c r="E2883" s="22"/>
      <c r="F2883" s="22">
        <f>(0)</f>
      </c>
      <c r="G2883" s="22">
        <f>(C2883 * E2883 + C2883 * E2883 * F2883)</f>
      </c>
    </row>
    <row r="2884">
      <c r="A2884" s="5" t="s">
        <v>866</v>
      </c>
      <c r="B2884" s="14" t="s">
        <v>230</v>
      </c>
      <c r="C2884" s="22">
        <f>(1)*(1)*(1)*(1)*(1 + (0))</f>
      </c>
      <c r="D2884" s="22" t="s">
        <v>71</v>
      </c>
      <c r="E2884" s="22"/>
      <c r="F2884" s="22">
        <f>(0)</f>
      </c>
      <c r="G2884" s="22">
        <f>(C2884 * E2884 + C2884 * E2884 * F2884)</f>
      </c>
    </row>
    <row r="2885">
      <c r="A2885" s="5" t="s">
        <v>867</v>
      </c>
      <c r="B2885" s="14" t="s">
        <v>665</v>
      </c>
      <c r="C2885" s="22">
        <f>(1)*(1)*(1)*(1)*(1 + (0))</f>
      </c>
      <c r="D2885" s="22" t="s">
        <v>71</v>
      </c>
      <c r="E2885" s="22"/>
      <c r="F2885" s="22">
        <f>(0)</f>
      </c>
      <c r="G2885" s="22">
        <f>(C2885 * E2885 + C2885 * E2885 * F2885)</f>
      </c>
    </row>
    <row r="2886">
      <c r="A2886" s="3"/>
      <c r="B2886" s="11" t="s">
        <v>869</v>
      </c>
      <c r="C2886" s="20"/>
      <c r="D2886" s="20"/>
      <c r="E2886" s="20"/>
      <c r="F2886" s="20"/>
      <c r="G2886" s="20"/>
    </row>
    <row r="2887">
      <c r="A2887" s="4"/>
      <c r="B2887" s="12" t="s">
        <v>1695</v>
      </c>
      <c r="C2887" s="21"/>
      <c r="D2887" s="21"/>
      <c r="E2887" s="21"/>
      <c r="F2887" s="21"/>
      <c r="G2887" s="21"/>
    </row>
    <row r="2888">
      <c r="A2888" s="6"/>
      <c r="B2888" s="15" t="s">
        <v>871</v>
      </c>
      <c r="C2888" s="23"/>
      <c r="D2888" s="23"/>
      <c r="E2888" s="23"/>
      <c r="F2888" s="23"/>
      <c r="G2888" s="23"/>
    </row>
    <row r="2889">
      <c r="A2889" s="5"/>
      <c r="B2889" s="16" t="s">
        <v>872</v>
      </c>
      <c r="C2889" s="22">
        <f>(10)*(1)*(1)*(1)*(1 + (0))</f>
      </c>
      <c r="D2889" s="22" t="s">
        <v>162</v>
      </c>
      <c r="E2889" s="22"/>
      <c r="F2889" s="22">
        <f>(0)</f>
      </c>
      <c r="G2889" s="22">
        <f>(C2889 * E2889 + C2889 * E2889 * F2889)</f>
      </c>
    </row>
    <row r="2890">
      <c r="A2890" s="5"/>
      <c r="B2890" s="16" t="s">
        <v>1724</v>
      </c>
      <c r="C2890" s="22">
        <f>(2)*(1)*(1)*(1)*(1 + (0))</f>
      </c>
      <c r="D2890" s="22" t="s">
        <v>162</v>
      </c>
      <c r="E2890" s="22"/>
      <c r="F2890" s="22">
        <f>(0)</f>
      </c>
      <c r="G2890" s="22">
        <f>(C2890 * E2890 + C2890 * E2890 * F2890)</f>
      </c>
    </row>
    <row r="2891">
      <c r="A2891" s="6"/>
      <c r="B2891" s="15" t="s">
        <v>874</v>
      </c>
      <c r="C2891" s="23"/>
      <c r="D2891" s="23"/>
      <c r="E2891" s="23"/>
      <c r="F2891" s="23"/>
      <c r="G2891" s="23"/>
    </row>
    <row r="2892">
      <c r="A2892" s="5"/>
      <c r="B2892" s="16" t="s">
        <v>876</v>
      </c>
      <c r="C2892" s="22">
        <f>(7)*(1)*(1)*(1)*(1 + (0))</f>
      </c>
      <c r="D2892" s="22" t="s">
        <v>162</v>
      </c>
      <c r="E2892" s="22"/>
      <c r="F2892" s="22">
        <f>(0)</f>
      </c>
      <c r="G2892" s="22">
        <f>(C2892 * E2892 + C2892 * E2892 * F2892)</f>
      </c>
    </row>
    <row r="2893">
      <c r="A2893" s="4"/>
      <c r="B2893" s="12" t="s">
        <v>1698</v>
      </c>
      <c r="C2893" s="21"/>
      <c r="D2893" s="21"/>
      <c r="E2893" s="21"/>
      <c r="F2893" s="21"/>
      <c r="G2893" s="21"/>
    </row>
    <row r="2894">
      <c r="A2894" s="6"/>
      <c r="B2894" s="15" t="s">
        <v>871</v>
      </c>
      <c r="C2894" s="23"/>
      <c r="D2894" s="23"/>
      <c r="E2894" s="23"/>
      <c r="F2894" s="23"/>
      <c r="G2894" s="23"/>
    </row>
    <row r="2895">
      <c r="A2895" s="5"/>
      <c r="B2895" s="16" t="s">
        <v>872</v>
      </c>
      <c r="C2895" s="22">
        <f>(12)*(1)*(1)*(1)*(1 + (0))</f>
      </c>
      <c r="D2895" s="22" t="s">
        <v>162</v>
      </c>
      <c r="E2895" s="22"/>
      <c r="F2895" s="22">
        <f>(0)</f>
      </c>
      <c r="G2895" s="22">
        <f>(C2895 * E2895 + C2895 * E2895 * F2895)</f>
      </c>
    </row>
    <row r="2896">
      <c r="A2896" s="6"/>
      <c r="B2896" s="15" t="s">
        <v>874</v>
      </c>
      <c r="C2896" s="23"/>
      <c r="D2896" s="23"/>
      <c r="E2896" s="23"/>
      <c r="F2896" s="23"/>
      <c r="G2896" s="23"/>
    </row>
    <row r="2897">
      <c r="A2897" s="5"/>
      <c r="B2897" s="16" t="s">
        <v>876</v>
      </c>
      <c r="C2897" s="22">
        <f>(8)*(1)*(1)*(1)*(1 + (0))</f>
      </c>
      <c r="D2897" s="22" t="s">
        <v>162</v>
      </c>
      <c r="E2897" s="22"/>
      <c r="F2897" s="22">
        <f>(0)</f>
      </c>
      <c r="G2897" s="22">
        <f>(C2897 * E2897 + C2897 * E2897 * F2897)</f>
      </c>
    </row>
    <row r="2898">
      <c r="A2898" s="5"/>
      <c r="B2898" s="16" t="s">
        <v>878</v>
      </c>
      <c r="C2898" s="22">
        <f>(1)*(1)*(1)*(1)*(1 + (0))</f>
      </c>
      <c r="D2898" s="22" t="s">
        <v>162</v>
      </c>
      <c r="E2898" s="22"/>
      <c r="F2898" s="22">
        <f>(0)</f>
      </c>
      <c r="G2898" s="22">
        <f>(C2898 * E2898 + C2898 * E2898 * F2898)</f>
      </c>
    </row>
    <row r="2899">
      <c r="A2899" s="3"/>
      <c r="B2899" s="11" t="s">
        <v>884</v>
      </c>
      <c r="C2899" s="20"/>
      <c r="D2899" s="20"/>
      <c r="E2899" s="20"/>
      <c r="F2899" s="20"/>
      <c r="G2899" s="20"/>
    </row>
    <row r="2900">
      <c r="A2900" s="4"/>
      <c r="B2900" s="12" t="s">
        <v>1695</v>
      </c>
      <c r="C2900" s="21"/>
      <c r="D2900" s="21"/>
      <c r="E2900" s="21"/>
      <c r="F2900" s="21"/>
      <c r="G2900" s="21"/>
    </row>
    <row r="2901">
      <c r="A2901" s="6"/>
      <c r="B2901" s="15" t="s">
        <v>1725</v>
      </c>
      <c r="C2901" s="23"/>
      <c r="D2901" s="23"/>
      <c r="E2901" s="23"/>
      <c r="F2901" s="23"/>
      <c r="G2901" s="23"/>
    </row>
    <row r="2902">
      <c r="A2902" s="5"/>
      <c r="B2902" s="16" t="s">
        <v>886</v>
      </c>
      <c r="C2902" s="22">
        <f>(6)*(1)*(1)*(1)*(1 + (0))</f>
      </c>
      <c r="D2902" s="22" t="s">
        <v>162</v>
      </c>
      <c r="E2902" s="22"/>
      <c r="F2902" s="22">
        <f>(0)</f>
      </c>
      <c r="G2902" s="22">
        <f>(C2902 * E2902 + C2902 * E2902 * F2902)</f>
      </c>
    </row>
    <row r="2903">
      <c r="A2903" s="5"/>
      <c r="B2903" s="16" t="s">
        <v>888</v>
      </c>
      <c r="C2903" s="22">
        <f>(4)*(1)*(1)*(1)*(1 + (0))</f>
      </c>
      <c r="D2903" s="22" t="s">
        <v>162</v>
      </c>
      <c r="E2903" s="22"/>
      <c r="F2903" s="22">
        <f>(0)</f>
      </c>
      <c r="G2903" s="22">
        <f>(C2903 * E2903 + C2903 * E2903 * F2903)</f>
      </c>
    </row>
    <row r="2904">
      <c r="A2904" s="4"/>
      <c r="B2904" s="12" t="s">
        <v>1698</v>
      </c>
      <c r="C2904" s="21"/>
      <c r="D2904" s="21"/>
      <c r="E2904" s="21"/>
      <c r="F2904" s="21"/>
      <c r="G2904" s="21"/>
    </row>
    <row r="2905">
      <c r="A2905" s="6"/>
      <c r="B2905" s="15" t="s">
        <v>1725</v>
      </c>
      <c r="C2905" s="23"/>
      <c r="D2905" s="23"/>
      <c r="E2905" s="23"/>
      <c r="F2905" s="23"/>
      <c r="G2905" s="23"/>
    </row>
    <row r="2906">
      <c r="A2906" s="5"/>
      <c r="B2906" s="16" t="s">
        <v>886</v>
      </c>
      <c r="C2906" s="22">
        <f>(4)*(1)*(1)*(1)*(1 + (0))</f>
      </c>
      <c r="D2906" s="22" t="s">
        <v>162</v>
      </c>
      <c r="E2906" s="22"/>
      <c r="F2906" s="22">
        <f>(0)</f>
      </c>
      <c r="G2906" s="22">
        <f>(C2906 * E2906 + C2906 * E2906 * F2906)</f>
      </c>
    </row>
    <row r="2907">
      <c r="A2907" s="5"/>
      <c r="B2907" s="16" t="s">
        <v>888</v>
      </c>
      <c r="C2907" s="22">
        <f>(4)*(1)*(1)*(1)*(1 + (0))</f>
      </c>
      <c r="D2907" s="22" t="s">
        <v>162</v>
      </c>
      <c r="E2907" s="22"/>
      <c r="F2907" s="22">
        <f>(0)</f>
      </c>
      <c r="G2907" s="22">
        <f>(C2907 * E2907 + C2907 * E2907 * F2907)</f>
      </c>
    </row>
    <row r="2908">
      <c r="A2908" s="3"/>
      <c r="B2908" s="11" t="s">
        <v>890</v>
      </c>
      <c r="C2908" s="20"/>
      <c r="D2908" s="20"/>
      <c r="E2908" s="20"/>
      <c r="F2908" s="20"/>
      <c r="G2908" s="20"/>
    </row>
    <row r="2909">
      <c r="A2909" s="4"/>
      <c r="B2909" s="12" t="s">
        <v>1695</v>
      </c>
      <c r="C2909" s="21"/>
      <c r="D2909" s="21"/>
      <c r="E2909" s="21"/>
      <c r="F2909" s="21"/>
      <c r="G2909" s="21"/>
    </row>
    <row r="2910">
      <c r="A2910" s="6"/>
      <c r="B2910" s="15" t="s">
        <v>1726</v>
      </c>
      <c r="C2910" s="23"/>
      <c r="D2910" s="23"/>
      <c r="E2910" s="23"/>
      <c r="F2910" s="23"/>
      <c r="G2910" s="23"/>
    </row>
    <row r="2911">
      <c r="A2911" s="5"/>
      <c r="B2911" s="16" t="s">
        <v>893</v>
      </c>
      <c r="C2911" s="22">
        <f>(2)*(1)*(1)*(1)*(1 + (0))</f>
      </c>
      <c r="D2911" s="22" t="s">
        <v>162</v>
      </c>
      <c r="E2911" s="22"/>
      <c r="F2911" s="22">
        <f>(0)</f>
      </c>
      <c r="G2911" s="22">
        <f>(C2911 * E2911 + C2911 * E2911 * F2911)</f>
      </c>
    </row>
    <row r="2912">
      <c r="A2912" s="5"/>
      <c r="B2912" s="16" t="s">
        <v>894</v>
      </c>
      <c r="C2912" s="22">
        <f>(3)*(1)*(1)*(1)*(1 + (0))</f>
      </c>
      <c r="D2912" s="22" t="s">
        <v>162</v>
      </c>
      <c r="E2912" s="22"/>
      <c r="F2912" s="22">
        <f>(0)</f>
      </c>
      <c r="G2912" s="22">
        <f>(C2912 * E2912 + C2912 * E2912 * F2912)</f>
      </c>
    </row>
    <row r="2913">
      <c r="A2913" s="5"/>
      <c r="B2913" s="16" t="s">
        <v>895</v>
      </c>
      <c r="C2913" s="22">
        <f>(5)*(1)*(1)*(1)*(1 + (0))</f>
      </c>
      <c r="D2913" s="22" t="s">
        <v>162</v>
      </c>
      <c r="E2913" s="22"/>
      <c r="F2913" s="22">
        <f>(0)</f>
      </c>
      <c r="G2913" s="22">
        <f>(C2913 * E2913 + C2913 * E2913 * F2913)</f>
      </c>
    </row>
    <row r="2914">
      <c r="A2914" s="5"/>
      <c r="B2914" s="16" t="s">
        <v>896</v>
      </c>
      <c r="C2914" s="22">
        <f>(2)*(1)*(1)*(1)*(1 + (0))</f>
      </c>
      <c r="D2914" s="22" t="s">
        <v>162</v>
      </c>
      <c r="E2914" s="22"/>
      <c r="F2914" s="22">
        <f>(0)</f>
      </c>
      <c r="G2914" s="22">
        <f>(C2914 * E2914 + C2914 * E2914 * F2914)</f>
      </c>
    </row>
    <row r="2915">
      <c r="A2915" s="4"/>
      <c r="B2915" s="12" t="s">
        <v>1698</v>
      </c>
      <c r="C2915" s="21"/>
      <c r="D2915" s="21"/>
      <c r="E2915" s="21"/>
      <c r="F2915" s="21"/>
      <c r="G2915" s="21"/>
    </row>
    <row r="2916">
      <c r="A2916" s="6"/>
      <c r="B2916" s="15" t="s">
        <v>1726</v>
      </c>
      <c r="C2916" s="23"/>
      <c r="D2916" s="23"/>
      <c r="E2916" s="23"/>
      <c r="F2916" s="23"/>
      <c r="G2916" s="23"/>
    </row>
    <row r="2917">
      <c r="A2917" s="5"/>
      <c r="B2917" s="16" t="s">
        <v>893</v>
      </c>
      <c r="C2917" s="22">
        <f>(4)*(1)*(1)*(1)*(1 + (0))</f>
      </c>
      <c r="D2917" s="22" t="s">
        <v>162</v>
      </c>
      <c r="E2917" s="22"/>
      <c r="F2917" s="22">
        <f>(0)</f>
      </c>
      <c r="G2917" s="22">
        <f>(C2917 * E2917 + C2917 * E2917 * F2917)</f>
      </c>
    </row>
    <row r="2918">
      <c r="A2918" s="5"/>
      <c r="B2918" s="16" t="s">
        <v>894</v>
      </c>
      <c r="C2918" s="22">
        <f>(4)*(1)*(1)*(1)*(1 + (0))</f>
      </c>
      <c r="D2918" s="22" t="s">
        <v>162</v>
      </c>
      <c r="E2918" s="22"/>
      <c r="F2918" s="22">
        <f>(0)</f>
      </c>
      <c r="G2918" s="22">
        <f>(C2918 * E2918 + C2918 * E2918 * F2918)</f>
      </c>
    </row>
    <row r="2919">
      <c r="A2919" s="5"/>
      <c r="B2919" s="16" t="s">
        <v>895</v>
      </c>
      <c r="C2919" s="22">
        <f>(4)*(1)*(1)*(1)*(1 + (0))</f>
      </c>
      <c r="D2919" s="22" t="s">
        <v>162</v>
      </c>
      <c r="E2919" s="22"/>
      <c r="F2919" s="22">
        <f>(0)</f>
      </c>
      <c r="G2919" s="22">
        <f>(C2919 * E2919 + C2919 * E2919 * F2919)</f>
      </c>
    </row>
    <row r="2920">
      <c r="A2920" s="5"/>
      <c r="B2920" s="16" t="s">
        <v>896</v>
      </c>
      <c r="C2920" s="22">
        <f>(2)*(1)*(1)*(1)*(1 + (0))</f>
      </c>
      <c r="D2920" s="22" t="s">
        <v>162</v>
      </c>
      <c r="E2920" s="22"/>
      <c r="F2920" s="22">
        <f>(0)</f>
      </c>
      <c r="G2920" s="22">
        <f>(C2920 * E2920 + C2920 * E2920 * F2920)</f>
      </c>
    </row>
    <row r="2921">
      <c r="A2921" s="2"/>
      <c r="B2921" s="10" t="s">
        <v>897</v>
      </c>
      <c r="C2921" s="19"/>
      <c r="D2921" s="19"/>
      <c r="E2921" s="19"/>
      <c r="F2921" s="19"/>
      <c r="G2921" s="19"/>
    </row>
    <row r="2922">
      <c r="A2922" s="3"/>
      <c r="B2922" s="11" t="s">
        <v>37</v>
      </c>
      <c r="C2922" s="20"/>
      <c r="D2922" s="20"/>
      <c r="E2922" s="20"/>
      <c r="F2922" s="20"/>
      <c r="G2922" s="20"/>
    </row>
    <row r="2923">
      <c r="A2923" s="5" t="s">
        <v>758</v>
      </c>
      <c r="B2923" s="14" t="s">
        <v>39</v>
      </c>
      <c r="C2923" s="22"/>
      <c r="D2923" s="22" t="s">
        <v>10</v>
      </c>
      <c r="E2923" s="22"/>
      <c r="F2923" s="22">
        <f>(0)</f>
      </c>
      <c r="G2923" s="22">
        <f>(C2923 * E2923 + C2923 * E2923 * F2923)</f>
      </c>
    </row>
    <row r="2924">
      <c r="A2924" s="5" t="s">
        <v>760</v>
      </c>
      <c r="B2924" s="14" t="s">
        <v>41</v>
      </c>
      <c r="C2924" s="22"/>
      <c r="D2924" s="22" t="s">
        <v>10</v>
      </c>
      <c r="E2924" s="22"/>
      <c r="F2924" s="22">
        <f>(0)</f>
      </c>
      <c r="G2924" s="22">
        <f>(C2924 * E2924 + C2924 * E2924 * F2924)</f>
      </c>
    </row>
    <row r="2925">
      <c r="A2925" s="3"/>
      <c r="B2925" s="11" t="s">
        <v>44</v>
      </c>
      <c r="C2925" s="20"/>
      <c r="D2925" s="20"/>
      <c r="E2925" s="20"/>
      <c r="F2925" s="20"/>
      <c r="G2925" s="20"/>
    </row>
    <row r="2926">
      <c r="A2926" s="4"/>
      <c r="B2926" s="12" t="s">
        <v>45</v>
      </c>
      <c r="C2926" s="21"/>
      <c r="D2926" s="21"/>
      <c r="E2926" s="21"/>
      <c r="F2926" s="21"/>
      <c r="G2926" s="21"/>
    </row>
    <row r="2927">
      <c r="A2927" s="5" t="s">
        <v>765</v>
      </c>
      <c r="B2927" s="13" t="s">
        <v>898</v>
      </c>
      <c r="C2927" s="22"/>
      <c r="D2927" s="22" t="s">
        <v>10</v>
      </c>
      <c r="E2927" s="22"/>
      <c r="F2927" s="22">
        <f>(0)</f>
      </c>
      <c r="G2927" s="22">
        <f>(C2927 * E2927 + C2927 * E2927 * F2927)</f>
      </c>
    </row>
    <row r="2928">
      <c r="A2928" s="5" t="s">
        <v>766</v>
      </c>
      <c r="B2928" s="13" t="s">
        <v>899</v>
      </c>
      <c r="C2928" s="22"/>
      <c r="D2928" s="22" t="s">
        <v>10</v>
      </c>
      <c r="E2928" s="22"/>
      <c r="F2928" s="22">
        <f>(0)</f>
      </c>
      <c r="G2928" s="22">
        <f>(C2928 * E2928 + C2928 * E2928 * F2928)</f>
      </c>
    </row>
    <row r="2929">
      <c r="A2929" s="5" t="s">
        <v>768</v>
      </c>
      <c r="B2929" s="13" t="s">
        <v>767</v>
      </c>
      <c r="C2929" s="22"/>
      <c r="D2929" s="22" t="s">
        <v>10</v>
      </c>
      <c r="E2929" s="22"/>
      <c r="F2929" s="22">
        <f>(0)</f>
      </c>
      <c r="G2929" s="22">
        <f>(C2929 * E2929 + C2929 * E2929 * F2929)</f>
      </c>
    </row>
    <row r="2930">
      <c r="A2930" s="5" t="s">
        <v>770</v>
      </c>
      <c r="B2930" s="13" t="s">
        <v>900</v>
      </c>
      <c r="C2930" s="22"/>
      <c r="D2930" s="22" t="s">
        <v>10</v>
      </c>
      <c r="E2930" s="22"/>
      <c r="F2930" s="22">
        <f>(0)</f>
      </c>
      <c r="G2930" s="22">
        <f>(C2930 * E2930 + C2930 * E2930 * F2930)</f>
      </c>
    </row>
    <row r="2931">
      <c r="A2931" s="5" t="s">
        <v>794</v>
      </c>
      <c r="B2931" s="13" t="s">
        <v>901</v>
      </c>
      <c r="C2931" s="22"/>
      <c r="D2931" s="22" t="s">
        <v>10</v>
      </c>
      <c r="E2931" s="22"/>
      <c r="F2931" s="22">
        <f>(0)</f>
      </c>
      <c r="G2931" s="22">
        <f>(C2931 * E2931 + C2931 * E2931 * F2931)</f>
      </c>
    </row>
    <row r="2932">
      <c r="A2932" s="5" t="s">
        <v>795</v>
      </c>
      <c r="B2932" s="13" t="s">
        <v>123</v>
      </c>
      <c r="C2932" s="22"/>
      <c r="D2932" s="22" t="s">
        <v>10</v>
      </c>
      <c r="E2932" s="22"/>
      <c r="F2932" s="22">
        <f>(0)</f>
      </c>
      <c r="G2932" s="22">
        <f>(C2932 * E2932 + C2932 * E2932 * F2932)</f>
      </c>
    </row>
    <row r="2933">
      <c r="A2933" s="3"/>
      <c r="B2933" s="11" t="s">
        <v>42</v>
      </c>
      <c r="C2933" s="20"/>
      <c r="D2933" s="20"/>
      <c r="E2933" s="20"/>
      <c r="F2933" s="20"/>
      <c r="G2933" s="20"/>
    </row>
    <row r="2934">
      <c r="A2934" s="5"/>
      <c r="B2934" s="14" t="s">
        <v>902</v>
      </c>
      <c r="C2934" s="22"/>
      <c r="D2934" s="22" t="s">
        <v>10</v>
      </c>
      <c r="E2934" s="22"/>
      <c r="F2934" s="22">
        <f>(0)</f>
      </c>
      <c r="G2934" s="22">
        <f>(C2934 * E2934 + C2934 * E2934 * F2934)</f>
      </c>
    </row>
    <row r="2935">
      <c r="A2935" s="5"/>
      <c r="B2935" s="14" t="s">
        <v>762</v>
      </c>
      <c r="C2935" s="22"/>
      <c r="D2935" s="22" t="s">
        <v>10</v>
      </c>
      <c r="E2935" s="22"/>
      <c r="F2935" s="22">
        <f>(0)</f>
      </c>
      <c r="G2935" s="22">
        <f>(C2935 * E2935 + C2935 * E2935 * F2935)</f>
      </c>
    </row>
    <row r="2936">
      <c r="A2936" s="5"/>
      <c r="B2936" s="14" t="s">
        <v>856</v>
      </c>
      <c r="C2936" s="22"/>
      <c r="D2936" s="22" t="s">
        <v>10</v>
      </c>
      <c r="E2936" s="22"/>
      <c r="F2936" s="22">
        <f>(0)</f>
      </c>
      <c r="G2936" s="22">
        <f>(C2936 * E2936 + C2936 * E2936 * F2936)</f>
      </c>
    </row>
    <row r="2937">
      <c r="A2937" s="3"/>
      <c r="B2937" s="11" t="s">
        <v>68</v>
      </c>
      <c r="C2937" s="20"/>
      <c r="D2937" s="20"/>
      <c r="E2937" s="20"/>
      <c r="F2937" s="20"/>
      <c r="G2937" s="20"/>
    </row>
    <row r="2938">
      <c r="A2938" s="5" t="s">
        <v>797</v>
      </c>
      <c r="B2938" s="14" t="s">
        <v>903</v>
      </c>
      <c r="C2938" s="22">
        <f>(1)*(1)*(1)*(1)*(1 + (0))</f>
      </c>
      <c r="D2938" s="22" t="s">
        <v>71</v>
      </c>
      <c r="E2938" s="22"/>
      <c r="F2938" s="22">
        <f>(0)</f>
      </c>
      <c r="G2938" s="22">
        <f>(C2938 * E2938 + C2938 * E2938 * F2938)</f>
      </c>
    </row>
    <row r="2939">
      <c r="A2939" s="5" t="s">
        <v>799</v>
      </c>
      <c r="B2939" s="14" t="s">
        <v>904</v>
      </c>
      <c r="C2939" s="22">
        <f>(1)*(1)*(1)*(1)*(1 + (0))</f>
      </c>
      <c r="D2939" s="22" t="s">
        <v>71</v>
      </c>
      <c r="E2939" s="22"/>
      <c r="F2939" s="22">
        <f>(0)</f>
      </c>
      <c r="G2939" s="22">
        <f>(C2939 * E2939 + C2939 * E2939 * F2939)</f>
      </c>
    </row>
    <row r="2940">
      <c r="A2940" s="5" t="s">
        <v>801</v>
      </c>
      <c r="B2940" s="14" t="s">
        <v>77</v>
      </c>
      <c r="C2940" s="22">
        <f>(1)*(1)*(1)*(1)*(1 + (0))</f>
      </c>
      <c r="D2940" s="22" t="s">
        <v>71</v>
      </c>
      <c r="E2940" s="22"/>
      <c r="F2940" s="22">
        <f>(0)</f>
      </c>
      <c r="G2940" s="22">
        <f>(C2940 * E2940 + C2940 * E2940 * F2940)</f>
      </c>
    </row>
    <row r="2941">
      <c r="A2941" s="5" t="s">
        <v>905</v>
      </c>
      <c r="B2941" s="14" t="s">
        <v>906</v>
      </c>
      <c r="C2941" s="22">
        <f>(1)*(1)*(1)*(1)*(1 + (0))</f>
      </c>
      <c r="D2941" s="22" t="s">
        <v>71</v>
      </c>
      <c r="E2941" s="22"/>
      <c r="F2941" s="22">
        <f>(0)</f>
      </c>
      <c r="G2941" s="22">
        <f>(C2941 * E2941 + C2941 * E2941 * F2941)</f>
      </c>
    </row>
    <row r="2942">
      <c r="A2942" s="5" t="s">
        <v>907</v>
      </c>
      <c r="B2942" s="14" t="s">
        <v>447</v>
      </c>
      <c r="C2942" s="22">
        <f>(1)*(1)*(1)*(1)*(1 + (0))</f>
      </c>
      <c r="D2942" s="22" t="s">
        <v>71</v>
      </c>
      <c r="E2942" s="22"/>
      <c r="F2942" s="22">
        <f>(0)</f>
      </c>
      <c r="G2942" s="22">
        <f>(C2942 * E2942 + C2942 * E2942 * F2942)</f>
      </c>
    </row>
    <row r="2943">
      <c r="A2943" s="5" t="s">
        <v>908</v>
      </c>
      <c r="B2943" s="14" t="s">
        <v>798</v>
      </c>
      <c r="C2943" s="22">
        <f>(1)*(1)*(1)*(1)*(1 + (0))</f>
      </c>
      <c r="D2943" s="22" t="s">
        <v>71</v>
      </c>
      <c r="E2943" s="22"/>
      <c r="F2943" s="22">
        <f>(0)</f>
      </c>
      <c r="G2943" s="22">
        <f>(C2943 * E2943 + C2943 * E2943 * F2943)</f>
      </c>
    </row>
    <row r="2944">
      <c r="A2944" s="5" t="s">
        <v>909</v>
      </c>
      <c r="B2944" s="14" t="s">
        <v>910</v>
      </c>
      <c r="C2944" s="22">
        <f>(1)*(1)*(1)*(1)*(1 + (0))</f>
      </c>
      <c r="D2944" s="22" t="s">
        <v>71</v>
      </c>
      <c r="E2944" s="22"/>
      <c r="F2944" s="22">
        <f>(0)</f>
      </c>
      <c r="G2944" s="22">
        <f>(C2944 * E2944 + C2944 * E2944 * F2944)</f>
      </c>
    </row>
    <row r="2945">
      <c r="A2945" s="5" t="s">
        <v>911</v>
      </c>
      <c r="B2945" s="14" t="s">
        <v>912</v>
      </c>
      <c r="C2945" s="22">
        <f>(1)*(1)*(1)*(1)*(1 + (0))</f>
      </c>
      <c r="D2945" s="22" t="s">
        <v>71</v>
      </c>
      <c r="E2945" s="22"/>
      <c r="F2945" s="22">
        <f>(0)</f>
      </c>
      <c r="G2945" s="22">
        <f>(C2945 * E2945 + C2945 * E2945 * F2945)</f>
      </c>
    </row>
    <row r="2946">
      <c r="A2946" s="5" t="s">
        <v>913</v>
      </c>
      <c r="B2946" s="14" t="s">
        <v>665</v>
      </c>
      <c r="C2946" s="22">
        <f>(1)*(1)*(1)*(1)*(1 + (0))</f>
      </c>
      <c r="D2946" s="22" t="s">
        <v>71</v>
      </c>
      <c r="E2946" s="22"/>
      <c r="F2946" s="22">
        <f>(0)</f>
      </c>
      <c r="G2946" s="22">
        <f>(C2946 * E2946 + C2946 * E2946 * F2946)</f>
      </c>
    </row>
    <row r="2947">
      <c r="A2947" s="3"/>
      <c r="B2947" s="11" t="s">
        <v>914</v>
      </c>
      <c r="C2947" s="20"/>
      <c r="D2947" s="20"/>
      <c r="E2947" s="20"/>
      <c r="F2947" s="20"/>
      <c r="G2947" s="20"/>
    </row>
    <row r="2948">
      <c r="A2948" s="4"/>
      <c r="B2948" s="12" t="s">
        <v>1695</v>
      </c>
      <c r="C2948" s="21"/>
      <c r="D2948" s="21"/>
      <c r="E2948" s="21"/>
      <c r="F2948" s="21"/>
      <c r="G2948" s="21"/>
    </row>
    <row r="2949">
      <c r="A2949" s="6"/>
      <c r="B2949" s="15" t="s">
        <v>915</v>
      </c>
      <c r="C2949" s="23"/>
      <c r="D2949" s="23"/>
      <c r="E2949" s="23"/>
      <c r="F2949" s="23"/>
      <c r="G2949" s="23"/>
    </row>
    <row r="2950">
      <c r="A2950" s="5"/>
      <c r="B2950" s="16" t="s">
        <v>917</v>
      </c>
      <c r="C2950" s="22">
        <f>(1)*(1)*(1)*(1)*(1 + (0))</f>
      </c>
      <c r="D2950" s="22" t="s">
        <v>162</v>
      </c>
      <c r="E2950" s="22"/>
      <c r="F2950" s="22">
        <f>(0)</f>
      </c>
      <c r="G2950" s="22">
        <f>(C2950 * E2950 + C2950 * E2950 * F2950)</f>
      </c>
    </row>
    <row r="2951">
      <c r="A2951" s="6"/>
      <c r="B2951" s="15" t="s">
        <v>918</v>
      </c>
      <c r="C2951" s="23"/>
      <c r="D2951" s="23"/>
      <c r="E2951" s="23"/>
      <c r="F2951" s="23"/>
      <c r="G2951" s="23"/>
    </row>
    <row r="2952">
      <c r="A2952" s="5"/>
      <c r="B2952" s="16" t="s">
        <v>1727</v>
      </c>
      <c r="C2952" s="22">
        <f>(1)*(1)*(1)*(1)*(1 + (0))</f>
      </c>
      <c r="D2952" s="22" t="s">
        <v>162</v>
      </c>
      <c r="E2952" s="22"/>
      <c r="F2952" s="22">
        <f>(0)</f>
      </c>
      <c r="G2952" s="22">
        <f>(C2952 * E2952 + C2952 * E2952 * F2952)</f>
      </c>
    </row>
    <row r="2953">
      <c r="A2953" s="5"/>
      <c r="B2953" s="16" t="s">
        <v>919</v>
      </c>
      <c r="C2953" s="22">
        <f>(2)*(1)*(1)*(1)*(1 + (0))</f>
      </c>
      <c r="D2953" s="22" t="s">
        <v>162</v>
      </c>
      <c r="E2953" s="22"/>
      <c r="F2953" s="22">
        <f>(0)</f>
      </c>
      <c r="G2953" s="22">
        <f>(C2953 * E2953 + C2953 * E2953 * F2953)</f>
      </c>
    </row>
    <row r="2954">
      <c r="A2954" s="5"/>
      <c r="B2954" s="16" t="s">
        <v>920</v>
      </c>
      <c r="C2954" s="22">
        <f>(2)*(1)*(1)*(1)*(1 + (0))</f>
      </c>
      <c r="D2954" s="22" t="s">
        <v>162</v>
      </c>
      <c r="E2954" s="22"/>
      <c r="F2954" s="22">
        <f>(0)</f>
      </c>
      <c r="G2954" s="22">
        <f>(C2954 * E2954 + C2954 * E2954 * F2954)</f>
      </c>
    </row>
    <row r="2955">
      <c r="A2955" s="5"/>
      <c r="B2955" s="16" t="s">
        <v>1728</v>
      </c>
      <c r="C2955" s="22">
        <f>(3)*(1)*(1)*(1)*(1 + (0))</f>
      </c>
      <c r="D2955" s="22" t="s">
        <v>162</v>
      </c>
      <c r="E2955" s="22"/>
      <c r="F2955" s="22">
        <f>(0)</f>
      </c>
      <c r="G2955" s="22">
        <f>(C2955 * E2955 + C2955 * E2955 * F2955)</f>
      </c>
    </row>
    <row r="2956">
      <c r="A2956" s="4"/>
      <c r="B2956" s="12" t="s">
        <v>1698</v>
      </c>
      <c r="C2956" s="21"/>
      <c r="D2956" s="21"/>
      <c r="E2956" s="21"/>
      <c r="F2956" s="21"/>
      <c r="G2956" s="21"/>
    </row>
    <row r="2957">
      <c r="A2957" s="6"/>
      <c r="B2957" s="15" t="s">
        <v>915</v>
      </c>
      <c r="C2957" s="23"/>
      <c r="D2957" s="23"/>
      <c r="E2957" s="23"/>
      <c r="F2957" s="23"/>
      <c r="G2957" s="23"/>
    </row>
    <row r="2958">
      <c r="A2958" s="5"/>
      <c r="B2958" s="16" t="s">
        <v>917</v>
      </c>
      <c r="C2958" s="22">
        <f>(1)*(1)*(1)*(1)*(1 + (0))</f>
      </c>
      <c r="D2958" s="22" t="s">
        <v>162</v>
      </c>
      <c r="E2958" s="22"/>
      <c r="F2958" s="22">
        <f>(0)</f>
      </c>
      <c r="G2958" s="22">
        <f>(C2958 * E2958 + C2958 * E2958 * F2958)</f>
      </c>
    </row>
    <row r="2959">
      <c r="A2959" s="6"/>
      <c r="B2959" s="15" t="s">
        <v>918</v>
      </c>
      <c r="C2959" s="23"/>
      <c r="D2959" s="23"/>
      <c r="E2959" s="23"/>
      <c r="F2959" s="23"/>
      <c r="G2959" s="23"/>
    </row>
    <row r="2960">
      <c r="A2960" s="5"/>
      <c r="B2960" s="16" t="s">
        <v>921</v>
      </c>
      <c r="C2960" s="22">
        <f>(2)*(1)*(1)*(1)*(1 + (0))</f>
      </c>
      <c r="D2960" s="22" t="s">
        <v>162</v>
      </c>
      <c r="E2960" s="22"/>
      <c r="F2960" s="22">
        <f>(0)</f>
      </c>
      <c r="G2960" s="22">
        <f>(C2960 * E2960 + C2960 * E2960 * F2960)</f>
      </c>
    </row>
    <row r="2961">
      <c r="A2961" s="5"/>
      <c r="B2961" s="16" t="s">
        <v>919</v>
      </c>
      <c r="C2961" s="22">
        <f>(1)*(1)*(1)*(1)*(1 + (0))</f>
      </c>
      <c r="D2961" s="22" t="s">
        <v>162</v>
      </c>
      <c r="E2961" s="22"/>
      <c r="F2961" s="22">
        <f>(0)</f>
      </c>
      <c r="G2961" s="22">
        <f>(C2961 * E2961 + C2961 * E2961 * F2961)</f>
      </c>
    </row>
    <row r="2962">
      <c r="A2962" s="5"/>
      <c r="B2962" s="16" t="s">
        <v>922</v>
      </c>
      <c r="C2962" s="22">
        <f>(1)*(1)*(1)*(1)*(1 + (0))</f>
      </c>
      <c r="D2962" s="22" t="s">
        <v>162</v>
      </c>
      <c r="E2962" s="22"/>
      <c r="F2962" s="22">
        <f>(0)</f>
      </c>
      <c r="G2962" s="22">
        <f>(C2962 * E2962 + C2962 * E2962 * F2962)</f>
      </c>
    </row>
    <row r="2963">
      <c r="A2963" s="5"/>
      <c r="B2963" s="16" t="s">
        <v>923</v>
      </c>
      <c r="C2963" s="22">
        <f>(1)*(1)*(1)*(1)*(1 + (0))</f>
      </c>
      <c r="D2963" s="22" t="s">
        <v>162</v>
      </c>
      <c r="E2963" s="22"/>
      <c r="F2963" s="22">
        <f>(0)</f>
      </c>
      <c r="G2963" s="22">
        <f>(C2963 * E2963 + C2963 * E2963 * F2963)</f>
      </c>
    </row>
    <row r="2964">
      <c r="A2964" s="3"/>
      <c r="B2964" s="11" t="s">
        <v>924</v>
      </c>
      <c r="C2964" s="20"/>
      <c r="D2964" s="20"/>
      <c r="E2964" s="20"/>
      <c r="F2964" s="20"/>
      <c r="G2964" s="20"/>
    </row>
    <row r="2965">
      <c r="A2965" s="4"/>
      <c r="B2965" s="12" t="s">
        <v>1695</v>
      </c>
      <c r="C2965" s="21"/>
      <c r="D2965" s="21"/>
      <c r="E2965" s="21"/>
      <c r="F2965" s="21"/>
      <c r="G2965" s="21"/>
    </row>
    <row r="2966">
      <c r="A2966" s="6"/>
      <c r="B2966" s="15" t="s">
        <v>918</v>
      </c>
      <c r="C2966" s="23"/>
      <c r="D2966" s="23"/>
      <c r="E2966" s="23"/>
      <c r="F2966" s="23"/>
      <c r="G2966" s="23"/>
    </row>
    <row r="2967">
      <c r="A2967" s="5"/>
      <c r="B2967" s="16" t="s">
        <v>925</v>
      </c>
      <c r="C2967" s="22">
        <f>(2)*(1)*(1)*(1)*(1 + (0))</f>
      </c>
      <c r="D2967" s="22" t="s">
        <v>162</v>
      </c>
      <c r="E2967" s="22"/>
      <c r="F2967" s="22">
        <f>(0)</f>
      </c>
      <c r="G2967" s="22">
        <f>(C2967 * E2967 + C2967 * E2967 * F2967)</f>
      </c>
    </row>
    <row r="2968">
      <c r="A2968" s="5"/>
      <c r="B2968" s="16" t="s">
        <v>926</v>
      </c>
      <c r="C2968" s="22">
        <f>(2)*(1)*(1)*(1)*(1 + (0))</f>
      </c>
      <c r="D2968" s="22" t="s">
        <v>162</v>
      </c>
      <c r="E2968" s="22"/>
      <c r="F2968" s="22">
        <f>(0)</f>
      </c>
      <c r="G2968" s="22">
        <f>(C2968 * E2968 + C2968 * E2968 * F2968)</f>
      </c>
    </row>
    <row r="2969">
      <c r="A2969" s="5"/>
      <c r="B2969" s="16" t="s">
        <v>928</v>
      </c>
      <c r="C2969" s="22">
        <f>(1)*(1)*(1)*(1)*(1 + (0))</f>
      </c>
      <c r="D2969" s="22" t="s">
        <v>162</v>
      </c>
      <c r="E2969" s="22"/>
      <c r="F2969" s="22">
        <f>(0)</f>
      </c>
      <c r="G2969" s="22">
        <f>(C2969 * E2969 + C2969 * E2969 * F2969)</f>
      </c>
    </row>
    <row r="2970">
      <c r="A2970" s="4"/>
      <c r="B2970" s="12" t="s">
        <v>1698</v>
      </c>
      <c r="C2970" s="21"/>
      <c r="D2970" s="21"/>
      <c r="E2970" s="21"/>
      <c r="F2970" s="21"/>
      <c r="G2970" s="21"/>
    </row>
    <row r="2971">
      <c r="A2971" s="6"/>
      <c r="B2971" s="15" t="s">
        <v>915</v>
      </c>
      <c r="C2971" s="23"/>
      <c r="D2971" s="23"/>
      <c r="E2971" s="23"/>
      <c r="F2971" s="23"/>
      <c r="G2971" s="23"/>
    </row>
    <row r="2972">
      <c r="A2972" s="5"/>
      <c r="B2972" s="16" t="s">
        <v>930</v>
      </c>
      <c r="C2972" s="22">
        <f>(2)*(1)*(1)*(1)*(1 + (0))</f>
      </c>
      <c r="D2972" s="22" t="s">
        <v>162</v>
      </c>
      <c r="E2972" s="22"/>
      <c r="F2972" s="22">
        <f>(0)</f>
      </c>
      <c r="G2972" s="22">
        <f>(C2972 * E2972 + C2972 * E2972 * F2972)</f>
      </c>
    </row>
    <row r="2973">
      <c r="A2973" s="3"/>
      <c r="B2973" s="11" t="s">
        <v>931</v>
      </c>
      <c r="C2973" s="20"/>
      <c r="D2973" s="20"/>
      <c r="E2973" s="20"/>
      <c r="F2973" s="20"/>
      <c r="G2973" s="20"/>
    </row>
    <row r="2974">
      <c r="A2974" s="4"/>
      <c r="B2974" s="12" t="s">
        <v>1695</v>
      </c>
      <c r="C2974" s="21"/>
      <c r="D2974" s="21"/>
      <c r="E2974" s="21"/>
      <c r="F2974" s="21"/>
      <c r="G2974" s="21"/>
    </row>
    <row r="2975">
      <c r="A2975" s="5"/>
      <c r="B2975" s="13" t="s">
        <v>932</v>
      </c>
      <c r="C2975" s="22">
        <f>(1)*(1)*(1)*(1)*(1 + (0))</f>
      </c>
      <c r="D2975" s="22" t="s">
        <v>162</v>
      </c>
      <c r="E2975" s="22"/>
      <c r="F2975" s="22">
        <f>(0)</f>
      </c>
      <c r="G2975" s="22">
        <f>(C2975 * E2975 + C2975 * E2975 * F2975)</f>
      </c>
    </row>
    <row r="2976">
      <c r="A2976" s="5"/>
      <c r="B2976" s="13" t="s">
        <v>933</v>
      </c>
      <c r="C2976" s="22">
        <f>(8)*(1)*(1)*(1)*(1 + (0))</f>
      </c>
      <c r="D2976" s="22" t="s">
        <v>162</v>
      </c>
      <c r="E2976" s="22"/>
      <c r="F2976" s="22">
        <f>(0)</f>
      </c>
      <c r="G2976" s="22">
        <f>(C2976 * E2976 + C2976 * E2976 * F2976)</f>
      </c>
    </row>
    <row r="2977">
      <c r="A2977" s="4"/>
      <c r="B2977" s="12" t="s">
        <v>1698</v>
      </c>
      <c r="C2977" s="21"/>
      <c r="D2977" s="21"/>
      <c r="E2977" s="21"/>
      <c r="F2977" s="21"/>
      <c r="G2977" s="21"/>
    </row>
    <row r="2978">
      <c r="A2978" s="5"/>
      <c r="B2978" s="13" t="s">
        <v>932</v>
      </c>
      <c r="C2978" s="22">
        <f>(1)*(1)*(1)*(1)*(1 + (0))</f>
      </c>
      <c r="D2978" s="22" t="s">
        <v>162</v>
      </c>
      <c r="E2978" s="22"/>
      <c r="F2978" s="22">
        <f>(0)</f>
      </c>
      <c r="G2978" s="22">
        <f>(C2978 * E2978 + C2978 * E2978 * F2978)</f>
      </c>
    </row>
    <row r="2979">
      <c r="A2979" s="5"/>
      <c r="B2979" s="13" t="s">
        <v>933</v>
      </c>
      <c r="C2979" s="22">
        <f>(5)*(1)*(1)*(1)*(1 + (0))</f>
      </c>
      <c r="D2979" s="22" t="s">
        <v>162</v>
      </c>
      <c r="E2979" s="22"/>
      <c r="F2979" s="22">
        <f>(0)</f>
      </c>
      <c r="G2979" s="22">
        <f>(C2979 * E2979 + C2979 * E2979 * F2979)</f>
      </c>
    </row>
    <row r="2980">
      <c r="A2980" s="3"/>
      <c r="B2980" s="11" t="s">
        <v>934</v>
      </c>
      <c r="C2980" s="20"/>
      <c r="D2980" s="20"/>
      <c r="E2980" s="20"/>
      <c r="F2980" s="20"/>
      <c r="G2980" s="20"/>
    </row>
    <row r="2981">
      <c r="A2981" s="4"/>
      <c r="B2981" s="12" t="s">
        <v>1695</v>
      </c>
      <c r="C2981" s="21"/>
      <c r="D2981" s="21"/>
      <c r="E2981" s="21"/>
      <c r="F2981" s="21"/>
      <c r="G2981" s="21"/>
    </row>
    <row r="2982">
      <c r="A2982" s="5"/>
      <c r="B2982" s="13" t="s">
        <v>933</v>
      </c>
      <c r="C2982" s="22">
        <f>(5)*(1)*(1)*(1)*(1 + (0))</f>
      </c>
      <c r="D2982" s="22" t="s">
        <v>162</v>
      </c>
      <c r="E2982" s="22"/>
      <c r="F2982" s="22">
        <f>(0)</f>
      </c>
      <c r="G2982" s="22">
        <f>(C2982 * E2982 + C2982 * E2982 * F2982)</f>
      </c>
    </row>
    <row r="2983">
      <c r="A2983" s="4"/>
      <c r="B2983" s="12" t="s">
        <v>1698</v>
      </c>
      <c r="C2983" s="21"/>
      <c r="D2983" s="21"/>
      <c r="E2983" s="21"/>
      <c r="F2983" s="21"/>
      <c r="G2983" s="21"/>
    </row>
    <row r="2984">
      <c r="A2984" s="5"/>
      <c r="B2984" s="13" t="s">
        <v>932</v>
      </c>
      <c r="C2984" s="22">
        <f>(2)*(1)*(1)*(1)*(1 + (0))</f>
      </c>
      <c r="D2984" s="22" t="s">
        <v>162</v>
      </c>
      <c r="E2984" s="22"/>
      <c r="F2984" s="22">
        <f>(0)</f>
      </c>
      <c r="G2984" s="22">
        <f>(C2984 * E2984 + C2984 * E2984 * F2984)</f>
      </c>
    </row>
    <row r="2985">
      <c r="A2985" s="2"/>
      <c r="B2985" s="10" t="s">
        <v>935</v>
      </c>
      <c r="C2985" s="19"/>
      <c r="D2985" s="19"/>
      <c r="E2985" s="19"/>
      <c r="F2985" s="19"/>
      <c r="G2985" s="19"/>
    </row>
    <row r="2986">
      <c r="A2986" s="3"/>
      <c r="B2986" s="11" t="s">
        <v>37</v>
      </c>
      <c r="C2986" s="20"/>
      <c r="D2986" s="20"/>
      <c r="E2986" s="20"/>
      <c r="F2986" s="20"/>
      <c r="G2986" s="20"/>
    </row>
    <row r="2987">
      <c r="A2987" s="5" t="s">
        <v>936</v>
      </c>
      <c r="B2987" s="14" t="s">
        <v>39</v>
      </c>
      <c r="C2987" s="22"/>
      <c r="D2987" s="22" t="s">
        <v>10</v>
      </c>
      <c r="E2987" s="22"/>
      <c r="F2987" s="22">
        <f>(0)</f>
      </c>
      <c r="G2987" s="22">
        <f>(C2987 * E2987 + C2987 * E2987 * F2987)</f>
      </c>
    </row>
    <row r="2988">
      <c r="A2988" s="5" t="s">
        <v>937</v>
      </c>
      <c r="B2988" s="14" t="s">
        <v>41</v>
      </c>
      <c r="C2988" s="22"/>
      <c r="D2988" s="22" t="s">
        <v>10</v>
      </c>
      <c r="E2988" s="22"/>
      <c r="F2988" s="22">
        <f>(0)</f>
      </c>
      <c r="G2988" s="22">
        <f>(C2988 * E2988 + C2988 * E2988 * F2988)</f>
      </c>
    </row>
    <row r="2989">
      <c r="A2989" s="3"/>
      <c r="B2989" s="11" t="s">
        <v>42</v>
      </c>
      <c r="C2989" s="20"/>
      <c r="D2989" s="20"/>
      <c r="E2989" s="20"/>
      <c r="F2989" s="20"/>
      <c r="G2989" s="20"/>
    </row>
    <row r="2990">
      <c r="A2990" s="5"/>
      <c r="B2990" s="14" t="s">
        <v>938</v>
      </c>
      <c r="C2990" s="22"/>
      <c r="D2990" s="22" t="s">
        <v>10</v>
      </c>
      <c r="E2990" s="22"/>
      <c r="F2990" s="22">
        <f>(0)</f>
      </c>
      <c r="G2990" s="22">
        <f>(C2990 * E2990 + C2990 * E2990 * F2990)</f>
      </c>
    </row>
    <row r="2991">
      <c r="A2991" s="5"/>
      <c r="B2991" s="14" t="s">
        <v>762</v>
      </c>
      <c r="C2991" s="22"/>
      <c r="D2991" s="22" t="s">
        <v>10</v>
      </c>
      <c r="E2991" s="22"/>
      <c r="F2991" s="22">
        <f>(0)</f>
      </c>
      <c r="G2991" s="22">
        <f>(C2991 * E2991 + C2991 * E2991 * F2991)</f>
      </c>
    </row>
    <row r="2992">
      <c r="A2992" s="5"/>
      <c r="B2992" s="14" t="s">
        <v>763</v>
      </c>
      <c r="C2992" s="22"/>
      <c r="D2992" s="22" t="s">
        <v>10</v>
      </c>
      <c r="E2992" s="22"/>
      <c r="F2992" s="22">
        <f>(0)</f>
      </c>
      <c r="G2992" s="22">
        <f>(C2992 * E2992 + C2992 * E2992 * F2992)</f>
      </c>
    </row>
    <row r="2993">
      <c r="A2993" s="5"/>
      <c r="B2993" s="14" t="s">
        <v>939</v>
      </c>
      <c r="C2993" s="22"/>
      <c r="D2993" s="22" t="s">
        <v>10</v>
      </c>
      <c r="E2993" s="22"/>
      <c r="F2993" s="22">
        <f>(0)</f>
      </c>
      <c r="G2993" s="22">
        <f>(C2993 * E2993 + C2993 * E2993 * F2993)</f>
      </c>
    </row>
    <row r="2994">
      <c r="A2994" s="3"/>
      <c r="B2994" s="11" t="s">
        <v>44</v>
      </c>
      <c r="C2994" s="20"/>
      <c r="D2994" s="20"/>
      <c r="E2994" s="20"/>
      <c r="F2994" s="20"/>
      <c r="G2994" s="20"/>
    </row>
    <row r="2995">
      <c r="A2995" s="4"/>
      <c r="B2995" s="12" t="s">
        <v>45</v>
      </c>
      <c r="C2995" s="21"/>
      <c r="D2995" s="21"/>
      <c r="E2995" s="21"/>
      <c r="F2995" s="21"/>
      <c r="G2995" s="21"/>
    </row>
    <row r="2996">
      <c r="A2996" s="5" t="s">
        <v>940</v>
      </c>
      <c r="B2996" s="13" t="s">
        <v>123</v>
      </c>
      <c r="C2996" s="22"/>
      <c r="D2996" s="22" t="s">
        <v>10</v>
      </c>
      <c r="E2996" s="22"/>
      <c r="F2996" s="22">
        <f>(0)</f>
      </c>
      <c r="G2996" s="22">
        <f>(C2996 * E2996 + C2996 * E2996 * F2996)</f>
      </c>
    </row>
    <row r="2997">
      <c r="A2997" s="6"/>
      <c r="B2997" s="15" t="s">
        <v>771</v>
      </c>
      <c r="C2997" s="23"/>
      <c r="D2997" s="23"/>
      <c r="E2997" s="23"/>
      <c r="F2997" s="23"/>
      <c r="G2997" s="23"/>
    </row>
    <row r="2998">
      <c r="A2998" s="5" t="s">
        <v>772</v>
      </c>
      <c r="B2998" s="16" t="s">
        <v>528</v>
      </c>
      <c r="C2998" s="22"/>
      <c r="D2998" s="22" t="s">
        <v>10</v>
      </c>
      <c r="E2998" s="22"/>
      <c r="F2998" s="22">
        <f>(0)</f>
      </c>
      <c r="G2998" s="22">
        <f>(C2998 * E2998 + C2998 * E2998 * F2998)</f>
      </c>
    </row>
    <row r="2999">
      <c r="A2999" s="5" t="s">
        <v>773</v>
      </c>
      <c r="B2999" s="16" t="s">
        <v>530</v>
      </c>
      <c r="C2999" s="22"/>
      <c r="D2999" s="22" t="s">
        <v>10</v>
      </c>
      <c r="E2999" s="22"/>
      <c r="F2999" s="22">
        <f>(0)</f>
      </c>
      <c r="G2999" s="22">
        <f>(C2999 * E2999 + C2999 * E2999 * F2999)</f>
      </c>
    </row>
    <row r="3000">
      <c r="A3000" s="5" t="s">
        <v>774</v>
      </c>
      <c r="B3000" s="16" t="s">
        <v>532</v>
      </c>
      <c r="C3000" s="22"/>
      <c r="D3000" s="22" t="s">
        <v>10</v>
      </c>
      <c r="E3000" s="22"/>
      <c r="F3000" s="22">
        <f>(0)</f>
      </c>
      <c r="G3000" s="22">
        <f>(C3000 * E3000 + C3000 * E3000 * F3000)</f>
      </c>
    </row>
    <row r="3001">
      <c r="A3001" s="5" t="s">
        <v>775</v>
      </c>
      <c r="B3001" s="16" t="s">
        <v>536</v>
      </c>
      <c r="C3001" s="22"/>
      <c r="D3001" s="22" t="s">
        <v>10</v>
      </c>
      <c r="E3001" s="22"/>
      <c r="F3001" s="22">
        <f>(0)</f>
      </c>
      <c r="G3001" s="22">
        <f>(C3001 * E3001 + C3001 * E3001 * F3001)</f>
      </c>
    </row>
    <row r="3002">
      <c r="A3002" s="5" t="s">
        <v>776</v>
      </c>
      <c r="B3002" s="16" t="s">
        <v>777</v>
      </c>
      <c r="C3002" s="22"/>
      <c r="D3002" s="22" t="s">
        <v>10</v>
      </c>
      <c r="E3002" s="22"/>
      <c r="F3002" s="22">
        <f>(0)</f>
      </c>
      <c r="G3002" s="22">
        <f>(C3002 * E3002 + C3002 * E3002 * F3002)</f>
      </c>
    </row>
    <row r="3003">
      <c r="A3003" s="6"/>
      <c r="B3003" s="15" t="s">
        <v>778</v>
      </c>
      <c r="C3003" s="23"/>
      <c r="D3003" s="23"/>
      <c r="E3003" s="23"/>
      <c r="F3003" s="23"/>
      <c r="G3003" s="23"/>
    </row>
    <row r="3004">
      <c r="A3004" s="5" t="s">
        <v>779</v>
      </c>
      <c r="B3004" s="16" t="s">
        <v>780</v>
      </c>
      <c r="C3004" s="22"/>
      <c r="D3004" s="22" t="s">
        <v>10</v>
      </c>
      <c r="E3004" s="22"/>
      <c r="F3004" s="22">
        <f>(0)</f>
      </c>
      <c r="G3004" s="22">
        <f>(C3004 * E3004 + C3004 * E3004 * F3004)</f>
      </c>
    </row>
    <row r="3005">
      <c r="A3005" s="5" t="s">
        <v>781</v>
      </c>
      <c r="B3005" s="16" t="s">
        <v>782</v>
      </c>
      <c r="C3005" s="22"/>
      <c r="D3005" s="22" t="s">
        <v>10</v>
      </c>
      <c r="E3005" s="22"/>
      <c r="F3005" s="22">
        <f>(0)</f>
      </c>
      <c r="G3005" s="22">
        <f>(C3005 * E3005 + C3005 * E3005 * F3005)</f>
      </c>
    </row>
    <row r="3006">
      <c r="A3006" s="5" t="s">
        <v>783</v>
      </c>
      <c r="B3006" s="16" t="s">
        <v>784</v>
      </c>
      <c r="C3006" s="22"/>
      <c r="D3006" s="22" t="s">
        <v>10</v>
      </c>
      <c r="E3006" s="22"/>
      <c r="F3006" s="22">
        <f>(0)</f>
      </c>
      <c r="G3006" s="22">
        <f>(C3006 * E3006 + C3006 * E3006 * F3006)</f>
      </c>
    </row>
    <row r="3007">
      <c r="A3007" s="5" t="s">
        <v>785</v>
      </c>
      <c r="B3007" s="16" t="s">
        <v>786</v>
      </c>
      <c r="C3007" s="22"/>
      <c r="D3007" s="22" t="s">
        <v>10</v>
      </c>
      <c r="E3007" s="22"/>
      <c r="F3007" s="22">
        <f>(0)</f>
      </c>
      <c r="G3007" s="22">
        <f>(C3007 * E3007 + C3007 * E3007 * F3007)</f>
      </c>
    </row>
    <row r="3008">
      <c r="A3008" s="5" t="s">
        <v>787</v>
      </c>
      <c r="B3008" s="16" t="s">
        <v>788</v>
      </c>
      <c r="C3008" s="22"/>
      <c r="D3008" s="22" t="s">
        <v>10</v>
      </c>
      <c r="E3008" s="22"/>
      <c r="F3008" s="22">
        <f>(0)</f>
      </c>
      <c r="G3008" s="22">
        <f>(C3008 * E3008 + C3008 * E3008 * F3008)</f>
      </c>
    </row>
    <row r="3009">
      <c r="A3009" s="5" t="s">
        <v>789</v>
      </c>
      <c r="B3009" s="16" t="s">
        <v>769</v>
      </c>
      <c r="C3009" s="22"/>
      <c r="D3009" s="22" t="s">
        <v>10</v>
      </c>
      <c r="E3009" s="22"/>
      <c r="F3009" s="22">
        <f>(0)</f>
      </c>
      <c r="G3009" s="22">
        <f>(C3009 * E3009 + C3009 * E3009 * F3009)</f>
      </c>
    </row>
    <row r="3010">
      <c r="A3010" s="6"/>
      <c r="B3010" s="15" t="s">
        <v>790</v>
      </c>
      <c r="C3010" s="23"/>
      <c r="D3010" s="23"/>
      <c r="E3010" s="23"/>
      <c r="F3010" s="23"/>
      <c r="G3010" s="23"/>
    </row>
    <row r="3011">
      <c r="A3011" s="5" t="s">
        <v>791</v>
      </c>
      <c r="B3011" s="16" t="s">
        <v>652</v>
      </c>
      <c r="C3011" s="22"/>
      <c r="D3011" s="22" t="s">
        <v>10</v>
      </c>
      <c r="E3011" s="22"/>
      <c r="F3011" s="22">
        <f>(0)</f>
      </c>
      <c r="G3011" s="22">
        <f>(C3011 * E3011 + C3011 * E3011 * F3011)</f>
      </c>
    </row>
    <row r="3012">
      <c r="A3012" s="5" t="s">
        <v>792</v>
      </c>
      <c r="B3012" s="16" t="s">
        <v>700</v>
      </c>
      <c r="C3012" s="22"/>
      <c r="D3012" s="22" t="s">
        <v>10</v>
      </c>
      <c r="E3012" s="22"/>
      <c r="F3012" s="22">
        <f>(0)</f>
      </c>
      <c r="G3012" s="22">
        <f>(C3012 * E3012 + C3012 * E3012 * F3012)</f>
      </c>
    </row>
    <row r="3013">
      <c r="A3013" s="5" t="s">
        <v>793</v>
      </c>
      <c r="B3013" s="16" t="s">
        <v>650</v>
      </c>
      <c r="C3013" s="22"/>
      <c r="D3013" s="22" t="s">
        <v>10</v>
      </c>
      <c r="E3013" s="22"/>
      <c r="F3013" s="22">
        <f>(0)</f>
      </c>
      <c r="G3013" s="22">
        <f>(C3013 * E3013 + C3013 * E3013 * F3013)</f>
      </c>
    </row>
    <row r="3014">
      <c r="A3014" s="3"/>
      <c r="B3014" s="11" t="s">
        <v>68</v>
      </c>
      <c r="C3014" s="20"/>
      <c r="D3014" s="20"/>
      <c r="E3014" s="20"/>
      <c r="F3014" s="20"/>
      <c r="G3014" s="20"/>
    </row>
    <row r="3015">
      <c r="A3015" s="5" t="s">
        <v>807</v>
      </c>
      <c r="B3015" s="14" t="s">
        <v>808</v>
      </c>
      <c r="C3015" s="22">
        <f>(1)*(1)*(1)*(1)*(1 + (0))</f>
      </c>
      <c r="D3015" s="22" t="s">
        <v>71</v>
      </c>
      <c r="E3015" s="22"/>
      <c r="F3015" s="22">
        <f>(0)</f>
      </c>
      <c r="G3015" s="22">
        <f>(C3015 * E3015 + C3015 * E3015 * F3015)</f>
      </c>
    </row>
    <row r="3016">
      <c r="A3016" s="5" t="s">
        <v>809</v>
      </c>
      <c r="B3016" s="14" t="s">
        <v>810</v>
      </c>
      <c r="C3016" s="22">
        <f>(1)*(1)*(1)*(1)*(1 + (0))</f>
      </c>
      <c r="D3016" s="22" t="s">
        <v>71</v>
      </c>
      <c r="E3016" s="22"/>
      <c r="F3016" s="22">
        <f>(0)</f>
      </c>
      <c r="G3016" s="22">
        <f>(C3016 * E3016 + C3016 * E3016 * F3016)</f>
      </c>
    </row>
    <row r="3017">
      <c r="A3017" s="5" t="s">
        <v>811</v>
      </c>
      <c r="B3017" s="14" t="s">
        <v>812</v>
      </c>
      <c r="C3017" s="22">
        <f>(1)*(1)*(1)*(1)*(1 + (0))</f>
      </c>
      <c r="D3017" s="22" t="s">
        <v>71</v>
      </c>
      <c r="E3017" s="22"/>
      <c r="F3017" s="22">
        <f>(0)</f>
      </c>
      <c r="G3017" s="22">
        <f>(C3017 * E3017 + C3017 * E3017 * F3017)</f>
      </c>
    </row>
    <row r="3018">
      <c r="A3018" s="5" t="s">
        <v>941</v>
      </c>
      <c r="B3018" s="14" t="s">
        <v>447</v>
      </c>
      <c r="C3018" s="22">
        <f>(1)*(1)*(1)*(1)*(1 + (0))</f>
      </c>
      <c r="D3018" s="22" t="s">
        <v>71</v>
      </c>
      <c r="E3018" s="22"/>
      <c r="F3018" s="22">
        <f>(0)</f>
      </c>
      <c r="G3018" s="22">
        <f>(C3018 * E3018 + C3018 * E3018 * F3018)</f>
      </c>
    </row>
    <row r="3019">
      <c r="A3019" s="5" t="s">
        <v>942</v>
      </c>
      <c r="B3019" s="14" t="s">
        <v>70</v>
      </c>
      <c r="C3019" s="22">
        <f>(1)*(1)*(1)*(1)*(1 + (0))</f>
      </c>
      <c r="D3019" s="22" t="s">
        <v>71</v>
      </c>
      <c r="E3019" s="22"/>
      <c r="F3019" s="22">
        <f>(0)</f>
      </c>
      <c r="G3019" s="22">
        <f>(C3019 * E3019 + C3019 * E3019 * F3019)</f>
      </c>
    </row>
    <row r="3020">
      <c r="A3020" s="5" t="s">
        <v>813</v>
      </c>
      <c r="B3020" s="14" t="s">
        <v>814</v>
      </c>
      <c r="C3020" s="22">
        <f>(1)*(1)*(1)*(1)*(1 + (0))</f>
      </c>
      <c r="D3020" s="22" t="s">
        <v>71</v>
      </c>
      <c r="E3020" s="22"/>
      <c r="F3020" s="22">
        <f>(0)</f>
      </c>
      <c r="G3020" s="22">
        <f>(C3020 * E3020 + C3020 * E3020 * F3020)</f>
      </c>
    </row>
    <row r="3021">
      <c r="A3021" s="5" t="s">
        <v>815</v>
      </c>
      <c r="B3021" s="14" t="s">
        <v>816</v>
      </c>
      <c r="C3021" s="22">
        <f>(1)*(1)*(1)*(1)*(1 + (0))</f>
      </c>
      <c r="D3021" s="22" t="s">
        <v>71</v>
      </c>
      <c r="E3021" s="22"/>
      <c r="F3021" s="22">
        <f>(0)</f>
      </c>
      <c r="G3021" s="22">
        <f>(C3021 * E3021 + C3021 * E3021 * F3021)</f>
      </c>
    </row>
    <row r="3022">
      <c r="A3022" s="5" t="s">
        <v>943</v>
      </c>
      <c r="B3022" s="14" t="s">
        <v>798</v>
      </c>
      <c r="C3022" s="22">
        <f>(1)*(1)*(1)*(1)*(1 + (0))</f>
      </c>
      <c r="D3022" s="22" t="s">
        <v>71</v>
      </c>
      <c r="E3022" s="22"/>
      <c r="F3022" s="22">
        <f>(0)</f>
      </c>
      <c r="G3022" s="22">
        <f>(C3022 * E3022 + C3022 * E3022 * F3022)</f>
      </c>
    </row>
    <row r="3023">
      <c r="A3023" s="5" t="s">
        <v>944</v>
      </c>
      <c r="B3023" s="14" t="s">
        <v>800</v>
      </c>
      <c r="C3023" s="22">
        <f>(1)*(1)*(1)*(1)*(1 + (0))</f>
      </c>
      <c r="D3023" s="22" t="s">
        <v>71</v>
      </c>
      <c r="E3023" s="22"/>
      <c r="F3023" s="22">
        <f>(0)</f>
      </c>
      <c r="G3023" s="22">
        <f>(C3023 * E3023 + C3023 * E3023 * F3023)</f>
      </c>
    </row>
    <row r="3024">
      <c r="A3024" s="5" t="s">
        <v>817</v>
      </c>
      <c r="B3024" s="14" t="s">
        <v>667</v>
      </c>
      <c r="C3024" s="22">
        <f>(1)*(1)*(1)*(1)*(1 + (0))</f>
      </c>
      <c r="D3024" s="22" t="s">
        <v>71</v>
      </c>
      <c r="E3024" s="22"/>
      <c r="F3024" s="22">
        <f>(0)</f>
      </c>
      <c r="G3024" s="22">
        <f>(C3024 * E3024 + C3024 * E3024 * F3024)</f>
      </c>
    </row>
    <row r="3025">
      <c r="A3025" s="5" t="s">
        <v>945</v>
      </c>
      <c r="B3025" s="14" t="s">
        <v>665</v>
      </c>
      <c r="C3025" s="22">
        <f>(1)*(1)*(1)*(1)*(1 + (0))</f>
      </c>
      <c r="D3025" s="22" t="s">
        <v>71</v>
      </c>
      <c r="E3025" s="22"/>
      <c r="F3025" s="22">
        <f>(0)</f>
      </c>
      <c r="G3025" s="22">
        <f>(C3025 * E3025 + C3025 * E3025 * F3025)</f>
      </c>
    </row>
    <row r="3026">
      <c r="A3026" s="3"/>
      <c r="B3026" s="11" t="s">
        <v>106</v>
      </c>
      <c r="C3026" s="20"/>
      <c r="D3026" s="20"/>
      <c r="E3026" s="20"/>
      <c r="F3026" s="20"/>
      <c r="G3026" s="20"/>
    </row>
    <row r="3027">
      <c r="A3027" s="5"/>
      <c r="B3027" s="14" t="s">
        <v>946</v>
      </c>
      <c r="C3027" s="22"/>
      <c r="D3027" s="22" t="s">
        <v>10</v>
      </c>
      <c r="E3027" s="22"/>
      <c r="F3027" s="22">
        <f>(0)</f>
      </c>
      <c r="G3027" s="22">
        <f>(C3027 * E3027 + C3027 * E3027 * F3027)</f>
      </c>
    </row>
    <row r="3028">
      <c r="A3028" s="3"/>
      <c r="B3028" s="11" t="s">
        <v>947</v>
      </c>
      <c r="C3028" s="20"/>
      <c r="D3028" s="20"/>
      <c r="E3028" s="20"/>
      <c r="F3028" s="20"/>
      <c r="G3028" s="20"/>
    </row>
    <row r="3029">
      <c r="A3029" s="4"/>
      <c r="B3029" s="12" t="s">
        <v>948</v>
      </c>
      <c r="C3029" s="21"/>
      <c r="D3029" s="21"/>
      <c r="E3029" s="21"/>
      <c r="F3029" s="21"/>
      <c r="G3029" s="21"/>
    </row>
    <row r="3030">
      <c r="A3030" s="6"/>
      <c r="B3030" s="15" t="s">
        <v>949</v>
      </c>
      <c r="C3030" s="23"/>
      <c r="D3030" s="23"/>
      <c r="E3030" s="23"/>
      <c r="F3030" s="23"/>
      <c r="G3030" s="23"/>
    </row>
    <row r="3031">
      <c r="A3031" s="5"/>
      <c r="B3031" s="16" t="s">
        <v>1729</v>
      </c>
      <c r="C3031" s="22">
        <f>(9)*(1)*(1)*(1)*(1 + (0))</f>
      </c>
      <c r="D3031" s="22" t="s">
        <v>24</v>
      </c>
      <c r="E3031" s="22"/>
      <c r="F3031" s="22">
        <f>(0)</f>
      </c>
      <c r="G3031" s="22">
        <f>(C3031 * E3031 + C3031 * E3031 * F3031)</f>
      </c>
    </row>
    <row r="3032">
      <c r="A3032" s="6"/>
      <c r="B3032" s="15" t="s">
        <v>1730</v>
      </c>
      <c r="C3032" s="23"/>
      <c r="D3032" s="23"/>
      <c r="E3032" s="23"/>
      <c r="F3032" s="23"/>
      <c r="G3032" s="23"/>
    </row>
    <row r="3033">
      <c r="A3033" s="5"/>
      <c r="B3033" s="16" t="s">
        <v>1729</v>
      </c>
      <c r="C3033" s="22">
        <f>(7)*(1)*(1)*(1)*(1 + (0))</f>
      </c>
      <c r="D3033" s="22" t="s">
        <v>24</v>
      </c>
      <c r="E3033" s="22"/>
      <c r="F3033" s="22">
        <f>(0)</f>
      </c>
      <c r="G3033" s="22">
        <f>(C3033 * E3033 + C3033 * E3033 * F3033)</f>
      </c>
    </row>
    <row r="3034">
      <c r="A3034" s="5"/>
      <c r="B3034" s="16" t="s">
        <v>1731</v>
      </c>
      <c r="C3034" s="22">
        <f>(4)*(1)*(1)*(1)*(1 + (0))</f>
      </c>
      <c r="D3034" s="22" t="s">
        <v>24</v>
      </c>
      <c r="E3034" s="22"/>
      <c r="F3034" s="22">
        <f>(0)</f>
      </c>
      <c r="G3034" s="22">
        <f>(C3034 * E3034 + C3034 * E3034 * F3034)</f>
      </c>
    </row>
    <row r="3035">
      <c r="A3035" s="5"/>
      <c r="B3035" s="16" t="s">
        <v>959</v>
      </c>
      <c r="C3035" s="22">
        <f>(7)*(1)*(1)*(1)*(1 + (0))</f>
      </c>
      <c r="D3035" s="22" t="s">
        <v>24</v>
      </c>
      <c r="E3035" s="22"/>
      <c r="F3035" s="22">
        <f>(0)</f>
      </c>
      <c r="G3035" s="22">
        <f>(C3035 * E3035 + C3035 * E3035 * F3035)</f>
      </c>
    </row>
    <row r="3036">
      <c r="A3036" s="4"/>
      <c r="B3036" s="12" t="s">
        <v>953</v>
      </c>
      <c r="C3036" s="21"/>
      <c r="D3036" s="21"/>
      <c r="E3036" s="21"/>
      <c r="F3036" s="21"/>
      <c r="G3036" s="21"/>
    </row>
    <row r="3037">
      <c r="A3037" s="6"/>
      <c r="B3037" s="15" t="s">
        <v>1732</v>
      </c>
      <c r="C3037" s="23"/>
      <c r="D3037" s="23"/>
      <c r="E3037" s="23"/>
      <c r="F3037" s="23"/>
      <c r="G3037" s="23"/>
    </row>
    <row r="3038">
      <c r="A3038" s="5"/>
      <c r="B3038" s="16" t="s">
        <v>1729</v>
      </c>
      <c r="C3038" s="22">
        <f>(11)*(1)*(1)*(1)*(1 + (0))</f>
      </c>
      <c r="D3038" s="22" t="s">
        <v>24</v>
      </c>
      <c r="E3038" s="22"/>
      <c r="F3038" s="22">
        <f>(0)</f>
      </c>
      <c r="G3038" s="22">
        <f>(C3038 * E3038 + C3038 * E3038 * F3038)</f>
      </c>
    </row>
    <row r="3039">
      <c r="A3039" s="5"/>
      <c r="B3039" s="16" t="s">
        <v>1731</v>
      </c>
      <c r="C3039" s="22">
        <f>(63)*(1)*(1)*(1)*(1 + (0))</f>
      </c>
      <c r="D3039" s="22" t="s">
        <v>24</v>
      </c>
      <c r="E3039" s="22"/>
      <c r="F3039" s="22">
        <f>(0)</f>
      </c>
      <c r="G3039" s="22">
        <f>(C3039 * E3039 + C3039 * E3039 * F3039)</f>
      </c>
    </row>
    <row r="3040">
      <c r="A3040" s="4"/>
      <c r="B3040" s="12" t="s">
        <v>955</v>
      </c>
      <c r="C3040" s="21"/>
      <c r="D3040" s="21"/>
      <c r="E3040" s="21"/>
      <c r="F3040" s="21"/>
      <c r="G3040" s="21"/>
    </row>
    <row r="3041">
      <c r="A3041" s="6"/>
      <c r="B3041" s="15" t="s">
        <v>956</v>
      </c>
      <c r="C3041" s="23"/>
      <c r="D3041" s="23"/>
      <c r="E3041" s="23"/>
      <c r="F3041" s="23"/>
      <c r="G3041" s="23"/>
    </row>
    <row r="3042">
      <c r="A3042" s="5"/>
      <c r="B3042" s="16" t="s">
        <v>1729</v>
      </c>
      <c r="C3042" s="22">
        <f>(255)*(1)*(1)*(1)*(1 + (0))</f>
      </c>
      <c r="D3042" s="22" t="s">
        <v>24</v>
      </c>
      <c r="E3042" s="22"/>
      <c r="F3042" s="22">
        <f>(0)</f>
      </c>
      <c r="G3042" s="22">
        <f>(C3042 * E3042 + C3042 * E3042 * F3042)</f>
      </c>
    </row>
    <row r="3043">
      <c r="A3043" s="5"/>
      <c r="B3043" s="16" t="s">
        <v>1731</v>
      </c>
      <c r="C3043" s="22">
        <f>(339)*(1)*(1)*(1)*(1 + (0))</f>
      </c>
      <c r="D3043" s="22" t="s">
        <v>24</v>
      </c>
      <c r="E3043" s="22"/>
      <c r="F3043" s="22">
        <f>(0)</f>
      </c>
      <c r="G3043" s="22">
        <f>(C3043 * E3043 + C3043 * E3043 * F3043)</f>
      </c>
    </row>
    <row r="3044">
      <c r="A3044" s="6"/>
      <c r="B3044" s="15" t="s">
        <v>958</v>
      </c>
      <c r="C3044" s="23"/>
      <c r="D3044" s="23"/>
      <c r="E3044" s="23"/>
      <c r="F3044" s="23"/>
      <c r="G3044" s="23"/>
    </row>
    <row r="3045">
      <c r="A3045" s="5"/>
      <c r="B3045" s="16" t="s">
        <v>1729</v>
      </c>
      <c r="C3045" s="22">
        <f>(57)*(1)*(1)*(1)*(1 + (0))</f>
      </c>
      <c r="D3045" s="22" t="s">
        <v>24</v>
      </c>
      <c r="E3045" s="22"/>
      <c r="F3045" s="22">
        <f>(0)</f>
      </c>
      <c r="G3045" s="22">
        <f>(C3045 * E3045 + C3045 * E3045 * F3045)</f>
      </c>
    </row>
    <row r="3046">
      <c r="A3046" s="5"/>
      <c r="B3046" s="16" t="s">
        <v>1731</v>
      </c>
      <c r="C3046" s="22">
        <f>(40)*(1)*(1)*(1)*(1 + (0))</f>
      </c>
      <c r="D3046" s="22" t="s">
        <v>24</v>
      </c>
      <c r="E3046" s="22"/>
      <c r="F3046" s="22">
        <f>(0)</f>
      </c>
      <c r="G3046" s="22">
        <f>(C3046 * E3046 + C3046 * E3046 * F3046)</f>
      </c>
    </row>
    <row r="3047">
      <c r="A3047" s="3"/>
      <c r="B3047" s="11" t="s">
        <v>960</v>
      </c>
      <c r="C3047" s="20"/>
      <c r="D3047" s="20"/>
      <c r="E3047" s="20"/>
      <c r="F3047" s="20"/>
      <c r="G3047" s="20"/>
    </row>
    <row r="3048">
      <c r="A3048" s="4"/>
      <c r="B3048" s="12" t="s">
        <v>948</v>
      </c>
      <c r="C3048" s="21"/>
      <c r="D3048" s="21"/>
      <c r="E3048" s="21"/>
      <c r="F3048" s="21"/>
      <c r="G3048" s="21"/>
    </row>
    <row r="3049">
      <c r="A3049" s="6"/>
      <c r="B3049" s="15" t="s">
        <v>962</v>
      </c>
      <c r="C3049" s="23"/>
      <c r="D3049" s="23"/>
      <c r="E3049" s="23"/>
      <c r="F3049" s="23"/>
      <c r="G3049" s="23"/>
    </row>
    <row r="3050">
      <c r="A3050" s="5"/>
      <c r="B3050" s="16" t="s">
        <v>1729</v>
      </c>
      <c r="C3050" s="22">
        <f>(43)*(1)*(1)*(1)*(1 + (0))</f>
      </c>
      <c r="D3050" s="22" t="s">
        <v>24</v>
      </c>
      <c r="E3050" s="22"/>
      <c r="F3050" s="22">
        <f>(0)</f>
      </c>
      <c r="G3050" s="22">
        <f>(C3050 * E3050 + C3050 * E3050 * F3050)</f>
      </c>
    </row>
    <row r="3051">
      <c r="A3051" s="6"/>
      <c r="B3051" s="15" t="s">
        <v>1733</v>
      </c>
      <c r="C3051" s="23"/>
      <c r="D3051" s="23"/>
      <c r="E3051" s="23"/>
      <c r="F3051" s="23"/>
      <c r="G3051" s="23"/>
    </row>
    <row r="3052">
      <c r="A3052" s="5"/>
      <c r="B3052" s="16" t="s">
        <v>1731</v>
      </c>
      <c r="C3052" s="22">
        <f>(8)*(1)*(1)*(1)*(1 + (0))</f>
      </c>
      <c r="D3052" s="22" t="s">
        <v>24</v>
      </c>
      <c r="E3052" s="22"/>
      <c r="F3052" s="22">
        <f>(0)</f>
      </c>
      <c r="G3052" s="22">
        <f>(C3052 * E3052 + C3052 * E3052 * F3052)</f>
      </c>
    </row>
    <row r="3053">
      <c r="A3053" s="6"/>
      <c r="B3053" s="15" t="s">
        <v>1734</v>
      </c>
      <c r="C3053" s="23"/>
      <c r="D3053" s="23"/>
      <c r="E3053" s="23"/>
      <c r="F3053" s="23"/>
      <c r="G3053" s="23"/>
    </row>
    <row r="3054">
      <c r="A3054" s="5"/>
      <c r="B3054" s="16" t="s">
        <v>1729</v>
      </c>
      <c r="C3054" s="22">
        <f>(31)*(1)*(1)*(1)*(1 + (0))</f>
      </c>
      <c r="D3054" s="22" t="s">
        <v>24</v>
      </c>
      <c r="E3054" s="22"/>
      <c r="F3054" s="22">
        <f>(0)</f>
      </c>
      <c r="G3054" s="22">
        <f>(C3054 * E3054 + C3054 * E3054 * F3054)</f>
      </c>
    </row>
    <row r="3055">
      <c r="A3055" s="6"/>
      <c r="B3055" s="15" t="s">
        <v>964</v>
      </c>
      <c r="C3055" s="23"/>
      <c r="D3055" s="23"/>
      <c r="E3055" s="23"/>
      <c r="F3055" s="23"/>
      <c r="G3055" s="23"/>
    </row>
    <row r="3056">
      <c r="A3056" s="5"/>
      <c r="B3056" s="16" t="s">
        <v>1729</v>
      </c>
      <c r="C3056" s="22">
        <f>(16)*(1)*(1)*(1)*(1 + (0))</f>
      </c>
      <c r="D3056" s="22" t="s">
        <v>24</v>
      </c>
      <c r="E3056" s="22"/>
      <c r="F3056" s="22">
        <f>(0)</f>
      </c>
      <c r="G3056" s="22">
        <f>(C3056 * E3056 + C3056 * E3056 * F3056)</f>
      </c>
    </row>
    <row r="3057">
      <c r="A3057" s="6"/>
      <c r="B3057" s="15" t="s">
        <v>965</v>
      </c>
      <c r="C3057" s="23"/>
      <c r="D3057" s="23"/>
      <c r="E3057" s="23"/>
      <c r="F3057" s="23"/>
      <c r="G3057" s="23"/>
    </row>
    <row r="3058">
      <c r="A3058" s="5"/>
      <c r="B3058" s="16" t="s">
        <v>1729</v>
      </c>
      <c r="C3058" s="22">
        <f>(64)*(1)*(1)*(1)*(1 + (0))</f>
      </c>
      <c r="D3058" s="22" t="s">
        <v>24</v>
      </c>
      <c r="E3058" s="22"/>
      <c r="F3058" s="22">
        <f>(0)</f>
      </c>
      <c r="G3058" s="22">
        <f>(C3058 * E3058 + C3058 * E3058 * F3058)</f>
      </c>
    </row>
    <row r="3059">
      <c r="A3059" s="6"/>
      <c r="B3059" s="15" t="s">
        <v>1735</v>
      </c>
      <c r="C3059" s="23"/>
      <c r="D3059" s="23"/>
      <c r="E3059" s="23"/>
      <c r="F3059" s="23"/>
      <c r="G3059" s="23"/>
    </row>
    <row r="3060">
      <c r="A3060" s="5"/>
      <c r="B3060" s="16" t="s">
        <v>1731</v>
      </c>
      <c r="C3060" s="22">
        <f>(12)*(1)*(1)*(1)*(1 + (0))</f>
      </c>
      <c r="D3060" s="22" t="s">
        <v>24</v>
      </c>
      <c r="E3060" s="22"/>
      <c r="F3060" s="22">
        <f>(0)</f>
      </c>
      <c r="G3060" s="22">
        <f>(C3060 * E3060 + C3060 * E3060 * F3060)</f>
      </c>
    </row>
    <row r="3061">
      <c r="A3061" s="6"/>
      <c r="B3061" s="15" t="s">
        <v>1736</v>
      </c>
      <c r="C3061" s="23"/>
      <c r="D3061" s="23"/>
      <c r="E3061" s="23"/>
      <c r="F3061" s="23"/>
      <c r="G3061" s="23"/>
    </row>
    <row r="3062">
      <c r="A3062" s="5"/>
      <c r="B3062" s="16" t="s">
        <v>1729</v>
      </c>
      <c r="C3062" s="22">
        <f>(37)*(1)*(1)*(1)*(1 + (0))</f>
      </c>
      <c r="D3062" s="22" t="s">
        <v>24</v>
      </c>
      <c r="E3062" s="22"/>
      <c r="F3062" s="22">
        <f>(0)</f>
      </c>
      <c r="G3062" s="22">
        <f>(C3062 * E3062 + C3062 * E3062 * F3062)</f>
      </c>
    </row>
    <row r="3063">
      <c r="A3063" s="4"/>
      <c r="B3063" s="12" t="s">
        <v>953</v>
      </c>
      <c r="C3063" s="21"/>
      <c r="D3063" s="21"/>
      <c r="E3063" s="21"/>
      <c r="F3063" s="21"/>
      <c r="G3063" s="21"/>
    </row>
    <row r="3064">
      <c r="A3064" s="6"/>
      <c r="B3064" s="15" t="s">
        <v>1737</v>
      </c>
      <c r="C3064" s="23"/>
      <c r="D3064" s="23"/>
      <c r="E3064" s="23"/>
      <c r="F3064" s="23"/>
      <c r="G3064" s="23"/>
    </row>
    <row r="3065">
      <c r="A3065" s="5"/>
      <c r="B3065" s="16" t="s">
        <v>1729</v>
      </c>
      <c r="C3065" s="22">
        <f>(15)*(1)*(1)*(1)*(1 + (0))</f>
      </c>
      <c r="D3065" s="22" t="s">
        <v>24</v>
      </c>
      <c r="E3065" s="22"/>
      <c r="F3065" s="22">
        <f>(0)</f>
      </c>
      <c r="G3065" s="22">
        <f>(C3065 * E3065 + C3065 * E3065 * F3065)</f>
      </c>
    </row>
    <row r="3066">
      <c r="A3066" s="6"/>
      <c r="B3066" s="15" t="s">
        <v>975</v>
      </c>
      <c r="C3066" s="23"/>
      <c r="D3066" s="23"/>
      <c r="E3066" s="23"/>
      <c r="F3066" s="23"/>
      <c r="G3066" s="23"/>
    </row>
    <row r="3067">
      <c r="A3067" s="5"/>
      <c r="B3067" s="16" t="s">
        <v>1729</v>
      </c>
      <c r="C3067" s="22">
        <f>(6)*(1)*(1)*(1)*(1 + (0))</f>
      </c>
      <c r="D3067" s="22" t="s">
        <v>24</v>
      </c>
      <c r="E3067" s="22"/>
      <c r="F3067" s="22">
        <f>(0)</f>
      </c>
      <c r="G3067" s="22">
        <f>(C3067 * E3067 + C3067 * E3067 * F3067)</f>
      </c>
    </row>
    <row r="3068">
      <c r="A3068" s="6"/>
      <c r="B3068" s="15" t="s">
        <v>973</v>
      </c>
      <c r="C3068" s="23"/>
      <c r="D3068" s="23"/>
      <c r="E3068" s="23"/>
      <c r="F3068" s="23"/>
      <c r="G3068" s="23"/>
    </row>
    <row r="3069">
      <c r="A3069" s="5"/>
      <c r="B3069" s="16" t="s">
        <v>1731</v>
      </c>
      <c r="C3069" s="22">
        <f>(4)*(1)*(1)*(1)*(1 + (0))</f>
      </c>
      <c r="D3069" s="22" t="s">
        <v>24</v>
      </c>
      <c r="E3069" s="22"/>
      <c r="F3069" s="22">
        <f>(0)</f>
      </c>
      <c r="G3069" s="22">
        <f>(C3069 * E3069 + C3069 * E3069 * F3069)</f>
      </c>
    </row>
    <row r="3070">
      <c r="A3070" s="6"/>
      <c r="B3070" s="15" t="s">
        <v>977</v>
      </c>
      <c r="C3070" s="23"/>
      <c r="D3070" s="23"/>
      <c r="E3070" s="23"/>
      <c r="F3070" s="23"/>
      <c r="G3070" s="23"/>
    </row>
    <row r="3071">
      <c r="A3071" s="5"/>
      <c r="B3071" s="16" t="s">
        <v>1729</v>
      </c>
      <c r="C3071" s="22">
        <f>(45)*(1)*(1)*(1)*(1 + (0))</f>
      </c>
      <c r="D3071" s="22" t="s">
        <v>24</v>
      </c>
      <c r="E3071" s="22"/>
      <c r="F3071" s="22">
        <f>(0)</f>
      </c>
      <c r="G3071" s="22">
        <f>(C3071 * E3071 + C3071 * E3071 * F3071)</f>
      </c>
    </row>
    <row r="3072">
      <c r="A3072" s="5"/>
      <c r="B3072" s="16" t="s">
        <v>1731</v>
      </c>
      <c r="C3072" s="22">
        <f>(87)*(1)*(1)*(1)*(1 + (0))</f>
      </c>
      <c r="D3072" s="22" t="s">
        <v>24</v>
      </c>
      <c r="E3072" s="22"/>
      <c r="F3072" s="22">
        <f>(0)</f>
      </c>
      <c r="G3072" s="22">
        <f>(C3072 * E3072 + C3072 * E3072 * F3072)</f>
      </c>
    </row>
    <row r="3073">
      <c r="A3073" s="6"/>
      <c r="B3073" s="15" t="s">
        <v>978</v>
      </c>
      <c r="C3073" s="23"/>
      <c r="D3073" s="23"/>
      <c r="E3073" s="23"/>
      <c r="F3073" s="23"/>
      <c r="G3073" s="23"/>
    </row>
    <row r="3074">
      <c r="A3074" s="5"/>
      <c r="B3074" s="16" t="s">
        <v>1731</v>
      </c>
      <c r="C3074" s="22">
        <f>(20)*(1)*(1)*(1)*(1 + (0))</f>
      </c>
      <c r="D3074" s="22" t="s">
        <v>24</v>
      </c>
      <c r="E3074" s="22"/>
      <c r="F3074" s="22">
        <f>(0)</f>
      </c>
      <c r="G3074" s="22">
        <f>(C3074 * E3074 + C3074 * E3074 * F3074)</f>
      </c>
    </row>
    <row r="3075">
      <c r="A3075" s="6"/>
      <c r="B3075" s="15" t="s">
        <v>979</v>
      </c>
      <c r="C3075" s="23"/>
      <c r="D3075" s="23"/>
      <c r="E3075" s="23"/>
      <c r="F3075" s="23"/>
      <c r="G3075" s="23"/>
    </row>
    <row r="3076">
      <c r="A3076" s="5"/>
      <c r="B3076" s="16" t="s">
        <v>1729</v>
      </c>
      <c r="C3076" s="22">
        <f>(40)*(1)*(1)*(1)*(1 + (0))</f>
      </c>
      <c r="D3076" s="22" t="s">
        <v>24</v>
      </c>
      <c r="E3076" s="22"/>
      <c r="F3076" s="22">
        <f>(0)</f>
      </c>
      <c r="G3076" s="22">
        <f>(C3076 * E3076 + C3076 * E3076 * F3076)</f>
      </c>
    </row>
    <row r="3077">
      <c r="A3077" s="6"/>
      <c r="B3077" s="15" t="s">
        <v>980</v>
      </c>
      <c r="C3077" s="23"/>
      <c r="D3077" s="23"/>
      <c r="E3077" s="23"/>
      <c r="F3077" s="23"/>
      <c r="G3077" s="23"/>
    </row>
    <row r="3078">
      <c r="A3078" s="5"/>
      <c r="B3078" s="16" t="s">
        <v>1729</v>
      </c>
      <c r="C3078" s="22">
        <f>(24)*(1)*(1)*(1)*(1 + (0))</f>
      </c>
      <c r="D3078" s="22" t="s">
        <v>24</v>
      </c>
      <c r="E3078" s="22"/>
      <c r="F3078" s="22">
        <f>(0)</f>
      </c>
      <c r="G3078" s="22">
        <f>(C3078 * E3078 + C3078 * E3078 * F3078)</f>
      </c>
    </row>
    <row r="3079">
      <c r="A3079" s="5"/>
      <c r="B3079" s="16" t="s">
        <v>1731</v>
      </c>
      <c r="C3079" s="22">
        <f>(9)*(1)*(1)*(1)*(1 + (0))</f>
      </c>
      <c r="D3079" s="22" t="s">
        <v>24</v>
      </c>
      <c r="E3079" s="22"/>
      <c r="F3079" s="22">
        <f>(0)</f>
      </c>
      <c r="G3079" s="22">
        <f>(C3079 * E3079 + C3079 * E3079 * F3079)</f>
      </c>
    </row>
    <row r="3080">
      <c r="A3080" s="6"/>
      <c r="B3080" s="15" t="s">
        <v>1738</v>
      </c>
      <c r="C3080" s="23"/>
      <c r="D3080" s="23"/>
      <c r="E3080" s="23"/>
      <c r="F3080" s="23"/>
      <c r="G3080" s="23"/>
    </row>
    <row r="3081">
      <c r="A3081" s="5"/>
      <c r="B3081" s="16" t="s">
        <v>1729</v>
      </c>
      <c r="C3081" s="22">
        <f>(42)*(1)*(1)*(1)*(1 + (0))</f>
      </c>
      <c r="D3081" s="22" t="s">
        <v>24</v>
      </c>
      <c r="E3081" s="22"/>
      <c r="F3081" s="22">
        <f>(0)</f>
      </c>
      <c r="G3081" s="22">
        <f>(C3081 * E3081 + C3081 * E3081 * F3081)</f>
      </c>
    </row>
    <row r="3082">
      <c r="A3082" s="6"/>
      <c r="B3082" s="15" t="s">
        <v>1739</v>
      </c>
      <c r="C3082" s="23"/>
      <c r="D3082" s="23"/>
      <c r="E3082" s="23"/>
      <c r="F3082" s="23"/>
      <c r="G3082" s="23"/>
    </row>
    <row r="3083">
      <c r="A3083" s="5"/>
      <c r="B3083" s="16" t="s">
        <v>1729</v>
      </c>
      <c r="C3083" s="22">
        <f>(54)*(1)*(1)*(1)*(1 + (0))</f>
      </c>
      <c r="D3083" s="22" t="s">
        <v>24</v>
      </c>
      <c r="E3083" s="22"/>
      <c r="F3083" s="22">
        <f>(0)</f>
      </c>
      <c r="G3083" s="22">
        <f>(C3083 * E3083 + C3083 * E3083 * F3083)</f>
      </c>
    </row>
    <row r="3084">
      <c r="A3084" s="5"/>
      <c r="B3084" s="16" t="s">
        <v>1731</v>
      </c>
      <c r="C3084" s="22">
        <f>(25)*(1)*(1)*(1)*(1 + (0))</f>
      </c>
      <c r="D3084" s="22" t="s">
        <v>24</v>
      </c>
      <c r="E3084" s="22"/>
      <c r="F3084" s="22">
        <f>(0)</f>
      </c>
      <c r="G3084" s="22">
        <f>(C3084 * E3084 + C3084 * E3084 * F3084)</f>
      </c>
    </row>
    <row r="3085">
      <c r="A3085" s="6"/>
      <c r="B3085" s="15" t="s">
        <v>1740</v>
      </c>
      <c r="C3085" s="23"/>
      <c r="D3085" s="23"/>
      <c r="E3085" s="23"/>
      <c r="F3085" s="23"/>
      <c r="G3085" s="23"/>
    </row>
    <row r="3086">
      <c r="A3086" s="5"/>
      <c r="B3086" s="16" t="s">
        <v>1729</v>
      </c>
      <c r="C3086" s="22">
        <f>(9)*(1)*(1)*(1)*(1 + (0))</f>
      </c>
      <c r="D3086" s="22" t="s">
        <v>24</v>
      </c>
      <c r="E3086" s="22"/>
      <c r="F3086" s="22">
        <f>(0)</f>
      </c>
      <c r="G3086" s="22">
        <f>(C3086 * E3086 + C3086 * E3086 * F3086)</f>
      </c>
    </row>
    <row r="3087">
      <c r="A3087" s="6"/>
      <c r="B3087" s="15" t="s">
        <v>1741</v>
      </c>
      <c r="C3087" s="23"/>
      <c r="D3087" s="23"/>
      <c r="E3087" s="23"/>
      <c r="F3087" s="23"/>
      <c r="G3087" s="23"/>
    </row>
    <row r="3088">
      <c r="A3088" s="5"/>
      <c r="B3088" s="16" t="s">
        <v>1729</v>
      </c>
      <c r="C3088" s="22">
        <f>(28)*(1)*(1)*(1)*(1 + (0))</f>
      </c>
      <c r="D3088" s="22" t="s">
        <v>24</v>
      </c>
      <c r="E3088" s="22"/>
      <c r="F3088" s="22">
        <f>(0)</f>
      </c>
      <c r="G3088" s="22">
        <f>(C3088 * E3088 + C3088 * E3088 * F3088)</f>
      </c>
    </row>
    <row r="3089">
      <c r="A3089" s="6"/>
      <c r="B3089" s="15" t="s">
        <v>1742</v>
      </c>
      <c r="C3089" s="23"/>
      <c r="D3089" s="23"/>
      <c r="E3089" s="23"/>
      <c r="F3089" s="23"/>
      <c r="G3089" s="23"/>
    </row>
    <row r="3090">
      <c r="A3090" s="5"/>
      <c r="B3090" s="16" t="s">
        <v>1729</v>
      </c>
      <c r="C3090" s="22">
        <f>(9)*(1)*(1)*(1)*(1 + (0))</f>
      </c>
      <c r="D3090" s="22" t="s">
        <v>24</v>
      </c>
      <c r="E3090" s="22"/>
      <c r="F3090" s="22">
        <f>(0)</f>
      </c>
      <c r="G3090" s="22">
        <f>(C3090 * E3090 + C3090 * E3090 * F3090)</f>
      </c>
    </row>
    <row r="3091">
      <c r="A3091" s="6"/>
      <c r="B3091" s="15" t="s">
        <v>1743</v>
      </c>
      <c r="C3091" s="23"/>
      <c r="D3091" s="23"/>
      <c r="E3091" s="23"/>
      <c r="F3091" s="23"/>
      <c r="G3091" s="23"/>
    </row>
    <row r="3092">
      <c r="A3092" s="5"/>
      <c r="B3092" s="16" t="s">
        <v>1731</v>
      </c>
      <c r="C3092" s="22">
        <f>(10)*(1)*(1)*(1)*(1 + (0))</f>
      </c>
      <c r="D3092" s="22" t="s">
        <v>24</v>
      </c>
      <c r="E3092" s="22"/>
      <c r="F3092" s="22">
        <f>(0)</f>
      </c>
      <c r="G3092" s="22">
        <f>(C3092 * E3092 + C3092 * E3092 * F3092)</f>
      </c>
    </row>
    <row r="3093">
      <c r="A3093" s="6"/>
      <c r="B3093" s="15" t="s">
        <v>984</v>
      </c>
      <c r="C3093" s="23"/>
      <c r="D3093" s="23"/>
      <c r="E3093" s="23"/>
      <c r="F3093" s="23"/>
      <c r="G3093" s="23"/>
    </row>
    <row r="3094">
      <c r="A3094" s="5"/>
      <c r="B3094" s="16" t="s">
        <v>1729</v>
      </c>
      <c r="C3094" s="22">
        <f>(67)*(1)*(1)*(1)*(1 + (0))</f>
      </c>
      <c r="D3094" s="22" t="s">
        <v>24</v>
      </c>
      <c r="E3094" s="22"/>
      <c r="F3094" s="22">
        <f>(0)</f>
      </c>
      <c r="G3094" s="22">
        <f>(C3094 * E3094 + C3094 * E3094 * F3094)</f>
      </c>
    </row>
    <row r="3095">
      <c r="A3095" s="5"/>
      <c r="B3095" s="16" t="s">
        <v>1731</v>
      </c>
      <c r="C3095" s="22">
        <f>(54)*(1)*(1)*(1)*(1 + (0))</f>
      </c>
      <c r="D3095" s="22" t="s">
        <v>24</v>
      </c>
      <c r="E3095" s="22"/>
      <c r="F3095" s="22">
        <f>(0)</f>
      </c>
      <c r="G3095" s="22">
        <f>(C3095 * E3095 + C3095 * E3095 * F3095)</f>
      </c>
    </row>
    <row r="3096">
      <c r="A3096" s="6"/>
      <c r="B3096" s="15" t="s">
        <v>1744</v>
      </c>
      <c r="C3096" s="23"/>
      <c r="D3096" s="23"/>
      <c r="E3096" s="23"/>
      <c r="F3096" s="23"/>
      <c r="G3096" s="23"/>
    </row>
    <row r="3097">
      <c r="A3097" s="5"/>
      <c r="B3097" s="16" t="s">
        <v>1729</v>
      </c>
      <c r="C3097" s="22">
        <f>(56)*(1)*(1)*(1)*(1 + (0))</f>
      </c>
      <c r="D3097" s="22" t="s">
        <v>24</v>
      </c>
      <c r="E3097" s="22"/>
      <c r="F3097" s="22">
        <f>(0)</f>
      </c>
      <c r="G3097" s="22">
        <f>(C3097 * E3097 + C3097 * E3097 * F3097)</f>
      </c>
    </row>
    <row r="3098">
      <c r="A3098" s="5"/>
      <c r="B3098" s="16" t="s">
        <v>1731</v>
      </c>
      <c r="C3098" s="22">
        <f>(141)*(1)*(1)*(1)*(1 + (0))</f>
      </c>
      <c r="D3098" s="22" t="s">
        <v>24</v>
      </c>
      <c r="E3098" s="22"/>
      <c r="F3098" s="22">
        <f>(0)</f>
      </c>
      <c r="G3098" s="22">
        <f>(C3098 * E3098 + C3098 * E3098 * F3098)</f>
      </c>
    </row>
    <row r="3099">
      <c r="A3099" s="4"/>
      <c r="B3099" s="12" t="s">
        <v>955</v>
      </c>
      <c r="C3099" s="21"/>
      <c r="D3099" s="21"/>
      <c r="E3099" s="21"/>
      <c r="F3099" s="21"/>
      <c r="G3099" s="21"/>
    </row>
    <row r="3100">
      <c r="A3100" s="6"/>
      <c r="B3100" s="15" t="s">
        <v>987</v>
      </c>
      <c r="C3100" s="23"/>
      <c r="D3100" s="23"/>
      <c r="E3100" s="23"/>
      <c r="F3100" s="23"/>
      <c r="G3100" s="23"/>
    </row>
    <row r="3101">
      <c r="A3101" s="5"/>
      <c r="B3101" s="16" t="s">
        <v>1729</v>
      </c>
      <c r="C3101" s="22">
        <f>(7)*(1)*(1)*(1)*(1 + (0))</f>
      </c>
      <c r="D3101" s="22" t="s">
        <v>24</v>
      </c>
      <c r="E3101" s="22"/>
      <c r="F3101" s="22">
        <f>(0)</f>
      </c>
      <c r="G3101" s="22">
        <f>(C3101 * E3101 + C3101 * E3101 * F3101)</f>
      </c>
    </row>
    <row r="3102">
      <c r="A3102" s="5"/>
      <c r="B3102" s="16" t="s">
        <v>1731</v>
      </c>
      <c r="C3102" s="22">
        <f>(5)*(1)*(1)*(1)*(1 + (0))</f>
      </c>
      <c r="D3102" s="22" t="s">
        <v>24</v>
      </c>
      <c r="E3102" s="22"/>
      <c r="F3102" s="22">
        <f>(0)</f>
      </c>
      <c r="G3102" s="22">
        <f>(C3102 * E3102 + C3102 * E3102 * F3102)</f>
      </c>
    </row>
    <row r="3103">
      <c r="A3103" s="6"/>
      <c r="B3103" s="15" t="s">
        <v>988</v>
      </c>
      <c r="C3103" s="23"/>
      <c r="D3103" s="23"/>
      <c r="E3103" s="23"/>
      <c r="F3103" s="23"/>
      <c r="G3103" s="23"/>
    </row>
    <row r="3104">
      <c r="A3104" s="5"/>
      <c r="B3104" s="16" t="s">
        <v>1729</v>
      </c>
      <c r="C3104" s="22">
        <f>(13)*(1)*(1)*(1)*(1 + (0))</f>
      </c>
      <c r="D3104" s="22" t="s">
        <v>24</v>
      </c>
      <c r="E3104" s="22"/>
      <c r="F3104" s="22">
        <f>(0)</f>
      </c>
      <c r="G3104" s="22">
        <f>(C3104 * E3104 + C3104 * E3104 * F3104)</f>
      </c>
    </row>
    <row r="3105">
      <c r="A3105" s="5"/>
      <c r="B3105" s="16" t="s">
        <v>1731</v>
      </c>
      <c r="C3105" s="22">
        <f>(18)*(1)*(1)*(1)*(1 + (0))</f>
      </c>
      <c r="D3105" s="22" t="s">
        <v>24</v>
      </c>
      <c r="E3105" s="22"/>
      <c r="F3105" s="22">
        <f>(0)</f>
      </c>
      <c r="G3105" s="22">
        <f>(C3105 * E3105 + C3105 * E3105 * F3105)</f>
      </c>
    </row>
    <row r="3106">
      <c r="A3106" s="3"/>
      <c r="B3106" s="11" t="s">
        <v>989</v>
      </c>
      <c r="C3106" s="20"/>
      <c r="D3106" s="20"/>
      <c r="E3106" s="20"/>
      <c r="F3106" s="20"/>
      <c r="G3106" s="20"/>
    </row>
    <row r="3107">
      <c r="A3107" s="4"/>
      <c r="B3107" s="12" t="s">
        <v>1745</v>
      </c>
      <c r="C3107" s="21"/>
      <c r="D3107" s="21"/>
      <c r="E3107" s="21"/>
      <c r="F3107" s="21"/>
      <c r="G3107" s="21"/>
    </row>
    <row r="3108">
      <c r="A3108" s="5"/>
      <c r="B3108" s="13" t="s">
        <v>1746</v>
      </c>
      <c r="C3108" s="22">
        <f>(70)*(1)*(1)*(1)*(1 + (0))</f>
      </c>
      <c r="D3108" s="22" t="s">
        <v>24</v>
      </c>
      <c r="E3108" s="22"/>
      <c r="F3108" s="22">
        <f>(0)</f>
      </c>
      <c r="G3108" s="22">
        <f>(C3108 * E3108 + C3108 * E3108 * F3108)</f>
      </c>
    </row>
    <row r="3109">
      <c r="A3109" s="5"/>
      <c r="B3109" s="13" t="s">
        <v>1747</v>
      </c>
      <c r="C3109" s="22">
        <f>(97)*(1)*(1)*(1)*(1 + (0))</f>
      </c>
      <c r="D3109" s="22" t="s">
        <v>24</v>
      </c>
      <c r="E3109" s="22"/>
      <c r="F3109" s="22">
        <f>(0)</f>
      </c>
      <c r="G3109" s="22">
        <f>(C3109 * E3109 + C3109 * E3109 * F3109)</f>
      </c>
    </row>
    <row r="3110">
      <c r="A3110" s="4"/>
      <c r="B3110" s="12" t="s">
        <v>1748</v>
      </c>
      <c r="C3110" s="21"/>
      <c r="D3110" s="21"/>
      <c r="E3110" s="21"/>
      <c r="F3110" s="21"/>
      <c r="G3110" s="21"/>
    </row>
    <row r="3111">
      <c r="A3111" s="5"/>
      <c r="B3111" s="13" t="s">
        <v>1746</v>
      </c>
      <c r="C3111" s="22">
        <f>(132)*(1)*(1)*(1)*(1 + (0))</f>
      </c>
      <c r="D3111" s="22" t="s">
        <v>24</v>
      </c>
      <c r="E3111" s="22"/>
      <c r="F3111" s="22">
        <f>(0)</f>
      </c>
      <c r="G3111" s="22">
        <f>(C3111 * E3111 + C3111 * E3111 * F3111)</f>
      </c>
    </row>
    <row r="3112">
      <c r="A3112" s="5"/>
      <c r="B3112" s="13" t="s">
        <v>1747</v>
      </c>
      <c r="C3112" s="22">
        <f>(187)*(1)*(1)*(1)*(1 + (0))</f>
      </c>
      <c r="D3112" s="22" t="s">
        <v>24</v>
      </c>
      <c r="E3112" s="22"/>
      <c r="F3112" s="22">
        <f>(0)</f>
      </c>
      <c r="G3112" s="22">
        <f>(C3112 * E3112 + C3112 * E3112 * F3112)</f>
      </c>
    </row>
    <row r="3113">
      <c r="A3113" s="3"/>
      <c r="B3113" s="11" t="s">
        <v>996</v>
      </c>
      <c r="C3113" s="20"/>
      <c r="D3113" s="20"/>
      <c r="E3113" s="20"/>
      <c r="F3113" s="20"/>
      <c r="G3113" s="20"/>
    </row>
    <row r="3114">
      <c r="A3114" s="4"/>
      <c r="B3114" s="12" t="s">
        <v>997</v>
      </c>
      <c r="C3114" s="21"/>
      <c r="D3114" s="21"/>
      <c r="E3114" s="21"/>
      <c r="F3114" s="21"/>
      <c r="G3114" s="21"/>
    </row>
    <row r="3115">
      <c r="A3115" s="5"/>
      <c r="B3115" s="13" t="s">
        <v>1746</v>
      </c>
      <c r="C3115" s="22">
        <f>(21)*(1)*(1)*(1)*(1 + (0))</f>
      </c>
      <c r="D3115" s="22" t="s">
        <v>24</v>
      </c>
      <c r="E3115" s="22"/>
      <c r="F3115" s="22">
        <f>(0)</f>
      </c>
      <c r="G3115" s="22">
        <f>(C3115 * E3115 + C3115 * E3115 * F3115)</f>
      </c>
    </row>
    <row r="3116">
      <c r="A3116" s="5"/>
      <c r="B3116" s="13" t="s">
        <v>1747</v>
      </c>
      <c r="C3116" s="22">
        <f>(40)*(1)*(1)*(1)*(1 + (0))</f>
      </c>
      <c r="D3116" s="22" t="s">
        <v>24</v>
      </c>
      <c r="E3116" s="22"/>
      <c r="F3116" s="22">
        <f>(0)</f>
      </c>
      <c r="G3116" s="22">
        <f>(C3116 * E3116 + C3116 * E3116 * F3116)</f>
      </c>
    </row>
    <row r="3117">
      <c r="A3117" s="3"/>
      <c r="B3117" s="11" t="s">
        <v>1749</v>
      </c>
      <c r="C3117" s="20"/>
      <c r="D3117" s="20"/>
      <c r="E3117" s="20"/>
      <c r="F3117" s="20"/>
      <c r="G3117" s="20"/>
    </row>
    <row r="3118">
      <c r="A3118" s="4"/>
      <c r="B3118" s="12" t="s">
        <v>1750</v>
      </c>
      <c r="C3118" s="21"/>
      <c r="D3118" s="21"/>
      <c r="E3118" s="21"/>
      <c r="F3118" s="21"/>
      <c r="G3118" s="21"/>
    </row>
    <row r="3119">
      <c r="A3119" s="5"/>
      <c r="B3119" s="13" t="s">
        <v>1746</v>
      </c>
      <c r="C3119" s="22">
        <f>(17)*(1)*(1)*(1)*(1 + (0))</f>
      </c>
      <c r="D3119" s="22" t="s">
        <v>153</v>
      </c>
      <c r="E3119" s="22"/>
      <c r="F3119" s="22">
        <f>(0)</f>
      </c>
      <c r="G3119" s="22">
        <f>(C3119 * E3119 + C3119 * E3119 * F3119)</f>
      </c>
    </row>
    <row r="3120">
      <c r="A3120" s="3"/>
      <c r="B3120" s="11" t="s">
        <v>998</v>
      </c>
      <c r="C3120" s="20"/>
      <c r="D3120" s="20"/>
      <c r="E3120" s="20"/>
      <c r="F3120" s="20"/>
      <c r="G3120" s="20"/>
    </row>
    <row r="3121">
      <c r="A3121" s="4"/>
      <c r="B3121" s="12" t="s">
        <v>999</v>
      </c>
      <c r="C3121" s="21"/>
      <c r="D3121" s="21"/>
      <c r="E3121" s="21"/>
      <c r="F3121" s="21"/>
      <c r="G3121" s="21"/>
    </row>
    <row r="3122">
      <c r="A3122" s="5"/>
      <c r="B3122" s="13" t="s">
        <v>27</v>
      </c>
      <c r="C3122" s="22">
        <f>(36)*(1)*(1)*(1)*(1 + (0))</f>
      </c>
      <c r="D3122" s="22" t="s">
        <v>24</v>
      </c>
      <c r="E3122" s="22"/>
      <c r="F3122" s="22">
        <f>(0)</f>
      </c>
      <c r="G3122" s="22">
        <f>(C3122 * E3122 + C3122 * E3122 * F3122)</f>
      </c>
    </row>
    <row r="3123">
      <c r="A3123" s="4"/>
      <c r="B3123" s="12" t="s">
        <v>1000</v>
      </c>
      <c r="C3123" s="21"/>
      <c r="D3123" s="21"/>
      <c r="E3123" s="21"/>
      <c r="F3123" s="21"/>
      <c r="G3123" s="21"/>
    </row>
    <row r="3124">
      <c r="A3124" s="5"/>
      <c r="B3124" s="13" t="s">
        <v>1002</v>
      </c>
      <c r="C3124" s="22">
        <f>(110)*(1)*(1)*(1)*(1 + (0))</f>
      </c>
      <c r="D3124" s="22" t="s">
        <v>24</v>
      </c>
      <c r="E3124" s="22"/>
      <c r="F3124" s="22">
        <f>(0)</f>
      </c>
      <c r="G3124" s="22">
        <f>(C3124 * E3124 + C3124 * E3124 * F3124)</f>
      </c>
    </row>
    <row r="3125">
      <c r="A3125" s="5"/>
      <c r="B3125" s="7" t="s">
        <v>1003</v>
      </c>
      <c r="C3125" s="22"/>
      <c r="D3125" s="22"/>
      <c r="E3125" s="22"/>
      <c r="F3125" s="22">
        <f>(0)</f>
      </c>
      <c r="G3125" s="22">
        <f>(C3125 * E3125 + C3125 * E3125 * F3125)</f>
      </c>
    </row>
    <row r="3126">
      <c r="A3126" s="2"/>
      <c r="B3126" s="10" t="s">
        <v>1006</v>
      </c>
      <c r="C3126" s="19"/>
      <c r="D3126" s="19"/>
      <c r="E3126" s="19"/>
      <c r="F3126" s="19"/>
      <c r="G3126" s="19"/>
    </row>
    <row r="3127">
      <c r="A3127" s="3"/>
      <c r="B3127" s="11" t="s">
        <v>37</v>
      </c>
      <c r="C3127" s="20"/>
      <c r="D3127" s="20"/>
      <c r="E3127" s="20"/>
      <c r="F3127" s="20"/>
      <c r="G3127" s="20"/>
    </row>
    <row r="3128">
      <c r="A3128" s="5" t="s">
        <v>1007</v>
      </c>
      <c r="B3128" s="14" t="s">
        <v>39</v>
      </c>
      <c r="C3128" s="22"/>
      <c r="D3128" s="22" t="s">
        <v>10</v>
      </c>
      <c r="E3128" s="22"/>
      <c r="F3128" s="22">
        <f>(0)</f>
      </c>
      <c r="G3128" s="22">
        <f>(C3128 * E3128 + C3128 * E3128 * F3128)</f>
      </c>
    </row>
    <row r="3129">
      <c r="A3129" s="5" t="s">
        <v>1008</v>
      </c>
      <c r="B3129" s="14" t="s">
        <v>41</v>
      </c>
      <c r="C3129" s="22"/>
      <c r="D3129" s="22" t="s">
        <v>10</v>
      </c>
      <c r="E3129" s="22"/>
      <c r="F3129" s="22">
        <f>(0)</f>
      </c>
      <c r="G3129" s="22">
        <f>(C3129 * E3129 + C3129 * E3129 * F3129)</f>
      </c>
    </row>
    <row r="3130">
      <c r="A3130" s="3"/>
      <c r="B3130" s="11" t="s">
        <v>42</v>
      </c>
      <c r="C3130" s="20"/>
      <c r="D3130" s="20"/>
      <c r="E3130" s="20"/>
      <c r="F3130" s="20"/>
      <c r="G3130" s="20"/>
    </row>
    <row r="3131">
      <c r="A3131" s="5"/>
      <c r="B3131" s="14" t="s">
        <v>1009</v>
      </c>
      <c r="C3131" s="22"/>
      <c r="D3131" s="22" t="s">
        <v>10</v>
      </c>
      <c r="E3131" s="22"/>
      <c r="F3131" s="22">
        <f>(0)</f>
      </c>
      <c r="G3131" s="22">
        <f>(C3131 * E3131 + C3131 * E3131 * F3131)</f>
      </c>
    </row>
    <row r="3132">
      <c r="A3132" s="5"/>
      <c r="B3132" s="14" t="s">
        <v>1010</v>
      </c>
      <c r="C3132" s="22"/>
      <c r="D3132" s="22" t="s">
        <v>10</v>
      </c>
      <c r="E3132" s="22"/>
      <c r="F3132" s="22">
        <f>(0)</f>
      </c>
      <c r="G3132" s="22">
        <f>(C3132 * E3132 + C3132 * E3132 * F3132)</f>
      </c>
    </row>
    <row r="3133">
      <c r="A3133" s="5"/>
      <c r="B3133" s="14" t="s">
        <v>1011</v>
      </c>
      <c r="C3133" s="22"/>
      <c r="D3133" s="22" t="s">
        <v>10</v>
      </c>
      <c r="E3133" s="22"/>
      <c r="F3133" s="22">
        <f>(0)</f>
      </c>
      <c r="G3133" s="22">
        <f>(C3133 * E3133 + C3133 * E3133 * F3133)</f>
      </c>
    </row>
    <row r="3134">
      <c r="A3134" s="3"/>
      <c r="B3134" s="11" t="s">
        <v>44</v>
      </c>
      <c r="C3134" s="20"/>
      <c r="D3134" s="20"/>
      <c r="E3134" s="20"/>
      <c r="F3134" s="20"/>
      <c r="G3134" s="20"/>
    </row>
    <row r="3135">
      <c r="A3135" s="4"/>
      <c r="B3135" s="12" t="s">
        <v>45</v>
      </c>
      <c r="C3135" s="21"/>
      <c r="D3135" s="21"/>
      <c r="E3135" s="21"/>
      <c r="F3135" s="21"/>
      <c r="G3135" s="21"/>
    </row>
    <row r="3136">
      <c r="A3136" s="5" t="s">
        <v>1012</v>
      </c>
      <c r="B3136" s="13" t="s">
        <v>1013</v>
      </c>
      <c r="C3136" s="22"/>
      <c r="D3136" s="22" t="s">
        <v>10</v>
      </c>
      <c r="E3136" s="22"/>
      <c r="F3136" s="22">
        <f>(0)</f>
      </c>
      <c r="G3136" s="22">
        <f>(C3136 * E3136 + C3136 * E3136 * F3136)</f>
      </c>
    </row>
    <row r="3137">
      <c r="A3137" s="5" t="s">
        <v>1014</v>
      </c>
      <c r="B3137" s="13" t="s">
        <v>1015</v>
      </c>
      <c r="C3137" s="22"/>
      <c r="D3137" s="22" t="s">
        <v>10</v>
      </c>
      <c r="E3137" s="22"/>
      <c r="F3137" s="22">
        <f>(0)</f>
      </c>
      <c r="G3137" s="22">
        <f>(C3137 * E3137 + C3137 * E3137 * F3137)</f>
      </c>
    </row>
    <row r="3138">
      <c r="A3138" s="5" t="s">
        <v>1016</v>
      </c>
      <c r="B3138" s="13" t="s">
        <v>1017</v>
      </c>
      <c r="C3138" s="22"/>
      <c r="D3138" s="22" t="s">
        <v>10</v>
      </c>
      <c r="E3138" s="22"/>
      <c r="F3138" s="22">
        <f>(0)</f>
      </c>
      <c r="G3138" s="22">
        <f>(C3138 * E3138 + C3138 * E3138 * F3138)</f>
      </c>
    </row>
    <row r="3139">
      <c r="A3139" s="5" t="s">
        <v>1018</v>
      </c>
      <c r="B3139" s="13" t="s">
        <v>784</v>
      </c>
      <c r="C3139" s="22"/>
      <c r="D3139" s="22" t="s">
        <v>10</v>
      </c>
      <c r="E3139" s="22"/>
      <c r="F3139" s="22">
        <f>(0)</f>
      </c>
      <c r="G3139" s="22">
        <f>(C3139 * E3139 + C3139 * E3139 * F3139)</f>
      </c>
    </row>
    <row r="3140">
      <c r="A3140" s="5" t="s">
        <v>1019</v>
      </c>
      <c r="B3140" s="13" t="s">
        <v>123</v>
      </c>
      <c r="C3140" s="22"/>
      <c r="D3140" s="22" t="s">
        <v>10</v>
      </c>
      <c r="E3140" s="22"/>
      <c r="F3140" s="22">
        <f>(0)</f>
      </c>
      <c r="G3140" s="22">
        <f>(C3140 * E3140 + C3140 * E3140 * F3140)</f>
      </c>
    </row>
    <row r="3141">
      <c r="A3141" s="3"/>
      <c r="B3141" s="11" t="s">
        <v>68</v>
      </c>
      <c r="C3141" s="20"/>
      <c r="D3141" s="20"/>
      <c r="E3141" s="20"/>
      <c r="F3141" s="20"/>
      <c r="G3141" s="20"/>
    </row>
    <row r="3142">
      <c r="A3142" s="5" t="s">
        <v>1020</v>
      </c>
      <c r="B3142" s="14" t="s">
        <v>230</v>
      </c>
      <c r="C3142" s="22">
        <f>(1)*(1)*(1)*(1)*(1 + (0))</f>
      </c>
      <c r="D3142" s="22" t="s">
        <v>71</v>
      </c>
      <c r="E3142" s="22"/>
      <c r="F3142" s="22">
        <f>(0)</f>
      </c>
      <c r="G3142" s="22">
        <f>(C3142 * E3142 + C3142 * E3142 * F3142)</f>
      </c>
    </row>
    <row r="3143">
      <c r="A3143" s="5" t="s">
        <v>1021</v>
      </c>
      <c r="B3143" s="14" t="s">
        <v>1022</v>
      </c>
      <c r="C3143" s="22">
        <f>(1)*(1)*(1)*(1)*(1 + (0))</f>
      </c>
      <c r="D3143" s="22" t="s">
        <v>71</v>
      </c>
      <c r="E3143" s="22"/>
      <c r="F3143" s="22">
        <f>(0)</f>
      </c>
      <c r="G3143" s="22">
        <f>(C3143 * E3143 + C3143 * E3143 * F3143)</f>
      </c>
    </row>
    <row r="3144">
      <c r="A3144" s="5" t="s">
        <v>1023</v>
      </c>
      <c r="B3144" s="14" t="s">
        <v>812</v>
      </c>
      <c r="C3144" s="22">
        <f>(1)*(1)*(1)*(1)*(1 + (0))</f>
      </c>
      <c r="D3144" s="22" t="s">
        <v>71</v>
      </c>
      <c r="E3144" s="22"/>
      <c r="F3144" s="22">
        <f>(0)</f>
      </c>
      <c r="G3144" s="22">
        <f>(C3144 * E3144 + C3144 * E3144 * F3144)</f>
      </c>
    </row>
    <row r="3145">
      <c r="A3145" s="5" t="s">
        <v>1024</v>
      </c>
      <c r="B3145" s="14" t="s">
        <v>814</v>
      </c>
      <c r="C3145" s="22">
        <f>(1)*(1)*(1)*(1)*(1 + (0))</f>
      </c>
      <c r="D3145" s="22" t="s">
        <v>71</v>
      </c>
      <c r="E3145" s="22"/>
      <c r="F3145" s="22">
        <f>(0)</f>
      </c>
      <c r="G3145" s="22">
        <f>(C3145 * E3145 + C3145 * E3145 * F3145)</f>
      </c>
    </row>
    <row r="3146">
      <c r="A3146" s="5" t="s">
        <v>1025</v>
      </c>
      <c r="B3146" s="14" t="s">
        <v>798</v>
      </c>
      <c r="C3146" s="22">
        <f>(1)*(1)*(1)*(1)*(1 + (0))</f>
      </c>
      <c r="D3146" s="22" t="s">
        <v>71</v>
      </c>
      <c r="E3146" s="22"/>
      <c r="F3146" s="22">
        <f>(0)</f>
      </c>
      <c r="G3146" s="22">
        <f>(C3146 * E3146 + C3146 * E3146 * F3146)</f>
      </c>
    </row>
    <row r="3147">
      <c r="A3147" s="5" t="s">
        <v>1026</v>
      </c>
      <c r="B3147" s="14" t="s">
        <v>805</v>
      </c>
      <c r="C3147" s="22">
        <f>(1)*(1)*(1)*(1)*(1 + (0))</f>
      </c>
      <c r="D3147" s="22" t="s">
        <v>71</v>
      </c>
      <c r="E3147" s="22"/>
      <c r="F3147" s="22">
        <f>(0)</f>
      </c>
      <c r="G3147" s="22">
        <f>(C3147 * E3147 + C3147 * E3147 * F3147)</f>
      </c>
    </row>
    <row r="3148">
      <c r="A3148" s="5" t="s">
        <v>1027</v>
      </c>
      <c r="B3148" s="14" t="s">
        <v>800</v>
      </c>
      <c r="C3148" s="22">
        <f>(1)*(1)*(1)*(1)*(1 + (0))</f>
      </c>
      <c r="D3148" s="22" t="s">
        <v>71</v>
      </c>
      <c r="E3148" s="22"/>
      <c r="F3148" s="22">
        <f>(0)</f>
      </c>
      <c r="G3148" s="22">
        <f>(C3148 * E3148 + C3148 * E3148 * F3148)</f>
      </c>
    </row>
    <row r="3149">
      <c r="A3149" s="5" t="s">
        <v>1028</v>
      </c>
      <c r="B3149" s="14" t="s">
        <v>1029</v>
      </c>
      <c r="C3149" s="22">
        <f>(1)*(1)*(1)*(1)*(1 + (0))</f>
      </c>
      <c r="D3149" s="22" t="s">
        <v>71</v>
      </c>
      <c r="E3149" s="22"/>
      <c r="F3149" s="22">
        <f>(0)</f>
      </c>
      <c r="G3149" s="22">
        <f>(C3149 * E3149 + C3149 * E3149 * F3149)</f>
      </c>
    </row>
    <row r="3150">
      <c r="A3150" s="5" t="s">
        <v>1030</v>
      </c>
      <c r="B3150" s="14" t="s">
        <v>1031</v>
      </c>
      <c r="C3150" s="22">
        <f>(1)*(1)*(1)*(1)*(1 + (0))</f>
      </c>
      <c r="D3150" s="22" t="s">
        <v>71</v>
      </c>
      <c r="E3150" s="22"/>
      <c r="F3150" s="22">
        <f>(0)</f>
      </c>
      <c r="G3150" s="22">
        <f>(C3150 * E3150 + C3150 * E3150 * F3150)</f>
      </c>
    </row>
    <row r="3151">
      <c r="A3151" s="3"/>
      <c r="B3151" s="11" t="s">
        <v>106</v>
      </c>
      <c r="C3151" s="20"/>
      <c r="D3151" s="20"/>
      <c r="E3151" s="20"/>
      <c r="F3151" s="20"/>
      <c r="G3151" s="20"/>
    </row>
    <row r="3152">
      <c r="A3152" s="5"/>
      <c r="B3152" s="14" t="s">
        <v>1751</v>
      </c>
      <c r="C3152" s="22"/>
      <c r="D3152" s="22" t="s">
        <v>10</v>
      </c>
      <c r="E3152" s="22"/>
      <c r="F3152" s="22">
        <f>(0)</f>
      </c>
      <c r="G3152" s="22">
        <f>(C3152 * E3152 + C3152 * E3152 * F3152)</f>
      </c>
    </row>
    <row r="3153">
      <c r="A3153" s="3"/>
      <c r="B3153" s="11" t="s">
        <v>1033</v>
      </c>
      <c r="C3153" s="20"/>
      <c r="D3153" s="20"/>
      <c r="E3153" s="20"/>
      <c r="F3153" s="20"/>
      <c r="G3153" s="20"/>
    </row>
    <row r="3154">
      <c r="A3154" s="4"/>
      <c r="B3154" s="12" t="s">
        <v>1034</v>
      </c>
      <c r="C3154" s="21"/>
      <c r="D3154" s="21"/>
      <c r="E3154" s="21"/>
      <c r="F3154" s="21"/>
      <c r="G3154" s="21"/>
    </row>
    <row r="3155">
      <c r="A3155" s="6"/>
      <c r="B3155" s="15" t="s">
        <v>1035</v>
      </c>
      <c r="C3155" s="23"/>
      <c r="D3155" s="23"/>
      <c r="E3155" s="23"/>
      <c r="F3155" s="23"/>
      <c r="G3155" s="23"/>
    </row>
    <row r="3156">
      <c r="A3156" s="5"/>
      <c r="B3156" s="16" t="s">
        <v>27</v>
      </c>
      <c r="C3156" s="22">
        <f>(272)*(1)*(1)*(1)*(1 + (0))</f>
      </c>
      <c r="D3156" s="22" t="s">
        <v>24</v>
      </c>
      <c r="E3156" s="22"/>
      <c r="F3156" s="22">
        <f>(0)</f>
      </c>
      <c r="G3156" s="22">
        <f>(C3156 * E3156 + C3156 * E3156 * F3156)</f>
      </c>
    </row>
    <row r="3157">
      <c r="A3157" s="5"/>
      <c r="B3157" s="16" t="s">
        <v>28</v>
      </c>
      <c r="C3157" s="22">
        <f>(285)*(1)*(1)*(1)*(1 + (0))</f>
      </c>
      <c r="D3157" s="22" t="s">
        <v>24</v>
      </c>
      <c r="E3157" s="22"/>
      <c r="F3157" s="22">
        <f>(0)</f>
      </c>
      <c r="G3157" s="22">
        <f>(C3157 * E3157 + C3157 * E3157 * F3157)</f>
      </c>
    </row>
    <row r="3158">
      <c r="A3158" s="6"/>
      <c r="B3158" s="15" t="s">
        <v>1036</v>
      </c>
      <c r="C3158" s="23"/>
      <c r="D3158" s="23"/>
      <c r="E3158" s="23"/>
      <c r="F3158" s="23"/>
      <c r="G3158" s="23"/>
    </row>
    <row r="3159">
      <c r="A3159" s="5"/>
      <c r="B3159" s="16" t="s">
        <v>27</v>
      </c>
      <c r="C3159" s="22">
        <f>(97)*(1)*(1)*(1)*(1 + (0))</f>
      </c>
      <c r="D3159" s="22" t="s">
        <v>24</v>
      </c>
      <c r="E3159" s="22"/>
      <c r="F3159" s="22">
        <f>(0)</f>
      </c>
      <c r="G3159" s="22">
        <f>(C3159 * E3159 + C3159 * E3159 * F3159)</f>
      </c>
    </row>
    <row r="3160">
      <c r="A3160" s="5"/>
      <c r="B3160" s="16" t="s">
        <v>28</v>
      </c>
      <c r="C3160" s="22">
        <f>(18)*(1)*(1)*(1)*(1 + (0))</f>
      </c>
      <c r="D3160" s="22" t="s">
        <v>24</v>
      </c>
      <c r="E3160" s="22"/>
      <c r="F3160" s="22">
        <f>(0)</f>
      </c>
      <c r="G3160" s="22">
        <f>(C3160 * E3160 + C3160 * E3160 * F3160)</f>
      </c>
    </row>
    <row r="3161">
      <c r="A3161" s="6"/>
      <c r="B3161" s="15" t="s">
        <v>1037</v>
      </c>
      <c r="C3161" s="23"/>
      <c r="D3161" s="23"/>
      <c r="E3161" s="23"/>
      <c r="F3161" s="23"/>
      <c r="G3161" s="23"/>
    </row>
    <row r="3162">
      <c r="A3162" s="5"/>
      <c r="B3162" s="16" t="s">
        <v>27</v>
      </c>
      <c r="C3162" s="22">
        <f>(417)*(1)*(1)*(1)*(1 + (0))</f>
      </c>
      <c r="D3162" s="22" t="s">
        <v>24</v>
      </c>
      <c r="E3162" s="22"/>
      <c r="F3162" s="22">
        <f>(0)</f>
      </c>
      <c r="G3162" s="22">
        <f>(C3162 * E3162 + C3162 * E3162 * F3162)</f>
      </c>
    </row>
    <row r="3163">
      <c r="A3163" s="5"/>
      <c r="B3163" s="16" t="s">
        <v>28</v>
      </c>
      <c r="C3163" s="22">
        <f>(508)*(1)*(1)*(1)*(1 + (0))</f>
      </c>
      <c r="D3163" s="22" t="s">
        <v>24</v>
      </c>
      <c r="E3163" s="22"/>
      <c r="F3163" s="22">
        <f>(0)</f>
      </c>
      <c r="G3163" s="22">
        <f>(C3163 * E3163 + C3163 * E3163 * F3163)</f>
      </c>
    </row>
    <row r="3164">
      <c r="A3164" s="6"/>
      <c r="B3164" s="15" t="s">
        <v>1038</v>
      </c>
      <c r="C3164" s="23"/>
      <c r="D3164" s="23"/>
      <c r="E3164" s="23"/>
      <c r="F3164" s="23"/>
      <c r="G3164" s="23"/>
    </row>
    <row r="3165">
      <c r="A3165" s="5"/>
      <c r="B3165" s="16" t="s">
        <v>27</v>
      </c>
      <c r="C3165" s="22">
        <f>(81)*(1)*(1)*(1)*(1 + (0))</f>
      </c>
      <c r="D3165" s="22" t="s">
        <v>24</v>
      </c>
      <c r="E3165" s="22"/>
      <c r="F3165" s="22">
        <f>(0)</f>
      </c>
      <c r="G3165" s="22">
        <f>(C3165 * E3165 + C3165 * E3165 * F3165)</f>
      </c>
    </row>
    <row r="3166">
      <c r="A3166" s="6"/>
      <c r="B3166" s="15" t="s">
        <v>1039</v>
      </c>
      <c r="C3166" s="23"/>
      <c r="D3166" s="23"/>
      <c r="E3166" s="23"/>
      <c r="F3166" s="23"/>
      <c r="G3166" s="23"/>
    </row>
    <row r="3167">
      <c r="A3167" s="5"/>
      <c r="B3167" s="16" t="s">
        <v>27</v>
      </c>
      <c r="C3167" s="22">
        <f>(11)*(1)*(1)*(1)*(1 + (0))</f>
      </c>
      <c r="D3167" s="22" t="s">
        <v>24</v>
      </c>
      <c r="E3167" s="22"/>
      <c r="F3167" s="22">
        <f>(0)</f>
      </c>
      <c r="G3167" s="22">
        <f>(C3167 * E3167 + C3167 * E3167 * F3167)</f>
      </c>
    </row>
    <row r="3168">
      <c r="A3168" s="6"/>
      <c r="B3168" s="15" t="s">
        <v>1040</v>
      </c>
      <c r="C3168" s="23"/>
      <c r="D3168" s="23"/>
      <c r="E3168" s="23"/>
      <c r="F3168" s="23"/>
      <c r="G3168" s="23"/>
    </row>
    <row r="3169">
      <c r="A3169" s="5"/>
      <c r="B3169" s="16" t="s">
        <v>28</v>
      </c>
      <c r="C3169" s="22">
        <f>(125)*(1)*(1)*(1)*(1 + (0))</f>
      </c>
      <c r="D3169" s="22" t="s">
        <v>24</v>
      </c>
      <c r="E3169" s="22"/>
      <c r="F3169" s="22">
        <f>(0)</f>
      </c>
      <c r="G3169" s="22">
        <f>(C3169 * E3169 + C3169 * E3169 * F3169)</f>
      </c>
    </row>
    <row r="3170">
      <c r="A3170" s="6"/>
      <c r="B3170" s="15" t="s">
        <v>1041</v>
      </c>
      <c r="C3170" s="23"/>
      <c r="D3170" s="23"/>
      <c r="E3170" s="23"/>
      <c r="F3170" s="23"/>
      <c r="G3170" s="23"/>
    </row>
    <row r="3171">
      <c r="A3171" s="5"/>
      <c r="B3171" s="16" t="s">
        <v>27</v>
      </c>
      <c r="C3171" s="22">
        <f>(11)*(1)*(1)*(1)*(1 + (0))</f>
      </c>
      <c r="D3171" s="22" t="s">
        <v>24</v>
      </c>
      <c r="E3171" s="22"/>
      <c r="F3171" s="22">
        <f>(0)</f>
      </c>
      <c r="G3171" s="22">
        <f>(C3171 * E3171 + C3171 * E3171 * F3171)</f>
      </c>
    </row>
    <row r="3172">
      <c r="A3172" s="4"/>
      <c r="B3172" s="12" t="s">
        <v>1042</v>
      </c>
      <c r="C3172" s="21"/>
      <c r="D3172" s="21"/>
      <c r="E3172" s="21"/>
      <c r="F3172" s="21"/>
      <c r="G3172" s="21"/>
    </row>
    <row r="3173">
      <c r="A3173" s="6"/>
      <c r="B3173" s="15" t="s">
        <v>1752</v>
      </c>
      <c r="C3173" s="23"/>
      <c r="D3173" s="23"/>
      <c r="E3173" s="23"/>
      <c r="F3173" s="23"/>
      <c r="G3173" s="23"/>
    </row>
    <row r="3174">
      <c r="A3174" s="5"/>
      <c r="B3174" s="16" t="s">
        <v>28</v>
      </c>
      <c r="C3174" s="22">
        <f>(288)*(1)*(1)*(1)*(1 + (0))</f>
      </c>
      <c r="D3174" s="22" t="s">
        <v>24</v>
      </c>
      <c r="E3174" s="22"/>
      <c r="F3174" s="22">
        <f>(0)</f>
      </c>
      <c r="G3174" s="22">
        <f>(C3174 * E3174 + C3174 * E3174 * F3174)</f>
      </c>
    </row>
    <row r="3175">
      <c r="A3175" s="3"/>
      <c r="B3175" s="11" t="s">
        <v>1044</v>
      </c>
      <c r="C3175" s="20"/>
      <c r="D3175" s="20"/>
      <c r="E3175" s="20"/>
      <c r="F3175" s="20"/>
      <c r="G3175" s="20"/>
    </row>
    <row r="3176">
      <c r="A3176" s="4"/>
      <c r="B3176" s="12" t="s">
        <v>1045</v>
      </c>
      <c r="C3176" s="21"/>
      <c r="D3176" s="21"/>
      <c r="E3176" s="21"/>
      <c r="F3176" s="21"/>
      <c r="G3176" s="21"/>
    </row>
    <row r="3177">
      <c r="A3177" s="6"/>
      <c r="B3177" s="15" t="s">
        <v>1046</v>
      </c>
      <c r="C3177" s="23"/>
      <c r="D3177" s="23"/>
      <c r="E3177" s="23"/>
      <c r="F3177" s="23"/>
      <c r="G3177" s="23"/>
    </row>
    <row r="3178">
      <c r="A3178" s="5"/>
      <c r="B3178" s="16" t="s">
        <v>27</v>
      </c>
      <c r="C3178" s="22">
        <f>(15)*(1)*(1)*(1)*(1 + (0))</f>
      </c>
      <c r="D3178" s="22" t="s">
        <v>24</v>
      </c>
      <c r="E3178" s="22"/>
      <c r="F3178" s="22">
        <f>(0)</f>
      </c>
      <c r="G3178" s="22">
        <f>(C3178 * E3178 + C3178 * E3178 * F3178)</f>
      </c>
    </row>
    <row r="3179">
      <c r="A3179" s="5"/>
      <c r="B3179" s="16" t="s">
        <v>28</v>
      </c>
      <c r="C3179" s="22">
        <f>(10)*(1)*(1)*(1)*(1 + (0))</f>
      </c>
      <c r="D3179" s="22" t="s">
        <v>24</v>
      </c>
      <c r="E3179" s="22"/>
      <c r="F3179" s="22">
        <f>(0)</f>
      </c>
      <c r="G3179" s="22">
        <f>(C3179 * E3179 + C3179 * E3179 * F3179)</f>
      </c>
    </row>
    <row r="3180">
      <c r="A3180" s="4"/>
      <c r="B3180" s="12" t="s">
        <v>1047</v>
      </c>
      <c r="C3180" s="21"/>
      <c r="D3180" s="21"/>
      <c r="E3180" s="21"/>
      <c r="F3180" s="21"/>
      <c r="G3180" s="21"/>
    </row>
    <row r="3181">
      <c r="A3181" s="6"/>
      <c r="B3181" s="15" t="s">
        <v>1048</v>
      </c>
      <c r="C3181" s="23"/>
      <c r="D3181" s="23"/>
      <c r="E3181" s="23"/>
      <c r="F3181" s="23"/>
      <c r="G3181" s="23"/>
    </row>
    <row r="3182">
      <c r="A3182" s="5"/>
      <c r="B3182" s="16" t="s">
        <v>27</v>
      </c>
      <c r="C3182" s="22">
        <f>(42)*(1)*(1)*(1)*(1 + (0))</f>
      </c>
      <c r="D3182" s="22" t="s">
        <v>153</v>
      </c>
      <c r="E3182" s="22"/>
      <c r="F3182" s="22">
        <f>(0)</f>
      </c>
      <c r="G3182" s="22">
        <f>(C3182 * E3182 + C3182 * E3182 * F3182)</f>
      </c>
    </row>
    <row r="3183">
      <c r="A3183" s="5"/>
      <c r="B3183" s="16" t="s">
        <v>28</v>
      </c>
      <c r="C3183" s="22">
        <f>(45)*(1)*(1)*(1)*(1 + (0))</f>
      </c>
      <c r="D3183" s="22" t="s">
        <v>153</v>
      </c>
      <c r="E3183" s="22"/>
      <c r="F3183" s="22">
        <f>(0)</f>
      </c>
      <c r="G3183" s="22">
        <f>(C3183 * E3183 + C3183 * E3183 * F3183)</f>
      </c>
    </row>
    <row r="3184">
      <c r="A3184" s="6"/>
      <c r="B3184" s="15" t="s">
        <v>1049</v>
      </c>
      <c r="C3184" s="23"/>
      <c r="D3184" s="23"/>
      <c r="E3184" s="23"/>
      <c r="F3184" s="23"/>
      <c r="G3184" s="23"/>
    </row>
    <row r="3185">
      <c r="A3185" s="5"/>
      <c r="B3185" s="16" t="s">
        <v>27</v>
      </c>
      <c r="C3185" s="22">
        <f>(519)*(1)*(1)*(1)*(1 + (0))</f>
      </c>
      <c r="D3185" s="22" t="s">
        <v>153</v>
      </c>
      <c r="E3185" s="22"/>
      <c r="F3185" s="22">
        <f>(0)</f>
      </c>
      <c r="G3185" s="22">
        <f>(C3185 * E3185 + C3185 * E3185 * F3185)</f>
      </c>
    </row>
    <row r="3186">
      <c r="A3186" s="5"/>
      <c r="B3186" s="16" t="s">
        <v>28</v>
      </c>
      <c r="C3186" s="22">
        <f>(405)*(1)*(1)*(1)*(1 + (0))</f>
      </c>
      <c r="D3186" s="22" t="s">
        <v>153</v>
      </c>
      <c r="E3186" s="22"/>
      <c r="F3186" s="22">
        <f>(0)</f>
      </c>
      <c r="G3186" s="22">
        <f>(C3186 * E3186 + C3186 * E3186 * F3186)</f>
      </c>
    </row>
    <row r="3187">
      <c r="A3187" s="4"/>
      <c r="B3187" s="12" t="s">
        <v>1050</v>
      </c>
      <c r="C3187" s="21"/>
      <c r="D3187" s="21"/>
      <c r="E3187" s="21"/>
      <c r="F3187" s="21"/>
      <c r="G3187" s="21"/>
    </row>
    <row r="3188">
      <c r="A3188" s="6"/>
      <c r="B3188" s="15" t="s">
        <v>1051</v>
      </c>
      <c r="C3188" s="23"/>
      <c r="D3188" s="23"/>
      <c r="E3188" s="23"/>
      <c r="F3188" s="23"/>
      <c r="G3188" s="23"/>
    </row>
    <row r="3189">
      <c r="A3189" s="5"/>
      <c r="B3189" s="16" t="s">
        <v>27</v>
      </c>
      <c r="C3189" s="22">
        <f>(1)*(1)*(1)*(1)*(1 + (0))</f>
      </c>
      <c r="D3189" s="22" t="s">
        <v>162</v>
      </c>
      <c r="E3189" s="22"/>
      <c r="F3189" s="22">
        <f>(0)</f>
      </c>
      <c r="G3189" s="22">
        <f>(C3189 * E3189 + C3189 * E3189 * F3189)</f>
      </c>
    </row>
    <row r="3190">
      <c r="A3190" s="6"/>
      <c r="B3190" s="15" t="s">
        <v>1052</v>
      </c>
      <c r="C3190" s="23"/>
      <c r="D3190" s="23"/>
      <c r="E3190" s="23"/>
      <c r="F3190" s="23"/>
      <c r="G3190" s="23"/>
    </row>
    <row r="3191">
      <c r="A3191" s="5"/>
      <c r="B3191" s="16" t="s">
        <v>27</v>
      </c>
      <c r="C3191" s="22">
        <f>(3)*(1)*(1)*(1)*(1 + (0))</f>
      </c>
      <c r="D3191" s="22" t="s">
        <v>162</v>
      </c>
      <c r="E3191" s="22"/>
      <c r="F3191" s="22">
        <f>(0)</f>
      </c>
      <c r="G3191" s="22">
        <f>(C3191 * E3191 + C3191 * E3191 * F3191)</f>
      </c>
    </row>
    <row r="3192">
      <c r="A3192" s="2"/>
      <c r="B3192" s="10" t="s">
        <v>1054</v>
      </c>
      <c r="C3192" s="19"/>
      <c r="D3192" s="19"/>
      <c r="E3192" s="19"/>
      <c r="F3192" s="19"/>
      <c r="G3192" s="19"/>
    </row>
    <row r="3193">
      <c r="A3193" s="3"/>
      <c r="B3193" s="11" t="s">
        <v>37</v>
      </c>
      <c r="C3193" s="20"/>
      <c r="D3193" s="20"/>
      <c r="E3193" s="20"/>
      <c r="F3193" s="20"/>
      <c r="G3193" s="20"/>
    </row>
    <row r="3194">
      <c r="A3194" s="5" t="s">
        <v>1055</v>
      </c>
      <c r="B3194" s="14" t="s">
        <v>39</v>
      </c>
      <c r="C3194" s="22"/>
      <c r="D3194" s="22" t="s">
        <v>10</v>
      </c>
      <c r="E3194" s="22"/>
      <c r="F3194" s="22">
        <f>(0)</f>
      </c>
      <c r="G3194" s="22">
        <f>(C3194 * E3194 + C3194 * E3194 * F3194)</f>
      </c>
    </row>
    <row r="3195">
      <c r="A3195" s="5" t="s">
        <v>1056</v>
      </c>
      <c r="B3195" s="14" t="s">
        <v>41</v>
      </c>
      <c r="C3195" s="22"/>
      <c r="D3195" s="22" t="s">
        <v>10</v>
      </c>
      <c r="E3195" s="22"/>
      <c r="F3195" s="22">
        <f>(0)</f>
      </c>
      <c r="G3195" s="22">
        <f>(C3195 * E3195 + C3195 * E3195 * F3195)</f>
      </c>
    </row>
    <row r="3196">
      <c r="A3196" s="3"/>
      <c r="B3196" s="11" t="s">
        <v>523</v>
      </c>
      <c r="C3196" s="20"/>
      <c r="D3196" s="20"/>
      <c r="E3196" s="20"/>
      <c r="F3196" s="20"/>
      <c r="G3196" s="20"/>
    </row>
    <row r="3197">
      <c r="A3197" s="5"/>
      <c r="B3197" s="14" t="s">
        <v>1057</v>
      </c>
      <c r="C3197" s="22"/>
      <c r="D3197" s="22" t="s">
        <v>10</v>
      </c>
      <c r="E3197" s="22"/>
      <c r="F3197" s="22">
        <f>(0)</f>
      </c>
      <c r="G3197" s="22">
        <f>(C3197 * E3197 + C3197 * E3197 * F3197)</f>
      </c>
    </row>
    <row r="3198">
      <c r="A3198" s="5"/>
      <c r="B3198" s="14" t="s">
        <v>1058</v>
      </c>
      <c r="C3198" s="22"/>
      <c r="D3198" s="22" t="s">
        <v>10</v>
      </c>
      <c r="E3198" s="22"/>
      <c r="F3198" s="22">
        <f>(0)</f>
      </c>
      <c r="G3198" s="22">
        <f>(C3198 * E3198 + C3198 * E3198 * F3198)</f>
      </c>
    </row>
    <row r="3199">
      <c r="A3199" s="5"/>
      <c r="B3199" s="14" t="s">
        <v>635</v>
      </c>
      <c r="C3199" s="22"/>
      <c r="D3199" s="22" t="s">
        <v>10</v>
      </c>
      <c r="E3199" s="22"/>
      <c r="F3199" s="22">
        <f>(0)</f>
      </c>
      <c r="G3199" s="22">
        <f>(C3199 * E3199 + C3199 * E3199 * F3199)</f>
      </c>
    </row>
    <row r="3200">
      <c r="A3200" s="3"/>
      <c r="B3200" s="11" t="s">
        <v>44</v>
      </c>
      <c r="C3200" s="20"/>
      <c r="D3200" s="20"/>
      <c r="E3200" s="20"/>
      <c r="F3200" s="20"/>
      <c r="G3200" s="20"/>
    </row>
    <row r="3201">
      <c r="A3201" s="4"/>
      <c r="B3201" s="12" t="s">
        <v>45</v>
      </c>
      <c r="C3201" s="21"/>
      <c r="D3201" s="21"/>
      <c r="E3201" s="21"/>
      <c r="F3201" s="21"/>
      <c r="G3201" s="21"/>
    </row>
    <row r="3202">
      <c r="A3202" s="5" t="s">
        <v>1059</v>
      </c>
      <c r="B3202" s="13" t="s">
        <v>1060</v>
      </c>
      <c r="C3202" s="22"/>
      <c r="D3202" s="22" t="s">
        <v>10</v>
      </c>
      <c r="E3202" s="22"/>
      <c r="F3202" s="22">
        <f>(0)</f>
      </c>
      <c r="G3202" s="22">
        <f>(C3202 * E3202 + C3202 * E3202 * F3202)</f>
      </c>
    </row>
    <row r="3203">
      <c r="A3203" s="5" t="s">
        <v>1061</v>
      </c>
      <c r="B3203" s="13" t="s">
        <v>1062</v>
      </c>
      <c r="C3203" s="22"/>
      <c r="D3203" s="22" t="s">
        <v>10</v>
      </c>
      <c r="E3203" s="22"/>
      <c r="F3203" s="22">
        <f>(0)</f>
      </c>
      <c r="G3203" s="22">
        <f>(C3203 * E3203 + C3203 * E3203 * F3203)</f>
      </c>
    </row>
    <row r="3204">
      <c r="A3204" s="5" t="s">
        <v>1063</v>
      </c>
      <c r="B3204" s="13" t="s">
        <v>1064</v>
      </c>
      <c r="C3204" s="22"/>
      <c r="D3204" s="22" t="s">
        <v>10</v>
      </c>
      <c r="E3204" s="22"/>
      <c r="F3204" s="22">
        <f>(0)</f>
      </c>
      <c r="G3204" s="22">
        <f>(C3204 * E3204 + C3204 * E3204 * F3204)</f>
      </c>
    </row>
    <row r="3205">
      <c r="A3205" s="5" t="s">
        <v>1065</v>
      </c>
      <c r="B3205" s="13" t="s">
        <v>1066</v>
      </c>
      <c r="C3205" s="22"/>
      <c r="D3205" s="22" t="s">
        <v>10</v>
      </c>
      <c r="E3205" s="22"/>
      <c r="F3205" s="22">
        <f>(0)</f>
      </c>
      <c r="G3205" s="22">
        <f>(C3205 * E3205 + C3205 * E3205 * F3205)</f>
      </c>
    </row>
    <row r="3206">
      <c r="A3206" s="5" t="s">
        <v>1067</v>
      </c>
      <c r="B3206" s="13" t="s">
        <v>1068</v>
      </c>
      <c r="C3206" s="22"/>
      <c r="D3206" s="22" t="s">
        <v>10</v>
      </c>
      <c r="E3206" s="22"/>
      <c r="F3206" s="22">
        <f>(0)</f>
      </c>
      <c r="G3206" s="22">
        <f>(C3206 * E3206 + C3206 * E3206 * F3206)</f>
      </c>
    </row>
    <row r="3207">
      <c r="A3207" s="5" t="s">
        <v>1069</v>
      </c>
      <c r="B3207" s="13" t="s">
        <v>123</v>
      </c>
      <c r="C3207" s="22"/>
      <c r="D3207" s="22" t="s">
        <v>10</v>
      </c>
      <c r="E3207" s="22"/>
      <c r="F3207" s="22">
        <f>(0)</f>
      </c>
      <c r="G3207" s="22">
        <f>(C3207 * E3207 + C3207 * E3207 * F3207)</f>
      </c>
    </row>
    <row r="3208">
      <c r="A3208" s="3"/>
      <c r="B3208" s="11" t="s">
        <v>68</v>
      </c>
      <c r="C3208" s="20"/>
      <c r="D3208" s="20"/>
      <c r="E3208" s="20"/>
      <c r="F3208" s="20"/>
      <c r="G3208" s="20"/>
    </row>
    <row r="3209">
      <c r="A3209" s="5" t="s">
        <v>1070</v>
      </c>
      <c r="B3209" s="14" t="s">
        <v>1071</v>
      </c>
      <c r="C3209" s="22">
        <f>(1)*(1)*(1)*(1)*(1 + (0))</f>
      </c>
      <c r="D3209" s="22" t="s">
        <v>71</v>
      </c>
      <c r="E3209" s="22"/>
      <c r="F3209" s="22">
        <f>(0)</f>
      </c>
      <c r="G3209" s="22">
        <f>(C3209 * E3209 + C3209 * E3209 * F3209)</f>
      </c>
    </row>
    <row r="3210">
      <c r="A3210" s="5" t="s">
        <v>1072</v>
      </c>
      <c r="B3210" s="14" t="s">
        <v>798</v>
      </c>
      <c r="C3210" s="22">
        <f>(1)*(1)*(1)*(1)*(1 + (0))</f>
      </c>
      <c r="D3210" s="22" t="s">
        <v>71</v>
      </c>
      <c r="E3210" s="22"/>
      <c r="F3210" s="22">
        <f>(0)</f>
      </c>
      <c r="G3210" s="22">
        <f>(C3210 * E3210 + C3210 * E3210 * F3210)</f>
      </c>
    </row>
    <row r="3211">
      <c r="A3211" s="5" t="s">
        <v>1073</v>
      </c>
      <c r="B3211" s="14" t="s">
        <v>230</v>
      </c>
      <c r="C3211" s="22">
        <f>(1)*(1)*(1)*(1)*(1 + (0))</f>
      </c>
      <c r="D3211" s="22" t="s">
        <v>71</v>
      </c>
      <c r="E3211" s="22"/>
      <c r="F3211" s="22">
        <f>(0)</f>
      </c>
      <c r="G3211" s="22">
        <f>(C3211 * E3211 + C3211 * E3211 * F3211)</f>
      </c>
    </row>
    <row r="3212">
      <c r="A3212" s="5" t="s">
        <v>1074</v>
      </c>
      <c r="B3212" s="14" t="s">
        <v>1075</v>
      </c>
      <c r="C3212" s="22">
        <f>(1)*(1)*(1)*(1)*(1 + (0))</f>
      </c>
      <c r="D3212" s="22" t="s">
        <v>71</v>
      </c>
      <c r="E3212" s="22"/>
      <c r="F3212" s="22">
        <f>(0)</f>
      </c>
      <c r="G3212" s="22">
        <f>(C3212 * E3212 + C3212 * E3212 * F3212)</f>
      </c>
    </row>
    <row r="3213">
      <c r="A3213" s="5" t="s">
        <v>1076</v>
      </c>
      <c r="B3213" s="14" t="s">
        <v>904</v>
      </c>
      <c r="C3213" s="22">
        <f>(1)*(1)*(1)*(1)*(1 + (0))</f>
      </c>
      <c r="D3213" s="22" t="s">
        <v>71</v>
      </c>
      <c r="E3213" s="22"/>
      <c r="F3213" s="22">
        <f>(0)</f>
      </c>
      <c r="G3213" s="22">
        <f>(C3213 * E3213 + C3213 * E3213 * F3213)</f>
      </c>
    </row>
    <row r="3214">
      <c r="A3214" s="5" t="s">
        <v>1077</v>
      </c>
      <c r="B3214" s="14" t="s">
        <v>1078</v>
      </c>
      <c r="C3214" s="22">
        <f>(1)*(1)*(1)*(1)*(1 + (0))</f>
      </c>
      <c r="D3214" s="22" t="s">
        <v>71</v>
      </c>
      <c r="E3214" s="22"/>
      <c r="F3214" s="22">
        <f>(0)</f>
      </c>
      <c r="G3214" s="22">
        <f>(C3214 * E3214 + C3214 * E3214 * F3214)</f>
      </c>
    </row>
    <row r="3215">
      <c r="A3215" s="5" t="s">
        <v>1079</v>
      </c>
      <c r="B3215" s="14" t="s">
        <v>1080</v>
      </c>
      <c r="C3215" s="22">
        <f>(1)*(1)*(1)*(1)*(1 + (0))</f>
      </c>
      <c r="D3215" s="22" t="s">
        <v>71</v>
      </c>
      <c r="E3215" s="22"/>
      <c r="F3215" s="22">
        <f>(0)</f>
      </c>
      <c r="G3215" s="22">
        <f>(C3215 * E3215 + C3215 * E3215 * F3215)</f>
      </c>
    </row>
    <row r="3216">
      <c r="A3216" s="5" t="s">
        <v>1081</v>
      </c>
      <c r="B3216" s="14" t="s">
        <v>1082</v>
      </c>
      <c r="C3216" s="22">
        <f>(1)*(1)*(1)*(1)*(1 + (0))</f>
      </c>
      <c r="D3216" s="22" t="s">
        <v>71</v>
      </c>
      <c r="E3216" s="22"/>
      <c r="F3216" s="22">
        <f>(0)</f>
      </c>
      <c r="G3216" s="22">
        <f>(C3216 * E3216 + C3216 * E3216 * F3216)</f>
      </c>
    </row>
    <row r="3217">
      <c r="A3217" s="5" t="s">
        <v>1083</v>
      </c>
      <c r="B3217" s="14" t="s">
        <v>1084</v>
      </c>
      <c r="C3217" s="22">
        <f>(1)*(1)*(1)*(1)*(1 + (0))</f>
      </c>
      <c r="D3217" s="22" t="s">
        <v>71</v>
      </c>
      <c r="E3217" s="22"/>
      <c r="F3217" s="22">
        <f>(0)</f>
      </c>
      <c r="G3217" s="22">
        <f>(C3217 * E3217 + C3217 * E3217 * F3217)</f>
      </c>
    </row>
    <row r="3218">
      <c r="A3218" s="5" t="s">
        <v>1085</v>
      </c>
      <c r="B3218" s="14" t="s">
        <v>665</v>
      </c>
      <c r="C3218" s="22">
        <f>(1)*(1)*(1)*(1)*(1 + (0))</f>
      </c>
      <c r="D3218" s="22" t="s">
        <v>71</v>
      </c>
      <c r="E3218" s="22"/>
      <c r="F3218" s="22">
        <f>(0)</f>
      </c>
      <c r="G3218" s="22">
        <f>(C3218 * E3218 + C3218 * E3218 * F3218)</f>
      </c>
    </row>
    <row r="3219">
      <c r="A3219" s="3"/>
      <c r="B3219" s="11" t="s">
        <v>106</v>
      </c>
      <c r="C3219" s="20"/>
      <c r="D3219" s="20"/>
      <c r="E3219" s="20"/>
      <c r="F3219" s="20"/>
      <c r="G3219" s="20"/>
    </row>
    <row r="3220">
      <c r="A3220" s="5"/>
      <c r="B3220" s="14" t="s">
        <v>1086</v>
      </c>
      <c r="C3220" s="22"/>
      <c r="D3220" s="22" t="s">
        <v>10</v>
      </c>
      <c r="E3220" s="22"/>
      <c r="F3220" s="22">
        <f>(0)</f>
      </c>
      <c r="G3220" s="22">
        <f>(C3220 * E3220 + C3220 * E3220 * F3220)</f>
      </c>
    </row>
    <row r="3221">
      <c r="A3221" s="3"/>
      <c r="B3221" s="11" t="s">
        <v>1087</v>
      </c>
      <c r="C3221" s="20"/>
      <c r="D3221" s="20"/>
      <c r="E3221" s="20"/>
      <c r="F3221" s="20"/>
      <c r="G3221" s="20"/>
    </row>
    <row r="3222">
      <c r="A3222" s="4"/>
      <c r="B3222" s="12" t="s">
        <v>1088</v>
      </c>
      <c r="C3222" s="21"/>
      <c r="D3222" s="21"/>
      <c r="E3222" s="21"/>
      <c r="F3222" s="21"/>
      <c r="G3222" s="21"/>
    </row>
    <row r="3223">
      <c r="A3223" s="5"/>
      <c r="B3223" s="13" t="s">
        <v>1695</v>
      </c>
      <c r="C3223" s="22">
        <f>(98)*(1)*(1)*(1)*(1 + (0))</f>
      </c>
      <c r="D3223" s="22" t="s">
        <v>24</v>
      </c>
      <c r="E3223" s="22"/>
      <c r="F3223" s="22">
        <f>(0)</f>
      </c>
      <c r="G3223" s="22">
        <f>(C3223 * E3223 + C3223 * E3223 * F3223)</f>
      </c>
    </row>
    <row r="3224">
      <c r="A3224" s="5"/>
      <c r="B3224" s="13" t="s">
        <v>1698</v>
      </c>
      <c r="C3224" s="22">
        <f>(13)*(1)*(1)*(1)*(1 + (0))</f>
      </c>
      <c r="D3224" s="22" t="s">
        <v>24</v>
      </c>
      <c r="E3224" s="22"/>
      <c r="F3224" s="22">
        <f>(0)</f>
      </c>
      <c r="G3224" s="22">
        <f>(C3224 * E3224 + C3224 * E3224 * F3224)</f>
      </c>
    </row>
    <row r="3225">
      <c r="A3225" s="3"/>
      <c r="B3225" s="11" t="s">
        <v>1089</v>
      </c>
      <c r="C3225" s="20"/>
      <c r="D3225" s="20"/>
      <c r="E3225" s="20"/>
      <c r="F3225" s="20"/>
      <c r="G3225" s="20"/>
    </row>
    <row r="3226">
      <c r="A3226" s="4"/>
      <c r="B3226" s="12" t="s">
        <v>1090</v>
      </c>
      <c r="C3226" s="21"/>
      <c r="D3226" s="21"/>
      <c r="E3226" s="21"/>
      <c r="F3226" s="21"/>
      <c r="G3226" s="21"/>
    </row>
    <row r="3227">
      <c r="A3227" s="5"/>
      <c r="B3227" s="13" t="s">
        <v>1695</v>
      </c>
      <c r="C3227" s="22">
        <f>(98)*(1)*(1)*(1)*(1 + (0))</f>
      </c>
      <c r="D3227" s="22" t="s">
        <v>24</v>
      </c>
      <c r="E3227" s="22"/>
      <c r="F3227" s="22">
        <f>(0)</f>
      </c>
      <c r="G3227" s="22">
        <f>(C3227 * E3227 + C3227 * E3227 * F3227)</f>
      </c>
    </row>
    <row r="3228">
      <c r="A3228" s="5"/>
      <c r="B3228" s="13" t="s">
        <v>1698</v>
      </c>
      <c r="C3228" s="22">
        <f>(13)*(1)*(1)*(1)*(1 + (0))</f>
      </c>
      <c r="D3228" s="22" t="s">
        <v>24</v>
      </c>
      <c r="E3228" s="22"/>
      <c r="F3228" s="22">
        <f>(0)</f>
      </c>
      <c r="G3228" s="22">
        <f>(C3228 * E3228 + C3228 * E3228 * F3228)</f>
      </c>
    </row>
    <row r="3229">
      <c r="A3229" s="3"/>
      <c r="B3229" s="11" t="s">
        <v>1091</v>
      </c>
      <c r="C3229" s="20"/>
      <c r="D3229" s="20"/>
      <c r="E3229" s="20"/>
      <c r="F3229" s="20"/>
      <c r="G3229" s="20"/>
    </row>
    <row r="3230">
      <c r="A3230" s="4"/>
      <c r="B3230" s="12" t="s">
        <v>1092</v>
      </c>
      <c r="C3230" s="21"/>
      <c r="D3230" s="21"/>
      <c r="E3230" s="21"/>
      <c r="F3230" s="21"/>
      <c r="G3230" s="21"/>
    </row>
    <row r="3231">
      <c r="A3231" s="5"/>
      <c r="B3231" s="13" t="s">
        <v>1746</v>
      </c>
      <c r="C3231" s="22">
        <f>(339)*(1)*(1)*(1)*(1 + (0))</f>
      </c>
      <c r="D3231" s="22" t="s">
        <v>24</v>
      </c>
      <c r="E3231" s="22"/>
      <c r="F3231" s="22">
        <f>(0)</f>
      </c>
      <c r="G3231" s="22">
        <f>(C3231 * E3231 + C3231 * E3231 * F3231)</f>
      </c>
    </row>
    <row r="3232">
      <c r="A3232" s="5"/>
      <c r="B3232" s="13" t="s">
        <v>1747</v>
      </c>
      <c r="C3232" s="22">
        <f>(88)*(1)*(1)*(1)*(1 + (0))</f>
      </c>
      <c r="D3232" s="22" t="s">
        <v>24</v>
      </c>
      <c r="E3232" s="22"/>
      <c r="F3232" s="22">
        <f>(0)</f>
      </c>
      <c r="G3232" s="22">
        <f>(C3232 * E3232 + C3232 * E3232 * F3232)</f>
      </c>
    </row>
    <row r="3233">
      <c r="A3233" s="3"/>
      <c r="B3233" s="11" t="s">
        <v>1093</v>
      </c>
      <c r="C3233" s="20"/>
      <c r="D3233" s="20"/>
      <c r="E3233" s="20"/>
      <c r="F3233" s="20"/>
      <c r="G3233" s="20"/>
    </row>
    <row r="3234">
      <c r="A3234" s="4"/>
      <c r="B3234" s="12" t="s">
        <v>1094</v>
      </c>
      <c r="C3234" s="21"/>
      <c r="D3234" s="21"/>
      <c r="E3234" s="21"/>
      <c r="F3234" s="21"/>
      <c r="G3234" s="21"/>
    </row>
    <row r="3235">
      <c r="A3235" s="5"/>
      <c r="B3235" s="13" t="s">
        <v>1746</v>
      </c>
      <c r="C3235" s="22">
        <f>(118)*(1)*(1)*(1)*(1 + (0))</f>
      </c>
      <c r="D3235" s="22" t="s">
        <v>153</v>
      </c>
      <c r="E3235" s="22"/>
      <c r="F3235" s="22">
        <f>(0)</f>
      </c>
      <c r="G3235" s="22">
        <f>(C3235 * E3235 + C3235 * E3235 * F3235)</f>
      </c>
    </row>
    <row r="3236">
      <c r="A3236" s="5"/>
      <c r="B3236" s="13" t="s">
        <v>1747</v>
      </c>
      <c r="C3236" s="22">
        <f>(33)*(1)*(1)*(1)*(1 + (0))</f>
      </c>
      <c r="D3236" s="22" t="s">
        <v>153</v>
      </c>
      <c r="E3236" s="22"/>
      <c r="F3236" s="22">
        <f>(0)</f>
      </c>
      <c r="G3236" s="22">
        <f>(C3236 * E3236 + C3236 * E3236 * F3236)</f>
      </c>
    </row>
    <row r="3237">
      <c r="A3237" s="2"/>
      <c r="B3237" s="10" t="s">
        <v>1095</v>
      </c>
      <c r="C3237" s="19"/>
      <c r="D3237" s="19"/>
      <c r="E3237" s="19"/>
      <c r="F3237" s="19"/>
      <c r="G3237" s="19"/>
    </row>
    <row r="3238">
      <c r="A3238" s="3"/>
      <c r="B3238" s="11" t="s">
        <v>37</v>
      </c>
      <c r="C3238" s="20"/>
      <c r="D3238" s="20"/>
      <c r="E3238" s="20"/>
      <c r="F3238" s="20"/>
      <c r="G3238" s="20"/>
    </row>
    <row r="3239">
      <c r="A3239" s="5" t="s">
        <v>1055</v>
      </c>
      <c r="B3239" s="14" t="s">
        <v>39</v>
      </c>
      <c r="C3239" s="22"/>
      <c r="D3239" s="22" t="s">
        <v>10</v>
      </c>
      <c r="E3239" s="22"/>
      <c r="F3239" s="22">
        <f>(0)</f>
      </c>
      <c r="G3239" s="22">
        <f>(C3239 * E3239 + C3239 * E3239 * F3239)</f>
      </c>
    </row>
    <row r="3240">
      <c r="A3240" s="5" t="s">
        <v>1056</v>
      </c>
      <c r="B3240" s="14" t="s">
        <v>41</v>
      </c>
      <c r="C3240" s="22"/>
      <c r="D3240" s="22" t="s">
        <v>10</v>
      </c>
      <c r="E3240" s="22"/>
      <c r="F3240" s="22">
        <f>(0)</f>
      </c>
      <c r="G3240" s="22">
        <f>(C3240 * E3240 + C3240 * E3240 * F3240)</f>
      </c>
    </row>
    <row r="3241">
      <c r="A3241" s="3"/>
      <c r="B3241" s="11" t="s">
        <v>523</v>
      </c>
      <c r="C3241" s="20"/>
      <c r="D3241" s="20"/>
      <c r="E3241" s="20"/>
      <c r="F3241" s="20"/>
      <c r="G3241" s="20"/>
    </row>
    <row r="3242">
      <c r="A3242" s="5"/>
      <c r="B3242" s="14" t="s">
        <v>1096</v>
      </c>
      <c r="C3242" s="22"/>
      <c r="D3242" s="22" t="s">
        <v>10</v>
      </c>
      <c r="E3242" s="22"/>
      <c r="F3242" s="22">
        <f>(0)</f>
      </c>
      <c r="G3242" s="22">
        <f>(C3242 * E3242 + C3242 * E3242 * F3242)</f>
      </c>
    </row>
    <row r="3243">
      <c r="A3243" s="5"/>
      <c r="B3243" s="14" t="s">
        <v>1058</v>
      </c>
      <c r="C3243" s="22"/>
      <c r="D3243" s="22" t="s">
        <v>10</v>
      </c>
      <c r="E3243" s="22"/>
      <c r="F3243" s="22">
        <f>(0)</f>
      </c>
      <c r="G3243" s="22">
        <f>(C3243 * E3243 + C3243 * E3243 * F3243)</f>
      </c>
    </row>
    <row r="3244">
      <c r="A3244" s="5"/>
      <c r="B3244" s="14" t="s">
        <v>635</v>
      </c>
      <c r="C3244" s="22"/>
      <c r="D3244" s="22" t="s">
        <v>10</v>
      </c>
      <c r="E3244" s="22"/>
      <c r="F3244" s="22">
        <f>(0)</f>
      </c>
      <c r="G3244" s="22">
        <f>(C3244 * E3244 + C3244 * E3244 * F3244)</f>
      </c>
    </row>
    <row r="3245">
      <c r="A3245" s="3"/>
      <c r="B3245" s="11" t="s">
        <v>44</v>
      </c>
      <c r="C3245" s="20"/>
      <c r="D3245" s="20"/>
      <c r="E3245" s="20"/>
      <c r="F3245" s="20"/>
      <c r="G3245" s="20"/>
    </row>
    <row r="3246">
      <c r="A3246" s="4"/>
      <c r="B3246" s="12" t="s">
        <v>45</v>
      </c>
      <c r="C3246" s="21"/>
      <c r="D3246" s="21"/>
      <c r="E3246" s="21"/>
      <c r="F3246" s="21"/>
      <c r="G3246" s="21"/>
    </row>
    <row r="3247">
      <c r="A3247" s="5" t="s">
        <v>1097</v>
      </c>
      <c r="B3247" s="13" t="s">
        <v>1098</v>
      </c>
      <c r="C3247" s="22"/>
      <c r="D3247" s="22" t="s">
        <v>10</v>
      </c>
      <c r="E3247" s="22"/>
      <c r="F3247" s="22">
        <f>(0)</f>
      </c>
      <c r="G3247" s="22">
        <f>(C3247 * E3247 + C3247 * E3247 * F3247)</f>
      </c>
    </row>
    <row r="3248">
      <c r="A3248" s="5" t="s">
        <v>1099</v>
      </c>
      <c r="B3248" s="13" t="s">
        <v>1100</v>
      </c>
      <c r="C3248" s="22"/>
      <c r="D3248" s="22" t="s">
        <v>10</v>
      </c>
      <c r="E3248" s="22"/>
      <c r="F3248" s="22">
        <f>(0)</f>
      </c>
      <c r="G3248" s="22">
        <f>(C3248 * E3248 + C3248 * E3248 * F3248)</f>
      </c>
    </row>
    <row r="3249">
      <c r="A3249" s="5" t="s">
        <v>1101</v>
      </c>
      <c r="B3249" s="13" t="s">
        <v>123</v>
      </c>
      <c r="C3249" s="22"/>
      <c r="D3249" s="22" t="s">
        <v>10</v>
      </c>
      <c r="E3249" s="22"/>
      <c r="F3249" s="22">
        <f>(0)</f>
      </c>
      <c r="G3249" s="22">
        <f>(C3249 * E3249 + C3249 * E3249 * F3249)</f>
      </c>
    </row>
    <row r="3250">
      <c r="A3250" s="3"/>
      <c r="B3250" s="11" t="s">
        <v>68</v>
      </c>
      <c r="C3250" s="20"/>
      <c r="D3250" s="20"/>
      <c r="E3250" s="20"/>
      <c r="F3250" s="20"/>
      <c r="G3250" s="20"/>
    </row>
    <row r="3251">
      <c r="A3251" s="5" t="s">
        <v>1102</v>
      </c>
      <c r="B3251" s="14" t="s">
        <v>1103</v>
      </c>
      <c r="C3251" s="22">
        <f>(1)*(1)*(1)*(1)*(1 + (0))</f>
      </c>
      <c r="D3251" s="22" t="s">
        <v>71</v>
      </c>
      <c r="E3251" s="22"/>
      <c r="F3251" s="22">
        <f>(0)</f>
      </c>
      <c r="G3251" s="22">
        <f>(C3251 * E3251 + C3251 * E3251 * F3251)</f>
      </c>
    </row>
    <row r="3252">
      <c r="A3252" s="5" t="s">
        <v>1104</v>
      </c>
      <c r="B3252" s="14" t="s">
        <v>543</v>
      </c>
      <c r="C3252" s="22">
        <f>(1)*(1)*(1)*(1)*(1 + (0))</f>
      </c>
      <c r="D3252" s="22" t="s">
        <v>71</v>
      </c>
      <c r="E3252" s="22"/>
      <c r="F3252" s="22">
        <f>(0)</f>
      </c>
      <c r="G3252" s="22">
        <f>(C3252 * E3252 + C3252 * E3252 * F3252)</f>
      </c>
    </row>
    <row r="3253">
      <c r="A3253" s="5" t="s">
        <v>1105</v>
      </c>
      <c r="B3253" s="14" t="s">
        <v>810</v>
      </c>
      <c r="C3253" s="22">
        <f>(1)*(1)*(1)*(1)*(1 + (0))</f>
      </c>
      <c r="D3253" s="22" t="s">
        <v>71</v>
      </c>
      <c r="E3253" s="22"/>
      <c r="F3253" s="22">
        <f>(0)</f>
      </c>
      <c r="G3253" s="22">
        <f>(C3253 * E3253 + C3253 * E3253 * F3253)</f>
      </c>
    </row>
    <row r="3254">
      <c r="A3254" s="5" t="s">
        <v>1106</v>
      </c>
      <c r="B3254" s="14" t="s">
        <v>665</v>
      </c>
      <c r="C3254" s="22">
        <f>(1)*(1)*(1)*(1)*(1 + (0))</f>
      </c>
      <c r="D3254" s="22" t="s">
        <v>71</v>
      </c>
      <c r="E3254" s="22"/>
      <c r="F3254" s="22">
        <f>(0)</f>
      </c>
      <c r="G3254" s="22">
        <f>(C3254 * E3254 + C3254 * E3254 * F3254)</f>
      </c>
    </row>
    <row r="3255">
      <c r="A3255" s="3"/>
      <c r="B3255" s="11" t="s">
        <v>106</v>
      </c>
      <c r="C3255" s="20"/>
      <c r="D3255" s="20"/>
      <c r="E3255" s="20"/>
      <c r="F3255" s="20"/>
      <c r="G3255" s="20"/>
    </row>
    <row r="3256">
      <c r="A3256" s="5"/>
      <c r="B3256" s="14" t="s">
        <v>1107</v>
      </c>
      <c r="C3256" s="22"/>
      <c r="D3256" s="22" t="s">
        <v>10</v>
      </c>
      <c r="E3256" s="22"/>
      <c r="F3256" s="22">
        <f>(0)</f>
      </c>
      <c r="G3256" s="22">
        <f>(C3256 * E3256 + C3256 * E3256 * F3256)</f>
      </c>
    </row>
    <row r="3257">
      <c r="A3257" s="3"/>
      <c r="B3257" s="11" t="s">
        <v>1108</v>
      </c>
      <c r="C3257" s="20"/>
      <c r="D3257" s="20"/>
      <c r="E3257" s="20"/>
      <c r="F3257" s="20"/>
      <c r="G3257" s="20"/>
    </row>
    <row r="3258">
      <c r="A3258" s="4"/>
      <c r="B3258" s="12" t="s">
        <v>1109</v>
      </c>
      <c r="C3258" s="21"/>
      <c r="D3258" s="21"/>
      <c r="E3258" s="21"/>
      <c r="F3258" s="21"/>
      <c r="G3258" s="21"/>
    </row>
    <row r="3259">
      <c r="A3259" s="5"/>
      <c r="B3259" s="13" t="s">
        <v>1695</v>
      </c>
      <c r="C3259" s="22">
        <f>(23)*(1)*(1)*(1)*(1 + (0))</f>
      </c>
      <c r="D3259" s="22" t="s">
        <v>24</v>
      </c>
      <c r="E3259" s="22"/>
      <c r="F3259" s="22">
        <f>(0)</f>
      </c>
      <c r="G3259" s="22">
        <f>(C3259 * E3259 + C3259 * E3259 * F3259)</f>
      </c>
    </row>
    <row r="3260">
      <c r="A3260" s="4"/>
      <c r="B3260" s="12" t="s">
        <v>1110</v>
      </c>
      <c r="C3260" s="21"/>
      <c r="D3260" s="21"/>
      <c r="E3260" s="21"/>
      <c r="F3260" s="21"/>
      <c r="G3260" s="21"/>
    </row>
    <row r="3261">
      <c r="A3261" s="5"/>
      <c r="B3261" s="13" t="s">
        <v>1695</v>
      </c>
      <c r="C3261" s="22">
        <f>(449)*(1)*(1)*(1)*(1 + (0))</f>
      </c>
      <c r="D3261" s="22" t="s">
        <v>24</v>
      </c>
      <c r="E3261" s="22"/>
      <c r="F3261" s="22">
        <f>(0)</f>
      </c>
      <c r="G3261" s="22">
        <f>(C3261 * E3261 + C3261 * E3261 * F3261)</f>
      </c>
    </row>
    <row r="3262">
      <c r="A3262" s="5"/>
      <c r="B3262" s="13" t="s">
        <v>1698</v>
      </c>
      <c r="C3262" s="22">
        <f>(516)*(1)*(1)*(1)*(1 + (0))</f>
      </c>
      <c r="D3262" s="22" t="s">
        <v>24</v>
      </c>
      <c r="E3262" s="22"/>
      <c r="F3262" s="22">
        <f>(0)</f>
      </c>
      <c r="G3262" s="22">
        <f>(C3262 * E3262 + C3262 * E3262 * F3262)</f>
      </c>
    </row>
    <row r="3263">
      <c r="A3263" s="4"/>
      <c r="B3263" s="12" t="s">
        <v>1112</v>
      </c>
      <c r="C3263" s="21"/>
      <c r="D3263" s="21"/>
      <c r="E3263" s="21"/>
      <c r="F3263" s="21"/>
      <c r="G3263" s="21"/>
    </row>
    <row r="3264">
      <c r="A3264" s="5"/>
      <c r="B3264" s="13" t="s">
        <v>1695</v>
      </c>
      <c r="C3264" s="22">
        <f>(207)*(1)*(1)*(1)*(1 + (0))</f>
      </c>
      <c r="D3264" s="22" t="s">
        <v>24</v>
      </c>
      <c r="E3264" s="22"/>
      <c r="F3264" s="22">
        <f>(0)</f>
      </c>
      <c r="G3264" s="22">
        <f>(C3264 * E3264 + C3264 * E3264 * F3264)</f>
      </c>
    </row>
    <row r="3265">
      <c r="A3265" s="5"/>
      <c r="B3265" s="13" t="s">
        <v>1698</v>
      </c>
      <c r="C3265" s="22">
        <f>(205)*(1)*(1)*(1)*(1 + (0))</f>
      </c>
      <c r="D3265" s="22" t="s">
        <v>24</v>
      </c>
      <c r="E3265" s="22"/>
      <c r="F3265" s="22">
        <f>(0)</f>
      </c>
      <c r="G3265" s="22">
        <f>(C3265 * E3265 + C3265 * E3265 * F3265)</f>
      </c>
    </row>
    <row r="3266">
      <c r="A3266" s="3"/>
      <c r="B3266" s="11" t="s">
        <v>1114</v>
      </c>
      <c r="C3266" s="20"/>
      <c r="D3266" s="20"/>
      <c r="E3266" s="20"/>
      <c r="F3266" s="20"/>
      <c r="G3266" s="20"/>
    </row>
    <row r="3267">
      <c r="A3267" s="4"/>
      <c r="B3267" s="12" t="s">
        <v>1115</v>
      </c>
      <c r="C3267" s="21"/>
      <c r="D3267" s="21"/>
      <c r="E3267" s="21"/>
      <c r="F3267" s="21"/>
      <c r="G3267" s="21"/>
    </row>
    <row r="3268">
      <c r="A3268" s="5"/>
      <c r="B3268" s="13" t="s">
        <v>1695</v>
      </c>
      <c r="C3268" s="22">
        <f>(21)*(1)*(1)*(1)*(1 + (0))</f>
      </c>
      <c r="D3268" s="22" t="s">
        <v>24</v>
      </c>
      <c r="E3268" s="22"/>
      <c r="F3268" s="22">
        <f>(0)</f>
      </c>
      <c r="G3268" s="22">
        <f>(C3268 * E3268 + C3268 * E3268 * F3268)</f>
      </c>
    </row>
    <row r="3269">
      <c r="A3269" s="5"/>
      <c r="B3269" s="13" t="s">
        <v>1698</v>
      </c>
      <c r="C3269" s="22">
        <f>(23)*(1)*(1)*(1)*(1 + (0))</f>
      </c>
      <c r="D3269" s="22" t="s">
        <v>24</v>
      </c>
      <c r="E3269" s="22"/>
      <c r="F3269" s="22">
        <f>(0)</f>
      </c>
      <c r="G3269" s="22">
        <f>(C3269 * E3269 + C3269 * E3269 * F3269)</f>
      </c>
    </row>
    <row r="3270">
      <c r="A3270" s="3"/>
      <c r="B3270" s="11" t="s">
        <v>1116</v>
      </c>
      <c r="C3270" s="20"/>
      <c r="D3270" s="20"/>
      <c r="E3270" s="20"/>
      <c r="F3270" s="20"/>
      <c r="G3270" s="20"/>
    </row>
    <row r="3271">
      <c r="A3271" s="4"/>
      <c r="B3271" s="12" t="s">
        <v>1117</v>
      </c>
      <c r="C3271" s="21"/>
      <c r="D3271" s="21"/>
      <c r="E3271" s="21"/>
      <c r="F3271" s="21"/>
      <c r="G3271" s="21"/>
    </row>
    <row r="3272">
      <c r="A3272" s="5"/>
      <c r="B3272" s="13" t="s">
        <v>1695</v>
      </c>
      <c r="C3272" s="22">
        <f>(5)*(1)*(1)*(1)*(1 + (0))</f>
      </c>
      <c r="D3272" s="22" t="s">
        <v>153</v>
      </c>
      <c r="E3272" s="22"/>
      <c r="F3272" s="22">
        <f>(0)</f>
      </c>
      <c r="G3272" s="22">
        <f>(C3272 * E3272 + C3272 * E3272 * F3272)</f>
      </c>
    </row>
    <row r="3273">
      <c r="A3273" s="4"/>
      <c r="B3273" s="12" t="s">
        <v>1118</v>
      </c>
      <c r="C3273" s="21"/>
      <c r="D3273" s="21"/>
      <c r="E3273" s="21"/>
      <c r="F3273" s="21"/>
      <c r="G3273" s="21"/>
    </row>
    <row r="3274">
      <c r="A3274" s="5"/>
      <c r="B3274" s="13" t="s">
        <v>1695</v>
      </c>
      <c r="C3274" s="22">
        <f>(31)*(1)*(1)*(1)*(1 + (0))</f>
      </c>
      <c r="D3274" s="22" t="s">
        <v>153</v>
      </c>
      <c r="E3274" s="22"/>
      <c r="F3274" s="22">
        <f>(0)</f>
      </c>
      <c r="G3274" s="22">
        <f>(C3274 * E3274 + C3274 * E3274 * F3274)</f>
      </c>
    </row>
    <row r="3275">
      <c r="A3275" s="5"/>
      <c r="B3275" s="13" t="s">
        <v>1698</v>
      </c>
      <c r="C3275" s="22">
        <f>(31)*(1)*(1)*(1)*(1 + (0))</f>
      </c>
      <c r="D3275" s="22" t="s">
        <v>153</v>
      </c>
      <c r="E3275" s="22"/>
      <c r="F3275" s="22">
        <f>(0)</f>
      </c>
      <c r="G3275" s="22">
        <f>(C3275 * E3275 + C3275 * E3275 * F3275)</f>
      </c>
    </row>
    <row r="3276">
      <c r="A3276" s="3"/>
      <c r="B3276" s="11" t="s">
        <v>1119</v>
      </c>
      <c r="C3276" s="20"/>
      <c r="D3276" s="20"/>
      <c r="E3276" s="20"/>
      <c r="F3276" s="20"/>
      <c r="G3276" s="20"/>
    </row>
    <row r="3277">
      <c r="A3277" s="5"/>
      <c r="B3277" s="14" t="s">
        <v>1120</v>
      </c>
      <c r="C3277" s="22">
        <f>(742)*(1)*(1)*(1)*(1 + (0))</f>
      </c>
      <c r="D3277" s="22" t="s">
        <v>24</v>
      </c>
      <c r="E3277" s="22"/>
      <c r="F3277" s="22">
        <f>(0)</f>
      </c>
      <c r="G3277" s="22">
        <f>(C3277 * E3277 + C3277 * E3277 * F3277)</f>
      </c>
    </row>
    <row r="3278">
      <c r="A3278" s="5"/>
      <c r="B3278" s="14" t="s">
        <v>1121</v>
      </c>
      <c r="C3278" s="22">
        <f>(371)*(1)*(1)*(1)*(1 + (0))</f>
      </c>
      <c r="D3278" s="22" t="s">
        <v>24</v>
      </c>
      <c r="E3278" s="22"/>
      <c r="F3278" s="22">
        <f>(0)</f>
      </c>
      <c r="G3278" s="22">
        <f>(C3278 * E3278 + C3278 * E3278 * F3278)</f>
      </c>
    </row>
    <row r="3279">
      <c r="A3279" s="5"/>
      <c r="B3279" s="14" t="s">
        <v>1122</v>
      </c>
      <c r="C3279" s="22">
        <f>(1433)*(1)*(1)*(1)*(1 + (0))</f>
      </c>
      <c r="D3279" s="22" t="s">
        <v>24</v>
      </c>
      <c r="E3279" s="22"/>
      <c r="F3279" s="22">
        <f>(0)</f>
      </c>
      <c r="G3279" s="22">
        <f>(C3279 * E3279 + C3279 * E3279 * F3279)</f>
      </c>
    </row>
    <row r="3280">
      <c r="A3280" s="2"/>
      <c r="B3280" s="10" t="s">
        <v>1123</v>
      </c>
      <c r="C3280" s="19"/>
      <c r="D3280" s="19"/>
      <c r="E3280" s="19"/>
      <c r="F3280" s="19"/>
      <c r="G3280" s="19"/>
    </row>
    <row r="3281">
      <c r="A3281" s="3"/>
      <c r="B3281" s="11" t="s">
        <v>37</v>
      </c>
      <c r="C3281" s="20"/>
      <c r="D3281" s="20"/>
      <c r="E3281" s="20"/>
      <c r="F3281" s="20"/>
      <c r="G3281" s="20"/>
    </row>
    <row r="3282">
      <c r="A3282" s="5" t="s">
        <v>1124</v>
      </c>
      <c r="B3282" s="14" t="s">
        <v>39</v>
      </c>
      <c r="C3282" s="22"/>
      <c r="D3282" s="22" t="s">
        <v>10</v>
      </c>
      <c r="E3282" s="22"/>
      <c r="F3282" s="22">
        <f>(0)</f>
      </c>
      <c r="G3282" s="22">
        <f>(C3282 * E3282 + C3282 * E3282 * F3282)</f>
      </c>
    </row>
    <row r="3283">
      <c r="A3283" s="5" t="s">
        <v>1125</v>
      </c>
      <c r="B3283" s="14" t="s">
        <v>41</v>
      </c>
      <c r="C3283" s="22"/>
      <c r="D3283" s="22" t="s">
        <v>10</v>
      </c>
      <c r="E3283" s="22"/>
      <c r="F3283" s="22">
        <f>(0)</f>
      </c>
      <c r="G3283" s="22">
        <f>(C3283 * E3283 + C3283 * E3283 * F3283)</f>
      </c>
    </row>
    <row r="3284">
      <c r="A3284" s="3"/>
      <c r="B3284" s="11" t="s">
        <v>523</v>
      </c>
      <c r="C3284" s="20"/>
      <c r="D3284" s="20"/>
      <c r="E3284" s="20"/>
      <c r="F3284" s="20"/>
      <c r="G3284" s="20"/>
    </row>
    <row r="3285">
      <c r="A3285" s="5"/>
      <c r="B3285" s="14" t="s">
        <v>1126</v>
      </c>
      <c r="C3285" s="22"/>
      <c r="D3285" s="22" t="s">
        <v>10</v>
      </c>
      <c r="E3285" s="22"/>
      <c r="F3285" s="22">
        <f>(0)</f>
      </c>
      <c r="G3285" s="22">
        <f>(C3285 * E3285 + C3285 * E3285 * F3285)</f>
      </c>
    </row>
    <row r="3286">
      <c r="A3286" s="5"/>
      <c r="B3286" s="14" t="s">
        <v>1058</v>
      </c>
      <c r="C3286" s="22"/>
      <c r="D3286" s="22" t="s">
        <v>10</v>
      </c>
      <c r="E3286" s="22"/>
      <c r="F3286" s="22">
        <f>(0)</f>
      </c>
      <c r="G3286" s="22">
        <f>(C3286 * E3286 + C3286 * E3286 * F3286)</f>
      </c>
    </row>
    <row r="3287">
      <c r="A3287" s="5"/>
      <c r="B3287" s="14" t="s">
        <v>635</v>
      </c>
      <c r="C3287" s="22"/>
      <c r="D3287" s="22" t="s">
        <v>10</v>
      </c>
      <c r="E3287" s="22"/>
      <c r="F3287" s="22">
        <f>(0)</f>
      </c>
      <c r="G3287" s="22">
        <f>(C3287 * E3287 + C3287 * E3287 * F3287)</f>
      </c>
    </row>
    <row r="3288">
      <c r="A3288" s="3"/>
      <c r="B3288" s="11" t="s">
        <v>44</v>
      </c>
      <c r="C3288" s="20"/>
      <c r="D3288" s="20"/>
      <c r="E3288" s="20"/>
      <c r="F3288" s="20"/>
      <c r="G3288" s="20"/>
    </row>
    <row r="3289">
      <c r="A3289" s="4"/>
      <c r="B3289" s="12" t="s">
        <v>45</v>
      </c>
      <c r="C3289" s="21"/>
      <c r="D3289" s="21"/>
      <c r="E3289" s="21"/>
      <c r="F3289" s="21"/>
      <c r="G3289" s="21"/>
    </row>
    <row r="3290">
      <c r="A3290" s="5" t="s">
        <v>1097</v>
      </c>
      <c r="B3290" s="13" t="s">
        <v>1098</v>
      </c>
      <c r="C3290" s="22"/>
      <c r="D3290" s="22" t="s">
        <v>10</v>
      </c>
      <c r="E3290" s="22"/>
      <c r="F3290" s="22">
        <f>(0)</f>
      </c>
      <c r="G3290" s="22">
        <f>(C3290 * E3290 + C3290 * E3290 * F3290)</f>
      </c>
    </row>
    <row r="3291">
      <c r="A3291" s="5" t="s">
        <v>1099</v>
      </c>
      <c r="B3291" s="13" t="s">
        <v>1100</v>
      </c>
      <c r="C3291" s="22"/>
      <c r="D3291" s="22" t="s">
        <v>10</v>
      </c>
      <c r="E3291" s="22"/>
      <c r="F3291" s="22">
        <f>(0)</f>
      </c>
      <c r="G3291" s="22">
        <f>(C3291 * E3291 + C3291 * E3291 * F3291)</f>
      </c>
    </row>
    <row r="3292">
      <c r="A3292" s="5" t="s">
        <v>1101</v>
      </c>
      <c r="B3292" s="13" t="s">
        <v>123</v>
      </c>
      <c r="C3292" s="22"/>
      <c r="D3292" s="22" t="s">
        <v>10</v>
      </c>
      <c r="E3292" s="22"/>
      <c r="F3292" s="22">
        <f>(0)</f>
      </c>
      <c r="G3292" s="22">
        <f>(C3292 * E3292 + C3292 * E3292 * F3292)</f>
      </c>
    </row>
    <row r="3293">
      <c r="A3293" s="3"/>
      <c r="B3293" s="11" t="s">
        <v>68</v>
      </c>
      <c r="C3293" s="20"/>
      <c r="D3293" s="20"/>
      <c r="E3293" s="20"/>
      <c r="F3293" s="20"/>
      <c r="G3293" s="20"/>
    </row>
    <row r="3294">
      <c r="A3294" s="5" t="s">
        <v>1127</v>
      </c>
      <c r="B3294" s="14" t="s">
        <v>1071</v>
      </c>
      <c r="C3294" s="22">
        <f>(1)*(1)*(1)*(1)*(1 + (0))</f>
      </c>
      <c r="D3294" s="22" t="s">
        <v>71</v>
      </c>
      <c r="E3294" s="22"/>
      <c r="F3294" s="22">
        <f>(0)</f>
      </c>
      <c r="G3294" s="22">
        <f>(C3294 * E3294 + C3294 * E3294 * F3294)</f>
      </c>
    </row>
    <row r="3295">
      <c r="A3295" s="5" t="s">
        <v>1128</v>
      </c>
      <c r="B3295" s="14" t="s">
        <v>798</v>
      </c>
      <c r="C3295" s="22">
        <f>(1)*(1)*(1)*(1)*(1 + (0))</f>
      </c>
      <c r="D3295" s="22" t="s">
        <v>71</v>
      </c>
      <c r="E3295" s="22"/>
      <c r="F3295" s="22">
        <f>(0)</f>
      </c>
      <c r="G3295" s="22">
        <f>(C3295 * E3295 + C3295 * E3295 * F3295)</f>
      </c>
    </row>
    <row r="3296">
      <c r="A3296" s="5" t="s">
        <v>1129</v>
      </c>
      <c r="B3296" s="14" t="s">
        <v>812</v>
      </c>
      <c r="C3296" s="22">
        <f>(1)*(1)*(1)*(1)*(1 + (0))</f>
      </c>
      <c r="D3296" s="22" t="s">
        <v>71</v>
      </c>
      <c r="E3296" s="22"/>
      <c r="F3296" s="22">
        <f>(0)</f>
      </c>
      <c r="G3296" s="22">
        <f>(C3296 * E3296 + C3296 * E3296 * F3296)</f>
      </c>
    </row>
    <row r="3297">
      <c r="A3297" s="5" t="s">
        <v>1130</v>
      </c>
      <c r="B3297" s="14" t="s">
        <v>810</v>
      </c>
      <c r="C3297" s="22">
        <f>(1)*(1)*(1)*(1)*(1 + (0))</f>
      </c>
      <c r="D3297" s="22" t="s">
        <v>71</v>
      </c>
      <c r="E3297" s="22"/>
      <c r="F3297" s="22">
        <f>(0)</f>
      </c>
      <c r="G3297" s="22">
        <f>(C3297 * E3297 + C3297 * E3297 * F3297)</f>
      </c>
    </row>
    <row r="3298">
      <c r="A3298" s="5" t="s">
        <v>1131</v>
      </c>
      <c r="B3298" s="14" t="s">
        <v>230</v>
      </c>
      <c r="C3298" s="22">
        <f>(1)*(1)*(1)*(1)*(1 + (0))</f>
      </c>
      <c r="D3298" s="22" t="s">
        <v>71</v>
      </c>
      <c r="E3298" s="22"/>
      <c r="F3298" s="22">
        <f>(0)</f>
      </c>
      <c r="G3298" s="22">
        <f>(C3298 * E3298 + C3298 * E3298 * F3298)</f>
      </c>
    </row>
    <row r="3299">
      <c r="A3299" s="5" t="s">
        <v>1132</v>
      </c>
      <c r="B3299" s="14" t="s">
        <v>800</v>
      </c>
      <c r="C3299" s="22">
        <f>(1)*(1)*(1)*(1)*(1 + (0))</f>
      </c>
      <c r="D3299" s="22" t="s">
        <v>71</v>
      </c>
      <c r="E3299" s="22"/>
      <c r="F3299" s="22">
        <f>(0)</f>
      </c>
      <c r="G3299" s="22">
        <f>(C3299 * E3299 + C3299 * E3299 * F3299)</f>
      </c>
    </row>
    <row r="3300">
      <c r="A3300" s="5" t="s">
        <v>1133</v>
      </c>
      <c r="B3300" s="14" t="s">
        <v>70</v>
      </c>
      <c r="C3300" s="22">
        <f>(1)*(1)*(1)*(1)*(1 + (0))</f>
      </c>
      <c r="D3300" s="22" t="s">
        <v>71</v>
      </c>
      <c r="E3300" s="22"/>
      <c r="F3300" s="22">
        <f>(0)</f>
      </c>
      <c r="G3300" s="22">
        <f>(C3300 * E3300 + C3300 * E3300 * F3300)</f>
      </c>
    </row>
    <row r="3301">
      <c r="A3301" s="5" t="s">
        <v>1134</v>
      </c>
      <c r="B3301" s="14" t="s">
        <v>1135</v>
      </c>
      <c r="C3301" s="22">
        <f>(1)*(1)*(1)*(1)*(1 + (0))</f>
      </c>
      <c r="D3301" s="22" t="s">
        <v>71</v>
      </c>
      <c r="E3301" s="22"/>
      <c r="F3301" s="22">
        <f>(0)</f>
      </c>
      <c r="G3301" s="22">
        <f>(C3301 * E3301 + C3301 * E3301 * F3301)</f>
      </c>
    </row>
    <row r="3302">
      <c r="A3302" s="5" t="s">
        <v>1136</v>
      </c>
      <c r="B3302" s="14" t="s">
        <v>667</v>
      </c>
      <c r="C3302" s="22">
        <f>(1)*(1)*(1)*(1)*(1 + (0))</f>
      </c>
      <c r="D3302" s="22" t="s">
        <v>71</v>
      </c>
      <c r="E3302" s="22"/>
      <c r="F3302" s="22">
        <f>(0)</f>
      </c>
      <c r="G3302" s="22">
        <f>(C3302 * E3302 + C3302 * E3302 * F3302)</f>
      </c>
    </row>
    <row r="3303">
      <c r="A3303" s="5" t="s">
        <v>1137</v>
      </c>
      <c r="B3303" s="14" t="s">
        <v>665</v>
      </c>
      <c r="C3303" s="22">
        <f>(1)*(1)*(1)*(1)*(1 + (0))</f>
      </c>
      <c r="D3303" s="22" t="s">
        <v>71</v>
      </c>
      <c r="E3303" s="22"/>
      <c r="F3303" s="22">
        <f>(0)</f>
      </c>
      <c r="G3303" s="22">
        <f>(C3303 * E3303 + C3303 * E3303 * F3303)</f>
      </c>
    </row>
    <row r="3304">
      <c r="A3304" s="3"/>
      <c r="B3304" s="11" t="s">
        <v>106</v>
      </c>
      <c r="C3304" s="20"/>
      <c r="D3304" s="20"/>
      <c r="E3304" s="20"/>
      <c r="F3304" s="20"/>
      <c r="G3304" s="20"/>
    </row>
    <row r="3305">
      <c r="A3305" s="5"/>
      <c r="B3305" s="14" t="s">
        <v>1107</v>
      </c>
      <c r="C3305" s="22"/>
      <c r="D3305" s="22" t="s">
        <v>10</v>
      </c>
      <c r="E3305" s="22"/>
      <c r="F3305" s="22">
        <f>(0)</f>
      </c>
      <c r="G3305" s="22">
        <f>(C3305 * E3305 + C3305 * E3305 * F3305)</f>
      </c>
    </row>
    <row r="3306">
      <c r="A3306" s="5"/>
      <c r="B3306" s="14" t="s">
        <v>1138</v>
      </c>
      <c r="C3306" s="22"/>
      <c r="D3306" s="22" t="s">
        <v>10</v>
      </c>
      <c r="E3306" s="22"/>
      <c r="F3306" s="22">
        <f>(0)</f>
      </c>
      <c r="G3306" s="22">
        <f>(C3306 * E3306 + C3306 * E3306 * F3306)</f>
      </c>
    </row>
    <row r="3307">
      <c r="A3307" s="3"/>
      <c r="B3307" s="11" t="s">
        <v>1139</v>
      </c>
      <c r="C3307" s="20"/>
      <c r="D3307" s="20"/>
      <c r="E3307" s="20"/>
      <c r="F3307" s="20"/>
      <c r="G3307" s="20"/>
    </row>
    <row r="3308">
      <c r="A3308" s="4"/>
      <c r="B3308" s="12" t="s">
        <v>1140</v>
      </c>
      <c r="C3308" s="21"/>
      <c r="D3308" s="21"/>
      <c r="E3308" s="21"/>
      <c r="F3308" s="21"/>
      <c r="G3308" s="21"/>
    </row>
    <row r="3309">
      <c r="A3309" s="5"/>
      <c r="B3309" s="13" t="s">
        <v>1695</v>
      </c>
      <c r="C3309" s="22">
        <f>(41)*(1)*(1)*(1)*(1 + (0))</f>
      </c>
      <c r="D3309" s="22" t="s">
        <v>24</v>
      </c>
      <c r="E3309" s="22"/>
      <c r="F3309" s="22">
        <f>(0)</f>
      </c>
      <c r="G3309" s="22">
        <f>(C3309 * E3309 + C3309 * E3309 * F3309)</f>
      </c>
    </row>
    <row r="3310">
      <c r="A3310" s="4"/>
      <c r="B3310" s="12" t="s">
        <v>1141</v>
      </c>
      <c r="C3310" s="21"/>
      <c r="D3310" s="21"/>
      <c r="E3310" s="21"/>
      <c r="F3310" s="21"/>
      <c r="G3310" s="21"/>
    </row>
    <row r="3311">
      <c r="A3311" s="5"/>
      <c r="B3311" s="13" t="s">
        <v>1698</v>
      </c>
      <c r="C3311" s="22">
        <f>(18)*(1)*(1)*(1)*(1 + (0))</f>
      </c>
      <c r="D3311" s="22" t="s">
        <v>24</v>
      </c>
      <c r="E3311" s="22"/>
      <c r="F3311" s="22">
        <f>(0)</f>
      </c>
      <c r="G3311" s="22">
        <f>(C3311 * E3311 + C3311 * E3311 * F3311)</f>
      </c>
    </row>
    <row r="3312">
      <c r="A3312" s="4"/>
      <c r="B3312" s="12" t="s">
        <v>1142</v>
      </c>
      <c r="C3312" s="21"/>
      <c r="D3312" s="21"/>
      <c r="E3312" s="21"/>
      <c r="F3312" s="21"/>
      <c r="G3312" s="21"/>
    </row>
    <row r="3313">
      <c r="A3313" s="5"/>
      <c r="B3313" s="13" t="s">
        <v>1695</v>
      </c>
      <c r="C3313" s="22">
        <f>(42)*(1)*(1)*(1)*(1 + (0))</f>
      </c>
      <c r="D3313" s="22" t="s">
        <v>24</v>
      </c>
      <c r="E3313" s="22"/>
      <c r="F3313" s="22">
        <f>(0)</f>
      </c>
      <c r="G3313" s="22">
        <f>(C3313 * E3313 + C3313 * E3313 * F3313)</f>
      </c>
    </row>
    <row r="3314">
      <c r="A3314" s="5"/>
      <c r="B3314" s="13" t="s">
        <v>1698</v>
      </c>
      <c r="C3314" s="22">
        <f>(40)*(1)*(1)*(1)*(1 + (0))</f>
      </c>
      <c r="D3314" s="22" t="s">
        <v>24</v>
      </c>
      <c r="E3314" s="22"/>
      <c r="F3314" s="22">
        <f>(0)</f>
      </c>
      <c r="G3314" s="22">
        <f>(C3314 * E3314 + C3314 * E3314 * F3314)</f>
      </c>
    </row>
    <row r="3315">
      <c r="A3315" s="3"/>
      <c r="B3315" s="11" t="s">
        <v>1144</v>
      </c>
      <c r="C3315" s="20"/>
      <c r="D3315" s="20"/>
      <c r="E3315" s="20"/>
      <c r="F3315" s="20"/>
      <c r="G3315" s="20"/>
    </row>
    <row r="3316">
      <c r="A3316" s="4"/>
      <c r="B3316" s="12" t="s">
        <v>1145</v>
      </c>
      <c r="C3316" s="21"/>
      <c r="D3316" s="21"/>
      <c r="E3316" s="21"/>
      <c r="F3316" s="21"/>
      <c r="G3316" s="21"/>
    </row>
    <row r="3317">
      <c r="A3317" s="5"/>
      <c r="B3317" s="13" t="s">
        <v>1695</v>
      </c>
      <c r="C3317" s="22">
        <f>(189)*(1)*(1)*(1)*(1 + (0))</f>
      </c>
      <c r="D3317" s="22" t="s">
        <v>24</v>
      </c>
      <c r="E3317" s="22"/>
      <c r="F3317" s="22">
        <f>(0)</f>
      </c>
      <c r="G3317" s="22">
        <f>(C3317 * E3317 + C3317 * E3317 * F3317)</f>
      </c>
    </row>
    <row r="3318">
      <c r="A3318" s="5"/>
      <c r="B3318" s="13" t="s">
        <v>1698</v>
      </c>
      <c r="C3318" s="22">
        <f>(191)*(1)*(1)*(1)*(1 + (0))</f>
      </c>
      <c r="D3318" s="22" t="s">
        <v>24</v>
      </c>
      <c r="E3318" s="22"/>
      <c r="F3318" s="22">
        <f>(0)</f>
      </c>
      <c r="G3318" s="22">
        <f>(C3318 * E3318 + C3318 * E3318 * F3318)</f>
      </c>
    </row>
    <row r="3319">
      <c r="A3319" s="3"/>
      <c r="B3319" s="11" t="s">
        <v>1119</v>
      </c>
      <c r="C3319" s="20"/>
      <c r="D3319" s="20"/>
      <c r="E3319" s="20"/>
      <c r="F3319" s="20"/>
      <c r="G3319" s="20"/>
    </row>
    <row r="3320">
      <c r="A3320" s="5"/>
      <c r="B3320" s="14" t="s">
        <v>1120</v>
      </c>
      <c r="C3320" s="22">
        <f>(57)*(1)*(1)*(1)*(1 + (0))</f>
      </c>
      <c r="D3320" s="22" t="s">
        <v>24</v>
      </c>
      <c r="E3320" s="22"/>
      <c r="F3320" s="22">
        <f>(0)</f>
      </c>
      <c r="G3320" s="22">
        <f>(C3320 * E3320 + C3320 * E3320 * F3320)</f>
      </c>
    </row>
    <row r="3321">
      <c r="A3321" s="5"/>
      <c r="B3321" s="14" t="s">
        <v>1147</v>
      </c>
      <c r="C3321" s="22">
        <f>(57)*(1)*(1)*(1)*(1 + (0))</f>
      </c>
      <c r="D3321" s="22" t="s">
        <v>24</v>
      </c>
      <c r="E3321" s="22"/>
      <c r="F3321" s="22">
        <f>(0)</f>
      </c>
      <c r="G3321" s="22">
        <f>(C3321 * E3321 + C3321 * E3321 * F3321)</f>
      </c>
    </row>
    <row r="3322">
      <c r="A3322" s="5"/>
      <c r="B3322" s="14" t="s">
        <v>1121</v>
      </c>
      <c r="C3322" s="22">
        <f>(29)*(1)*(1)*(1)*(1 + (0))</f>
      </c>
      <c r="D3322" s="22" t="s">
        <v>24</v>
      </c>
      <c r="E3322" s="22"/>
      <c r="F3322" s="22">
        <f>(0)</f>
      </c>
      <c r="G3322" s="22">
        <f>(C3322 * E3322 + C3322 * E3322 * F3322)</f>
      </c>
    </row>
    <row r="3323">
      <c r="A3323" s="5"/>
      <c r="B3323" s="14" t="s">
        <v>1148</v>
      </c>
      <c r="C3323" s="22">
        <f>(139)*(1)*(1)*(1)*(1 + (0))</f>
      </c>
      <c r="D3323" s="22" t="s">
        <v>24</v>
      </c>
      <c r="E3323" s="22"/>
      <c r="F3323" s="22">
        <f>(0)</f>
      </c>
      <c r="G3323" s="22">
        <f>(C3323 * E3323 + C3323 * E3323 * F3323)</f>
      </c>
    </row>
    <row r="3324">
      <c r="A3324" s="5"/>
      <c r="B3324" s="14" t="s">
        <v>1149</v>
      </c>
      <c r="C3324" s="22">
        <f>(139)*(1)*(1)*(1)*(1 + (0))</f>
      </c>
      <c r="D3324" s="22" t="s">
        <v>24</v>
      </c>
      <c r="E3324" s="22"/>
      <c r="F3324" s="22">
        <f>(0)</f>
      </c>
      <c r="G3324" s="22">
        <f>(C3324 * E3324 + C3324 * E3324 * F3324)</f>
      </c>
    </row>
    <row r="3325">
      <c r="A3325" s="5"/>
      <c r="B3325" s="7" t="s">
        <v>1150</v>
      </c>
      <c r="C3325" s="22"/>
      <c r="D3325" s="22"/>
      <c r="E3325" s="22"/>
      <c r="F3325" s="22">
        <f>(0)</f>
      </c>
      <c r="G3325" s="22">
        <f>(C3325 * E3325 + C3325 * E3325 * F3325)</f>
      </c>
    </row>
    <row r="3326">
      <c r="A3326" s="2"/>
      <c r="B3326" s="10" t="s">
        <v>1151</v>
      </c>
      <c r="C3326" s="19"/>
      <c r="D3326" s="19"/>
      <c r="E3326" s="19"/>
      <c r="F3326" s="19"/>
      <c r="G3326" s="19"/>
    </row>
    <row r="3327">
      <c r="A3327" s="3"/>
      <c r="B3327" s="11" t="s">
        <v>37</v>
      </c>
      <c r="C3327" s="20"/>
      <c r="D3327" s="20"/>
      <c r="E3327" s="20"/>
      <c r="F3327" s="20"/>
      <c r="G3327" s="20"/>
    </row>
    <row r="3328">
      <c r="A3328" s="5" t="s">
        <v>1753</v>
      </c>
      <c r="B3328" s="14" t="s">
        <v>39</v>
      </c>
      <c r="C3328" s="22"/>
      <c r="D3328" s="22" t="s">
        <v>10</v>
      </c>
      <c r="E3328" s="22"/>
      <c r="F3328" s="22">
        <f>(0)</f>
      </c>
      <c r="G3328" s="22">
        <f>(C3328 * E3328 + C3328 * E3328 * F3328)</f>
      </c>
    </row>
    <row r="3329">
      <c r="A3329" s="5" t="s">
        <v>1754</v>
      </c>
      <c r="B3329" s="14" t="s">
        <v>41</v>
      </c>
      <c r="C3329" s="22"/>
      <c r="D3329" s="22" t="s">
        <v>10</v>
      </c>
      <c r="E3329" s="22"/>
      <c r="F3329" s="22">
        <f>(0)</f>
      </c>
      <c r="G3329" s="22">
        <f>(C3329 * E3329 + C3329 * E3329 * F3329)</f>
      </c>
    </row>
    <row r="3330">
      <c r="A3330" s="3"/>
      <c r="B3330" s="11" t="s">
        <v>44</v>
      </c>
      <c r="C3330" s="20"/>
      <c r="D3330" s="20"/>
      <c r="E3330" s="20"/>
      <c r="F3330" s="20"/>
      <c r="G3330" s="20"/>
    </row>
    <row r="3331">
      <c r="A3331" s="4"/>
      <c r="B3331" s="12" t="s">
        <v>45</v>
      </c>
      <c r="C3331" s="21"/>
      <c r="D3331" s="21"/>
      <c r="E3331" s="21"/>
      <c r="F3331" s="21"/>
      <c r="G3331" s="21"/>
    </row>
    <row r="3332">
      <c r="A3332" s="5" t="s">
        <v>1755</v>
      </c>
      <c r="B3332" s="13" t="s">
        <v>898</v>
      </c>
      <c r="C3332" s="22"/>
      <c r="D3332" s="22" t="s">
        <v>10</v>
      </c>
      <c r="E3332" s="22"/>
      <c r="F3332" s="22">
        <f>(0)</f>
      </c>
      <c r="G3332" s="22">
        <f>(C3332 * E3332 + C3332 * E3332 * F3332)</f>
      </c>
    </row>
    <row r="3333">
      <c r="A3333" s="5" t="s">
        <v>1756</v>
      </c>
      <c r="B3333" s="13" t="s">
        <v>899</v>
      </c>
      <c r="C3333" s="22"/>
      <c r="D3333" s="22" t="s">
        <v>10</v>
      </c>
      <c r="E3333" s="22"/>
      <c r="F3333" s="22">
        <f>(0)</f>
      </c>
      <c r="G3333" s="22">
        <f>(C3333 * E3333 + C3333 * E3333 * F3333)</f>
      </c>
    </row>
    <row r="3334">
      <c r="A3334" s="5" t="s">
        <v>1757</v>
      </c>
      <c r="B3334" s="13" t="s">
        <v>767</v>
      </c>
      <c r="C3334" s="22"/>
      <c r="D3334" s="22" t="s">
        <v>10</v>
      </c>
      <c r="E3334" s="22"/>
      <c r="F3334" s="22">
        <f>(0)</f>
      </c>
      <c r="G3334" s="22">
        <f>(C3334 * E3334 + C3334 * E3334 * F3334)</f>
      </c>
    </row>
    <row r="3335">
      <c r="A3335" s="5" t="s">
        <v>1758</v>
      </c>
      <c r="B3335" s="13" t="s">
        <v>1162</v>
      </c>
      <c r="C3335" s="22"/>
      <c r="D3335" s="22" t="s">
        <v>10</v>
      </c>
      <c r="E3335" s="22"/>
      <c r="F3335" s="22">
        <f>(0)</f>
      </c>
      <c r="G3335" s="22">
        <f>(C3335 * E3335 + C3335 * E3335 * F3335)</f>
      </c>
    </row>
    <row r="3336">
      <c r="A3336" s="5" t="s">
        <v>1759</v>
      </c>
      <c r="B3336" s="13" t="s">
        <v>1164</v>
      </c>
      <c r="C3336" s="22"/>
      <c r="D3336" s="22" t="s">
        <v>10</v>
      </c>
      <c r="E3336" s="22"/>
      <c r="F3336" s="22">
        <f>(0)</f>
      </c>
      <c r="G3336" s="22">
        <f>(C3336 * E3336 + C3336 * E3336 * F3336)</f>
      </c>
    </row>
    <row r="3337">
      <c r="A3337" s="5" t="s">
        <v>1760</v>
      </c>
      <c r="B3337" s="13" t="s">
        <v>123</v>
      </c>
      <c r="C3337" s="22"/>
      <c r="D3337" s="22" t="s">
        <v>10</v>
      </c>
      <c r="E3337" s="22"/>
      <c r="F3337" s="22">
        <f>(0)</f>
      </c>
      <c r="G3337" s="22">
        <f>(C3337 * E3337 + C3337 * E3337 * F3337)</f>
      </c>
    </row>
    <row r="3338">
      <c r="A3338" s="3"/>
      <c r="B3338" s="11" t="s">
        <v>68</v>
      </c>
      <c r="C3338" s="20"/>
      <c r="D3338" s="20"/>
      <c r="E3338" s="20"/>
      <c r="F3338" s="20"/>
      <c r="G3338" s="20"/>
    </row>
    <row r="3339">
      <c r="A3339" s="5" t="s">
        <v>1761</v>
      </c>
      <c r="B3339" s="14" t="s">
        <v>70</v>
      </c>
      <c r="C3339" s="22">
        <f>(1)*(1)*(1)*(1)*(1 + (0))</f>
      </c>
      <c r="D3339" s="22" t="s">
        <v>71</v>
      </c>
      <c r="E3339" s="22"/>
      <c r="F3339" s="22">
        <f>(0)</f>
      </c>
      <c r="G3339" s="22">
        <f>(C3339 * E3339 + C3339 * E3339 * F3339)</f>
      </c>
    </row>
    <row r="3340">
      <c r="A3340" s="5" t="s">
        <v>1762</v>
      </c>
      <c r="B3340" s="14" t="s">
        <v>1022</v>
      </c>
      <c r="C3340" s="22">
        <f>(1)*(1)*(1)*(1)*(1 + (0))</f>
      </c>
      <c r="D3340" s="22" t="s">
        <v>71</v>
      </c>
      <c r="E3340" s="22"/>
      <c r="F3340" s="22">
        <f>(0)</f>
      </c>
      <c r="G3340" s="22">
        <f>(C3340 * E3340 + C3340 * E3340 * F3340)</f>
      </c>
    </row>
    <row r="3341">
      <c r="A3341" s="5" t="s">
        <v>1763</v>
      </c>
      <c r="B3341" s="14" t="s">
        <v>1169</v>
      </c>
      <c r="C3341" s="22">
        <f>(1)*(1)*(1)*(1)*(1 + (0))</f>
      </c>
      <c r="D3341" s="22" t="s">
        <v>71</v>
      </c>
      <c r="E3341" s="22"/>
      <c r="F3341" s="22">
        <f>(0)</f>
      </c>
      <c r="G3341" s="22">
        <f>(C3341 * E3341 + C3341 * E3341 * F3341)</f>
      </c>
    </row>
    <row r="3342">
      <c r="A3342" s="5" t="s">
        <v>1764</v>
      </c>
      <c r="B3342" s="14" t="s">
        <v>1071</v>
      </c>
      <c r="C3342" s="22">
        <f>(1)*(1)*(1)*(1)*(1 + (0))</f>
      </c>
      <c r="D3342" s="22" t="s">
        <v>71</v>
      </c>
      <c r="E3342" s="22"/>
      <c r="F3342" s="22">
        <f>(0)</f>
      </c>
      <c r="G3342" s="22">
        <f>(C3342 * E3342 + C3342 * E3342 * F3342)</f>
      </c>
    </row>
    <row r="3343">
      <c r="A3343" s="5" t="s">
        <v>1765</v>
      </c>
      <c r="B3343" s="14" t="s">
        <v>798</v>
      </c>
      <c r="C3343" s="22">
        <f>(1)*(1)*(1)*(1)*(1 + (0))</f>
      </c>
      <c r="D3343" s="22" t="s">
        <v>71</v>
      </c>
      <c r="E3343" s="22"/>
      <c r="F3343" s="22">
        <f>(0)</f>
      </c>
      <c r="G3343" s="22">
        <f>(C3343 * E3343 + C3343 * E3343 * F3343)</f>
      </c>
    </row>
    <row r="3344">
      <c r="A3344" s="5" t="s">
        <v>1766</v>
      </c>
      <c r="B3344" s="14" t="s">
        <v>665</v>
      </c>
      <c r="C3344" s="22">
        <f>(1)*(1)*(1)*(1)*(1 + (0))</f>
      </c>
      <c r="D3344" s="22" t="s">
        <v>71</v>
      </c>
      <c r="E3344" s="22"/>
      <c r="F3344" s="22">
        <f>(0)</f>
      </c>
      <c r="G3344" s="22">
        <f>(C3344 * E3344 + C3344 * E3344 * F3344)</f>
      </c>
    </row>
    <row r="3345">
      <c r="A3345" s="3"/>
      <c r="B3345" s="11" t="s">
        <v>1767</v>
      </c>
      <c r="C3345" s="20"/>
      <c r="D3345" s="20"/>
      <c r="E3345" s="20"/>
      <c r="F3345" s="20"/>
      <c r="G3345" s="20"/>
    </row>
    <row r="3346">
      <c r="A3346" s="4"/>
      <c r="B3346" s="12" t="s">
        <v>1768</v>
      </c>
      <c r="C3346" s="21"/>
      <c r="D3346" s="21"/>
      <c r="E3346" s="21"/>
      <c r="F3346" s="21"/>
      <c r="G3346" s="21"/>
    </row>
    <row r="3347">
      <c r="A3347" s="5"/>
      <c r="B3347" s="13" t="s">
        <v>1746</v>
      </c>
      <c r="C3347" s="22">
        <f>(10)*(1)*(1)*(1)*(1 + (0))</f>
      </c>
      <c r="D3347" s="22" t="s">
        <v>153</v>
      </c>
      <c r="E3347" s="22"/>
      <c r="F3347" s="22">
        <f>(0)</f>
      </c>
      <c r="G3347" s="22">
        <f>(C3347 * E3347 + C3347 * E3347 * F3347)</f>
      </c>
    </row>
    <row r="3348">
      <c r="A3348" s="2"/>
      <c r="B3348" s="10" t="s">
        <v>1152</v>
      </c>
      <c r="C3348" s="19"/>
      <c r="D3348" s="19"/>
      <c r="E3348" s="19"/>
      <c r="F3348" s="19"/>
      <c r="G3348" s="19"/>
    </row>
    <row r="3349">
      <c r="A3349" s="3"/>
      <c r="B3349" s="11" t="s">
        <v>37</v>
      </c>
      <c r="C3349" s="20"/>
      <c r="D3349" s="20"/>
      <c r="E3349" s="20"/>
      <c r="F3349" s="20"/>
      <c r="G3349" s="20"/>
    </row>
    <row r="3350">
      <c r="A3350" s="5" t="s">
        <v>1153</v>
      </c>
      <c r="B3350" s="14" t="s">
        <v>39</v>
      </c>
      <c r="C3350" s="22"/>
      <c r="D3350" s="22" t="s">
        <v>10</v>
      </c>
      <c r="E3350" s="22"/>
      <c r="F3350" s="22">
        <f>(0)</f>
      </c>
      <c r="G3350" s="22">
        <f>(C3350 * E3350 + C3350 * E3350 * F3350)</f>
      </c>
    </row>
    <row r="3351">
      <c r="A3351" s="5" t="s">
        <v>1154</v>
      </c>
      <c r="B3351" s="14" t="s">
        <v>41</v>
      </c>
      <c r="C3351" s="22"/>
      <c r="D3351" s="22" t="s">
        <v>10</v>
      </c>
      <c r="E3351" s="22"/>
      <c r="F3351" s="22">
        <f>(0)</f>
      </c>
      <c r="G3351" s="22">
        <f>(C3351 * E3351 + C3351 * E3351 * F3351)</f>
      </c>
    </row>
    <row r="3352">
      <c r="A3352" s="3"/>
      <c r="B3352" s="11" t="s">
        <v>44</v>
      </c>
      <c r="C3352" s="20"/>
      <c r="D3352" s="20"/>
      <c r="E3352" s="20"/>
      <c r="F3352" s="20"/>
      <c r="G3352" s="20"/>
    </row>
    <row r="3353">
      <c r="A3353" s="4"/>
      <c r="B3353" s="12" t="s">
        <v>45</v>
      </c>
      <c r="C3353" s="21"/>
      <c r="D3353" s="21"/>
      <c r="E3353" s="21"/>
      <c r="F3353" s="21"/>
      <c r="G3353" s="21"/>
    </row>
    <row r="3354">
      <c r="A3354" s="5" t="s">
        <v>1158</v>
      </c>
      <c r="B3354" s="13" t="s">
        <v>898</v>
      </c>
      <c r="C3354" s="22"/>
      <c r="D3354" s="22" t="s">
        <v>10</v>
      </c>
      <c r="E3354" s="22"/>
      <c r="F3354" s="22">
        <f>(0)</f>
      </c>
      <c r="G3354" s="22">
        <f>(C3354 * E3354 + C3354 * E3354 * F3354)</f>
      </c>
    </row>
    <row r="3355">
      <c r="A3355" s="5" t="s">
        <v>1159</v>
      </c>
      <c r="B3355" s="13" t="s">
        <v>899</v>
      </c>
      <c r="C3355" s="22"/>
      <c r="D3355" s="22" t="s">
        <v>10</v>
      </c>
      <c r="E3355" s="22"/>
      <c r="F3355" s="22">
        <f>(0)</f>
      </c>
      <c r="G3355" s="22">
        <f>(C3355 * E3355 + C3355 * E3355 * F3355)</f>
      </c>
    </row>
    <row r="3356">
      <c r="A3356" s="5" t="s">
        <v>1160</v>
      </c>
      <c r="B3356" s="13" t="s">
        <v>767</v>
      </c>
      <c r="C3356" s="22"/>
      <c r="D3356" s="22" t="s">
        <v>10</v>
      </c>
      <c r="E3356" s="22"/>
      <c r="F3356" s="22">
        <f>(0)</f>
      </c>
      <c r="G3356" s="22">
        <f>(C3356 * E3356 + C3356 * E3356 * F3356)</f>
      </c>
    </row>
    <row r="3357">
      <c r="A3357" s="5" t="s">
        <v>1161</v>
      </c>
      <c r="B3357" s="13" t="s">
        <v>1162</v>
      </c>
      <c r="C3357" s="22"/>
      <c r="D3357" s="22" t="s">
        <v>10</v>
      </c>
      <c r="E3357" s="22"/>
      <c r="F3357" s="22">
        <f>(0)</f>
      </c>
      <c r="G3357" s="22">
        <f>(C3357 * E3357 + C3357 * E3357 * F3357)</f>
      </c>
    </row>
    <row r="3358">
      <c r="A3358" s="5" t="s">
        <v>1163</v>
      </c>
      <c r="B3358" s="13" t="s">
        <v>1164</v>
      </c>
      <c r="C3358" s="22"/>
      <c r="D3358" s="22" t="s">
        <v>10</v>
      </c>
      <c r="E3358" s="22"/>
      <c r="F3358" s="22">
        <f>(0)</f>
      </c>
      <c r="G3358" s="22">
        <f>(C3358 * E3358 + C3358 * E3358 * F3358)</f>
      </c>
    </row>
    <row r="3359">
      <c r="A3359" s="5" t="s">
        <v>1165</v>
      </c>
      <c r="B3359" s="13" t="s">
        <v>123</v>
      </c>
      <c r="C3359" s="22"/>
      <c r="D3359" s="22" t="s">
        <v>10</v>
      </c>
      <c r="E3359" s="22"/>
      <c r="F3359" s="22">
        <f>(0)</f>
      </c>
      <c r="G3359" s="22">
        <f>(C3359 * E3359 + C3359 * E3359 * F3359)</f>
      </c>
    </row>
    <row r="3360">
      <c r="A3360" s="3"/>
      <c r="B3360" s="11" t="s">
        <v>42</v>
      </c>
      <c r="C3360" s="20"/>
      <c r="D3360" s="20"/>
      <c r="E3360" s="20"/>
      <c r="F3360" s="20"/>
      <c r="G3360" s="20"/>
    </row>
    <row r="3361">
      <c r="A3361" s="5"/>
      <c r="B3361" s="14" t="s">
        <v>1155</v>
      </c>
      <c r="C3361" s="22"/>
      <c r="D3361" s="22" t="s">
        <v>10</v>
      </c>
      <c r="E3361" s="22"/>
      <c r="F3361" s="22">
        <f>(0)</f>
      </c>
      <c r="G3361" s="22">
        <f>(C3361 * E3361 + C3361 * E3361 * F3361)</f>
      </c>
    </row>
    <row r="3362">
      <c r="A3362" s="5"/>
      <c r="B3362" s="14" t="s">
        <v>1156</v>
      </c>
      <c r="C3362" s="22"/>
      <c r="D3362" s="22" t="s">
        <v>10</v>
      </c>
      <c r="E3362" s="22"/>
      <c r="F3362" s="22">
        <f>(0)</f>
      </c>
      <c r="G3362" s="22">
        <f>(C3362 * E3362 + C3362 * E3362 * F3362)</f>
      </c>
    </row>
    <row r="3363">
      <c r="A3363" s="5"/>
      <c r="B3363" s="14" t="s">
        <v>1157</v>
      </c>
      <c r="C3363" s="22"/>
      <c r="D3363" s="22" t="s">
        <v>10</v>
      </c>
      <c r="E3363" s="22"/>
      <c r="F3363" s="22">
        <f>(0)</f>
      </c>
      <c r="G3363" s="22">
        <f>(C3363 * E3363 + C3363 * E3363 * F3363)</f>
      </c>
    </row>
    <row r="3364">
      <c r="A3364" s="3"/>
      <c r="B3364" s="11" t="s">
        <v>68</v>
      </c>
      <c r="C3364" s="20"/>
      <c r="D3364" s="20"/>
      <c r="E3364" s="20"/>
      <c r="F3364" s="20"/>
      <c r="G3364" s="20"/>
    </row>
    <row r="3365">
      <c r="A3365" s="5" t="s">
        <v>1166</v>
      </c>
      <c r="B3365" s="14" t="s">
        <v>70</v>
      </c>
      <c r="C3365" s="22">
        <f>(1)*(1)*(1)*(1)*(1 + (0))</f>
      </c>
      <c r="D3365" s="22" t="s">
        <v>71</v>
      </c>
      <c r="E3365" s="22"/>
      <c r="F3365" s="22">
        <f>(0)</f>
      </c>
      <c r="G3365" s="22">
        <f>(C3365 * E3365 + C3365 * E3365 * F3365)</f>
      </c>
    </row>
    <row r="3366">
      <c r="A3366" s="5" t="s">
        <v>1167</v>
      </c>
      <c r="B3366" s="14" t="s">
        <v>1022</v>
      </c>
      <c r="C3366" s="22">
        <f>(1)*(1)*(1)*(1)*(1 + (0))</f>
      </c>
      <c r="D3366" s="22" t="s">
        <v>71</v>
      </c>
      <c r="E3366" s="22"/>
      <c r="F3366" s="22">
        <f>(0)</f>
      </c>
      <c r="G3366" s="22">
        <f>(C3366 * E3366 + C3366 * E3366 * F3366)</f>
      </c>
    </row>
    <row r="3367">
      <c r="A3367" s="5" t="s">
        <v>1168</v>
      </c>
      <c r="B3367" s="14" t="s">
        <v>1169</v>
      </c>
      <c r="C3367" s="22">
        <f>(1)*(1)*(1)*(1)*(1 + (0))</f>
      </c>
      <c r="D3367" s="22" t="s">
        <v>71</v>
      </c>
      <c r="E3367" s="22"/>
      <c r="F3367" s="22">
        <f>(0)</f>
      </c>
      <c r="G3367" s="22">
        <f>(C3367 * E3367 + C3367 * E3367 * F3367)</f>
      </c>
    </row>
    <row r="3368">
      <c r="A3368" s="5" t="s">
        <v>1170</v>
      </c>
      <c r="B3368" s="14" t="s">
        <v>1071</v>
      </c>
      <c r="C3368" s="22">
        <f>(1)*(1)*(1)*(1)*(1 + (0))</f>
      </c>
      <c r="D3368" s="22" t="s">
        <v>71</v>
      </c>
      <c r="E3368" s="22"/>
      <c r="F3368" s="22">
        <f>(0)</f>
      </c>
      <c r="G3368" s="22">
        <f>(C3368 * E3368 + C3368 * E3368 * F3368)</f>
      </c>
    </row>
    <row r="3369">
      <c r="A3369" s="5" t="s">
        <v>1171</v>
      </c>
      <c r="B3369" s="14" t="s">
        <v>798</v>
      </c>
      <c r="C3369" s="22">
        <f>(1)*(1)*(1)*(1)*(1 + (0))</f>
      </c>
      <c r="D3369" s="22" t="s">
        <v>71</v>
      </c>
      <c r="E3369" s="22"/>
      <c r="F3369" s="22">
        <f>(0)</f>
      </c>
      <c r="G3369" s="22">
        <f>(C3369 * E3369 + C3369 * E3369 * F3369)</f>
      </c>
    </row>
    <row r="3370">
      <c r="A3370" s="5" t="s">
        <v>1172</v>
      </c>
      <c r="B3370" s="14" t="s">
        <v>665</v>
      </c>
      <c r="C3370" s="22">
        <f>(1)*(1)*(1)*(1)*(1 + (0))</f>
      </c>
      <c r="D3370" s="22" t="s">
        <v>71</v>
      </c>
      <c r="E3370" s="22"/>
      <c r="F3370" s="22">
        <f>(0)</f>
      </c>
      <c r="G3370" s="22">
        <f>(C3370 * E3370 + C3370 * E3370 * F3370)</f>
      </c>
    </row>
    <row r="3371">
      <c r="A3371" s="3"/>
      <c r="B3371" s="11" t="s">
        <v>106</v>
      </c>
      <c r="C3371" s="20"/>
      <c r="D3371" s="20"/>
      <c r="E3371" s="20"/>
      <c r="F3371" s="20"/>
      <c r="G3371" s="20"/>
    </row>
    <row r="3372">
      <c r="A3372" s="5"/>
      <c r="B3372" s="14" t="s">
        <v>1173</v>
      </c>
      <c r="C3372" s="22"/>
      <c r="D3372" s="22" t="s">
        <v>10</v>
      </c>
      <c r="E3372" s="22"/>
      <c r="F3372" s="22">
        <f>(0)</f>
      </c>
      <c r="G3372" s="22">
        <f>(C3372 * E3372 + C3372 * E3372 * F3372)</f>
      </c>
    </row>
    <row r="3373">
      <c r="A3373" s="5"/>
      <c r="B3373" s="14" t="s">
        <v>1174</v>
      </c>
      <c r="C3373" s="22"/>
      <c r="D3373" s="22" t="s">
        <v>10</v>
      </c>
      <c r="E3373" s="22"/>
      <c r="F3373" s="22">
        <f>(0)</f>
      </c>
      <c r="G3373" s="22">
        <f>(C3373 * E3373 + C3373 * E3373 * F3373)</f>
      </c>
    </row>
    <row r="3374">
      <c r="A3374" s="5"/>
      <c r="B3374" s="14" t="s">
        <v>1175</v>
      </c>
      <c r="C3374" s="22"/>
      <c r="D3374" s="22" t="s">
        <v>10</v>
      </c>
      <c r="E3374" s="22"/>
      <c r="F3374" s="22">
        <f>(0)</f>
      </c>
      <c r="G3374" s="22">
        <f>(C3374 * E3374 + C3374 * E3374 * F3374)</f>
      </c>
    </row>
    <row r="3375">
      <c r="A3375" s="5"/>
      <c r="B3375" s="14" t="s">
        <v>1176</v>
      </c>
      <c r="C3375" s="22"/>
      <c r="D3375" s="22" t="s">
        <v>10</v>
      </c>
      <c r="E3375" s="22"/>
      <c r="F3375" s="22">
        <f>(0)</f>
      </c>
      <c r="G3375" s="22">
        <f>(C3375 * E3375 + C3375 * E3375 * F3375)</f>
      </c>
    </row>
    <row r="3376">
      <c r="A3376" s="5"/>
      <c r="B3376" s="14" t="s">
        <v>1177</v>
      </c>
      <c r="C3376" s="22"/>
      <c r="D3376" s="22" t="s">
        <v>10</v>
      </c>
      <c r="E3376" s="22"/>
      <c r="F3376" s="22">
        <f>(0)</f>
      </c>
      <c r="G3376" s="22">
        <f>(C3376 * E3376 + C3376 * E3376 * F3376)</f>
      </c>
    </row>
    <row r="3377">
      <c r="A3377" s="5"/>
      <c r="B3377" s="14" t="s">
        <v>1178</v>
      </c>
      <c r="C3377" s="22"/>
      <c r="D3377" s="22" t="s">
        <v>10</v>
      </c>
      <c r="E3377" s="22"/>
      <c r="F3377" s="22">
        <f>(0)</f>
      </c>
      <c r="G3377" s="22">
        <f>(C3377 * E3377 + C3377 * E3377 * F3377)</f>
      </c>
    </row>
    <row r="3378">
      <c r="A3378" s="5"/>
      <c r="B3378" s="14" t="s">
        <v>1179</v>
      </c>
      <c r="C3378" s="22"/>
      <c r="D3378" s="22" t="s">
        <v>10</v>
      </c>
      <c r="E3378" s="22"/>
      <c r="F3378" s="22">
        <f>(0)</f>
      </c>
      <c r="G3378" s="22">
        <f>(C3378 * E3378 + C3378 * E3378 * F3378)</f>
      </c>
    </row>
    <row r="3379">
      <c r="A3379" s="5"/>
      <c r="B3379" s="14" t="s">
        <v>1180</v>
      </c>
      <c r="C3379" s="22"/>
      <c r="D3379" s="22" t="s">
        <v>10</v>
      </c>
      <c r="E3379" s="22"/>
      <c r="F3379" s="22">
        <f>(0)</f>
      </c>
      <c r="G3379" s="22">
        <f>(C3379 * E3379 + C3379 * E3379 * F3379)</f>
      </c>
    </row>
    <row r="3380">
      <c r="A3380" s="5"/>
      <c r="B3380" s="14" t="s">
        <v>1181</v>
      </c>
      <c r="C3380" s="22"/>
      <c r="D3380" s="22" t="s">
        <v>10</v>
      </c>
      <c r="E3380" s="22"/>
      <c r="F3380" s="22">
        <f>(0)</f>
      </c>
      <c r="G3380" s="22">
        <f>(C3380 * E3380 + C3380 * E3380 * F3380)</f>
      </c>
    </row>
    <row r="3381">
      <c r="A3381" s="5"/>
      <c r="B3381" s="14" t="s">
        <v>1182</v>
      </c>
      <c r="C3381" s="22"/>
      <c r="D3381" s="22" t="s">
        <v>10</v>
      </c>
      <c r="E3381" s="22"/>
      <c r="F3381" s="22">
        <f>(0)</f>
      </c>
      <c r="G3381" s="22">
        <f>(C3381 * E3381 + C3381 * E3381 * F3381)</f>
      </c>
    </row>
    <row r="3382">
      <c r="A3382" s="5"/>
      <c r="B3382" s="14" t="s">
        <v>1183</v>
      </c>
      <c r="C3382" s="22"/>
      <c r="D3382" s="22" t="s">
        <v>10</v>
      </c>
      <c r="E3382" s="22"/>
      <c r="F3382" s="22">
        <f>(0)</f>
      </c>
      <c r="G3382" s="22">
        <f>(C3382 * E3382 + C3382 * E3382 * F3382)</f>
      </c>
    </row>
    <row r="3383">
      <c r="A3383" s="5"/>
      <c r="B3383" s="14" t="s">
        <v>1184</v>
      </c>
      <c r="C3383" s="22"/>
      <c r="D3383" s="22" t="s">
        <v>10</v>
      </c>
      <c r="E3383" s="22"/>
      <c r="F3383" s="22">
        <f>(0)</f>
      </c>
      <c r="G3383" s="22">
        <f>(C3383 * E3383 + C3383 * E3383 * F3383)</f>
      </c>
    </row>
    <row r="3384">
      <c r="A3384" s="5"/>
      <c r="B3384" s="14" t="s">
        <v>1185</v>
      </c>
      <c r="C3384" s="22"/>
      <c r="D3384" s="22" t="s">
        <v>10</v>
      </c>
      <c r="E3384" s="22"/>
      <c r="F3384" s="22">
        <f>(0)</f>
      </c>
      <c r="G3384" s="22">
        <f>(C3384 * E3384 + C3384 * E3384 * F3384)</f>
      </c>
    </row>
    <row r="3385">
      <c r="A3385" s="5"/>
      <c r="B3385" s="14" t="s">
        <v>1186</v>
      </c>
      <c r="C3385" s="22"/>
      <c r="D3385" s="22" t="s">
        <v>10</v>
      </c>
      <c r="E3385" s="22"/>
      <c r="F3385" s="22">
        <f>(0)</f>
      </c>
      <c r="G3385" s="22">
        <f>(C3385 * E3385 + C3385 * E3385 * F3385)</f>
      </c>
    </row>
    <row r="3386">
      <c r="A3386" s="5"/>
      <c r="B3386" s="14" t="s">
        <v>1187</v>
      </c>
      <c r="C3386" s="22"/>
      <c r="D3386" s="22" t="s">
        <v>10</v>
      </c>
      <c r="E3386" s="22"/>
      <c r="F3386" s="22">
        <f>(0)</f>
      </c>
      <c r="G3386" s="22">
        <f>(C3386 * E3386 + C3386 * E3386 * F3386)</f>
      </c>
    </row>
    <row r="3387">
      <c r="A3387" s="5"/>
      <c r="B3387" s="14" t="s">
        <v>1188</v>
      </c>
      <c r="C3387" s="22"/>
      <c r="D3387" s="22" t="s">
        <v>10</v>
      </c>
      <c r="E3387" s="22"/>
      <c r="F3387" s="22">
        <f>(0)</f>
      </c>
      <c r="G3387" s="22">
        <f>(C3387 * E3387 + C3387 * E3387 * F3387)</f>
      </c>
    </row>
    <row r="3388">
      <c r="A3388" s="5"/>
      <c r="B3388" s="14" t="s">
        <v>1189</v>
      </c>
      <c r="C3388" s="22"/>
      <c r="D3388" s="22" t="s">
        <v>10</v>
      </c>
      <c r="E3388" s="22"/>
      <c r="F3388" s="22">
        <f>(0)</f>
      </c>
      <c r="G3388" s="22">
        <f>(C3388 * E3388 + C3388 * E3388 * F3388)</f>
      </c>
    </row>
    <row r="3389">
      <c r="A3389" s="5"/>
      <c r="B3389" s="14" t="s">
        <v>1190</v>
      </c>
      <c r="C3389" s="22"/>
      <c r="D3389" s="22" t="s">
        <v>10</v>
      </c>
      <c r="E3389" s="22"/>
      <c r="F3389" s="22">
        <f>(0)</f>
      </c>
      <c r="G3389" s="22">
        <f>(C3389 * E3389 + C3389 * E3389 * F3389)</f>
      </c>
    </row>
    <row r="3390">
      <c r="A3390" s="5"/>
      <c r="B3390" s="14" t="s">
        <v>1191</v>
      </c>
      <c r="C3390" s="22"/>
      <c r="D3390" s="22" t="s">
        <v>10</v>
      </c>
      <c r="E3390" s="22"/>
      <c r="F3390" s="22">
        <f>(0)</f>
      </c>
      <c r="G3390" s="22">
        <f>(C3390 * E3390 + C3390 * E3390 * F3390)</f>
      </c>
    </row>
    <row r="3391">
      <c r="A3391" s="5"/>
      <c r="B3391" s="14" t="s">
        <v>1192</v>
      </c>
      <c r="C3391" s="22"/>
      <c r="D3391" s="22" t="s">
        <v>10</v>
      </c>
      <c r="E3391" s="22"/>
      <c r="F3391" s="22">
        <f>(0)</f>
      </c>
      <c r="G3391" s="22">
        <f>(C3391 * E3391 + C3391 * E3391 * F3391)</f>
      </c>
    </row>
    <row r="3392">
      <c r="A3392" s="5"/>
      <c r="B3392" s="14" t="s">
        <v>1193</v>
      </c>
      <c r="C3392" s="22"/>
      <c r="D3392" s="22" t="s">
        <v>10</v>
      </c>
      <c r="E3392" s="22"/>
      <c r="F3392" s="22">
        <f>(0)</f>
      </c>
      <c r="G3392" s="22">
        <f>(C3392 * E3392 + C3392 * E3392 * F3392)</f>
      </c>
    </row>
    <row r="3393">
      <c r="A3393" s="5"/>
      <c r="B3393" s="14" t="s">
        <v>1194</v>
      </c>
      <c r="C3393" s="22"/>
      <c r="D3393" s="22" t="s">
        <v>10</v>
      </c>
      <c r="E3393" s="22"/>
      <c r="F3393" s="22">
        <f>(0)</f>
      </c>
      <c r="G3393" s="22">
        <f>(C3393 * E3393 + C3393 * E3393 * F3393)</f>
      </c>
    </row>
    <row r="3394">
      <c r="A3394" s="5"/>
      <c r="B3394" s="14" t="s">
        <v>1195</v>
      </c>
      <c r="C3394" s="22"/>
      <c r="D3394" s="22" t="s">
        <v>10</v>
      </c>
      <c r="E3394" s="22"/>
      <c r="F3394" s="22">
        <f>(0)</f>
      </c>
      <c r="G3394" s="22">
        <f>(C3394 * E3394 + C3394 * E3394 * F3394)</f>
      </c>
    </row>
    <row r="3395">
      <c r="A3395" s="5"/>
      <c r="B3395" s="14" t="s">
        <v>1196</v>
      </c>
      <c r="C3395" s="22"/>
      <c r="D3395" s="22" t="s">
        <v>10</v>
      </c>
      <c r="E3395" s="22"/>
      <c r="F3395" s="22">
        <f>(0)</f>
      </c>
      <c r="G3395" s="22">
        <f>(C3395 * E3395 + C3395 * E3395 * F3395)</f>
      </c>
    </row>
    <row r="3396">
      <c r="A3396" s="5"/>
      <c r="B3396" s="14" t="s">
        <v>1197</v>
      </c>
      <c r="C3396" s="22"/>
      <c r="D3396" s="22" t="s">
        <v>10</v>
      </c>
      <c r="E3396" s="22"/>
      <c r="F3396" s="22">
        <f>(0)</f>
      </c>
      <c r="G3396" s="22">
        <f>(C3396 * E3396 + C3396 * E3396 * F3396)</f>
      </c>
    </row>
    <row r="3397">
      <c r="A3397" s="5"/>
      <c r="B3397" s="14" t="s">
        <v>1198</v>
      </c>
      <c r="C3397" s="22"/>
      <c r="D3397" s="22" t="s">
        <v>10</v>
      </c>
      <c r="E3397" s="22"/>
      <c r="F3397" s="22">
        <f>(0)</f>
      </c>
      <c r="G3397" s="22">
        <f>(C3397 * E3397 + C3397 * E3397 * F3397)</f>
      </c>
    </row>
    <row r="3398">
      <c r="A3398" s="3"/>
      <c r="B3398" s="11" t="s">
        <v>1769</v>
      </c>
      <c r="C3398" s="20"/>
      <c r="D3398" s="20"/>
      <c r="E3398" s="20"/>
      <c r="F3398" s="20"/>
      <c r="G3398" s="20"/>
    </row>
    <row r="3399">
      <c r="A3399" s="5"/>
      <c r="B3399" s="14" t="s">
        <v>1200</v>
      </c>
      <c r="C3399" s="22">
        <f>(4)*(1)*(1)*(1)*(1 + (0))</f>
      </c>
      <c r="D3399" s="22" t="s">
        <v>162</v>
      </c>
      <c r="E3399" s="22"/>
      <c r="F3399" s="22">
        <f>(0)</f>
      </c>
      <c r="G3399" s="22">
        <f>(C3399 * E3399 + C3399 * E3399 * F3399)</f>
      </c>
    </row>
    <row r="3400">
      <c r="A3400" s="5"/>
      <c r="B3400" s="14" t="s">
        <v>1201</v>
      </c>
      <c r="C3400" s="22">
        <f>(4)*(1)*(1)*(1)*(1 + (0))</f>
      </c>
      <c r="D3400" s="22" t="s">
        <v>162</v>
      </c>
      <c r="E3400" s="22"/>
      <c r="F3400" s="22">
        <f>(0)</f>
      </c>
      <c r="G3400" s="22">
        <f>(C3400 * E3400 + C3400 * E3400 * F3400)</f>
      </c>
    </row>
    <row r="3401">
      <c r="A3401" s="5"/>
      <c r="B3401" s="14" t="s">
        <v>1202</v>
      </c>
      <c r="C3401" s="22">
        <f>(6)*(1)*(1)*(1)*(1 + (0))</f>
      </c>
      <c r="D3401" s="22" t="s">
        <v>162</v>
      </c>
      <c r="E3401" s="22"/>
      <c r="F3401" s="22">
        <f>(0)</f>
      </c>
      <c r="G3401" s="22">
        <f>(C3401 * E3401 + C3401 * E3401 * F3401)</f>
      </c>
    </row>
    <row r="3402">
      <c r="A3402" s="5"/>
      <c r="B3402" s="14" t="s">
        <v>1203</v>
      </c>
      <c r="C3402" s="22">
        <f>(7)*(1)*(1)*(1)*(1 + (0))</f>
      </c>
      <c r="D3402" s="22" t="s">
        <v>162</v>
      </c>
      <c r="E3402" s="22"/>
      <c r="F3402" s="22">
        <f>(0)</f>
      </c>
      <c r="G3402" s="22">
        <f>(C3402 * E3402 + C3402 * E3402 * F3402)</f>
      </c>
    </row>
    <row r="3403">
      <c r="A3403" s="5"/>
      <c r="B3403" s="14" t="s">
        <v>1770</v>
      </c>
      <c r="C3403" s="22">
        <f>(1)*(1)*(1)*(1)*(1 + (0))</f>
      </c>
      <c r="D3403" s="22" t="s">
        <v>1217</v>
      </c>
      <c r="E3403" s="22"/>
      <c r="F3403" s="22">
        <f>(0)</f>
      </c>
      <c r="G3403" s="22">
        <f>(C3403 * E3403 + C3403 * E3403 * F3403)</f>
      </c>
    </row>
    <row r="3404">
      <c r="A3404" s="5"/>
      <c r="B3404" s="14" t="s">
        <v>1771</v>
      </c>
      <c r="C3404" s="22">
        <f>(4)*(1)*(1)*(1)*(1 + (0))</f>
      </c>
      <c r="D3404" s="22" t="s">
        <v>162</v>
      </c>
      <c r="E3404" s="22"/>
      <c r="F3404" s="22">
        <f>(0)</f>
      </c>
      <c r="G3404" s="22">
        <f>(C3404 * E3404 + C3404 * E3404 * F3404)</f>
      </c>
    </row>
    <row r="3405">
      <c r="A3405" s="5"/>
      <c r="B3405" s="14" t="s">
        <v>1205</v>
      </c>
      <c r="C3405" s="22">
        <f>(1)*(1)*(1)*(1)*(1 + (0))</f>
      </c>
      <c r="D3405" s="22" t="s">
        <v>162</v>
      </c>
      <c r="E3405" s="22"/>
      <c r="F3405" s="22">
        <f>(0)</f>
      </c>
      <c r="G3405" s="22">
        <f>(C3405 * E3405 + C3405 * E3405 * F3405)</f>
      </c>
    </row>
    <row r="3406">
      <c r="A3406" s="5"/>
      <c r="B3406" s="14" t="s">
        <v>1206</v>
      </c>
      <c r="C3406" s="22">
        <f>(1)*(1)*(1)*(1)*(1 + (0))</f>
      </c>
      <c r="D3406" s="22" t="s">
        <v>162</v>
      </c>
      <c r="E3406" s="22"/>
      <c r="F3406" s="22">
        <f>(0)</f>
      </c>
      <c r="G3406" s="22">
        <f>(C3406 * E3406 + C3406 * E3406 * F3406)</f>
      </c>
    </row>
    <row r="3407">
      <c r="A3407" s="5"/>
      <c r="B3407" s="14" t="s">
        <v>1772</v>
      </c>
      <c r="C3407" s="22">
        <f>(1)*(1)*(1)*(1)*(1 + (0))</f>
      </c>
      <c r="D3407" s="22" t="s">
        <v>162</v>
      </c>
      <c r="E3407" s="22"/>
      <c r="F3407" s="22">
        <f>(0)</f>
      </c>
      <c r="G3407" s="22">
        <f>(C3407 * E3407 + C3407 * E3407 * F3407)</f>
      </c>
    </row>
    <row r="3408">
      <c r="A3408" s="2"/>
      <c r="B3408" s="10" t="s">
        <v>1224</v>
      </c>
      <c r="C3408" s="19"/>
      <c r="D3408" s="19"/>
      <c r="E3408" s="19"/>
      <c r="F3408" s="19"/>
      <c r="G3408" s="19"/>
    </row>
    <row r="3409">
      <c r="A3409" s="3"/>
      <c r="B3409" s="11" t="s">
        <v>37</v>
      </c>
      <c r="C3409" s="20"/>
      <c r="D3409" s="20"/>
      <c r="E3409" s="20"/>
      <c r="F3409" s="20"/>
      <c r="G3409" s="20"/>
    </row>
    <row r="3410">
      <c r="A3410" s="5" t="s">
        <v>1225</v>
      </c>
      <c r="B3410" s="14" t="s">
        <v>39</v>
      </c>
      <c r="C3410" s="22"/>
      <c r="D3410" s="22" t="s">
        <v>10</v>
      </c>
      <c r="E3410" s="22"/>
      <c r="F3410" s="22">
        <f>(0)</f>
      </c>
      <c r="G3410" s="22">
        <f>(C3410 * E3410 + C3410 * E3410 * F3410)</f>
      </c>
    </row>
    <row r="3411">
      <c r="A3411" s="5" t="s">
        <v>1226</v>
      </c>
      <c r="B3411" s="14" t="s">
        <v>41</v>
      </c>
      <c r="C3411" s="22"/>
      <c r="D3411" s="22" t="s">
        <v>10</v>
      </c>
      <c r="E3411" s="22"/>
      <c r="F3411" s="22">
        <f>(0)</f>
      </c>
      <c r="G3411" s="22">
        <f>(C3411 * E3411 + C3411 * E3411 * F3411)</f>
      </c>
    </row>
    <row r="3412">
      <c r="A3412" s="3"/>
      <c r="B3412" s="11" t="s">
        <v>523</v>
      </c>
      <c r="C3412" s="20"/>
      <c r="D3412" s="20"/>
      <c r="E3412" s="20"/>
      <c r="F3412" s="20"/>
      <c r="G3412" s="20"/>
    </row>
    <row r="3413">
      <c r="A3413" s="5"/>
      <c r="B3413" s="14" t="s">
        <v>1773</v>
      </c>
      <c r="C3413" s="22"/>
      <c r="D3413" s="22" t="s">
        <v>10</v>
      </c>
      <c r="E3413" s="22"/>
      <c r="F3413" s="22">
        <f>(0)</f>
      </c>
      <c r="G3413" s="22">
        <f>(C3413 * E3413 + C3413 * E3413 * F3413)</f>
      </c>
    </row>
    <row r="3414">
      <c r="A3414" s="5"/>
      <c r="B3414" s="14" t="s">
        <v>1058</v>
      </c>
      <c r="C3414" s="22"/>
      <c r="D3414" s="22" t="s">
        <v>10</v>
      </c>
      <c r="E3414" s="22"/>
      <c r="F3414" s="22">
        <f>(0)</f>
      </c>
      <c r="G3414" s="22">
        <f>(C3414 * E3414 + C3414 * E3414 * F3414)</f>
      </c>
    </row>
    <row r="3415">
      <c r="A3415" s="5"/>
      <c r="B3415" s="14" t="s">
        <v>1228</v>
      </c>
      <c r="C3415" s="22"/>
      <c r="D3415" s="22" t="s">
        <v>10</v>
      </c>
      <c r="E3415" s="22"/>
      <c r="F3415" s="22">
        <f>(0)</f>
      </c>
      <c r="G3415" s="22">
        <f>(C3415 * E3415 + C3415 * E3415 * F3415)</f>
      </c>
    </row>
    <row r="3416">
      <c r="A3416" s="3"/>
      <c r="B3416" s="11" t="s">
        <v>44</v>
      </c>
      <c r="C3416" s="20"/>
      <c r="D3416" s="20"/>
      <c r="E3416" s="20"/>
      <c r="F3416" s="20"/>
      <c r="G3416" s="20"/>
    </row>
    <row r="3417">
      <c r="A3417" s="4"/>
      <c r="B3417" s="12" t="s">
        <v>45</v>
      </c>
      <c r="C3417" s="21"/>
      <c r="D3417" s="21"/>
      <c r="E3417" s="21"/>
      <c r="F3417" s="21"/>
      <c r="G3417" s="21"/>
    </row>
    <row r="3418">
      <c r="A3418" s="5" t="s">
        <v>1229</v>
      </c>
      <c r="B3418" s="13" t="s">
        <v>528</v>
      </c>
      <c r="C3418" s="22"/>
      <c r="D3418" s="22" t="s">
        <v>10</v>
      </c>
      <c r="E3418" s="22"/>
      <c r="F3418" s="22">
        <f>(0)</f>
      </c>
      <c r="G3418" s="22">
        <f>(C3418 * E3418 + C3418 * E3418 * F3418)</f>
      </c>
    </row>
    <row r="3419">
      <c r="A3419" s="5" t="s">
        <v>1230</v>
      </c>
      <c r="B3419" s="13" t="s">
        <v>530</v>
      </c>
      <c r="C3419" s="22"/>
      <c r="D3419" s="22" t="s">
        <v>10</v>
      </c>
      <c r="E3419" s="22"/>
      <c r="F3419" s="22">
        <f>(0)</f>
      </c>
      <c r="G3419" s="22">
        <f>(C3419 * E3419 + C3419 * E3419 * F3419)</f>
      </c>
    </row>
    <row r="3420">
      <c r="A3420" s="5" t="s">
        <v>1231</v>
      </c>
      <c r="B3420" s="13" t="s">
        <v>1232</v>
      </c>
      <c r="C3420" s="22"/>
      <c r="D3420" s="22" t="s">
        <v>10</v>
      </c>
      <c r="E3420" s="22"/>
      <c r="F3420" s="22">
        <f>(0)</f>
      </c>
      <c r="G3420" s="22">
        <f>(C3420 * E3420 + C3420 * E3420 * F3420)</f>
      </c>
    </row>
    <row r="3421">
      <c r="A3421" s="5" t="s">
        <v>1233</v>
      </c>
      <c r="B3421" s="13" t="s">
        <v>853</v>
      </c>
      <c r="C3421" s="22"/>
      <c r="D3421" s="22" t="s">
        <v>10</v>
      </c>
      <c r="E3421" s="22"/>
      <c r="F3421" s="22">
        <f>(0)</f>
      </c>
      <c r="G3421" s="22">
        <f>(C3421 * E3421 + C3421 * E3421 * F3421)</f>
      </c>
    </row>
    <row r="3422">
      <c r="A3422" s="5" t="s">
        <v>1234</v>
      </c>
      <c r="B3422" s="13" t="s">
        <v>538</v>
      </c>
      <c r="C3422" s="22"/>
      <c r="D3422" s="22" t="s">
        <v>10</v>
      </c>
      <c r="E3422" s="22"/>
      <c r="F3422" s="22">
        <f>(0)</f>
      </c>
      <c r="G3422" s="22">
        <f>(C3422 * E3422 + C3422 * E3422 * F3422)</f>
      </c>
    </row>
    <row r="3423">
      <c r="A3423" s="5" t="s">
        <v>1235</v>
      </c>
      <c r="B3423" s="13" t="s">
        <v>123</v>
      </c>
      <c r="C3423" s="22"/>
      <c r="D3423" s="22" t="s">
        <v>10</v>
      </c>
      <c r="E3423" s="22"/>
      <c r="F3423" s="22">
        <f>(0)</f>
      </c>
      <c r="G3423" s="22">
        <f>(C3423 * E3423 + C3423 * E3423 * F3423)</f>
      </c>
    </row>
    <row r="3424">
      <c r="A3424" s="3"/>
      <c r="B3424" s="11" t="s">
        <v>68</v>
      </c>
      <c r="C3424" s="20"/>
      <c r="D3424" s="20"/>
      <c r="E3424" s="20"/>
      <c r="F3424" s="20"/>
      <c r="G3424" s="20"/>
    </row>
    <row r="3425">
      <c r="A3425" s="5" t="s">
        <v>1236</v>
      </c>
      <c r="B3425" s="14" t="s">
        <v>543</v>
      </c>
      <c r="C3425" s="22">
        <f>(1)*(1)*(1)*(1)*(1 + (0))</f>
      </c>
      <c r="D3425" s="22" t="s">
        <v>71</v>
      </c>
      <c r="E3425" s="22"/>
      <c r="F3425" s="22">
        <f>(0)</f>
      </c>
      <c r="G3425" s="22">
        <f>(C3425 * E3425 + C3425 * E3425 * F3425)</f>
      </c>
    </row>
    <row r="3426">
      <c r="A3426" s="5" t="s">
        <v>1237</v>
      </c>
      <c r="B3426" s="14" t="s">
        <v>136</v>
      </c>
      <c r="C3426" s="22">
        <f>(1)*(1)*(1)*(1)*(1 + (0))</f>
      </c>
      <c r="D3426" s="22" t="s">
        <v>71</v>
      </c>
      <c r="E3426" s="22"/>
      <c r="F3426" s="22">
        <f>(0)</f>
      </c>
      <c r="G3426" s="22">
        <f>(C3426 * E3426 + C3426 * E3426 * F3426)</f>
      </c>
    </row>
    <row r="3427">
      <c r="A3427" s="5" t="s">
        <v>1238</v>
      </c>
      <c r="B3427" s="14" t="s">
        <v>1239</v>
      </c>
      <c r="C3427" s="22">
        <f>(1)*(1)*(1)*(1)*(1 + (0))</f>
      </c>
      <c r="D3427" s="22" t="s">
        <v>71</v>
      </c>
      <c r="E3427" s="22"/>
      <c r="F3427" s="22">
        <f>(0)</f>
      </c>
      <c r="G3427" s="22">
        <f>(C3427 * E3427 + C3427 * E3427 * F3427)</f>
      </c>
    </row>
    <row r="3428">
      <c r="A3428" s="5" t="s">
        <v>1240</v>
      </c>
      <c r="B3428" s="14" t="s">
        <v>798</v>
      </c>
      <c r="C3428" s="22">
        <f>(1)*(1)*(1)*(1)*(1 + (0))</f>
      </c>
      <c r="D3428" s="22" t="s">
        <v>71</v>
      </c>
      <c r="E3428" s="22"/>
      <c r="F3428" s="22">
        <f>(0)</f>
      </c>
      <c r="G3428" s="22">
        <f>(C3428 * E3428 + C3428 * E3428 * F3428)</f>
      </c>
    </row>
    <row r="3429">
      <c r="A3429" s="5" t="s">
        <v>1241</v>
      </c>
      <c r="B3429" s="14" t="s">
        <v>70</v>
      </c>
      <c r="C3429" s="22">
        <f>(1)*(1)*(1)*(1)*(1 + (0))</f>
      </c>
      <c r="D3429" s="22" t="s">
        <v>71</v>
      </c>
      <c r="E3429" s="22"/>
      <c r="F3429" s="22">
        <f>(0)</f>
      </c>
      <c r="G3429" s="22">
        <f>(C3429 * E3429 + C3429 * E3429 * F3429)</f>
      </c>
    </row>
    <row r="3430">
      <c r="A3430" s="5" t="s">
        <v>1242</v>
      </c>
      <c r="B3430" s="14" t="s">
        <v>665</v>
      </c>
      <c r="C3430" s="22">
        <f>(1)*(1)*(1)*(1)*(1 + (0))</f>
      </c>
      <c r="D3430" s="22" t="s">
        <v>71</v>
      </c>
      <c r="E3430" s="22"/>
      <c r="F3430" s="22">
        <f>(0)</f>
      </c>
      <c r="G3430" s="22">
        <f>(C3430 * E3430 + C3430 * E3430 * F3430)</f>
      </c>
    </row>
    <row r="3431">
      <c r="A3431" s="3"/>
      <c r="B3431" s="11" t="s">
        <v>106</v>
      </c>
      <c r="C3431" s="20"/>
      <c r="D3431" s="20"/>
      <c r="E3431" s="20"/>
      <c r="F3431" s="20"/>
      <c r="G3431" s="20"/>
    </row>
    <row r="3432">
      <c r="A3432" s="5"/>
      <c r="B3432" s="14" t="s">
        <v>1774</v>
      </c>
      <c r="C3432" s="22"/>
      <c r="D3432" s="22" t="s">
        <v>10</v>
      </c>
      <c r="E3432" s="22"/>
      <c r="F3432" s="22">
        <f>(0)</f>
      </c>
      <c r="G3432" s="22">
        <f>(C3432 * E3432 + C3432 * E3432 * F3432)</f>
      </c>
    </row>
    <row r="3433">
      <c r="A3433" s="3"/>
      <c r="B3433" s="11" t="s">
        <v>1243</v>
      </c>
      <c r="C3433" s="20"/>
      <c r="D3433" s="20"/>
      <c r="E3433" s="20"/>
      <c r="F3433" s="20"/>
      <c r="G3433" s="20"/>
    </row>
    <row r="3434">
      <c r="A3434" s="4"/>
      <c r="B3434" s="12" t="s">
        <v>1775</v>
      </c>
      <c r="C3434" s="21"/>
      <c r="D3434" s="21"/>
      <c r="E3434" s="21"/>
      <c r="F3434" s="21"/>
      <c r="G3434" s="21"/>
    </row>
    <row r="3435">
      <c r="A3435" s="5"/>
      <c r="B3435" s="13" t="s">
        <v>1246</v>
      </c>
      <c r="C3435" s="22">
        <f>(4)*(1)*(1)*(1)*(1 + (0))</f>
      </c>
      <c r="D3435" s="22" t="s">
        <v>153</v>
      </c>
      <c r="E3435" s="22"/>
      <c r="F3435" s="22">
        <f>(0)</f>
      </c>
      <c r="G3435" s="22">
        <f>(C3435 * E3435 + C3435 * E3435 * F3435)</f>
      </c>
    </row>
    <row r="3436">
      <c r="A3436" s="4"/>
      <c r="B3436" s="12" t="s">
        <v>1776</v>
      </c>
      <c r="C3436" s="21"/>
      <c r="D3436" s="21"/>
      <c r="E3436" s="21"/>
      <c r="F3436" s="21"/>
      <c r="G3436" s="21"/>
    </row>
    <row r="3437">
      <c r="A3437" s="5"/>
      <c r="B3437" s="13" t="s">
        <v>1245</v>
      </c>
      <c r="C3437" s="22">
        <f>(43)*(1)*(1)*(1)*(1 + (0))</f>
      </c>
      <c r="D3437" s="22" t="s">
        <v>153</v>
      </c>
      <c r="E3437" s="22"/>
      <c r="F3437" s="22">
        <f>(0)</f>
      </c>
      <c r="G3437" s="22">
        <f>(C3437 * E3437 + C3437 * E3437 * F3437)</f>
      </c>
    </row>
    <row r="3438">
      <c r="A3438" s="5"/>
      <c r="B3438" s="13" t="s">
        <v>1248</v>
      </c>
      <c r="C3438" s="22">
        <f>(55)*(1)*(1)*(1)*(1 + (0))</f>
      </c>
      <c r="D3438" s="22" t="s">
        <v>153</v>
      </c>
      <c r="E3438" s="22"/>
      <c r="F3438" s="22">
        <f>(0)</f>
      </c>
      <c r="G3438" s="22">
        <f>(C3438 * E3438 + C3438 * E3438 * F3438)</f>
      </c>
    </row>
    <row r="3439">
      <c r="A3439" s="3"/>
      <c r="B3439" s="11" t="s">
        <v>1249</v>
      </c>
      <c r="C3439" s="20"/>
      <c r="D3439" s="20"/>
      <c r="E3439" s="20"/>
      <c r="F3439" s="20"/>
      <c r="G3439" s="20"/>
    </row>
    <row r="3440">
      <c r="A3440" s="4"/>
      <c r="B3440" s="12" t="s">
        <v>1776</v>
      </c>
      <c r="C3440" s="21"/>
      <c r="D3440" s="21"/>
      <c r="E3440" s="21"/>
      <c r="F3440" s="21"/>
      <c r="G3440" s="21"/>
    </row>
    <row r="3441">
      <c r="A3441" s="5"/>
      <c r="B3441" s="13" t="s">
        <v>1250</v>
      </c>
      <c r="C3441" s="22">
        <f>(249)*(1)*(1)*(1)*(1 + (0))</f>
      </c>
      <c r="D3441" s="22" t="s">
        <v>24</v>
      </c>
      <c r="E3441" s="22"/>
      <c r="F3441" s="22">
        <f>(0)</f>
      </c>
      <c r="G3441" s="22">
        <f>(C3441 * E3441 + C3441 * E3441 * F3441)</f>
      </c>
    </row>
    <row r="3442">
      <c r="A3442" s="3"/>
      <c r="B3442" s="11" t="s">
        <v>1251</v>
      </c>
      <c r="C3442" s="20"/>
      <c r="D3442" s="20"/>
      <c r="E3442" s="20"/>
      <c r="F3442" s="20"/>
      <c r="G3442" s="20"/>
    </row>
    <row r="3443">
      <c r="A3443" s="4"/>
      <c r="B3443" s="12" t="s">
        <v>1775</v>
      </c>
      <c r="C3443" s="21"/>
      <c r="D3443" s="21"/>
      <c r="E3443" s="21"/>
      <c r="F3443" s="21"/>
      <c r="G3443" s="21"/>
    </row>
    <row r="3444">
      <c r="A3444" s="5"/>
      <c r="B3444" s="13" t="s">
        <v>1252</v>
      </c>
      <c r="C3444" s="22">
        <f>(37)*(1)*(1)*(1)*(1 + (0))</f>
      </c>
      <c r="D3444" s="22" t="s">
        <v>153</v>
      </c>
      <c r="E3444" s="22"/>
      <c r="F3444" s="22">
        <f>(0)</f>
      </c>
      <c r="G3444" s="22">
        <f>(C3444 * E3444 + C3444 * E3444 * F3444)</f>
      </c>
    </row>
    <row r="3445">
      <c r="A3445" s="4"/>
      <c r="B3445" s="12" t="s">
        <v>1776</v>
      </c>
      <c r="C3445" s="21"/>
      <c r="D3445" s="21"/>
      <c r="E3445" s="21"/>
      <c r="F3445" s="21"/>
      <c r="G3445" s="21"/>
    </row>
    <row r="3446">
      <c r="A3446" s="5"/>
      <c r="B3446" s="13" t="s">
        <v>1252</v>
      </c>
      <c r="C3446" s="22">
        <f>(5)*(1)*(1)*(1)*(1 + (0))</f>
      </c>
      <c r="D3446" s="22" t="s">
        <v>153</v>
      </c>
      <c r="E3446" s="22"/>
      <c r="F3446" s="22">
        <f>(0)</f>
      </c>
      <c r="G3446" s="22">
        <f>(C3446 * E3446 + C3446 * E3446 * F3446)</f>
      </c>
    </row>
    <row r="3447">
      <c r="A3447" s="3"/>
      <c r="B3447" s="11" t="s">
        <v>1253</v>
      </c>
      <c r="C3447" s="20"/>
      <c r="D3447" s="20"/>
      <c r="E3447" s="20"/>
      <c r="F3447" s="20"/>
      <c r="G3447" s="20"/>
    </row>
    <row r="3448">
      <c r="A3448" s="4"/>
      <c r="B3448" s="12" t="s">
        <v>1776</v>
      </c>
      <c r="C3448" s="21"/>
      <c r="D3448" s="21"/>
      <c r="E3448" s="21"/>
      <c r="F3448" s="21"/>
      <c r="G3448" s="21"/>
    </row>
    <row r="3449">
      <c r="A3449" s="5"/>
      <c r="B3449" s="13" t="s">
        <v>1254</v>
      </c>
      <c r="C3449" s="22">
        <f>(26)*(1)*(1)*(1)*(1 + (0))</f>
      </c>
      <c r="D3449" s="22" t="s">
        <v>153</v>
      </c>
      <c r="E3449" s="22"/>
      <c r="F3449" s="22">
        <f>(0)</f>
      </c>
      <c r="G3449" s="22">
        <f>(C3449 * E3449 + C3449 * E3449 * F3449)</f>
      </c>
    </row>
    <row r="3450">
      <c r="A3450" s="3"/>
      <c r="B3450" s="11" t="s">
        <v>1269</v>
      </c>
      <c r="C3450" s="20"/>
      <c r="D3450" s="20"/>
      <c r="E3450" s="20"/>
      <c r="F3450" s="20"/>
      <c r="G3450" s="20"/>
    </row>
    <row r="3451">
      <c r="A3451" s="4"/>
      <c r="B3451" s="12" t="s">
        <v>1270</v>
      </c>
      <c r="C3451" s="21"/>
      <c r="D3451" s="21"/>
      <c r="E3451" s="21"/>
      <c r="F3451" s="21"/>
      <c r="G3451" s="21"/>
    </row>
    <row r="3452">
      <c r="A3452" s="5"/>
      <c r="B3452" s="13" t="s">
        <v>1746</v>
      </c>
      <c r="C3452" s="22">
        <f>(155)*(1)*(1)*(1)*(1 + (0))</f>
      </c>
      <c r="D3452" s="22" t="s">
        <v>153</v>
      </c>
      <c r="E3452" s="22"/>
      <c r="F3452" s="22">
        <f>(0)</f>
      </c>
      <c r="G3452" s="22">
        <f>(C3452 * E3452 + C3452 * E3452 * F3452)</f>
      </c>
    </row>
    <row r="3453">
      <c r="A3453" s="5"/>
      <c r="B3453" s="13" t="s">
        <v>1747</v>
      </c>
      <c r="C3453" s="22">
        <f>(180)*(1)*(1)*(1)*(1 + (0))</f>
      </c>
      <c r="D3453" s="22" t="s">
        <v>153</v>
      </c>
      <c r="E3453" s="22"/>
      <c r="F3453" s="22">
        <f>(0)</f>
      </c>
      <c r="G3453" s="22">
        <f>(C3453 * E3453 + C3453 * E3453 * F3453)</f>
      </c>
    </row>
    <row r="3454">
      <c r="A3454" s="3"/>
      <c r="B3454" s="11" t="s">
        <v>1255</v>
      </c>
      <c r="C3454" s="20"/>
      <c r="D3454" s="20"/>
      <c r="E3454" s="20"/>
      <c r="F3454" s="20"/>
      <c r="G3454" s="20"/>
    </row>
    <row r="3455">
      <c r="A3455" s="4"/>
      <c r="B3455" s="12" t="s">
        <v>1777</v>
      </c>
      <c r="C3455" s="21"/>
      <c r="D3455" s="21"/>
      <c r="E3455" s="21"/>
      <c r="F3455" s="21"/>
      <c r="G3455" s="21"/>
    </row>
    <row r="3456">
      <c r="A3456" s="6"/>
      <c r="B3456" s="15" t="s">
        <v>1257</v>
      </c>
      <c r="C3456" s="23"/>
      <c r="D3456" s="23"/>
      <c r="E3456" s="23"/>
      <c r="F3456" s="23"/>
      <c r="G3456" s="23"/>
    </row>
    <row r="3457">
      <c r="A3457" s="5"/>
      <c r="B3457" s="16" t="s">
        <v>1265</v>
      </c>
      <c r="C3457" s="22">
        <f>(2)*(1)*(1)*(1)*(1 + (0))</f>
      </c>
      <c r="D3457" s="22" t="s">
        <v>162</v>
      </c>
      <c r="E3457" s="22"/>
      <c r="F3457" s="22">
        <f>(0)</f>
      </c>
      <c r="G3457" s="22">
        <f>(C3457 * E3457 + C3457 * E3457 * F3457)</f>
      </c>
    </row>
    <row r="3458">
      <c r="A3458" s="5"/>
      <c r="B3458" s="16" t="s">
        <v>1259</v>
      </c>
      <c r="C3458" s="22">
        <f>(10)*(1)*(1)*(1)*(1 + (0))</f>
      </c>
      <c r="D3458" s="22" t="s">
        <v>162</v>
      </c>
      <c r="E3458" s="22"/>
      <c r="F3458" s="22">
        <f>(0)</f>
      </c>
      <c r="G3458" s="22">
        <f>(C3458 * E3458 + C3458 * E3458 * F3458)</f>
      </c>
    </row>
    <row r="3459">
      <c r="A3459" s="6"/>
      <c r="B3459" s="15" t="s">
        <v>1260</v>
      </c>
      <c r="C3459" s="23"/>
      <c r="D3459" s="23"/>
      <c r="E3459" s="23"/>
      <c r="F3459" s="23"/>
      <c r="G3459" s="23"/>
    </row>
    <row r="3460">
      <c r="A3460" s="5"/>
      <c r="B3460" s="16" t="s">
        <v>1261</v>
      </c>
      <c r="C3460" s="22">
        <f>(12)*(1)*(1)*(1)*(1 + (0))</f>
      </c>
      <c r="D3460" s="22" t="s">
        <v>162</v>
      </c>
      <c r="E3460" s="22"/>
      <c r="F3460" s="22">
        <f>(0)</f>
      </c>
      <c r="G3460" s="22">
        <f>(C3460 * E3460 + C3460 * E3460 * F3460)</f>
      </c>
    </row>
    <row r="3461">
      <c r="A3461" s="5"/>
      <c r="B3461" s="16" t="s">
        <v>1262</v>
      </c>
      <c r="C3461" s="22">
        <f>(12)*(1)*(1)*(1)*(1 + (0))</f>
      </c>
      <c r="D3461" s="22" t="s">
        <v>162</v>
      </c>
      <c r="E3461" s="22"/>
      <c r="F3461" s="22">
        <f>(0)</f>
      </c>
      <c r="G3461" s="22">
        <f>(C3461 * E3461 + C3461 * E3461 * F3461)</f>
      </c>
    </row>
    <row r="3462">
      <c r="A3462" s="4"/>
      <c r="B3462" s="12" t="s">
        <v>1778</v>
      </c>
      <c r="C3462" s="21"/>
      <c r="D3462" s="21"/>
      <c r="E3462" s="21"/>
      <c r="F3462" s="21"/>
      <c r="G3462" s="21"/>
    </row>
    <row r="3463">
      <c r="A3463" s="6"/>
      <c r="B3463" s="15" t="s">
        <v>1257</v>
      </c>
      <c r="C3463" s="23"/>
      <c r="D3463" s="23"/>
      <c r="E3463" s="23"/>
      <c r="F3463" s="23"/>
      <c r="G3463" s="23"/>
    </row>
    <row r="3464">
      <c r="A3464" s="5"/>
      <c r="B3464" s="16" t="s">
        <v>1265</v>
      </c>
      <c r="C3464" s="22">
        <f>(2)*(1)*(1)*(1)*(1 + (0))</f>
      </c>
      <c r="D3464" s="22" t="s">
        <v>162</v>
      </c>
      <c r="E3464" s="22"/>
      <c r="F3464" s="22">
        <f>(0)</f>
      </c>
      <c r="G3464" s="22">
        <f>(C3464 * E3464 + C3464 * E3464 * F3464)</f>
      </c>
    </row>
    <row r="3465">
      <c r="A3465" s="5"/>
      <c r="B3465" s="16" t="s">
        <v>1259</v>
      </c>
      <c r="C3465" s="22">
        <f>(12)*(1)*(1)*(1)*(1 + (0))</f>
      </c>
      <c r="D3465" s="22" t="s">
        <v>162</v>
      </c>
      <c r="E3465" s="22"/>
      <c r="F3465" s="22">
        <f>(0)</f>
      </c>
      <c r="G3465" s="22">
        <f>(C3465 * E3465 + C3465 * E3465 * F3465)</f>
      </c>
    </row>
    <row r="3466">
      <c r="A3466" s="6"/>
      <c r="B3466" s="15" t="s">
        <v>1260</v>
      </c>
      <c r="C3466" s="23"/>
      <c r="D3466" s="23"/>
      <c r="E3466" s="23"/>
      <c r="F3466" s="23"/>
      <c r="G3466" s="23"/>
    </row>
    <row r="3467">
      <c r="A3467" s="5"/>
      <c r="B3467" s="16" t="s">
        <v>1266</v>
      </c>
      <c r="C3467" s="22">
        <f>(12)*(1)*(1)*(1)*(1 + (0))</f>
      </c>
      <c r="D3467" s="22" t="s">
        <v>162</v>
      </c>
      <c r="E3467" s="22"/>
      <c r="F3467" s="22">
        <f>(0)</f>
      </c>
      <c r="G3467" s="22">
        <f>(C3467 * E3467 + C3467 * E3467 * F3467)</f>
      </c>
    </row>
    <row r="3468">
      <c r="A3468" s="5"/>
      <c r="B3468" s="16" t="s">
        <v>1267</v>
      </c>
      <c r="C3468" s="22">
        <f>(12)*(1)*(1)*(1)*(1 + (0))</f>
      </c>
      <c r="D3468" s="22" t="s">
        <v>162</v>
      </c>
      <c r="E3468" s="22"/>
      <c r="F3468" s="22">
        <f>(0)</f>
      </c>
      <c r="G3468" s="22">
        <f>(C3468 * E3468 + C3468 * E3468 * F3468)</f>
      </c>
    </row>
    <row r="3469">
      <c r="A3469" s="3"/>
      <c r="B3469" s="11" t="s">
        <v>1271</v>
      </c>
      <c r="C3469" s="20"/>
      <c r="D3469" s="20"/>
      <c r="E3469" s="20"/>
      <c r="F3469" s="20"/>
      <c r="G3469" s="20"/>
    </row>
    <row r="3470">
      <c r="A3470" s="4"/>
      <c r="B3470" s="12" t="s">
        <v>1272</v>
      </c>
      <c r="C3470" s="21"/>
      <c r="D3470" s="21"/>
      <c r="E3470" s="21"/>
      <c r="F3470" s="21"/>
      <c r="G3470" s="21"/>
    </row>
    <row r="3471">
      <c r="A3471" s="5"/>
      <c r="B3471" s="13" t="s">
        <v>1779</v>
      </c>
      <c r="C3471" s="22">
        <f>(56)*(1)*(1)*(1)*(1 + (0))</f>
      </c>
      <c r="D3471" s="22" t="s">
        <v>153</v>
      </c>
      <c r="E3471" s="22"/>
      <c r="F3471" s="22">
        <f>(0)</f>
      </c>
      <c r="G3471" s="22">
        <f>(C3471 * E3471 + C3471 * E3471 * F3471)</f>
      </c>
    </row>
    <row r="3472">
      <c r="A3472" s="5"/>
      <c r="B3472" s="13" t="s">
        <v>1780</v>
      </c>
      <c r="C3472" s="22">
        <f>(31)*(1)*(1)*(1)*(1 + (0))</f>
      </c>
      <c r="D3472" s="22" t="s">
        <v>153</v>
      </c>
      <c r="E3472" s="22"/>
      <c r="F3472" s="22">
        <f>(0)</f>
      </c>
      <c r="G3472" s="22">
        <f>(C3472 * E3472 + C3472 * E3472 * F3472)</f>
      </c>
    </row>
    <row r="3473">
      <c r="A3473" s="3"/>
      <c r="B3473" s="11" t="s">
        <v>1275</v>
      </c>
      <c r="C3473" s="20"/>
      <c r="D3473" s="20"/>
      <c r="E3473" s="20"/>
      <c r="F3473" s="20"/>
      <c r="G3473" s="20"/>
    </row>
    <row r="3474">
      <c r="A3474" s="4"/>
      <c r="B3474" s="12" t="s">
        <v>1276</v>
      </c>
      <c r="C3474" s="21"/>
      <c r="D3474" s="21"/>
      <c r="E3474" s="21"/>
      <c r="F3474" s="21"/>
      <c r="G3474" s="21"/>
    </row>
    <row r="3475">
      <c r="A3475" s="6"/>
      <c r="B3475" s="15" t="s">
        <v>1277</v>
      </c>
      <c r="C3475" s="23"/>
      <c r="D3475" s="23"/>
      <c r="E3475" s="23"/>
      <c r="F3475" s="23"/>
      <c r="G3475" s="23"/>
    </row>
    <row r="3476">
      <c r="A3476" s="5"/>
      <c r="B3476" s="16" t="s">
        <v>1698</v>
      </c>
      <c r="C3476" s="22">
        <f>(2)*(1)*(1)*(1)*(1 + (0))</f>
      </c>
      <c r="D3476" s="22" t="s">
        <v>162</v>
      </c>
      <c r="E3476" s="22"/>
      <c r="F3476" s="22">
        <f>(0)</f>
      </c>
      <c r="G3476" s="22">
        <f>(C3476 * E3476 + C3476 * E3476 * F3476)</f>
      </c>
    </row>
    <row r="3477">
      <c r="A3477" s="6"/>
      <c r="B3477" s="15" t="s">
        <v>1278</v>
      </c>
      <c r="C3477" s="23"/>
      <c r="D3477" s="23"/>
      <c r="E3477" s="23"/>
      <c r="F3477" s="23"/>
      <c r="G3477" s="23"/>
    </row>
    <row r="3478">
      <c r="A3478" s="5"/>
      <c r="B3478" s="16" t="s">
        <v>1695</v>
      </c>
      <c r="C3478" s="22">
        <f>(2)*(1)*(1)*(1)*(1 + (0))</f>
      </c>
      <c r="D3478" s="22" t="s">
        <v>162</v>
      </c>
      <c r="E3478" s="22"/>
      <c r="F3478" s="22">
        <f>(0)</f>
      </c>
      <c r="G3478" s="22">
        <f>(C3478 * E3478 + C3478 * E3478 * F3478)</f>
      </c>
    </row>
    <row r="3479">
      <c r="A3479" s="3"/>
      <c r="B3479" s="11" t="s">
        <v>1781</v>
      </c>
      <c r="C3479" s="20"/>
      <c r="D3479" s="20"/>
      <c r="E3479" s="20"/>
      <c r="F3479" s="20"/>
      <c r="G3479" s="20"/>
    </row>
    <row r="3480">
      <c r="A3480" s="4"/>
      <c r="B3480" s="12" t="s">
        <v>1782</v>
      </c>
      <c r="C3480" s="21"/>
      <c r="D3480" s="21"/>
      <c r="E3480" s="21"/>
      <c r="F3480" s="21"/>
      <c r="G3480" s="21"/>
    </row>
    <row r="3481">
      <c r="A3481" s="5"/>
      <c r="B3481" s="13" t="s">
        <v>1783</v>
      </c>
      <c r="C3481" s="22">
        <f>(10)*(1)*(1)*(1)*(1 + (0))</f>
      </c>
      <c r="D3481" s="22" t="s">
        <v>162</v>
      </c>
      <c r="E3481" s="22"/>
      <c r="F3481" s="22">
        <f>(0)</f>
      </c>
      <c r="G3481" s="22">
        <f>(C3481 * E3481 + C3481 * E3481 * F3481)</f>
      </c>
    </row>
    <row r="3482">
      <c r="A3482" s="5"/>
      <c r="B3482" s="13" t="s">
        <v>1698</v>
      </c>
      <c r="C3482" s="22">
        <f>(12)*(1)*(1)*(1)*(1 + (0))</f>
      </c>
      <c r="D3482" s="22" t="s">
        <v>162</v>
      </c>
      <c r="E3482" s="22"/>
      <c r="F3482" s="22">
        <f>(0)</f>
      </c>
      <c r="G3482" s="22">
        <f>(C3482 * E3482 + C3482 * E3482 * F3482)</f>
      </c>
    </row>
    <row r="3483">
      <c r="A3483" s="5"/>
      <c r="B3483" s="7" t="s">
        <v>1784</v>
      </c>
      <c r="C3483" s="22"/>
      <c r="D3483" s="22"/>
      <c r="E3483" s="22"/>
      <c r="F3483" s="22">
        <f>(0)</f>
      </c>
      <c r="G3483" s="22">
        <f>(C3483 * E3483 + C3483 * E3483 * F3483)</f>
      </c>
    </row>
    <row r="3484">
      <c r="A3484" s="2"/>
      <c r="B3484" s="10" t="s">
        <v>1284</v>
      </c>
      <c r="C3484" s="19"/>
      <c r="D3484" s="19"/>
      <c r="E3484" s="19"/>
      <c r="F3484" s="19"/>
      <c r="G3484" s="19"/>
    </row>
    <row r="3485">
      <c r="A3485" s="3"/>
      <c r="B3485" s="11" t="s">
        <v>37</v>
      </c>
      <c r="C3485" s="20"/>
      <c r="D3485" s="20"/>
      <c r="E3485" s="20"/>
      <c r="F3485" s="20"/>
      <c r="G3485" s="20"/>
    </row>
    <row r="3486">
      <c r="A3486" s="5" t="s">
        <v>1285</v>
      </c>
      <c r="B3486" s="14" t="s">
        <v>39</v>
      </c>
      <c r="C3486" s="22"/>
      <c r="D3486" s="22" t="s">
        <v>10</v>
      </c>
      <c r="E3486" s="22"/>
      <c r="F3486" s="22">
        <f>(0)</f>
      </c>
      <c r="G3486" s="22">
        <f>(C3486 * E3486 + C3486 * E3486 * F3486)</f>
      </c>
    </row>
    <row r="3487">
      <c r="A3487" s="5" t="s">
        <v>1286</v>
      </c>
      <c r="B3487" s="14" t="s">
        <v>41</v>
      </c>
      <c r="C3487" s="22"/>
      <c r="D3487" s="22" t="s">
        <v>10</v>
      </c>
      <c r="E3487" s="22"/>
      <c r="F3487" s="22">
        <f>(0)</f>
      </c>
      <c r="G3487" s="22">
        <f>(C3487 * E3487 + C3487 * E3487 * F3487)</f>
      </c>
    </row>
    <row r="3488">
      <c r="A3488" s="3"/>
      <c r="B3488" s="11" t="s">
        <v>42</v>
      </c>
      <c r="C3488" s="20"/>
      <c r="D3488" s="20"/>
      <c r="E3488" s="20"/>
      <c r="F3488" s="20"/>
      <c r="G3488" s="20"/>
    </row>
    <row r="3489">
      <c r="A3489" s="5"/>
      <c r="B3489" s="14" t="s">
        <v>1287</v>
      </c>
      <c r="C3489" s="22"/>
      <c r="D3489" s="22" t="s">
        <v>10</v>
      </c>
      <c r="E3489" s="22"/>
      <c r="F3489" s="22">
        <f>(0)</f>
      </c>
      <c r="G3489" s="22">
        <f>(C3489 * E3489 + C3489 * E3489 * F3489)</f>
      </c>
    </row>
    <row r="3490">
      <c r="A3490" s="5"/>
      <c r="B3490" s="14" t="s">
        <v>1288</v>
      </c>
      <c r="C3490" s="22"/>
      <c r="D3490" s="22" t="s">
        <v>10</v>
      </c>
      <c r="E3490" s="22"/>
      <c r="F3490" s="22">
        <f>(0)</f>
      </c>
      <c r="G3490" s="22">
        <f>(C3490 * E3490 + C3490 * E3490 * F3490)</f>
      </c>
    </row>
    <row r="3491">
      <c r="A3491" s="5"/>
      <c r="B3491" s="14" t="s">
        <v>1289</v>
      </c>
      <c r="C3491" s="22"/>
      <c r="D3491" s="22" t="s">
        <v>10</v>
      </c>
      <c r="E3491" s="22"/>
      <c r="F3491" s="22">
        <f>(0)</f>
      </c>
      <c r="G3491" s="22">
        <f>(C3491 * E3491 + C3491 * E3491 * F3491)</f>
      </c>
    </row>
    <row r="3492">
      <c r="A3492" s="5"/>
      <c r="B3492" s="14" t="s">
        <v>1290</v>
      </c>
      <c r="C3492" s="22"/>
      <c r="D3492" s="22" t="s">
        <v>10</v>
      </c>
      <c r="E3492" s="22"/>
      <c r="F3492" s="22">
        <f>(0)</f>
      </c>
      <c r="G3492" s="22">
        <f>(C3492 * E3492 + C3492 * E3492 * F3492)</f>
      </c>
    </row>
    <row r="3493">
      <c r="A3493" s="3"/>
      <c r="B3493" s="11" t="s">
        <v>44</v>
      </c>
      <c r="C3493" s="20"/>
      <c r="D3493" s="20"/>
      <c r="E3493" s="20"/>
      <c r="F3493" s="20"/>
      <c r="G3493" s="20"/>
    </row>
    <row r="3494">
      <c r="A3494" s="4"/>
      <c r="B3494" s="12" t="s">
        <v>45</v>
      </c>
      <c r="C3494" s="21"/>
      <c r="D3494" s="21"/>
      <c r="E3494" s="21"/>
      <c r="F3494" s="21"/>
      <c r="G3494" s="21"/>
    </row>
    <row r="3495">
      <c r="A3495" s="5" t="s">
        <v>1291</v>
      </c>
      <c r="B3495" s="13" t="s">
        <v>767</v>
      </c>
      <c r="C3495" s="22"/>
      <c r="D3495" s="22" t="s">
        <v>10</v>
      </c>
      <c r="E3495" s="22"/>
      <c r="F3495" s="22">
        <f>(0)</f>
      </c>
      <c r="G3495" s="22">
        <f>(C3495 * E3495 + C3495 * E3495 * F3495)</f>
      </c>
    </row>
    <row r="3496">
      <c r="A3496" s="5" t="s">
        <v>1292</v>
      </c>
      <c r="B3496" s="13" t="s">
        <v>123</v>
      </c>
      <c r="C3496" s="22"/>
      <c r="D3496" s="22" t="s">
        <v>10</v>
      </c>
      <c r="E3496" s="22"/>
      <c r="F3496" s="22">
        <f>(0)</f>
      </c>
      <c r="G3496" s="22">
        <f>(C3496 * E3496 + C3496 * E3496 * F3496)</f>
      </c>
    </row>
    <row r="3497">
      <c r="A3497" s="3"/>
      <c r="B3497" s="11" t="s">
        <v>68</v>
      </c>
      <c r="C3497" s="20"/>
      <c r="D3497" s="20"/>
      <c r="E3497" s="20"/>
      <c r="F3497" s="20"/>
      <c r="G3497" s="20"/>
    </row>
    <row r="3498">
      <c r="A3498" s="5" t="s">
        <v>1293</v>
      </c>
      <c r="B3498" s="14" t="s">
        <v>230</v>
      </c>
      <c r="C3498" s="22">
        <f>(1)*(1)*(1)*(1)*(1 + (0))</f>
      </c>
      <c r="D3498" s="22" t="s">
        <v>71</v>
      </c>
      <c r="E3498" s="22"/>
      <c r="F3498" s="22">
        <f>(0)</f>
      </c>
      <c r="G3498" s="22">
        <f>(C3498 * E3498 + C3498 * E3498 * F3498)</f>
      </c>
    </row>
    <row r="3499">
      <c r="A3499" s="5" t="s">
        <v>1294</v>
      </c>
      <c r="B3499" s="14" t="s">
        <v>70</v>
      </c>
      <c r="C3499" s="22">
        <f>(1)*(1)*(1)*(1)*(1 + (0))</f>
      </c>
      <c r="D3499" s="22" t="s">
        <v>71</v>
      </c>
      <c r="E3499" s="22"/>
      <c r="F3499" s="22">
        <f>(0)</f>
      </c>
      <c r="G3499" s="22">
        <f>(C3499 * E3499 + C3499 * E3499 * F3499)</f>
      </c>
    </row>
    <row r="3500">
      <c r="A3500" s="5" t="s">
        <v>1295</v>
      </c>
      <c r="B3500" s="14" t="s">
        <v>906</v>
      </c>
      <c r="C3500" s="22">
        <f>(1)*(1)*(1)*(1)*(1 + (0))</f>
      </c>
      <c r="D3500" s="22" t="s">
        <v>71</v>
      </c>
      <c r="E3500" s="22"/>
      <c r="F3500" s="22">
        <f>(0)</f>
      </c>
      <c r="G3500" s="22">
        <f>(C3500 * E3500 + C3500 * E3500 * F3500)</f>
      </c>
    </row>
    <row r="3501">
      <c r="A3501" s="5" t="s">
        <v>1296</v>
      </c>
      <c r="B3501" s="14" t="s">
        <v>665</v>
      </c>
      <c r="C3501" s="22">
        <f>(1)*(1)*(1)*(1)*(1 + (0))</f>
      </c>
      <c r="D3501" s="22" t="s">
        <v>71</v>
      </c>
      <c r="E3501" s="22"/>
      <c r="F3501" s="22">
        <f>(0)</f>
      </c>
      <c r="G3501" s="22">
        <f>(C3501 * E3501 + C3501 * E3501 * F3501)</f>
      </c>
    </row>
    <row r="3502">
      <c r="A3502" s="3"/>
      <c r="B3502" s="11" t="s">
        <v>1297</v>
      </c>
      <c r="C3502" s="20"/>
      <c r="D3502" s="20"/>
      <c r="E3502" s="20"/>
      <c r="F3502" s="20"/>
      <c r="G3502" s="20"/>
    </row>
    <row r="3503">
      <c r="A3503" s="4"/>
      <c r="B3503" s="12" t="s">
        <v>1785</v>
      </c>
      <c r="C3503" s="21"/>
      <c r="D3503" s="21"/>
      <c r="E3503" s="21"/>
      <c r="F3503" s="21"/>
      <c r="G3503" s="21"/>
    </row>
    <row r="3504">
      <c r="A3504" s="5"/>
      <c r="B3504" s="13" t="s">
        <v>1786</v>
      </c>
      <c r="C3504" s="22">
        <f>(1)*(1)*(1)*(1)*(1 + (0))</f>
      </c>
      <c r="D3504" s="22" t="s">
        <v>162</v>
      </c>
      <c r="E3504" s="22"/>
      <c r="F3504" s="22">
        <f>(0)</f>
      </c>
      <c r="G3504" s="22">
        <f>(C3504 * E3504 + C3504 * E3504 * F3504)</f>
      </c>
    </row>
    <row r="3505">
      <c r="A3505" s="4"/>
      <c r="B3505" s="12" t="s">
        <v>1298</v>
      </c>
      <c r="C3505" s="21"/>
      <c r="D3505" s="21"/>
      <c r="E3505" s="21"/>
      <c r="F3505" s="21"/>
      <c r="G3505" s="21"/>
    </row>
    <row r="3506">
      <c r="A3506" s="5"/>
      <c r="B3506" s="13" t="s">
        <v>1300</v>
      </c>
      <c r="C3506" s="22">
        <f>(29)*(1)*(1)*(1)*(1 + (0))</f>
      </c>
      <c r="D3506" s="22" t="s">
        <v>153</v>
      </c>
      <c r="E3506" s="22"/>
      <c r="F3506" s="22">
        <f>(0)</f>
      </c>
      <c r="G3506" s="22">
        <f>(C3506 * E3506 + C3506 * E3506 * F3506)</f>
      </c>
    </row>
    <row r="3507">
      <c r="A3507" s="5"/>
      <c r="B3507" s="13" t="s">
        <v>1299</v>
      </c>
      <c r="C3507" s="22">
        <f>(2)*(1)*(1)*(1)*(1 + (0))</f>
      </c>
      <c r="D3507" s="22" t="s">
        <v>153</v>
      </c>
      <c r="E3507" s="22"/>
      <c r="F3507" s="22">
        <f>(0)</f>
      </c>
      <c r="G3507" s="22">
        <f>(C3507 * E3507 + C3507 * E3507 * F3507)</f>
      </c>
    </row>
    <row r="3508">
      <c r="A3508" s="2"/>
      <c r="B3508" s="10" t="s">
        <v>1301</v>
      </c>
      <c r="C3508" s="19"/>
      <c r="D3508" s="19"/>
      <c r="E3508" s="19"/>
      <c r="F3508" s="19"/>
      <c r="G3508" s="19"/>
    </row>
    <row r="3509">
      <c r="A3509" s="3"/>
      <c r="B3509" s="11" t="s">
        <v>37</v>
      </c>
      <c r="C3509" s="20"/>
      <c r="D3509" s="20"/>
      <c r="E3509" s="20"/>
      <c r="F3509" s="20"/>
      <c r="G3509" s="20"/>
    </row>
    <row r="3510">
      <c r="A3510" s="5" t="s">
        <v>1302</v>
      </c>
      <c r="B3510" s="14" t="s">
        <v>39</v>
      </c>
      <c r="C3510" s="22"/>
      <c r="D3510" s="22" t="s">
        <v>10</v>
      </c>
      <c r="E3510" s="22"/>
      <c r="F3510" s="22">
        <f>(0)</f>
      </c>
      <c r="G3510" s="22">
        <f>(C3510 * E3510 + C3510 * E3510 * F3510)</f>
      </c>
    </row>
    <row r="3511">
      <c r="A3511" s="5" t="s">
        <v>1303</v>
      </c>
      <c r="B3511" s="14" t="s">
        <v>41</v>
      </c>
      <c r="C3511" s="22"/>
      <c r="D3511" s="22" t="s">
        <v>10</v>
      </c>
      <c r="E3511" s="22"/>
      <c r="F3511" s="22">
        <f>(0)</f>
      </c>
      <c r="G3511" s="22">
        <f>(C3511 * E3511 + C3511 * E3511 * F3511)</f>
      </c>
    </row>
    <row r="3512">
      <c r="A3512" s="3"/>
      <c r="B3512" s="11" t="s">
        <v>42</v>
      </c>
      <c r="C3512" s="20"/>
      <c r="D3512" s="20"/>
      <c r="E3512" s="20"/>
      <c r="F3512" s="20"/>
      <c r="G3512" s="20"/>
    </row>
    <row r="3513">
      <c r="A3513" s="5"/>
      <c r="B3513" s="14" t="s">
        <v>1009</v>
      </c>
      <c r="C3513" s="22"/>
      <c r="D3513" s="22" t="s">
        <v>10</v>
      </c>
      <c r="E3513" s="22"/>
      <c r="F3513" s="22">
        <f>(0)</f>
      </c>
      <c r="G3513" s="22">
        <f>(C3513 * E3513 + C3513 * E3513 * F3513)</f>
      </c>
    </row>
    <row r="3514">
      <c r="A3514" s="5"/>
      <c r="B3514" s="14" t="s">
        <v>1010</v>
      </c>
      <c r="C3514" s="22"/>
      <c r="D3514" s="22" t="s">
        <v>10</v>
      </c>
      <c r="E3514" s="22"/>
      <c r="F3514" s="22">
        <f>(0)</f>
      </c>
      <c r="G3514" s="22">
        <f>(C3514 * E3514 + C3514 * E3514 * F3514)</f>
      </c>
    </row>
    <row r="3515">
      <c r="A3515" s="5"/>
      <c r="B3515" s="14" t="s">
        <v>1011</v>
      </c>
      <c r="C3515" s="22"/>
      <c r="D3515" s="22" t="s">
        <v>10</v>
      </c>
      <c r="E3515" s="22"/>
      <c r="F3515" s="22">
        <f>(0)</f>
      </c>
      <c r="G3515" s="22">
        <f>(C3515 * E3515 + C3515 * E3515 * F3515)</f>
      </c>
    </row>
    <row r="3516">
      <c r="A3516" s="3"/>
      <c r="B3516" s="11" t="s">
        <v>44</v>
      </c>
      <c r="C3516" s="20"/>
      <c r="D3516" s="20"/>
      <c r="E3516" s="20"/>
      <c r="F3516" s="20"/>
      <c r="G3516" s="20"/>
    </row>
    <row r="3517">
      <c r="A3517" s="4"/>
      <c r="B3517" s="12" t="s">
        <v>45</v>
      </c>
      <c r="C3517" s="21"/>
      <c r="D3517" s="21"/>
      <c r="E3517" s="21"/>
      <c r="F3517" s="21"/>
      <c r="G3517" s="21"/>
    </row>
    <row r="3518">
      <c r="A3518" s="5" t="s">
        <v>1305</v>
      </c>
      <c r="B3518" s="13" t="s">
        <v>1306</v>
      </c>
      <c r="C3518" s="22"/>
      <c r="D3518" s="22" t="s">
        <v>10</v>
      </c>
      <c r="E3518" s="22"/>
      <c r="F3518" s="22">
        <f>(0)</f>
      </c>
      <c r="G3518" s="22">
        <f>(C3518 * E3518 + C3518 * E3518 * F3518)</f>
      </c>
    </row>
    <row r="3519">
      <c r="A3519" s="5" t="s">
        <v>1307</v>
      </c>
      <c r="B3519" s="13" t="s">
        <v>1308</v>
      </c>
      <c r="C3519" s="22"/>
      <c r="D3519" s="22" t="s">
        <v>10</v>
      </c>
      <c r="E3519" s="22"/>
      <c r="F3519" s="22">
        <f>(0)</f>
      </c>
      <c r="G3519" s="22">
        <f>(C3519 * E3519 + C3519 * E3519 * F3519)</f>
      </c>
    </row>
    <row r="3520">
      <c r="A3520" s="5" t="s">
        <v>1309</v>
      </c>
      <c r="B3520" s="13" t="s">
        <v>1310</v>
      </c>
      <c r="C3520" s="22"/>
      <c r="D3520" s="22" t="s">
        <v>10</v>
      </c>
      <c r="E3520" s="22"/>
      <c r="F3520" s="22">
        <f>(0)</f>
      </c>
      <c r="G3520" s="22">
        <f>(C3520 * E3520 + C3520 * E3520 * F3520)</f>
      </c>
    </row>
    <row r="3521">
      <c r="A3521" s="5" t="s">
        <v>1311</v>
      </c>
      <c r="B3521" s="13" t="s">
        <v>1312</v>
      </c>
      <c r="C3521" s="22"/>
      <c r="D3521" s="22" t="s">
        <v>10</v>
      </c>
      <c r="E3521" s="22"/>
      <c r="F3521" s="22">
        <f>(0)</f>
      </c>
      <c r="G3521" s="22">
        <f>(C3521 * E3521 + C3521 * E3521 * F3521)</f>
      </c>
    </row>
    <row r="3522">
      <c r="A3522" s="5" t="s">
        <v>1313</v>
      </c>
      <c r="B3522" s="13" t="s">
        <v>1314</v>
      </c>
      <c r="C3522" s="22"/>
      <c r="D3522" s="22" t="s">
        <v>10</v>
      </c>
      <c r="E3522" s="22"/>
      <c r="F3522" s="22">
        <f>(0)</f>
      </c>
      <c r="G3522" s="22">
        <f>(C3522 * E3522 + C3522 * E3522 * F3522)</f>
      </c>
    </row>
    <row r="3523">
      <c r="A3523" s="5" t="s">
        <v>1315</v>
      </c>
      <c r="B3523" s="13" t="s">
        <v>1316</v>
      </c>
      <c r="C3523" s="22"/>
      <c r="D3523" s="22" t="s">
        <v>10</v>
      </c>
      <c r="E3523" s="22"/>
      <c r="F3523" s="22">
        <f>(0)</f>
      </c>
      <c r="G3523" s="22">
        <f>(C3523 * E3523 + C3523 * E3523 * F3523)</f>
      </c>
    </row>
    <row r="3524">
      <c r="A3524" s="5" t="s">
        <v>1317</v>
      </c>
      <c r="B3524" s="13" t="s">
        <v>1318</v>
      </c>
      <c r="C3524" s="22"/>
      <c r="D3524" s="22" t="s">
        <v>10</v>
      </c>
      <c r="E3524" s="22"/>
      <c r="F3524" s="22">
        <f>(0)</f>
      </c>
      <c r="G3524" s="22">
        <f>(C3524 * E3524 + C3524 * E3524 * F3524)</f>
      </c>
    </row>
    <row r="3525">
      <c r="A3525" s="5" t="s">
        <v>1319</v>
      </c>
      <c r="B3525" s="13" t="s">
        <v>123</v>
      </c>
      <c r="C3525" s="22"/>
      <c r="D3525" s="22" t="s">
        <v>10</v>
      </c>
      <c r="E3525" s="22"/>
      <c r="F3525" s="22">
        <f>(0)</f>
      </c>
      <c r="G3525" s="22">
        <f>(C3525 * E3525 + C3525 * E3525 * F3525)</f>
      </c>
    </row>
    <row r="3526">
      <c r="A3526" s="3"/>
      <c r="B3526" s="11" t="s">
        <v>68</v>
      </c>
      <c r="C3526" s="20"/>
      <c r="D3526" s="20"/>
      <c r="E3526" s="20"/>
      <c r="F3526" s="20"/>
      <c r="G3526" s="20"/>
    </row>
    <row r="3527">
      <c r="A3527" s="5" t="s">
        <v>1320</v>
      </c>
      <c r="B3527" s="14" t="s">
        <v>75</v>
      </c>
      <c r="C3527" s="22">
        <f>(1)*(1)*(1)*(1)*(1 + (0))</f>
      </c>
      <c r="D3527" s="22" t="s">
        <v>71</v>
      </c>
      <c r="E3527" s="22"/>
      <c r="F3527" s="22">
        <f>(0)</f>
      </c>
      <c r="G3527" s="22">
        <f>(C3527 * E3527 + C3527 * E3527 * F3527)</f>
      </c>
    </row>
    <row r="3528">
      <c r="A3528" s="5" t="s">
        <v>1321</v>
      </c>
      <c r="B3528" s="14" t="s">
        <v>1322</v>
      </c>
      <c r="C3528" s="22">
        <f>(1)*(1)*(1)*(1)*(1 + (0))</f>
      </c>
      <c r="D3528" s="22" t="s">
        <v>71</v>
      </c>
      <c r="E3528" s="22"/>
      <c r="F3528" s="22">
        <f>(0)</f>
      </c>
      <c r="G3528" s="22">
        <f>(C3528 * E3528 + C3528 * E3528 * F3528)</f>
      </c>
    </row>
    <row r="3529">
      <c r="A3529" s="5" t="s">
        <v>1323</v>
      </c>
      <c r="B3529" s="14" t="s">
        <v>1324</v>
      </c>
      <c r="C3529" s="22">
        <f>(1)*(1)*(1)*(1)*(1 + (0))</f>
      </c>
      <c r="D3529" s="22" t="s">
        <v>71</v>
      </c>
      <c r="E3529" s="22"/>
      <c r="F3529" s="22">
        <f>(0)</f>
      </c>
      <c r="G3529" s="22">
        <f>(C3529 * E3529 + C3529 * E3529 * F3529)</f>
      </c>
    </row>
    <row r="3530">
      <c r="A3530" s="5" t="s">
        <v>1325</v>
      </c>
      <c r="B3530" s="14" t="s">
        <v>230</v>
      </c>
      <c r="C3530" s="22">
        <f>(1)*(1)*(1)*(1)*(1 + (0))</f>
      </c>
      <c r="D3530" s="22" t="s">
        <v>71</v>
      </c>
      <c r="E3530" s="22"/>
      <c r="F3530" s="22">
        <f>(0)</f>
      </c>
      <c r="G3530" s="22">
        <f>(C3530 * E3530 + C3530 * E3530 * F3530)</f>
      </c>
    </row>
    <row r="3531">
      <c r="A3531" s="5" t="s">
        <v>1326</v>
      </c>
      <c r="B3531" s="14" t="s">
        <v>800</v>
      </c>
      <c r="C3531" s="22">
        <f>(1)*(1)*(1)*(1)*(1 + (0))</f>
      </c>
      <c r="D3531" s="22" t="s">
        <v>71</v>
      </c>
      <c r="E3531" s="22"/>
      <c r="F3531" s="22">
        <f>(0)</f>
      </c>
      <c r="G3531" s="22">
        <f>(C3531 * E3531 + C3531 * E3531 * F3531)</f>
      </c>
    </row>
    <row r="3532">
      <c r="A3532" s="5" t="s">
        <v>1327</v>
      </c>
      <c r="B3532" s="14" t="s">
        <v>73</v>
      </c>
      <c r="C3532" s="22">
        <f>(1)*(1)*(1)*(1)*(1 + (0))</f>
      </c>
      <c r="D3532" s="22" t="s">
        <v>71</v>
      </c>
      <c r="E3532" s="22"/>
      <c r="F3532" s="22">
        <f>(0)</f>
      </c>
      <c r="G3532" s="22">
        <f>(C3532 * E3532 + C3532 * E3532 * F3532)</f>
      </c>
    </row>
    <row r="3533">
      <c r="A3533" s="5" t="s">
        <v>1328</v>
      </c>
      <c r="B3533" s="14" t="s">
        <v>70</v>
      </c>
      <c r="C3533" s="22">
        <f>(1)*(1)*(1)*(1)*(1 + (0))</f>
      </c>
      <c r="D3533" s="22" t="s">
        <v>71</v>
      </c>
      <c r="E3533" s="22"/>
      <c r="F3533" s="22">
        <f>(0)</f>
      </c>
      <c r="G3533" s="22">
        <f>(C3533 * E3533 + C3533 * E3533 * F3533)</f>
      </c>
    </row>
    <row r="3534">
      <c r="A3534" s="5" t="s">
        <v>1329</v>
      </c>
      <c r="B3534" s="14" t="s">
        <v>1330</v>
      </c>
      <c r="C3534" s="22">
        <f>(1)*(1)*(1)*(1)*(1 + (0))</f>
      </c>
      <c r="D3534" s="22" t="s">
        <v>71</v>
      </c>
      <c r="E3534" s="22"/>
      <c r="F3534" s="22">
        <f>(0)</f>
      </c>
      <c r="G3534" s="22">
        <f>(C3534 * E3534 + C3534 * E3534 * F3534)</f>
      </c>
    </row>
    <row r="3535">
      <c r="A3535" s="5" t="s">
        <v>1331</v>
      </c>
      <c r="B3535" s="14" t="s">
        <v>665</v>
      </c>
      <c r="C3535" s="22">
        <f>(1)*(1)*(1)*(1)*(1 + (0))</f>
      </c>
      <c r="D3535" s="22" t="s">
        <v>71</v>
      </c>
      <c r="E3535" s="22"/>
      <c r="F3535" s="22">
        <f>(0)</f>
      </c>
      <c r="G3535" s="22">
        <f>(C3535 * E3535 + C3535 * E3535 * F3535)</f>
      </c>
    </row>
    <row r="3536">
      <c r="A3536" s="3"/>
      <c r="B3536" s="11" t="s">
        <v>106</v>
      </c>
      <c r="C3536" s="20"/>
      <c r="D3536" s="20"/>
      <c r="E3536" s="20"/>
      <c r="F3536" s="20"/>
      <c r="G3536" s="20"/>
    </row>
    <row r="3537">
      <c r="A3537" s="5"/>
      <c r="B3537" s="14" t="s">
        <v>1332</v>
      </c>
      <c r="C3537" s="22"/>
      <c r="D3537" s="22" t="s">
        <v>1333</v>
      </c>
      <c r="E3537" s="22"/>
      <c r="F3537" s="22">
        <f>(0)</f>
      </c>
      <c r="G3537" s="22">
        <f>(C3537 * E3537 + C3537 * E3537 * F3537)</f>
      </c>
    </row>
    <row r="3538">
      <c r="A3538" s="5"/>
      <c r="B3538" s="14" t="s">
        <v>1334</v>
      </c>
      <c r="C3538" s="22"/>
      <c r="D3538" s="22" t="s">
        <v>1335</v>
      </c>
      <c r="E3538" s="22"/>
      <c r="F3538" s="22">
        <f>(0)</f>
      </c>
      <c r="G3538" s="22">
        <f>(C3538 * E3538 + C3538 * E3538 * F3538)</f>
      </c>
    </row>
    <row r="3539">
      <c r="A3539" s="3"/>
      <c r="B3539" s="11" t="s">
        <v>1336</v>
      </c>
      <c r="C3539" s="20"/>
      <c r="D3539" s="20"/>
      <c r="E3539" s="20"/>
      <c r="F3539" s="20"/>
      <c r="G3539" s="20"/>
    </row>
    <row r="3540">
      <c r="A3540" s="4"/>
      <c r="B3540" s="12" t="s">
        <v>1337</v>
      </c>
      <c r="C3540" s="21"/>
      <c r="D3540" s="21"/>
      <c r="E3540" s="21"/>
      <c r="F3540" s="21"/>
      <c r="G3540" s="21"/>
    </row>
    <row r="3541">
      <c r="A3541" s="6"/>
      <c r="B3541" s="15" t="s">
        <v>1338</v>
      </c>
      <c r="C3541" s="23"/>
      <c r="D3541" s="23"/>
      <c r="E3541" s="23"/>
      <c r="F3541" s="23"/>
      <c r="G3541" s="23"/>
    </row>
    <row r="3542">
      <c r="A3542" s="5"/>
      <c r="B3542" s="16" t="s">
        <v>1339</v>
      </c>
      <c r="C3542" s="22"/>
      <c r="D3542" s="22"/>
      <c r="E3542" s="22"/>
      <c r="F3542" s="22"/>
      <c r="G3542" s="22"/>
    </row>
    <row r="3543">
      <c r="A3543" s="5"/>
      <c r="B3543" s="17" t="s">
        <v>27</v>
      </c>
      <c r="C3543" s="22">
        <f>(272)*(1)*(1)*(1)*(1 + (0))</f>
      </c>
      <c r="D3543" s="22" t="s">
        <v>24</v>
      </c>
      <c r="E3543" s="22"/>
      <c r="F3543" s="22">
        <f>(0)</f>
      </c>
      <c r="G3543" s="22">
        <f>(C3543 * E3543 + C3543 * E3543 * F3543)</f>
      </c>
    </row>
    <row r="3544">
      <c r="A3544" s="5"/>
      <c r="B3544" s="17" t="s">
        <v>28</v>
      </c>
      <c r="C3544" s="22">
        <f>(285)*(1)*(1)*(1)*(1 + (0))</f>
      </c>
      <c r="D3544" s="22" t="s">
        <v>24</v>
      </c>
      <c r="E3544" s="22"/>
      <c r="F3544" s="22">
        <f>(0)</f>
      </c>
      <c r="G3544" s="22">
        <f>(C3544 * E3544 + C3544 * E3544 * F3544)</f>
      </c>
    </row>
    <row r="3545">
      <c r="A3545" s="5"/>
      <c r="B3545" s="16" t="s">
        <v>1340</v>
      </c>
      <c r="C3545" s="22"/>
      <c r="D3545" s="22"/>
      <c r="E3545" s="22"/>
      <c r="F3545" s="22"/>
      <c r="G3545" s="22"/>
    </row>
    <row r="3546">
      <c r="A3546" s="5"/>
      <c r="B3546" s="17" t="s">
        <v>27</v>
      </c>
      <c r="C3546" s="22">
        <f>(417)*(1)*(1)*(1)*(1 + (0))</f>
      </c>
      <c r="D3546" s="22" t="s">
        <v>24</v>
      </c>
      <c r="E3546" s="22"/>
      <c r="F3546" s="22">
        <f>(0)</f>
      </c>
      <c r="G3546" s="22">
        <f>(C3546 * E3546 + C3546 * E3546 * F3546)</f>
      </c>
    </row>
    <row r="3547">
      <c r="A3547" s="5"/>
      <c r="B3547" s="17" t="s">
        <v>28</v>
      </c>
      <c r="C3547" s="22">
        <f>(508)*(1)*(1)*(1)*(1 + (0))</f>
      </c>
      <c r="D3547" s="22" t="s">
        <v>24</v>
      </c>
      <c r="E3547" s="22"/>
      <c r="F3547" s="22">
        <f>(0)</f>
      </c>
      <c r="G3547" s="22">
        <f>(C3547 * E3547 + C3547 * E3547 * F3547)</f>
      </c>
    </row>
    <row r="3548">
      <c r="A3548" s="5"/>
      <c r="B3548" s="16" t="s">
        <v>1341</v>
      </c>
      <c r="C3548" s="22"/>
      <c r="D3548" s="22"/>
      <c r="E3548" s="22"/>
      <c r="F3548" s="22"/>
      <c r="G3548" s="22"/>
    </row>
    <row r="3549">
      <c r="A3549" s="5"/>
      <c r="B3549" s="17" t="s">
        <v>27</v>
      </c>
      <c r="C3549" s="22">
        <f>(11)*(1)*(1)*(1)*(1 + (0))</f>
      </c>
      <c r="D3549" s="22" t="s">
        <v>24</v>
      </c>
      <c r="E3549" s="22"/>
      <c r="F3549" s="22">
        <f>(0)</f>
      </c>
      <c r="G3549" s="22">
        <f>(C3549 * E3549 + C3549 * E3549 * F3549)</f>
      </c>
    </row>
    <row r="3550">
      <c r="A3550" s="5"/>
      <c r="B3550" s="16" t="s">
        <v>1787</v>
      </c>
      <c r="C3550" s="22"/>
      <c r="D3550" s="22"/>
      <c r="E3550" s="22"/>
      <c r="F3550" s="22"/>
      <c r="G3550" s="22"/>
    </row>
    <row r="3551">
      <c r="A3551" s="5"/>
      <c r="B3551" s="17" t="s">
        <v>28</v>
      </c>
      <c r="C3551" s="22">
        <f>(108)*(1)*(1)*(1)*(1 + (0))</f>
      </c>
      <c r="D3551" s="22" t="s">
        <v>24</v>
      </c>
      <c r="E3551" s="22"/>
      <c r="F3551" s="22">
        <f>(0)</f>
      </c>
      <c r="G3551" s="22">
        <f>(C3551 * E3551 + C3551 * E3551 * F3551)</f>
      </c>
    </row>
    <row r="3552">
      <c r="A3552" s="5"/>
      <c r="B3552" s="16" t="s">
        <v>1343</v>
      </c>
      <c r="C3552" s="22"/>
      <c r="D3552" s="22"/>
      <c r="E3552" s="22"/>
      <c r="F3552" s="22"/>
      <c r="G3552" s="22"/>
    </row>
    <row r="3553">
      <c r="A3553" s="5"/>
      <c r="B3553" s="17" t="s">
        <v>27</v>
      </c>
      <c r="C3553" s="22">
        <f>(97)*(1)*(1)*(1)*(1 + (0))</f>
      </c>
      <c r="D3553" s="22" t="s">
        <v>24</v>
      </c>
      <c r="E3553" s="22"/>
      <c r="F3553" s="22">
        <f>(0)</f>
      </c>
      <c r="G3553" s="22">
        <f>(C3553 * E3553 + C3553 * E3553 * F3553)</f>
      </c>
    </row>
    <row r="3554">
      <c r="A3554" s="5"/>
      <c r="B3554" s="17" t="s">
        <v>28</v>
      </c>
      <c r="C3554" s="22">
        <f>(18)*(1)*(1)*(1)*(1 + (0))</f>
      </c>
      <c r="D3554" s="22" t="s">
        <v>24</v>
      </c>
      <c r="E3554" s="22"/>
      <c r="F3554" s="22">
        <f>(0)</f>
      </c>
      <c r="G3554" s="22">
        <f>(C3554 * E3554 + C3554 * E3554 * F3554)</f>
      </c>
    </row>
    <row r="3555">
      <c r="A3555" s="5"/>
      <c r="B3555" s="16" t="s">
        <v>1345</v>
      </c>
      <c r="C3555" s="22"/>
      <c r="D3555" s="22"/>
      <c r="E3555" s="22"/>
      <c r="F3555" s="22"/>
      <c r="G3555" s="22"/>
    </row>
    <row r="3556">
      <c r="A3556" s="5"/>
      <c r="B3556" s="17" t="s">
        <v>27</v>
      </c>
      <c r="C3556" s="22">
        <f>(116)*(1)*(1)*(1)*(1 + (0))</f>
      </c>
      <c r="D3556" s="22" t="s">
        <v>24</v>
      </c>
      <c r="E3556" s="22"/>
      <c r="F3556" s="22">
        <f>(0)</f>
      </c>
      <c r="G3556" s="22">
        <f>(C3556 * E3556 + C3556 * E3556 * F3556)</f>
      </c>
    </row>
    <row r="3557">
      <c r="A3557" s="4"/>
      <c r="B3557" s="12" t="s">
        <v>1346</v>
      </c>
      <c r="C3557" s="21"/>
      <c r="D3557" s="21"/>
      <c r="E3557" s="21"/>
      <c r="F3557" s="21"/>
      <c r="G3557" s="21"/>
    </row>
    <row r="3558">
      <c r="A3558" s="6"/>
      <c r="B3558" s="15" t="s">
        <v>1347</v>
      </c>
      <c r="C3558" s="23"/>
      <c r="D3558" s="23"/>
      <c r="E3558" s="23"/>
      <c r="F3558" s="23"/>
      <c r="G3558" s="23"/>
    </row>
    <row r="3559">
      <c r="A3559" s="5"/>
      <c r="B3559" s="16" t="s">
        <v>27</v>
      </c>
      <c r="C3559" s="22">
        <f>(15)*(1)*(1)*(1)*(1 + (0))</f>
      </c>
      <c r="D3559" s="22" t="s">
        <v>24</v>
      </c>
      <c r="E3559" s="22"/>
      <c r="F3559" s="22">
        <f>(0)</f>
      </c>
      <c r="G3559" s="22">
        <f>(C3559 * E3559 + C3559 * E3559 * F3559)</f>
      </c>
    </row>
    <row r="3560">
      <c r="A3560" s="5"/>
      <c r="B3560" s="16" t="s">
        <v>28</v>
      </c>
      <c r="C3560" s="22">
        <f>(10)*(1)*(1)*(1)*(1 + (0))</f>
      </c>
      <c r="D3560" s="22" t="s">
        <v>24</v>
      </c>
      <c r="E3560" s="22"/>
      <c r="F3560" s="22">
        <f>(0)</f>
      </c>
      <c r="G3560" s="22">
        <f>(C3560 * E3560 + C3560 * E3560 * F3560)</f>
      </c>
    </row>
    <row r="3561">
      <c r="A3561" s="4"/>
      <c r="B3561" s="12" t="s">
        <v>1348</v>
      </c>
      <c r="C3561" s="21"/>
      <c r="D3561" s="21"/>
      <c r="E3561" s="21"/>
      <c r="F3561" s="21"/>
      <c r="G3561" s="21"/>
    </row>
    <row r="3562">
      <c r="A3562" s="6"/>
      <c r="B3562" s="15" t="s">
        <v>1349</v>
      </c>
      <c r="C3562" s="23"/>
      <c r="D3562" s="23"/>
      <c r="E3562" s="23"/>
      <c r="F3562" s="23"/>
      <c r="G3562" s="23"/>
    </row>
    <row r="3563">
      <c r="A3563" s="5"/>
      <c r="B3563" s="16" t="s">
        <v>27</v>
      </c>
      <c r="C3563" s="22">
        <f>(42)*(1)*(1)*(1)*(1 + (0))</f>
      </c>
      <c r="D3563" s="22" t="s">
        <v>153</v>
      </c>
      <c r="E3563" s="22"/>
      <c r="F3563" s="22">
        <f>(0)</f>
      </c>
      <c r="G3563" s="22">
        <f>(C3563 * E3563 + C3563 * E3563 * F3563)</f>
      </c>
    </row>
    <row r="3564">
      <c r="A3564" s="5"/>
      <c r="B3564" s="16" t="s">
        <v>28</v>
      </c>
      <c r="C3564" s="22">
        <f>(45)*(1)*(1)*(1)*(1 + (0))</f>
      </c>
      <c r="D3564" s="22" t="s">
        <v>153</v>
      </c>
      <c r="E3564" s="22"/>
      <c r="F3564" s="22">
        <f>(0)</f>
      </c>
      <c r="G3564" s="22">
        <f>(C3564 * E3564 + C3564 * E3564 * F3564)</f>
      </c>
    </row>
    <row r="3565">
      <c r="A3565" s="3"/>
      <c r="B3565" s="11" t="s">
        <v>1350</v>
      </c>
      <c r="C3565" s="20"/>
      <c r="D3565" s="20"/>
      <c r="E3565" s="20"/>
      <c r="F3565" s="20"/>
      <c r="G3565" s="20"/>
    </row>
    <row r="3566">
      <c r="A3566" s="4"/>
      <c r="B3566" s="12" t="s">
        <v>1351</v>
      </c>
      <c r="C3566" s="21"/>
      <c r="D3566" s="21"/>
      <c r="E3566" s="21"/>
      <c r="F3566" s="21"/>
      <c r="G3566" s="21"/>
    </row>
    <row r="3567">
      <c r="A3567" s="5"/>
      <c r="B3567" s="13" t="s">
        <v>1746</v>
      </c>
      <c r="C3567" s="22">
        <f>(734)*(1)*(1)*(1)*(1 + (0))</f>
      </c>
      <c r="D3567" s="22" t="s">
        <v>24</v>
      </c>
      <c r="E3567" s="22"/>
      <c r="F3567" s="22">
        <f>(0)</f>
      </c>
      <c r="G3567" s="22">
        <f>(C3567 * E3567 + C3567 * E3567 * F3567)</f>
      </c>
    </row>
    <row r="3568">
      <c r="A3568" s="5"/>
      <c r="B3568" s="13" t="s">
        <v>1747</v>
      </c>
      <c r="C3568" s="22">
        <f>(737)*(1)*(1)*(1)*(1 + (0))</f>
      </c>
      <c r="D3568" s="22" t="s">
        <v>24</v>
      </c>
      <c r="E3568" s="22"/>
      <c r="F3568" s="22">
        <f>(0)</f>
      </c>
      <c r="G3568" s="22">
        <f>(C3568 * E3568 + C3568 * E3568 * F3568)</f>
      </c>
    </row>
    <row r="3569">
      <c r="A3569" s="3"/>
      <c r="B3569" s="11" t="s">
        <v>1355</v>
      </c>
      <c r="C3569" s="20"/>
      <c r="D3569" s="20"/>
      <c r="E3569" s="20"/>
      <c r="F3569" s="20"/>
      <c r="G3569" s="20"/>
    </row>
    <row r="3570">
      <c r="A3570" s="4"/>
      <c r="B3570" s="12" t="s">
        <v>1695</v>
      </c>
      <c r="C3570" s="21"/>
      <c r="D3570" s="21"/>
      <c r="E3570" s="21"/>
      <c r="F3570" s="21"/>
      <c r="G3570" s="21"/>
    </row>
    <row r="3571">
      <c r="A3571" s="6"/>
      <c r="B3571" s="15" t="s">
        <v>1356</v>
      </c>
      <c r="C3571" s="23"/>
      <c r="D3571" s="23"/>
      <c r="E3571" s="23"/>
      <c r="F3571" s="23"/>
      <c r="G3571" s="23"/>
    </row>
    <row r="3572">
      <c r="A3572" s="5"/>
      <c r="B3572" s="16" t="s">
        <v>1357</v>
      </c>
      <c r="C3572" s="22">
        <f>(1)*(1)*(1)*(1)*(1 + (0))</f>
      </c>
      <c r="D3572" s="22" t="s">
        <v>162</v>
      </c>
      <c r="E3572" s="22"/>
      <c r="F3572" s="22">
        <f>(0)</f>
      </c>
      <c r="G3572" s="22">
        <f>(C3572 * E3572 + C3572 * E3572 * F3572)</f>
      </c>
    </row>
    <row r="3573">
      <c r="A3573" s="5"/>
      <c r="B3573" s="16" t="s">
        <v>1358</v>
      </c>
      <c r="C3573" s="22">
        <f>(8)*(1)*(1)*(1)*(1 + (0))</f>
      </c>
      <c r="D3573" s="22" t="s">
        <v>162</v>
      </c>
      <c r="E3573" s="22"/>
      <c r="F3573" s="22">
        <f>(0)</f>
      </c>
      <c r="G3573" s="22">
        <f>(C3573 * E3573 + C3573 * E3573 * F3573)</f>
      </c>
    </row>
    <row r="3574">
      <c r="A3574" s="4"/>
      <c r="B3574" s="12" t="s">
        <v>1698</v>
      </c>
      <c r="C3574" s="21"/>
      <c r="D3574" s="21"/>
      <c r="E3574" s="21"/>
      <c r="F3574" s="21"/>
      <c r="G3574" s="21"/>
    </row>
    <row r="3575">
      <c r="A3575" s="6"/>
      <c r="B3575" s="15" t="s">
        <v>1356</v>
      </c>
      <c r="C3575" s="23"/>
      <c r="D3575" s="23"/>
      <c r="E3575" s="23"/>
      <c r="F3575" s="23"/>
      <c r="G3575" s="23"/>
    </row>
    <row r="3576">
      <c r="A3576" s="5"/>
      <c r="B3576" s="16" t="s">
        <v>1357</v>
      </c>
      <c r="C3576" s="22">
        <f>(1)*(1)*(1)*(1)*(1 + (0))</f>
      </c>
      <c r="D3576" s="22" t="s">
        <v>162</v>
      </c>
      <c r="E3576" s="22"/>
      <c r="F3576" s="22">
        <f>(0)</f>
      </c>
      <c r="G3576" s="22">
        <f>(C3576 * E3576 + C3576 * E3576 * F3576)</f>
      </c>
    </row>
    <row r="3577">
      <c r="A3577" s="5"/>
      <c r="B3577" s="16" t="s">
        <v>1358</v>
      </c>
      <c r="C3577" s="22">
        <f>(5)*(1)*(1)*(1)*(1 + (0))</f>
      </c>
      <c r="D3577" s="22" t="s">
        <v>162</v>
      </c>
      <c r="E3577" s="22"/>
      <c r="F3577" s="22">
        <f>(0)</f>
      </c>
      <c r="G3577" s="22">
        <f>(C3577 * E3577 + C3577 * E3577 * F3577)</f>
      </c>
    </row>
    <row r="3578">
      <c r="A3578" s="3"/>
      <c r="B3578" s="11" t="s">
        <v>1359</v>
      </c>
      <c r="C3578" s="20"/>
      <c r="D3578" s="20"/>
      <c r="E3578" s="20"/>
      <c r="F3578" s="20"/>
      <c r="G3578" s="20"/>
    </row>
    <row r="3579">
      <c r="A3579" s="4"/>
      <c r="B3579" s="12" t="s">
        <v>1695</v>
      </c>
      <c r="C3579" s="21"/>
      <c r="D3579" s="21"/>
      <c r="E3579" s="21"/>
      <c r="F3579" s="21"/>
      <c r="G3579" s="21"/>
    </row>
    <row r="3580">
      <c r="A3580" s="6"/>
      <c r="B3580" s="15" t="s">
        <v>1360</v>
      </c>
      <c r="C3580" s="23"/>
      <c r="D3580" s="23"/>
      <c r="E3580" s="23"/>
      <c r="F3580" s="23"/>
      <c r="G3580" s="23"/>
    </row>
    <row r="3581">
      <c r="A3581" s="5"/>
      <c r="B3581" s="16" t="s">
        <v>1358</v>
      </c>
      <c r="C3581" s="22">
        <f>(5)*(1)*(1)*(1)*(1 + (0))</f>
      </c>
      <c r="D3581" s="22" t="s">
        <v>162</v>
      </c>
      <c r="E3581" s="22"/>
      <c r="F3581" s="22">
        <f>(0)</f>
      </c>
      <c r="G3581" s="22">
        <f>(C3581 * E3581 + C3581 * E3581 * F3581)</f>
      </c>
    </row>
    <row r="3582">
      <c r="A3582" s="4"/>
      <c r="B3582" s="12" t="s">
        <v>1698</v>
      </c>
      <c r="C3582" s="21"/>
      <c r="D3582" s="21"/>
      <c r="E3582" s="21"/>
      <c r="F3582" s="21"/>
      <c r="G3582" s="21"/>
    </row>
    <row r="3583">
      <c r="A3583" s="6"/>
      <c r="B3583" s="15" t="s">
        <v>1360</v>
      </c>
      <c r="C3583" s="23"/>
      <c r="D3583" s="23"/>
      <c r="E3583" s="23"/>
      <c r="F3583" s="23"/>
      <c r="G3583" s="23"/>
    </row>
    <row r="3584">
      <c r="A3584" s="5"/>
      <c r="B3584" s="16" t="s">
        <v>1357</v>
      </c>
      <c r="C3584" s="22">
        <f>(2)*(1)*(1)*(1)*(1 + (0))</f>
      </c>
      <c r="D3584" s="22" t="s">
        <v>162</v>
      </c>
      <c r="E3584" s="22"/>
      <c r="F3584" s="22">
        <f>(0)</f>
      </c>
      <c r="G3584" s="22">
        <f>(C3584 * E3584 + C3584 * E3584 * F3584)</f>
      </c>
    </row>
    <row r="3585">
      <c r="A3585" s="2"/>
      <c r="B3585" s="10" t="s">
        <v>1361</v>
      </c>
      <c r="C3585" s="19"/>
      <c r="D3585" s="19"/>
      <c r="E3585" s="19"/>
      <c r="F3585" s="19"/>
      <c r="G3585" s="19"/>
    </row>
    <row r="3586">
      <c r="A3586" s="3"/>
      <c r="B3586" s="11" t="s">
        <v>37</v>
      </c>
      <c r="C3586" s="20"/>
      <c r="D3586" s="20"/>
      <c r="E3586" s="20"/>
      <c r="F3586" s="20"/>
      <c r="G3586" s="20"/>
    </row>
    <row r="3587">
      <c r="A3587" s="5" t="s">
        <v>1285</v>
      </c>
      <c r="B3587" s="14" t="s">
        <v>39</v>
      </c>
      <c r="C3587" s="22"/>
      <c r="D3587" s="22" t="s">
        <v>10</v>
      </c>
      <c r="E3587" s="22"/>
      <c r="F3587" s="22">
        <f>(0)</f>
      </c>
      <c r="G3587" s="22">
        <f>(C3587 * E3587 + C3587 * E3587 * F3587)</f>
      </c>
    </row>
    <row r="3588">
      <c r="A3588" s="5" t="s">
        <v>1286</v>
      </c>
      <c r="B3588" s="14" t="s">
        <v>41</v>
      </c>
      <c r="C3588" s="22"/>
      <c r="D3588" s="22" t="s">
        <v>10</v>
      </c>
      <c r="E3588" s="22"/>
      <c r="F3588" s="22">
        <f>(0)</f>
      </c>
      <c r="G3588" s="22">
        <f>(C3588 * E3588 + C3588 * E3588 * F3588)</f>
      </c>
    </row>
    <row r="3589">
      <c r="A3589" s="3"/>
      <c r="B3589" s="11" t="s">
        <v>42</v>
      </c>
      <c r="C3589" s="20"/>
      <c r="D3589" s="20"/>
      <c r="E3589" s="20"/>
      <c r="F3589" s="20"/>
      <c r="G3589" s="20"/>
    </row>
    <row r="3590">
      <c r="A3590" s="5"/>
      <c r="B3590" s="14" t="s">
        <v>1287</v>
      </c>
      <c r="C3590" s="22"/>
      <c r="D3590" s="22" t="s">
        <v>10</v>
      </c>
      <c r="E3590" s="22"/>
      <c r="F3590" s="22">
        <f>(0)</f>
      </c>
      <c r="G3590" s="22">
        <f>(C3590 * E3590 + C3590 * E3590 * F3590)</f>
      </c>
    </row>
    <row r="3591">
      <c r="A3591" s="5"/>
      <c r="B3591" s="14" t="s">
        <v>1288</v>
      </c>
      <c r="C3591" s="22"/>
      <c r="D3591" s="22" t="s">
        <v>10</v>
      </c>
      <c r="E3591" s="22"/>
      <c r="F3591" s="22">
        <f>(0)</f>
      </c>
      <c r="G3591" s="22">
        <f>(C3591 * E3591 + C3591 * E3591 * F3591)</f>
      </c>
    </row>
    <row r="3592">
      <c r="A3592" s="5"/>
      <c r="B3592" s="14" t="s">
        <v>1289</v>
      </c>
      <c r="C3592" s="22"/>
      <c r="D3592" s="22" t="s">
        <v>10</v>
      </c>
      <c r="E3592" s="22"/>
      <c r="F3592" s="22">
        <f>(0)</f>
      </c>
      <c r="G3592" s="22">
        <f>(C3592 * E3592 + C3592 * E3592 * F3592)</f>
      </c>
    </row>
    <row r="3593">
      <c r="A3593" s="5"/>
      <c r="B3593" s="14" t="s">
        <v>1290</v>
      </c>
      <c r="C3593" s="22"/>
      <c r="D3593" s="22" t="s">
        <v>10</v>
      </c>
      <c r="E3593" s="22"/>
      <c r="F3593" s="22">
        <f>(0)</f>
      </c>
      <c r="G3593" s="22">
        <f>(C3593 * E3593 + C3593 * E3593 * F3593)</f>
      </c>
    </row>
    <row r="3594">
      <c r="A3594" s="3"/>
      <c r="B3594" s="11" t="s">
        <v>44</v>
      </c>
      <c r="C3594" s="20"/>
      <c r="D3594" s="20"/>
      <c r="E3594" s="20"/>
      <c r="F3594" s="20"/>
      <c r="G3594" s="20"/>
    </row>
    <row r="3595">
      <c r="A3595" s="4"/>
      <c r="B3595" s="12" t="s">
        <v>45</v>
      </c>
      <c r="C3595" s="21"/>
      <c r="D3595" s="21"/>
      <c r="E3595" s="21"/>
      <c r="F3595" s="21"/>
      <c r="G3595" s="21"/>
    </row>
    <row r="3596">
      <c r="A3596" s="5" t="s">
        <v>1291</v>
      </c>
      <c r="B3596" s="13" t="s">
        <v>767</v>
      </c>
      <c r="C3596" s="22"/>
      <c r="D3596" s="22" t="s">
        <v>10</v>
      </c>
      <c r="E3596" s="22"/>
      <c r="F3596" s="22">
        <f>(0)</f>
      </c>
      <c r="G3596" s="22">
        <f>(C3596 * E3596 + C3596 * E3596 * F3596)</f>
      </c>
    </row>
    <row r="3597">
      <c r="A3597" s="5" t="s">
        <v>1292</v>
      </c>
      <c r="B3597" s="13" t="s">
        <v>123</v>
      </c>
      <c r="C3597" s="22"/>
      <c r="D3597" s="22" t="s">
        <v>10</v>
      </c>
      <c r="E3597" s="22"/>
      <c r="F3597" s="22">
        <f>(0)</f>
      </c>
      <c r="G3597" s="22">
        <f>(C3597 * E3597 + C3597 * E3597 * F3597)</f>
      </c>
    </row>
    <row r="3598">
      <c r="A3598" s="3"/>
      <c r="B3598" s="11" t="s">
        <v>68</v>
      </c>
      <c r="C3598" s="20"/>
      <c r="D3598" s="20"/>
      <c r="E3598" s="20"/>
      <c r="F3598" s="20"/>
      <c r="G3598" s="20"/>
    </row>
    <row r="3599">
      <c r="A3599" s="5" t="s">
        <v>1293</v>
      </c>
      <c r="B3599" s="14" t="s">
        <v>230</v>
      </c>
      <c r="C3599" s="22">
        <f>(1)*(1)*(1)*(1)*(1 + (0))</f>
      </c>
      <c r="D3599" s="22" t="s">
        <v>71</v>
      </c>
      <c r="E3599" s="22"/>
      <c r="F3599" s="22">
        <f>(0)</f>
      </c>
      <c r="G3599" s="22">
        <f>(C3599 * E3599 + C3599 * E3599 * F3599)</f>
      </c>
    </row>
    <row r="3600">
      <c r="A3600" s="5" t="s">
        <v>1294</v>
      </c>
      <c r="B3600" s="14" t="s">
        <v>70</v>
      </c>
      <c r="C3600" s="22">
        <f>(1)*(1)*(1)*(1)*(1 + (0))</f>
      </c>
      <c r="D3600" s="22" t="s">
        <v>71</v>
      </c>
      <c r="E3600" s="22"/>
      <c r="F3600" s="22">
        <f>(0)</f>
      </c>
      <c r="G3600" s="22">
        <f>(C3600 * E3600 + C3600 * E3600 * F3600)</f>
      </c>
    </row>
    <row r="3601">
      <c r="A3601" s="5" t="s">
        <v>1295</v>
      </c>
      <c r="B3601" s="14" t="s">
        <v>906</v>
      </c>
      <c r="C3601" s="22">
        <f>(1)*(1)*(1)*(1)*(1 + (0))</f>
      </c>
      <c r="D3601" s="22" t="s">
        <v>71</v>
      </c>
      <c r="E3601" s="22"/>
      <c r="F3601" s="22">
        <f>(0)</f>
      </c>
      <c r="G3601" s="22">
        <f>(C3601 * E3601 + C3601 * E3601 * F3601)</f>
      </c>
    </row>
    <row r="3602">
      <c r="A3602" s="5" t="s">
        <v>1296</v>
      </c>
      <c r="B3602" s="14" t="s">
        <v>665</v>
      </c>
      <c r="C3602" s="22">
        <f>(1)*(1)*(1)*(1)*(1 + (0))</f>
      </c>
      <c r="D3602" s="22" t="s">
        <v>71</v>
      </c>
      <c r="E3602" s="22"/>
      <c r="F3602" s="22">
        <f>(0)</f>
      </c>
      <c r="G3602" s="22">
        <f>(C3602 * E3602 + C3602 * E3602 * F3602)</f>
      </c>
    </row>
    <row r="3603">
      <c r="A3603" s="3"/>
      <c r="B3603" s="11" t="s">
        <v>1362</v>
      </c>
      <c r="C3603" s="20"/>
      <c r="D3603" s="20"/>
      <c r="E3603" s="20"/>
      <c r="F3603" s="20"/>
      <c r="G3603" s="20"/>
    </row>
    <row r="3604">
      <c r="A3604" s="4"/>
      <c r="B3604" s="12" t="s">
        <v>1361</v>
      </c>
      <c r="C3604" s="21"/>
      <c r="D3604" s="21"/>
      <c r="E3604" s="21"/>
      <c r="F3604" s="21"/>
      <c r="G3604" s="21"/>
    </row>
    <row r="3605">
      <c r="A3605" s="5"/>
      <c r="B3605" s="13" t="s">
        <v>1363</v>
      </c>
      <c r="C3605" s="22">
        <f>(125)*(1)*(1)*(1)*(1 + (0))</f>
      </c>
      <c r="D3605" s="22" t="s">
        <v>153</v>
      </c>
      <c r="E3605" s="22"/>
      <c r="F3605" s="22">
        <f>(0)</f>
      </c>
      <c r="G3605" s="22">
        <f>(C3605 * E3605 + C3605 * E3605 * F3605)</f>
      </c>
    </row>
    <row r="3606">
      <c r="A3606" s="4"/>
      <c r="B3606" s="12" t="s">
        <v>1364</v>
      </c>
      <c r="C3606" s="21"/>
      <c r="D3606" s="21"/>
      <c r="E3606" s="21"/>
      <c r="F3606" s="21"/>
      <c r="G3606" s="21"/>
    </row>
    <row r="3607">
      <c r="A3607" s="5"/>
      <c r="B3607" s="13" t="s">
        <v>1788</v>
      </c>
      <c r="C3607" s="22">
        <f>(3)*(1)*(1)*(1)*(1 + (0))</f>
      </c>
      <c r="D3607" s="22" t="s">
        <v>153</v>
      </c>
      <c r="E3607" s="22"/>
      <c r="F3607" s="22">
        <f>(0)</f>
      </c>
      <c r="G3607" s="22">
        <f>(C3607 * E3607 + C3607 * E3607 * F3607)</f>
      </c>
    </row>
    <row r="3608">
      <c r="A3608" s="5"/>
      <c r="B3608" s="13" t="s">
        <v>1789</v>
      </c>
      <c r="C3608" s="22">
        <f>(4)*(1)*(1)*(1)*(1 + (0))</f>
      </c>
      <c r="D3608" s="22" t="s">
        <v>153</v>
      </c>
      <c r="E3608" s="22"/>
      <c r="F3608" s="22">
        <f>(0)</f>
      </c>
      <c r="G3608" s="22">
        <f>(C3608 * E3608 + C3608 * E3608 * F3608)</f>
      </c>
    </row>
    <row r="3609">
      <c r="A3609" s="5"/>
      <c r="B3609" s="13" t="s">
        <v>1790</v>
      </c>
      <c r="C3609" s="22">
        <f>(14)*(1)*(1)*(1)*(1 + (0))</f>
      </c>
      <c r="D3609" s="22" t="s">
        <v>153</v>
      </c>
      <c r="E3609" s="22"/>
      <c r="F3609" s="22">
        <f>(0)</f>
      </c>
      <c r="G3609" s="22">
        <f>(C3609 * E3609 + C3609 * E3609 * F3609)</f>
      </c>
    </row>
    <row r="3610">
      <c r="A3610" s="2"/>
      <c r="B3610" s="10" t="s">
        <v>1366</v>
      </c>
      <c r="C3610" s="19"/>
      <c r="D3610" s="19"/>
      <c r="E3610" s="19"/>
      <c r="F3610" s="19"/>
      <c r="G3610" s="19"/>
    </row>
    <row r="3611">
      <c r="A3611" s="3"/>
      <c r="B3611" s="11" t="s">
        <v>37</v>
      </c>
      <c r="C3611" s="20"/>
      <c r="D3611" s="20"/>
      <c r="E3611" s="20"/>
      <c r="F3611" s="20"/>
      <c r="G3611" s="20"/>
    </row>
    <row r="3612">
      <c r="A3612" s="5" t="s">
        <v>1367</v>
      </c>
      <c r="B3612" s="14" t="s">
        <v>39</v>
      </c>
      <c r="C3612" s="22"/>
      <c r="D3612" s="22" t="s">
        <v>10</v>
      </c>
      <c r="E3612" s="22"/>
      <c r="F3612" s="22">
        <f>(0)</f>
      </c>
      <c r="G3612" s="22">
        <f>(C3612 * E3612 + C3612 * E3612 * F3612)</f>
      </c>
    </row>
    <row r="3613">
      <c r="A3613" s="5" t="s">
        <v>1368</v>
      </c>
      <c r="B3613" s="14" t="s">
        <v>41</v>
      </c>
      <c r="C3613" s="22"/>
      <c r="D3613" s="22" t="s">
        <v>10</v>
      </c>
      <c r="E3613" s="22"/>
      <c r="F3613" s="22">
        <f>(0)</f>
      </c>
      <c r="G3613" s="22">
        <f>(C3613 * E3613 + C3613 * E3613 * F3613)</f>
      </c>
    </row>
    <row r="3614">
      <c r="A3614" s="3"/>
      <c r="B3614" s="11" t="s">
        <v>42</v>
      </c>
      <c r="C3614" s="20"/>
      <c r="D3614" s="20"/>
      <c r="E3614" s="20"/>
      <c r="F3614" s="20"/>
      <c r="G3614" s="20"/>
    </row>
    <row r="3615">
      <c r="A3615" s="5"/>
      <c r="B3615" s="14" t="s">
        <v>1369</v>
      </c>
      <c r="C3615" s="22"/>
      <c r="D3615" s="22" t="s">
        <v>10</v>
      </c>
      <c r="E3615" s="22"/>
      <c r="F3615" s="22">
        <f>(0)</f>
      </c>
      <c r="G3615" s="22">
        <f>(C3615 * E3615 + C3615 * E3615 * F3615)</f>
      </c>
    </row>
    <row r="3616">
      <c r="A3616" s="5"/>
      <c r="B3616" s="14" t="s">
        <v>1370</v>
      </c>
      <c r="C3616" s="22"/>
      <c r="D3616" s="22" t="s">
        <v>10</v>
      </c>
      <c r="E3616" s="22"/>
      <c r="F3616" s="22">
        <f>(0)</f>
      </c>
      <c r="G3616" s="22">
        <f>(C3616 * E3616 + C3616 * E3616 * F3616)</f>
      </c>
    </row>
    <row r="3617">
      <c r="A3617" s="5"/>
      <c r="B3617" s="14" t="s">
        <v>1371</v>
      </c>
      <c r="C3617" s="22"/>
      <c r="D3617" s="22" t="s">
        <v>10</v>
      </c>
      <c r="E3617" s="22"/>
      <c r="F3617" s="22">
        <f>(0)</f>
      </c>
      <c r="G3617" s="22">
        <f>(C3617 * E3617 + C3617 * E3617 * F3617)</f>
      </c>
    </row>
    <row r="3618">
      <c r="A3618" s="5"/>
      <c r="B3618" s="14" t="s">
        <v>1372</v>
      </c>
      <c r="C3618" s="22"/>
      <c r="D3618" s="22" t="s">
        <v>10</v>
      </c>
      <c r="E3618" s="22"/>
      <c r="F3618" s="22">
        <f>(0)</f>
      </c>
      <c r="G3618" s="22">
        <f>(C3618 * E3618 + C3618 * E3618 * F3618)</f>
      </c>
    </row>
    <row r="3619">
      <c r="A3619" s="3"/>
      <c r="B3619" s="11" t="s">
        <v>44</v>
      </c>
      <c r="C3619" s="20"/>
      <c r="D3619" s="20"/>
      <c r="E3619" s="20"/>
      <c r="F3619" s="20"/>
      <c r="G3619" s="20"/>
    </row>
    <row r="3620">
      <c r="A3620" s="4"/>
      <c r="B3620" s="12" t="s">
        <v>45</v>
      </c>
      <c r="C3620" s="21"/>
      <c r="D3620" s="21"/>
      <c r="E3620" s="21"/>
      <c r="F3620" s="21"/>
      <c r="G3620" s="21"/>
    </row>
    <row r="3621">
      <c r="A3621" s="5" t="s">
        <v>1373</v>
      </c>
      <c r="B3621" s="13" t="s">
        <v>1374</v>
      </c>
      <c r="C3621" s="22"/>
      <c r="D3621" s="22" t="s">
        <v>10</v>
      </c>
      <c r="E3621" s="22"/>
      <c r="F3621" s="22">
        <f>(0)</f>
      </c>
      <c r="G3621" s="22">
        <f>(C3621 * E3621 + C3621 * E3621 * F3621)</f>
      </c>
    </row>
    <row r="3622">
      <c r="A3622" s="5" t="s">
        <v>1375</v>
      </c>
      <c r="B3622" s="13" t="s">
        <v>1376</v>
      </c>
      <c r="C3622" s="22"/>
      <c r="D3622" s="22" t="s">
        <v>10</v>
      </c>
      <c r="E3622" s="22"/>
      <c r="F3622" s="22">
        <f>(0)</f>
      </c>
      <c r="G3622" s="22">
        <f>(C3622 * E3622 + C3622 * E3622 * F3622)</f>
      </c>
    </row>
    <row r="3623">
      <c r="A3623" s="5" t="s">
        <v>1377</v>
      </c>
      <c r="B3623" s="13" t="s">
        <v>853</v>
      </c>
      <c r="C3623" s="22"/>
      <c r="D3623" s="22" t="s">
        <v>10</v>
      </c>
      <c r="E3623" s="22"/>
      <c r="F3623" s="22">
        <f>(0)</f>
      </c>
      <c r="G3623" s="22">
        <f>(C3623 * E3623 + C3623 * E3623 * F3623)</f>
      </c>
    </row>
    <row r="3624">
      <c r="A3624" s="5" t="s">
        <v>1378</v>
      </c>
      <c r="B3624" s="13" t="s">
        <v>123</v>
      </c>
      <c r="C3624" s="22"/>
      <c r="D3624" s="22" t="s">
        <v>10</v>
      </c>
      <c r="E3624" s="22"/>
      <c r="F3624" s="22">
        <f>(0)</f>
      </c>
      <c r="G3624" s="22">
        <f>(C3624 * E3624 + C3624 * E3624 * F3624)</f>
      </c>
    </row>
    <row r="3625">
      <c r="A3625" s="3"/>
      <c r="B3625" s="11" t="s">
        <v>68</v>
      </c>
      <c r="C3625" s="20"/>
      <c r="D3625" s="20"/>
      <c r="E3625" s="20"/>
      <c r="F3625" s="20"/>
      <c r="G3625" s="20"/>
    </row>
    <row r="3626">
      <c r="A3626" s="5" t="s">
        <v>1379</v>
      </c>
      <c r="B3626" s="14" t="s">
        <v>70</v>
      </c>
      <c r="C3626" s="22">
        <f>(1)*(1)*(1)*(1)*(1 + (0))</f>
      </c>
      <c r="D3626" s="22" t="s">
        <v>71</v>
      </c>
      <c r="E3626" s="22"/>
      <c r="F3626" s="22">
        <f>(0)</f>
      </c>
      <c r="G3626" s="22">
        <f>(C3626 * E3626 + C3626 * E3626 * F3626)</f>
      </c>
    </row>
    <row r="3627">
      <c r="A3627" s="5" t="s">
        <v>1380</v>
      </c>
      <c r="B3627" s="14" t="s">
        <v>230</v>
      </c>
      <c r="C3627" s="22">
        <f>(1)*(1)*(1)*(1)*(1 + (0))</f>
      </c>
      <c r="D3627" s="22" t="s">
        <v>71</v>
      </c>
      <c r="E3627" s="22"/>
      <c r="F3627" s="22">
        <f>(0)</f>
      </c>
      <c r="G3627" s="22">
        <f>(C3627 * E3627 + C3627 * E3627 * F3627)</f>
      </c>
    </row>
    <row r="3628">
      <c r="A3628" s="5" t="s">
        <v>1381</v>
      </c>
      <c r="B3628" s="14" t="s">
        <v>136</v>
      </c>
      <c r="C3628" s="22">
        <f>(1)*(1)*(1)*(1)*(1 + (0))</f>
      </c>
      <c r="D3628" s="22" t="s">
        <v>71</v>
      </c>
      <c r="E3628" s="22"/>
      <c r="F3628" s="22">
        <f>(0)</f>
      </c>
      <c r="G3628" s="22">
        <f>(C3628 * E3628 + C3628 * E3628 * F3628)</f>
      </c>
    </row>
    <row r="3629">
      <c r="A3629" s="5" t="s">
        <v>1382</v>
      </c>
      <c r="B3629" s="14" t="s">
        <v>816</v>
      </c>
      <c r="C3629" s="22">
        <f>(1)*(1)*(1)*(1)*(1 + (0))</f>
      </c>
      <c r="D3629" s="22" t="s">
        <v>71</v>
      </c>
      <c r="E3629" s="22"/>
      <c r="F3629" s="22">
        <f>(0)</f>
      </c>
      <c r="G3629" s="22">
        <f>(C3629 * E3629 + C3629 * E3629 * F3629)</f>
      </c>
    </row>
    <row r="3630">
      <c r="A3630" s="5" t="s">
        <v>1383</v>
      </c>
      <c r="B3630" s="14" t="s">
        <v>665</v>
      </c>
      <c r="C3630" s="22">
        <f>(1)*(1)*(1)*(1)*(1 + (0))</f>
      </c>
      <c r="D3630" s="22" t="s">
        <v>71</v>
      </c>
      <c r="E3630" s="22"/>
      <c r="F3630" s="22">
        <f>(0)</f>
      </c>
      <c r="G3630" s="22">
        <f>(C3630 * E3630 + C3630 * E3630 * F3630)</f>
      </c>
    </row>
    <row r="3631">
      <c r="A3631" s="5" t="s">
        <v>1384</v>
      </c>
      <c r="B3631" s="14" t="s">
        <v>1385</v>
      </c>
      <c r="C3631" s="22">
        <f>(1)*(1)*(1)*(1)*(1 + (0))</f>
      </c>
      <c r="D3631" s="22" t="s">
        <v>71</v>
      </c>
      <c r="E3631" s="22"/>
      <c r="F3631" s="22">
        <f>(0)</f>
      </c>
      <c r="G3631" s="22">
        <f>(C3631 * E3631 + C3631 * E3631 * F3631)</f>
      </c>
    </row>
    <row r="3632">
      <c r="A3632" s="3"/>
      <c r="B3632" s="11" t="s">
        <v>106</v>
      </c>
      <c r="C3632" s="20"/>
      <c r="D3632" s="20"/>
      <c r="E3632" s="20"/>
      <c r="F3632" s="20"/>
      <c r="G3632" s="20"/>
    </row>
    <row r="3633">
      <c r="A3633" s="5"/>
      <c r="B3633" s="14" t="s">
        <v>1386</v>
      </c>
      <c r="C3633" s="22"/>
      <c r="D3633" s="22" t="s">
        <v>10</v>
      </c>
      <c r="E3633" s="22"/>
      <c r="F3633" s="22">
        <f>(0)</f>
      </c>
      <c r="G3633" s="22">
        <f>(C3633 * E3633 + C3633 * E3633 * F3633)</f>
      </c>
    </row>
    <row r="3634">
      <c r="A3634" s="5"/>
      <c r="B3634" s="14" t="s">
        <v>1387</v>
      </c>
      <c r="C3634" s="22"/>
      <c r="D3634" s="22" t="s">
        <v>10</v>
      </c>
      <c r="E3634" s="22"/>
      <c r="F3634" s="22">
        <f>(0)</f>
      </c>
      <c r="G3634" s="22">
        <f>(C3634 * E3634 + C3634 * E3634 * F3634)</f>
      </c>
    </row>
    <row r="3635">
      <c r="A3635" s="3"/>
      <c r="B3635" s="11" t="s">
        <v>1388</v>
      </c>
      <c r="C3635" s="20"/>
      <c r="D3635" s="20"/>
      <c r="E3635" s="20"/>
      <c r="F3635" s="20"/>
      <c r="G3635" s="20"/>
    </row>
    <row r="3636">
      <c r="A3636" s="5"/>
      <c r="B3636" s="14" t="s">
        <v>1389</v>
      </c>
      <c r="C3636" s="22">
        <f>(1)*(1)*(1)*(1)*(1 + (0))</f>
      </c>
      <c r="D3636" s="22" t="s">
        <v>162</v>
      </c>
      <c r="E3636" s="22"/>
      <c r="F3636" s="22">
        <f>(0)</f>
      </c>
      <c r="G3636" s="22">
        <f>(C3636 * E3636 + C3636 * E3636 * F3636)</f>
      </c>
    </row>
    <row r="3637">
      <c r="A3637" s="5"/>
      <c r="B3637" s="14" t="s">
        <v>1390</v>
      </c>
      <c r="C3637" s="22">
        <f>(1)*(1)*(1)*(1)*(1 + (0))</f>
      </c>
      <c r="D3637" s="22" t="s">
        <v>162</v>
      </c>
      <c r="E3637" s="22"/>
      <c r="F3637" s="22">
        <f>(0)</f>
      </c>
      <c r="G3637" s="22">
        <f>(C3637 * E3637 + C3637 * E3637 * F3637)</f>
      </c>
    </row>
    <row r="3638">
      <c r="A3638" s="5"/>
      <c r="B3638" s="14" t="s">
        <v>1391</v>
      </c>
      <c r="C3638" s="22">
        <f>(1)*(1)*(1)*(1)*(1 + (0))</f>
      </c>
      <c r="D3638" s="22" t="s">
        <v>162</v>
      </c>
      <c r="E3638" s="22"/>
      <c r="F3638" s="22">
        <f>(0)</f>
      </c>
      <c r="G3638" s="22">
        <f>(C3638 * E3638 + C3638 * E3638 * F3638)</f>
      </c>
    </row>
    <row r="3639">
      <c r="A3639" s="3"/>
      <c r="B3639" s="11" t="s">
        <v>1397</v>
      </c>
      <c r="C3639" s="20"/>
      <c r="D3639" s="20"/>
      <c r="E3639" s="20"/>
      <c r="F3639" s="20"/>
      <c r="G3639" s="20"/>
    </row>
    <row r="3640">
      <c r="A3640" s="4"/>
      <c r="B3640" s="12" t="s">
        <v>1398</v>
      </c>
      <c r="C3640" s="21"/>
      <c r="D3640" s="21"/>
      <c r="E3640" s="21"/>
      <c r="F3640" s="21"/>
      <c r="G3640" s="21"/>
    </row>
    <row r="3641">
      <c r="A3641" s="6"/>
      <c r="B3641" s="15" t="s">
        <v>1410</v>
      </c>
      <c r="C3641" s="23"/>
      <c r="D3641" s="23"/>
      <c r="E3641" s="23"/>
      <c r="F3641" s="23"/>
      <c r="G3641" s="23"/>
    </row>
    <row r="3642">
      <c r="A3642" s="5"/>
      <c r="B3642" s="16" t="s">
        <v>1791</v>
      </c>
      <c r="C3642" s="22">
        <f>(15)*(1)*(1)*(1)*(1 + (0))</f>
      </c>
      <c r="D3642" s="22" t="s">
        <v>162</v>
      </c>
      <c r="E3642" s="22"/>
      <c r="F3642" s="22">
        <f>(0)</f>
      </c>
      <c r="G3642" s="22">
        <f>(C3642 * E3642 + C3642 * E3642 * F3642)</f>
      </c>
    </row>
    <row r="3643">
      <c r="A3643" s="5"/>
      <c r="B3643" s="16" t="s">
        <v>1792</v>
      </c>
      <c r="C3643" s="22">
        <f>(3)*(1)*(1)*(1)*(1 + (0))</f>
      </c>
      <c r="D3643" s="22" t="s">
        <v>162</v>
      </c>
      <c r="E3643" s="22"/>
      <c r="F3643" s="22">
        <f>(0)</f>
      </c>
      <c r="G3643" s="22">
        <f>(C3643 * E3643 + C3643 * E3643 * F3643)</f>
      </c>
    </row>
    <row r="3644">
      <c r="A3644" s="5"/>
      <c r="B3644" s="16" t="s">
        <v>1417</v>
      </c>
      <c r="C3644" s="22">
        <f>(2)*(1)*(1)*(1)*(1 + (0))</f>
      </c>
      <c r="D3644" s="22" t="s">
        <v>162</v>
      </c>
      <c r="E3644" s="22"/>
      <c r="F3644" s="22">
        <f>(0)</f>
      </c>
      <c r="G3644" s="22">
        <f>(C3644 * E3644 + C3644 * E3644 * F3644)</f>
      </c>
    </row>
    <row r="3645">
      <c r="A3645" s="6"/>
      <c r="B3645" s="15" t="s">
        <v>1793</v>
      </c>
      <c r="C3645" s="23"/>
      <c r="D3645" s="23"/>
      <c r="E3645" s="23"/>
      <c r="F3645" s="23"/>
      <c r="G3645" s="23"/>
    </row>
    <row r="3646">
      <c r="A3646" s="5"/>
      <c r="B3646" s="16" t="s">
        <v>1794</v>
      </c>
      <c r="C3646" s="22">
        <f>(1)*(1)*(1)*(1)*(1 + (0))</f>
      </c>
      <c r="D3646" s="22" t="s">
        <v>162</v>
      </c>
      <c r="E3646" s="22"/>
      <c r="F3646" s="22">
        <f>(0)</f>
      </c>
      <c r="G3646" s="22">
        <f>(C3646 * E3646 + C3646 * E3646 * F3646)</f>
      </c>
    </row>
    <row r="3647">
      <c r="A3647" s="5"/>
      <c r="B3647" s="16" t="s">
        <v>1419</v>
      </c>
      <c r="C3647" s="22">
        <f>(1)*(1)*(1)*(1)*(1 + (0))</f>
      </c>
      <c r="D3647" s="22" t="s">
        <v>162</v>
      </c>
      <c r="E3647" s="22"/>
      <c r="F3647" s="22">
        <f>(0)</f>
      </c>
      <c r="G3647" s="22">
        <f>(C3647 * E3647 + C3647 * E3647 * F3647)</f>
      </c>
    </row>
    <row r="3648">
      <c r="A3648" s="5"/>
      <c r="B3648" s="16" t="s">
        <v>1420</v>
      </c>
      <c r="C3648" s="22">
        <f>(4)*(1)*(1)*(1)*(1 + (0))</f>
      </c>
      <c r="D3648" s="22" t="s">
        <v>162</v>
      </c>
      <c r="E3648" s="22"/>
      <c r="F3648" s="22">
        <f>(0)</f>
      </c>
      <c r="G3648" s="22">
        <f>(C3648 * E3648 + C3648 * E3648 * F3648)</f>
      </c>
    </row>
    <row r="3649">
      <c r="A3649" s="5"/>
      <c r="B3649" s="16" t="s">
        <v>1421</v>
      </c>
      <c r="C3649" s="22">
        <f>(4)*(1)*(1)*(1)*(1 + (0))</f>
      </c>
      <c r="D3649" s="22" t="s">
        <v>162</v>
      </c>
      <c r="E3649" s="22"/>
      <c r="F3649" s="22">
        <f>(0)</f>
      </c>
      <c r="G3649" s="22">
        <f>(C3649 * E3649 + C3649 * E3649 * F3649)</f>
      </c>
    </row>
    <row r="3650">
      <c r="A3650" s="6"/>
      <c r="B3650" s="15" t="s">
        <v>1422</v>
      </c>
      <c r="C3650" s="23"/>
      <c r="D3650" s="23"/>
      <c r="E3650" s="23"/>
      <c r="F3650" s="23"/>
      <c r="G3650" s="23"/>
    </row>
    <row r="3651">
      <c r="A3651" s="5"/>
      <c r="B3651" s="16" t="s">
        <v>1423</v>
      </c>
      <c r="C3651" s="22">
        <f>(1)*(1)*(1)*(1)*(1 + (0))</f>
      </c>
      <c r="D3651" s="22" t="s">
        <v>162</v>
      </c>
      <c r="E3651" s="22"/>
      <c r="F3651" s="22">
        <f>(0)</f>
      </c>
      <c r="G3651" s="22">
        <f>(C3651 * E3651 + C3651 * E3651 * F3651)</f>
      </c>
    </row>
    <row r="3652">
      <c r="A3652" s="5"/>
      <c r="B3652" s="16" t="s">
        <v>1424</v>
      </c>
      <c r="C3652" s="22">
        <f>(1)*(1)*(1)*(1)*(1 + (0))</f>
      </c>
      <c r="D3652" s="22" t="s">
        <v>162</v>
      </c>
      <c r="E3652" s="22"/>
      <c r="F3652" s="22">
        <f>(0)</f>
      </c>
      <c r="G3652" s="22">
        <f>(C3652 * E3652 + C3652 * E3652 * F3652)</f>
      </c>
    </row>
    <row r="3653">
      <c r="A3653" s="5"/>
      <c r="B3653" s="14" t="s">
        <v>1436</v>
      </c>
      <c r="C3653" s="22">
        <f>(1)*(1)*(1)*(1)*(1 + (0))</f>
      </c>
      <c r="D3653" s="22" t="s">
        <v>606</v>
      </c>
      <c r="E3653" s="22"/>
      <c r="F3653" s="22">
        <f>(0)</f>
      </c>
      <c r="G3653" s="22">
        <f>(C3653 * E3653 + C3653 * E3653 * F3653)</f>
      </c>
    </row>
    <row r="3654">
      <c r="A3654" s="5"/>
      <c r="B3654" s="7" t="s">
        <v>1437</v>
      </c>
      <c r="C3654" s="22"/>
      <c r="D3654" s="22"/>
      <c r="E3654" s="22"/>
      <c r="F3654" s="22">
        <f>(0)</f>
      </c>
      <c r="G3654" s="22">
        <f>(C3654 * E3654 + C3654 * E3654 * F3654)</f>
      </c>
    </row>
    <row r="3655">
      <c r="A3655" s="5"/>
      <c r="B3655" s="7" t="s">
        <v>1438</v>
      </c>
      <c r="C3655" s="22"/>
      <c r="D3655" s="22"/>
      <c r="E3655" s="22"/>
      <c r="F3655" s="22">
        <f>(0)</f>
      </c>
      <c r="G3655" s="22">
        <f>(C3655 * E3655 + C3655 * E3655 * F3655)</f>
      </c>
    </row>
    <row r="3656">
      <c r="A3656" s="5"/>
      <c r="B3656" s="7" t="s">
        <v>1439</v>
      </c>
      <c r="C3656" s="22"/>
      <c r="D3656" s="22"/>
      <c r="E3656" s="22"/>
      <c r="F3656" s="22">
        <f>(0)</f>
      </c>
      <c r="G3656" s="22">
        <f>(C3656 * E3656 + C3656 * E3656 * F3656)</f>
      </c>
    </row>
    <row r="3657">
      <c r="A3657" s="5"/>
      <c r="B3657" s="7" t="s">
        <v>1440</v>
      </c>
      <c r="C3657" s="22"/>
      <c r="D3657" s="22"/>
      <c r="E3657" s="22"/>
      <c r="F3657" s="22">
        <f>(0)</f>
      </c>
      <c r="G3657" s="22">
        <f>(C3657 * E3657 + C3657 * E3657 * F3657)</f>
      </c>
    </row>
    <row r="3658">
      <c r="A3658" s="2"/>
      <c r="B3658" s="10" t="s">
        <v>1441</v>
      </c>
      <c r="C3658" s="19"/>
      <c r="D3658" s="19"/>
      <c r="E3658" s="19"/>
      <c r="F3658" s="19"/>
      <c r="G3658" s="19"/>
    </row>
    <row r="3659">
      <c r="A3659" s="3"/>
      <c r="B3659" s="11" t="s">
        <v>37</v>
      </c>
      <c r="C3659" s="20"/>
      <c r="D3659" s="20"/>
      <c r="E3659" s="20"/>
      <c r="F3659" s="20"/>
      <c r="G3659" s="20"/>
    </row>
    <row r="3660">
      <c r="A3660" s="5" t="s">
        <v>1285</v>
      </c>
      <c r="B3660" s="14" t="s">
        <v>39</v>
      </c>
      <c r="C3660" s="22"/>
      <c r="D3660" s="22" t="s">
        <v>10</v>
      </c>
      <c r="E3660" s="22"/>
      <c r="F3660" s="22">
        <f>(0)</f>
      </c>
      <c r="G3660" s="22">
        <f>(C3660 * E3660 + C3660 * E3660 * F3660)</f>
      </c>
    </row>
    <row r="3661">
      <c r="A3661" s="5" t="s">
        <v>1286</v>
      </c>
      <c r="B3661" s="14" t="s">
        <v>41</v>
      </c>
      <c r="C3661" s="22"/>
      <c r="D3661" s="22" t="s">
        <v>10</v>
      </c>
      <c r="E3661" s="22"/>
      <c r="F3661" s="22">
        <f>(0)</f>
      </c>
      <c r="G3661" s="22">
        <f>(C3661 * E3661 + C3661 * E3661 * F3661)</f>
      </c>
    </row>
    <row r="3662">
      <c r="A3662" s="3"/>
      <c r="B3662" s="11" t="s">
        <v>42</v>
      </c>
      <c r="C3662" s="20"/>
      <c r="D3662" s="20"/>
      <c r="E3662" s="20"/>
      <c r="F3662" s="20"/>
      <c r="G3662" s="20"/>
    </row>
    <row r="3663">
      <c r="A3663" s="5"/>
      <c r="B3663" s="14" t="s">
        <v>1287</v>
      </c>
      <c r="C3663" s="22"/>
      <c r="D3663" s="22" t="s">
        <v>10</v>
      </c>
      <c r="E3663" s="22"/>
      <c r="F3663" s="22">
        <f>(0)</f>
      </c>
      <c r="G3663" s="22">
        <f>(C3663 * E3663 + C3663 * E3663 * F3663)</f>
      </c>
    </row>
    <row r="3664">
      <c r="A3664" s="5"/>
      <c r="B3664" s="14" t="s">
        <v>1288</v>
      </c>
      <c r="C3664" s="22"/>
      <c r="D3664" s="22" t="s">
        <v>10</v>
      </c>
      <c r="E3664" s="22"/>
      <c r="F3664" s="22">
        <f>(0)</f>
      </c>
      <c r="G3664" s="22">
        <f>(C3664 * E3664 + C3664 * E3664 * F3664)</f>
      </c>
    </row>
    <row r="3665">
      <c r="A3665" s="5"/>
      <c r="B3665" s="14" t="s">
        <v>1289</v>
      </c>
      <c r="C3665" s="22"/>
      <c r="D3665" s="22" t="s">
        <v>10</v>
      </c>
      <c r="E3665" s="22"/>
      <c r="F3665" s="22">
        <f>(0)</f>
      </c>
      <c r="G3665" s="22">
        <f>(C3665 * E3665 + C3665 * E3665 * F3665)</f>
      </c>
    </row>
    <row r="3666">
      <c r="A3666" s="5"/>
      <c r="B3666" s="14" t="s">
        <v>1290</v>
      </c>
      <c r="C3666" s="22"/>
      <c r="D3666" s="22" t="s">
        <v>10</v>
      </c>
      <c r="E3666" s="22"/>
      <c r="F3666" s="22">
        <f>(0)</f>
      </c>
      <c r="G3666" s="22">
        <f>(C3666 * E3666 + C3666 * E3666 * F3666)</f>
      </c>
    </row>
    <row r="3667">
      <c r="A3667" s="3"/>
      <c r="B3667" s="11" t="s">
        <v>44</v>
      </c>
      <c r="C3667" s="20"/>
      <c r="D3667" s="20"/>
      <c r="E3667" s="20"/>
      <c r="F3667" s="20"/>
      <c r="G3667" s="20"/>
    </row>
    <row r="3668">
      <c r="A3668" s="4"/>
      <c r="B3668" s="12" t="s">
        <v>45</v>
      </c>
      <c r="C3668" s="21"/>
      <c r="D3668" s="21"/>
      <c r="E3668" s="21"/>
      <c r="F3668" s="21"/>
      <c r="G3668" s="21"/>
    </row>
    <row r="3669">
      <c r="A3669" s="5" t="s">
        <v>1291</v>
      </c>
      <c r="B3669" s="13" t="s">
        <v>767</v>
      </c>
      <c r="C3669" s="22"/>
      <c r="D3669" s="22" t="s">
        <v>10</v>
      </c>
      <c r="E3669" s="22"/>
      <c r="F3669" s="22">
        <f>(0)</f>
      </c>
      <c r="G3669" s="22">
        <f>(C3669 * E3669 + C3669 * E3669 * F3669)</f>
      </c>
    </row>
    <row r="3670">
      <c r="A3670" s="5" t="s">
        <v>1292</v>
      </c>
      <c r="B3670" s="13" t="s">
        <v>123</v>
      </c>
      <c r="C3670" s="22"/>
      <c r="D3670" s="22" t="s">
        <v>10</v>
      </c>
      <c r="E3670" s="22"/>
      <c r="F3670" s="22">
        <f>(0)</f>
      </c>
      <c r="G3670" s="22">
        <f>(C3670 * E3670 + C3670 * E3670 * F3670)</f>
      </c>
    </row>
    <row r="3671">
      <c r="A3671" s="3"/>
      <c r="B3671" s="11" t="s">
        <v>68</v>
      </c>
      <c r="C3671" s="20"/>
      <c r="D3671" s="20"/>
      <c r="E3671" s="20"/>
      <c r="F3671" s="20"/>
      <c r="G3671" s="20"/>
    </row>
    <row r="3672">
      <c r="A3672" s="5" t="s">
        <v>1293</v>
      </c>
      <c r="B3672" s="14" t="s">
        <v>230</v>
      </c>
      <c r="C3672" s="22">
        <f>(1)*(1)*(1)*(1)*(1 + (0))</f>
      </c>
      <c r="D3672" s="22" t="s">
        <v>71</v>
      </c>
      <c r="E3672" s="22"/>
      <c r="F3672" s="22">
        <f>(0)</f>
      </c>
      <c r="G3672" s="22">
        <f>(C3672 * E3672 + C3672 * E3672 * F3672)</f>
      </c>
    </row>
    <row r="3673">
      <c r="A3673" s="5" t="s">
        <v>1294</v>
      </c>
      <c r="B3673" s="14" t="s">
        <v>70</v>
      </c>
      <c r="C3673" s="22">
        <f>(1)*(1)*(1)*(1)*(1 + (0))</f>
      </c>
      <c r="D3673" s="22" t="s">
        <v>71</v>
      </c>
      <c r="E3673" s="22"/>
      <c r="F3673" s="22">
        <f>(0)</f>
      </c>
      <c r="G3673" s="22">
        <f>(C3673 * E3673 + C3673 * E3673 * F3673)</f>
      </c>
    </row>
    <row r="3674">
      <c r="A3674" s="5" t="s">
        <v>1295</v>
      </c>
      <c r="B3674" s="14" t="s">
        <v>906</v>
      </c>
      <c r="C3674" s="22">
        <f>(1)*(1)*(1)*(1)*(1 + (0))</f>
      </c>
      <c r="D3674" s="22" t="s">
        <v>71</v>
      </c>
      <c r="E3674" s="22"/>
      <c r="F3674" s="22">
        <f>(0)</f>
      </c>
      <c r="G3674" s="22">
        <f>(C3674 * E3674 + C3674 * E3674 * F3674)</f>
      </c>
    </row>
    <row r="3675">
      <c r="A3675" s="5" t="s">
        <v>1296</v>
      </c>
      <c r="B3675" s="14" t="s">
        <v>665</v>
      </c>
      <c r="C3675" s="22">
        <f>(1)*(1)*(1)*(1)*(1 + (0))</f>
      </c>
      <c r="D3675" s="22" t="s">
        <v>71</v>
      </c>
      <c r="E3675" s="22"/>
      <c r="F3675" s="22">
        <f>(0)</f>
      </c>
      <c r="G3675" s="22">
        <f>(C3675 * E3675 + C3675 * E3675 * F3675)</f>
      </c>
    </row>
    <row r="3676">
      <c r="A3676" s="3"/>
      <c r="B3676" s="11" t="s">
        <v>1442</v>
      </c>
      <c r="C3676" s="20"/>
      <c r="D3676" s="20"/>
      <c r="E3676" s="20"/>
      <c r="F3676" s="20"/>
      <c r="G3676" s="20"/>
    </row>
    <row r="3677">
      <c r="A3677" s="5"/>
      <c r="B3677" s="14" t="s">
        <v>1795</v>
      </c>
      <c r="C3677" s="22">
        <f>(15)*(1)*(1)*(1)*(1 + (0))</f>
      </c>
      <c r="D3677" s="22" t="s">
        <v>162</v>
      </c>
      <c r="E3677" s="22"/>
      <c r="F3677" s="22">
        <f>(0)</f>
      </c>
      <c r="G3677" s="22">
        <f>(C3677 * E3677 + C3677 * E3677 * F3677)</f>
      </c>
    </row>
    <row r="3678">
      <c r="A3678" s="5"/>
      <c r="B3678" s="14" t="s">
        <v>1796</v>
      </c>
      <c r="C3678" s="22">
        <f>(3)*(1)*(1)*(1)*(1 + (0))</f>
      </c>
      <c r="D3678" s="22" t="s">
        <v>162</v>
      </c>
      <c r="E3678" s="22"/>
      <c r="F3678" s="22">
        <f>(0)</f>
      </c>
      <c r="G3678" s="22">
        <f>(C3678 * E3678 + C3678 * E3678 * F3678)</f>
      </c>
    </row>
    <row r="3679">
      <c r="A3679" s="5"/>
      <c r="B3679" s="14" t="s">
        <v>1797</v>
      </c>
      <c r="C3679" s="22">
        <f>(1)*(1)*(1)*(1)*(1 + (0))</f>
      </c>
      <c r="D3679" s="22" t="s">
        <v>162</v>
      </c>
      <c r="E3679" s="22"/>
      <c r="F3679" s="22">
        <f>(0)</f>
      </c>
      <c r="G3679" s="22">
        <f>(C3679 * E3679 + C3679 * E3679 * F3679)</f>
      </c>
    </row>
    <row r="3680">
      <c r="A3680" s="5"/>
      <c r="B3680" s="7" t="s">
        <v>1452</v>
      </c>
      <c r="C3680" s="22"/>
      <c r="D3680" s="22"/>
      <c r="E3680" s="22"/>
      <c r="F3680" s="22">
        <f>(0)</f>
      </c>
      <c r="G3680" s="22">
        <f>(C3680 * E3680 + C3680 * E3680 * F3680)</f>
      </c>
    </row>
    <row r="3681">
      <c r="A3681" s="5"/>
      <c r="B3681" s="7" t="s">
        <v>1453</v>
      </c>
      <c r="C3681" s="22"/>
      <c r="D3681" s="22"/>
      <c r="E3681" s="22"/>
      <c r="F3681" s="22">
        <f>(0)</f>
      </c>
      <c r="G3681" s="22">
        <f>(C3681 * E3681 + C3681 * E3681 * F3681)</f>
      </c>
    </row>
    <row r="3682">
      <c r="A3682" s="2"/>
      <c r="B3682" s="10" t="s">
        <v>1454</v>
      </c>
      <c r="C3682" s="19"/>
      <c r="D3682" s="19"/>
      <c r="E3682" s="19"/>
      <c r="F3682" s="19"/>
      <c r="G3682" s="19"/>
    </row>
    <row r="3683">
      <c r="A3683" s="3"/>
      <c r="B3683" s="11" t="s">
        <v>37</v>
      </c>
      <c r="C3683" s="20"/>
      <c r="D3683" s="20"/>
      <c r="E3683" s="20"/>
      <c r="F3683" s="20"/>
      <c r="G3683" s="20"/>
    </row>
    <row r="3684">
      <c r="A3684" s="5" t="s">
        <v>1285</v>
      </c>
      <c r="B3684" s="14" t="s">
        <v>39</v>
      </c>
      <c r="C3684" s="22"/>
      <c r="D3684" s="22" t="s">
        <v>10</v>
      </c>
      <c r="E3684" s="22"/>
      <c r="F3684" s="22">
        <f>(0)</f>
      </c>
      <c r="G3684" s="22">
        <f>(C3684 * E3684 + C3684 * E3684 * F3684)</f>
      </c>
    </row>
    <row r="3685">
      <c r="A3685" s="5" t="s">
        <v>1286</v>
      </c>
      <c r="B3685" s="14" t="s">
        <v>41</v>
      </c>
      <c r="C3685" s="22"/>
      <c r="D3685" s="22" t="s">
        <v>10</v>
      </c>
      <c r="E3685" s="22"/>
      <c r="F3685" s="22">
        <f>(0)</f>
      </c>
      <c r="G3685" s="22">
        <f>(C3685 * E3685 + C3685 * E3685 * F3685)</f>
      </c>
    </row>
    <row r="3686">
      <c r="A3686" s="3"/>
      <c r="B3686" s="11" t="s">
        <v>42</v>
      </c>
      <c r="C3686" s="20"/>
      <c r="D3686" s="20"/>
      <c r="E3686" s="20"/>
      <c r="F3686" s="20"/>
      <c r="G3686" s="20"/>
    </row>
    <row r="3687">
      <c r="A3687" s="5"/>
      <c r="B3687" s="14" t="s">
        <v>1287</v>
      </c>
      <c r="C3687" s="22"/>
      <c r="D3687" s="22" t="s">
        <v>10</v>
      </c>
      <c r="E3687" s="22"/>
      <c r="F3687" s="22">
        <f>(0)</f>
      </c>
      <c r="G3687" s="22">
        <f>(C3687 * E3687 + C3687 * E3687 * F3687)</f>
      </c>
    </row>
    <row r="3688">
      <c r="A3688" s="5"/>
      <c r="B3688" s="14" t="s">
        <v>1288</v>
      </c>
      <c r="C3688" s="22"/>
      <c r="D3688" s="22" t="s">
        <v>10</v>
      </c>
      <c r="E3688" s="22"/>
      <c r="F3688" s="22">
        <f>(0)</f>
      </c>
      <c r="G3688" s="22">
        <f>(C3688 * E3688 + C3688 * E3688 * F3688)</f>
      </c>
    </row>
    <row r="3689">
      <c r="A3689" s="5"/>
      <c r="B3689" s="14" t="s">
        <v>1289</v>
      </c>
      <c r="C3689" s="22"/>
      <c r="D3689" s="22" t="s">
        <v>10</v>
      </c>
      <c r="E3689" s="22"/>
      <c r="F3689" s="22">
        <f>(0)</f>
      </c>
      <c r="G3689" s="22">
        <f>(C3689 * E3689 + C3689 * E3689 * F3689)</f>
      </c>
    </row>
    <row r="3690">
      <c r="A3690" s="5"/>
      <c r="B3690" s="14" t="s">
        <v>1290</v>
      </c>
      <c r="C3690" s="22"/>
      <c r="D3690" s="22" t="s">
        <v>10</v>
      </c>
      <c r="E3690" s="22"/>
      <c r="F3690" s="22">
        <f>(0)</f>
      </c>
      <c r="G3690" s="22">
        <f>(C3690 * E3690 + C3690 * E3690 * F3690)</f>
      </c>
    </row>
    <row r="3691">
      <c r="A3691" s="3"/>
      <c r="B3691" s="11" t="s">
        <v>44</v>
      </c>
      <c r="C3691" s="20"/>
      <c r="D3691" s="20"/>
      <c r="E3691" s="20"/>
      <c r="F3691" s="20"/>
      <c r="G3691" s="20"/>
    </row>
    <row r="3692">
      <c r="A3692" s="4"/>
      <c r="B3692" s="12" t="s">
        <v>45</v>
      </c>
      <c r="C3692" s="21"/>
      <c r="D3692" s="21"/>
      <c r="E3692" s="21"/>
      <c r="F3692" s="21"/>
      <c r="G3692" s="21"/>
    </row>
    <row r="3693">
      <c r="A3693" s="5" t="s">
        <v>1291</v>
      </c>
      <c r="B3693" s="13" t="s">
        <v>767</v>
      </c>
      <c r="C3693" s="22"/>
      <c r="D3693" s="22" t="s">
        <v>10</v>
      </c>
      <c r="E3693" s="22"/>
      <c r="F3693" s="22">
        <f>(0)</f>
      </c>
      <c r="G3693" s="22">
        <f>(C3693 * E3693 + C3693 * E3693 * F3693)</f>
      </c>
    </row>
    <row r="3694">
      <c r="A3694" s="5" t="s">
        <v>1292</v>
      </c>
      <c r="B3694" s="13" t="s">
        <v>123</v>
      </c>
      <c r="C3694" s="22"/>
      <c r="D3694" s="22" t="s">
        <v>10</v>
      </c>
      <c r="E3694" s="22"/>
      <c r="F3694" s="22">
        <f>(0)</f>
      </c>
      <c r="G3694" s="22">
        <f>(C3694 * E3694 + C3694 * E3694 * F3694)</f>
      </c>
    </row>
    <row r="3695">
      <c r="A3695" s="3"/>
      <c r="B3695" s="11" t="s">
        <v>68</v>
      </c>
      <c r="C3695" s="20"/>
      <c r="D3695" s="20"/>
      <c r="E3695" s="20"/>
      <c r="F3695" s="20"/>
      <c r="G3695" s="20"/>
    </row>
    <row r="3696">
      <c r="A3696" s="5" t="s">
        <v>1293</v>
      </c>
      <c r="B3696" s="14" t="s">
        <v>230</v>
      </c>
      <c r="C3696" s="22">
        <f>(1)*(1)*(1)*(1)*(1 + (0))</f>
      </c>
      <c r="D3696" s="22" t="s">
        <v>71</v>
      </c>
      <c r="E3696" s="22"/>
      <c r="F3696" s="22">
        <f>(0)</f>
      </c>
      <c r="G3696" s="22">
        <f>(C3696 * E3696 + C3696 * E3696 * F3696)</f>
      </c>
    </row>
    <row r="3697">
      <c r="A3697" s="5" t="s">
        <v>1294</v>
      </c>
      <c r="B3697" s="14" t="s">
        <v>70</v>
      </c>
      <c r="C3697" s="22">
        <f>(1)*(1)*(1)*(1)*(1 + (0))</f>
      </c>
      <c r="D3697" s="22" t="s">
        <v>71</v>
      </c>
      <c r="E3697" s="22"/>
      <c r="F3697" s="22">
        <f>(0)</f>
      </c>
      <c r="G3697" s="22">
        <f>(C3697 * E3697 + C3697 * E3697 * F3697)</f>
      </c>
    </row>
    <row r="3698">
      <c r="A3698" s="5" t="s">
        <v>1295</v>
      </c>
      <c r="B3698" s="14" t="s">
        <v>906</v>
      </c>
      <c r="C3698" s="22">
        <f>(1)*(1)*(1)*(1)*(1 + (0))</f>
      </c>
      <c r="D3698" s="22" t="s">
        <v>71</v>
      </c>
      <c r="E3698" s="22"/>
      <c r="F3698" s="22">
        <f>(0)</f>
      </c>
      <c r="G3698" s="22">
        <f>(C3698 * E3698 + C3698 * E3698 * F3698)</f>
      </c>
    </row>
    <row r="3699">
      <c r="A3699" s="5" t="s">
        <v>1296</v>
      </c>
      <c r="B3699" s="14" t="s">
        <v>665</v>
      </c>
      <c r="C3699" s="22">
        <f>(1)*(1)*(1)*(1)*(1 + (0))</f>
      </c>
      <c r="D3699" s="22" t="s">
        <v>71</v>
      </c>
      <c r="E3699" s="22"/>
      <c r="F3699" s="22">
        <f>(0)</f>
      </c>
      <c r="G3699" s="22">
        <f>(C3699 * E3699 + C3699 * E3699 * F3699)</f>
      </c>
    </row>
    <row r="3700">
      <c r="A3700" s="3"/>
      <c r="B3700" s="11" t="s">
        <v>106</v>
      </c>
      <c r="C3700" s="20"/>
      <c r="D3700" s="20"/>
      <c r="E3700" s="20"/>
      <c r="F3700" s="20"/>
      <c r="G3700" s="20"/>
    </row>
    <row r="3701">
      <c r="A3701" s="5"/>
      <c r="B3701" s="14" t="s">
        <v>1455</v>
      </c>
      <c r="C3701" s="22"/>
      <c r="D3701" s="22" t="s">
        <v>1335</v>
      </c>
      <c r="E3701" s="22"/>
      <c r="F3701" s="22">
        <f>(0)</f>
      </c>
      <c r="G3701" s="22">
        <f>(C3701 * E3701 + C3701 * E3701 * F3701)</f>
      </c>
    </row>
    <row r="3702">
      <c r="A3702" s="5"/>
      <c r="B3702" s="14" t="s">
        <v>1456</v>
      </c>
      <c r="C3702" s="22"/>
      <c r="D3702" s="22" t="s">
        <v>1335</v>
      </c>
      <c r="E3702" s="22"/>
      <c r="F3702" s="22">
        <f>(0)</f>
      </c>
      <c r="G3702" s="22">
        <f>(C3702 * E3702 + C3702 * E3702 * F3702)</f>
      </c>
    </row>
    <row r="3703">
      <c r="A3703" s="5"/>
      <c r="B3703" s="14" t="s">
        <v>1457</v>
      </c>
      <c r="C3703" s="22"/>
      <c r="D3703" s="22" t="s">
        <v>1335</v>
      </c>
      <c r="E3703" s="22"/>
      <c r="F3703" s="22">
        <f>(0)</f>
      </c>
      <c r="G3703" s="22">
        <f>(C3703 * E3703 + C3703 * E3703 * F3703)</f>
      </c>
    </row>
    <row r="3704">
      <c r="A3704" s="5"/>
      <c r="B3704" s="14" t="s">
        <v>1458</v>
      </c>
      <c r="C3704" s="22"/>
      <c r="D3704" s="22" t="s">
        <v>1335</v>
      </c>
      <c r="E3704" s="22"/>
      <c r="F3704" s="22">
        <f>(0)</f>
      </c>
      <c r="G3704" s="22">
        <f>(C3704 * E3704 + C3704 * E3704 * F3704)</f>
      </c>
    </row>
    <row r="3705">
      <c r="A3705" s="5"/>
      <c r="B3705" s="14" t="s">
        <v>1459</v>
      </c>
      <c r="C3705" s="22"/>
      <c r="D3705" s="22" t="s">
        <v>1335</v>
      </c>
      <c r="E3705" s="22"/>
      <c r="F3705" s="22">
        <f>(0)</f>
      </c>
      <c r="G3705" s="22">
        <f>(C3705 * E3705 + C3705 * E3705 * F3705)</f>
      </c>
    </row>
    <row r="3706">
      <c r="A3706" s="3"/>
      <c r="B3706" s="11" t="s">
        <v>1460</v>
      </c>
      <c r="C3706" s="20"/>
      <c r="D3706" s="20"/>
      <c r="E3706" s="20"/>
      <c r="F3706" s="20"/>
      <c r="G3706" s="20"/>
    </row>
    <row r="3707">
      <c r="A3707" s="4"/>
      <c r="B3707" s="12" t="s">
        <v>1467</v>
      </c>
      <c r="C3707" s="21"/>
      <c r="D3707" s="21"/>
      <c r="E3707" s="21"/>
      <c r="F3707" s="21"/>
      <c r="G3707" s="21"/>
    </row>
    <row r="3708">
      <c r="A3708" s="6"/>
      <c r="B3708" s="15" t="s">
        <v>1468</v>
      </c>
      <c r="C3708" s="23"/>
      <c r="D3708" s="23"/>
      <c r="E3708" s="23"/>
      <c r="F3708" s="23"/>
      <c r="G3708" s="23"/>
    </row>
    <row r="3709">
      <c r="A3709" s="5"/>
      <c r="B3709" s="16" t="s">
        <v>1469</v>
      </c>
      <c r="C3709" s="22">
        <f>(1)*(1)*(1)*(1)*(1 + (0))</f>
      </c>
      <c r="D3709" s="22" t="s">
        <v>162</v>
      </c>
      <c r="E3709" s="22"/>
      <c r="F3709" s="22">
        <f>(0)</f>
      </c>
      <c r="G3709" s="22">
        <f>(C3709 * E3709 + C3709 * E3709 * F3709)</f>
      </c>
    </row>
    <row r="3710">
      <c r="A3710" s="5"/>
      <c r="B3710" s="16" t="s">
        <v>1470</v>
      </c>
      <c r="C3710" s="22">
        <f>(4)*(1)*(1)*(1)*(1 + (0))</f>
      </c>
      <c r="D3710" s="22" t="s">
        <v>162</v>
      </c>
      <c r="E3710" s="22"/>
      <c r="F3710" s="22">
        <f>(0)</f>
      </c>
      <c r="G3710" s="22">
        <f>(C3710 * E3710 + C3710 * E3710 * F3710)</f>
      </c>
    </row>
    <row r="3711">
      <c r="A3711" s="5"/>
      <c r="B3711" s="16" t="s">
        <v>1798</v>
      </c>
      <c r="C3711" s="22">
        <f>(1)*(1)*(1)*(1)*(1 + (0))</f>
      </c>
      <c r="D3711" s="22" t="s">
        <v>162</v>
      </c>
      <c r="E3711" s="22"/>
      <c r="F3711" s="22">
        <f>(0)</f>
      </c>
      <c r="G3711" s="22">
        <f>(C3711 * E3711 + C3711 * E3711 * F3711)</f>
      </c>
    </row>
    <row r="3712">
      <c r="A3712" s="5"/>
      <c r="B3712" s="16" t="s">
        <v>1799</v>
      </c>
      <c r="C3712" s="22">
        <f>(4)*(1)*(1)*(1)*(1 + (0))</f>
      </c>
      <c r="D3712" s="22" t="s">
        <v>162</v>
      </c>
      <c r="E3712" s="22"/>
      <c r="F3712" s="22">
        <f>(0)</f>
      </c>
      <c r="G3712" s="22">
        <f>(C3712 * E3712 + C3712 * E3712 * F3712)</f>
      </c>
    </row>
    <row r="3713">
      <c r="A3713" s="5"/>
      <c r="B3713" s="16" t="s">
        <v>1800</v>
      </c>
      <c r="C3713" s="22">
        <f>(1)*(1)*(1)*(1)*(1 + (0))</f>
      </c>
      <c r="D3713" s="22" t="s">
        <v>162</v>
      </c>
      <c r="E3713" s="22"/>
      <c r="F3713" s="22">
        <f>(0)</f>
      </c>
      <c r="G3713" s="22">
        <f>(C3713 * E3713 + C3713 * E3713 * F3713)</f>
      </c>
    </row>
    <row r="3714">
      <c r="A3714" s="5"/>
      <c r="B3714" s="16" t="s">
        <v>1801</v>
      </c>
      <c r="C3714" s="22">
        <f>(2)*(1)*(1)*(1)*(1 + (0))</f>
      </c>
      <c r="D3714" s="22" t="s">
        <v>162</v>
      </c>
      <c r="E3714" s="22"/>
      <c r="F3714" s="22">
        <f>(0)</f>
      </c>
      <c r="G3714" s="22">
        <f>(C3714 * E3714 + C3714 * E3714 * F3714)</f>
      </c>
    </row>
    <row r="3715">
      <c r="A3715" s="5"/>
      <c r="B3715" s="16" t="s">
        <v>1802</v>
      </c>
      <c r="C3715" s="22">
        <f>(1)*(1)*(1)*(1)*(1 + (0))</f>
      </c>
      <c r="D3715" s="22" t="s">
        <v>162</v>
      </c>
      <c r="E3715" s="22"/>
      <c r="F3715" s="22">
        <f>(0)</f>
      </c>
      <c r="G3715" s="22">
        <f>(C3715 * E3715 + C3715 * E3715 * F3715)</f>
      </c>
    </row>
    <row r="3716">
      <c r="A3716" s="5"/>
      <c r="B3716" s="16" t="s">
        <v>1803</v>
      </c>
      <c r="C3716" s="22">
        <f>(8)*(1)*(1)*(1)*(1 + (0))</f>
      </c>
      <c r="D3716" s="22" t="s">
        <v>162</v>
      </c>
      <c r="E3716" s="22"/>
      <c r="F3716" s="22">
        <f>(0)</f>
      </c>
      <c r="G3716" s="22">
        <f>(C3716 * E3716 + C3716 * E3716 * F3716)</f>
      </c>
    </row>
    <row r="3717">
      <c r="A3717" s="5"/>
      <c r="B3717" s="16" t="s">
        <v>1804</v>
      </c>
      <c r="C3717" s="22">
        <f>(2)*(1)*(1)*(1)*(1 + (0))</f>
      </c>
      <c r="D3717" s="22" t="s">
        <v>162</v>
      </c>
      <c r="E3717" s="22"/>
      <c r="F3717" s="22">
        <f>(0)</f>
      </c>
      <c r="G3717" s="22">
        <f>(C3717 * E3717 + C3717 * E3717 * F3717)</f>
      </c>
    </row>
    <row r="3718">
      <c r="A3718" s="6"/>
      <c r="B3718" s="15" t="s">
        <v>1479</v>
      </c>
      <c r="C3718" s="23"/>
      <c r="D3718" s="23"/>
      <c r="E3718" s="23"/>
      <c r="F3718" s="23"/>
      <c r="G3718" s="23"/>
    </row>
    <row r="3719">
      <c r="A3719" s="5"/>
      <c r="B3719" s="16" t="s">
        <v>1805</v>
      </c>
      <c r="C3719" s="22">
        <f>(4)*(1)*(1)*(1)*(1 + (0))</f>
      </c>
      <c r="D3719" s="22" t="s">
        <v>162</v>
      </c>
      <c r="E3719" s="22"/>
      <c r="F3719" s="22">
        <f>(0)</f>
      </c>
      <c r="G3719" s="22">
        <f>(C3719 * E3719 + C3719 * E3719 * F3719)</f>
      </c>
    </row>
    <row r="3720">
      <c r="A3720" s="5"/>
      <c r="B3720" s="16" t="s">
        <v>1481</v>
      </c>
      <c r="C3720" s="22">
        <f>(6)*(1)*(1)*(1)*(1 + (0))</f>
      </c>
      <c r="D3720" s="22" t="s">
        <v>162</v>
      </c>
      <c r="E3720" s="22"/>
      <c r="F3720" s="22">
        <f>(0)</f>
      </c>
      <c r="G3720" s="22">
        <f>(C3720 * E3720 + C3720 * E3720 * F3720)</f>
      </c>
    </row>
    <row r="3721">
      <c r="A3721" s="5"/>
      <c r="B3721" s="16" t="s">
        <v>1482</v>
      </c>
      <c r="C3721" s="22">
        <f>(8)*(1)*(1)*(1)*(1 + (0))</f>
      </c>
      <c r="D3721" s="22" t="s">
        <v>162</v>
      </c>
      <c r="E3721" s="22"/>
      <c r="F3721" s="22">
        <f>(0)</f>
      </c>
      <c r="G3721" s="22">
        <f>(C3721 * E3721 + C3721 * E3721 * F3721)</f>
      </c>
    </row>
    <row r="3722">
      <c r="A3722" s="5"/>
      <c r="B3722" s="16" t="s">
        <v>1483</v>
      </c>
      <c r="C3722" s="22">
        <f>(1)*(1)*(1)*(1)*(1 + (0))</f>
      </c>
      <c r="D3722" s="22" t="s">
        <v>162</v>
      </c>
      <c r="E3722" s="22"/>
      <c r="F3722" s="22">
        <f>(0)</f>
      </c>
      <c r="G3722" s="22">
        <f>(C3722 * E3722 + C3722 * E3722 * F3722)</f>
      </c>
    </row>
    <row r="3723">
      <c r="A3723" s="5"/>
      <c r="B3723" s="16" t="s">
        <v>1806</v>
      </c>
      <c r="C3723" s="22">
        <f>(1)*(1)*(1)*(1)*(1 + (0))</f>
      </c>
      <c r="D3723" s="22" t="s">
        <v>162</v>
      </c>
      <c r="E3723" s="22"/>
      <c r="F3723" s="22">
        <f>(0)</f>
      </c>
      <c r="G3723" s="22">
        <f>(C3723 * E3723 + C3723 * E3723 * F3723)</f>
      </c>
    </row>
    <row r="3724">
      <c r="A3724" s="5"/>
      <c r="B3724" s="16" t="s">
        <v>1807</v>
      </c>
      <c r="C3724" s="22">
        <f>(1)*(1)*(1)*(1)*(1 + (0))</f>
      </c>
      <c r="D3724" s="22" t="s">
        <v>162</v>
      </c>
      <c r="E3724" s="22"/>
      <c r="F3724" s="22">
        <f>(0)</f>
      </c>
      <c r="G3724" s="22">
        <f>(C3724 * E3724 + C3724 * E3724 * F3724)</f>
      </c>
    </row>
    <row r="3725">
      <c r="A3725" s="5"/>
      <c r="B3725" s="16" t="s">
        <v>1808</v>
      </c>
      <c r="C3725" s="22">
        <f>(16)*(1)*(1)*(1)*(1 + (0))</f>
      </c>
      <c r="D3725" s="22" t="s">
        <v>162</v>
      </c>
      <c r="E3725" s="22"/>
      <c r="F3725" s="22">
        <f>(0)</f>
      </c>
      <c r="G3725" s="22">
        <f>(C3725 * E3725 + C3725 * E3725 * F3725)</f>
      </c>
    </row>
    <row r="3726">
      <c r="A3726" s="5"/>
      <c r="B3726" s="16" t="s">
        <v>1809</v>
      </c>
      <c r="C3726" s="22">
        <f>(8)*(1)*(1)*(1)*(1 + (0))</f>
      </c>
      <c r="D3726" s="22" t="s">
        <v>162</v>
      </c>
      <c r="E3726" s="22"/>
      <c r="F3726" s="22">
        <f>(0)</f>
      </c>
      <c r="G3726" s="22">
        <f>(C3726 * E3726 + C3726 * E3726 * F3726)</f>
      </c>
    </row>
    <row r="3727">
      <c r="A3727" s="5"/>
      <c r="B3727" s="16" t="s">
        <v>1488</v>
      </c>
      <c r="C3727" s="22">
        <f>(3)*(1)*(1)*(1)*(1 + (0))</f>
      </c>
      <c r="D3727" s="22" t="s">
        <v>162</v>
      </c>
      <c r="E3727" s="22"/>
      <c r="F3727" s="22">
        <f>(0)</f>
      </c>
      <c r="G3727" s="22">
        <f>(C3727 * E3727 + C3727 * E3727 * F3727)</f>
      </c>
    </row>
    <row r="3728">
      <c r="A3728" s="6"/>
      <c r="B3728" s="15" t="s">
        <v>1489</v>
      </c>
      <c r="C3728" s="23"/>
      <c r="D3728" s="23"/>
      <c r="E3728" s="23"/>
      <c r="F3728" s="23"/>
      <c r="G3728" s="23"/>
    </row>
    <row r="3729">
      <c r="A3729" s="5"/>
      <c r="B3729" s="16" t="s">
        <v>1491</v>
      </c>
      <c r="C3729" s="22">
        <f>(6)*(1)*(1)*(1)*(1 + (0))</f>
      </c>
      <c r="D3729" s="22" t="s">
        <v>162</v>
      </c>
      <c r="E3729" s="22"/>
      <c r="F3729" s="22">
        <f>(0)</f>
      </c>
      <c r="G3729" s="22">
        <f>(C3729 * E3729 + C3729 * E3729 * F3729)</f>
      </c>
    </row>
    <row r="3730">
      <c r="A3730" s="5"/>
      <c r="B3730" s="16" t="s">
        <v>1810</v>
      </c>
      <c r="C3730" s="22">
        <f>(10)*(1)*(1)*(1)*(1 + (0))</f>
      </c>
      <c r="D3730" s="22" t="s">
        <v>162</v>
      </c>
      <c r="E3730" s="22"/>
      <c r="F3730" s="22">
        <f>(0)</f>
      </c>
      <c r="G3730" s="22">
        <f>(C3730 * E3730 + C3730 * E3730 * F3730)</f>
      </c>
    </row>
    <row r="3731">
      <c r="A3731" s="5"/>
      <c r="B3731" s="16" t="s">
        <v>1811</v>
      </c>
      <c r="C3731" s="22">
        <f>(1)*(1)*(1)*(1)*(1 + (0))</f>
      </c>
      <c r="D3731" s="22" t="s">
        <v>162</v>
      </c>
      <c r="E3731" s="22"/>
      <c r="F3731" s="22">
        <f>(0)</f>
      </c>
      <c r="G3731" s="22">
        <f>(C3731 * E3731 + C3731 * E3731 * F3731)</f>
      </c>
    </row>
    <row r="3732">
      <c r="A3732" s="5"/>
      <c r="B3732" s="16" t="s">
        <v>1492</v>
      </c>
      <c r="C3732" s="22">
        <f>(4)*(1)*(1)*(1)*(1 + (0))</f>
      </c>
      <c r="D3732" s="22" t="s">
        <v>162</v>
      </c>
      <c r="E3732" s="22"/>
      <c r="F3732" s="22">
        <f>(0)</f>
      </c>
      <c r="G3732" s="22">
        <f>(C3732 * E3732 + C3732 * E3732 * F3732)</f>
      </c>
    </row>
    <row r="3733">
      <c r="A3733" s="5"/>
      <c r="B3733" s="16" t="s">
        <v>1812</v>
      </c>
      <c r="C3733" s="22">
        <f>(1)*(1)*(1)*(1)*(1 + (0))</f>
      </c>
      <c r="D3733" s="22" t="s">
        <v>162</v>
      </c>
      <c r="E3733" s="22"/>
      <c r="F3733" s="22">
        <f>(0)</f>
      </c>
      <c r="G3733" s="22">
        <f>(C3733 * E3733 + C3733 * E3733 * F3733)</f>
      </c>
    </row>
    <row r="3734">
      <c r="A3734" s="6"/>
      <c r="B3734" s="15" t="s">
        <v>1493</v>
      </c>
      <c r="C3734" s="23"/>
      <c r="D3734" s="23"/>
      <c r="E3734" s="23"/>
      <c r="F3734" s="23"/>
      <c r="G3734" s="23"/>
    </row>
    <row r="3735">
      <c r="A3735" s="5"/>
      <c r="B3735" s="16" t="s">
        <v>1494</v>
      </c>
      <c r="C3735" s="22">
        <f>(1)*(1)*(1)*(1)*(1 + (0))</f>
      </c>
      <c r="D3735" s="22" t="s">
        <v>162</v>
      </c>
      <c r="E3735" s="22"/>
      <c r="F3735" s="22">
        <f>(0)</f>
      </c>
      <c r="G3735" s="22">
        <f>(C3735 * E3735 + C3735 * E3735 * F3735)</f>
      </c>
    </row>
    <row r="3736">
      <c r="A3736" s="5"/>
      <c r="B3736" s="16" t="s">
        <v>1813</v>
      </c>
      <c r="C3736" s="22">
        <f>(1)*(1)*(1)*(1)*(1 + (0))</f>
      </c>
      <c r="D3736" s="22" t="s">
        <v>162</v>
      </c>
      <c r="E3736" s="22"/>
      <c r="F3736" s="22">
        <f>(0)</f>
      </c>
      <c r="G3736" s="22">
        <f>(C3736 * E3736 + C3736 * E3736 * F3736)</f>
      </c>
    </row>
    <row r="3737">
      <c r="A3737" s="6"/>
      <c r="B3737" s="15" t="s">
        <v>1496</v>
      </c>
      <c r="C3737" s="23"/>
      <c r="D3737" s="23"/>
      <c r="E3737" s="23"/>
      <c r="F3737" s="23"/>
      <c r="G3737" s="23"/>
    </row>
    <row r="3738">
      <c r="A3738" s="5"/>
      <c r="B3738" s="16" t="s">
        <v>1497</v>
      </c>
      <c r="C3738" s="22">
        <f>(18)*(1)*(1)*(1)*(1 + (0))</f>
      </c>
      <c r="D3738" s="22" t="s">
        <v>162</v>
      </c>
      <c r="E3738" s="22"/>
      <c r="F3738" s="22">
        <f>(0)</f>
      </c>
      <c r="G3738" s="22">
        <f>(C3738 * E3738 + C3738 * E3738 * F3738)</f>
      </c>
    </row>
    <row r="3739">
      <c r="A3739" s="5"/>
      <c r="B3739" s="16" t="s">
        <v>1498</v>
      </c>
      <c r="C3739" s="22">
        <f>(3)*(1)*(1)*(1)*(1 + (0))</f>
      </c>
      <c r="D3739" s="22" t="s">
        <v>162</v>
      </c>
      <c r="E3739" s="22"/>
      <c r="F3739" s="22">
        <f>(0)</f>
      </c>
      <c r="G3739" s="22">
        <f>(C3739 * E3739 + C3739 * E3739 * F3739)</f>
      </c>
    </row>
    <row r="3740">
      <c r="A3740" s="4"/>
      <c r="B3740" s="12" t="s">
        <v>1499</v>
      </c>
      <c r="C3740" s="21"/>
      <c r="D3740" s="21"/>
      <c r="E3740" s="21"/>
      <c r="F3740" s="21"/>
      <c r="G3740" s="21"/>
    </row>
    <row r="3741">
      <c r="A3741" s="6"/>
      <c r="B3741" s="15" t="s">
        <v>1500</v>
      </c>
      <c r="C3741" s="23"/>
      <c r="D3741" s="23"/>
      <c r="E3741" s="23"/>
      <c r="F3741" s="23"/>
      <c r="G3741" s="23"/>
    </row>
    <row r="3742">
      <c r="A3742" s="5"/>
      <c r="B3742" s="16" t="s">
        <v>1814</v>
      </c>
      <c r="C3742" s="22">
        <f>(16)*(1)*(1)*(1)*(1 + (0))</f>
      </c>
      <c r="D3742" s="22" t="s">
        <v>162</v>
      </c>
      <c r="E3742" s="22"/>
      <c r="F3742" s="22">
        <f>(0)</f>
      </c>
      <c r="G3742" s="22">
        <f>(C3742 * E3742 + C3742 * E3742 * F3742)</f>
      </c>
    </row>
    <row r="3743">
      <c r="A3743" s="5"/>
      <c r="B3743" s="16" t="s">
        <v>1815</v>
      </c>
      <c r="C3743" s="22">
        <f>(4)*(1)*(1)*(1)*(1 + (0))</f>
      </c>
      <c r="D3743" s="22" t="s">
        <v>162</v>
      </c>
      <c r="E3743" s="22"/>
      <c r="F3743" s="22">
        <f>(0)</f>
      </c>
      <c r="G3743" s="22">
        <f>(C3743 * E3743 + C3743 * E3743 * F3743)</f>
      </c>
    </row>
    <row r="3744">
      <c r="A3744" s="5"/>
      <c r="B3744" s="16" t="s">
        <v>1816</v>
      </c>
      <c r="C3744" s="22">
        <f>(11)*(1)*(1)*(1)*(1 + (0))</f>
      </c>
      <c r="D3744" s="22" t="s">
        <v>162</v>
      </c>
      <c r="E3744" s="22"/>
      <c r="F3744" s="22">
        <f>(0)</f>
      </c>
      <c r="G3744" s="22">
        <f>(C3744 * E3744 + C3744 * E3744 * F3744)</f>
      </c>
    </row>
    <row r="3745">
      <c r="A3745" s="5"/>
      <c r="B3745" s="16" t="s">
        <v>1817</v>
      </c>
      <c r="C3745" s="22">
        <f>(13)*(1)*(1)*(1)*(1 + (0))</f>
      </c>
      <c r="D3745" s="22" t="s">
        <v>162</v>
      </c>
      <c r="E3745" s="22"/>
      <c r="F3745" s="22">
        <f>(0)</f>
      </c>
      <c r="G3745" s="22">
        <f>(C3745 * E3745 + C3745 * E3745 * F3745)</f>
      </c>
    </row>
    <row r="3746">
      <c r="A3746" s="5"/>
      <c r="B3746" s="16" t="s">
        <v>1505</v>
      </c>
      <c r="C3746" s="22">
        <f>(1)*(1)*(1)*(1)*(1 + (0))</f>
      </c>
      <c r="D3746" s="22" t="s">
        <v>162</v>
      </c>
      <c r="E3746" s="22"/>
      <c r="F3746" s="22">
        <f>(0)</f>
      </c>
      <c r="G3746" s="22">
        <f>(C3746 * E3746 + C3746 * E3746 * F3746)</f>
      </c>
    </row>
    <row r="3747">
      <c r="A3747" s="6"/>
      <c r="B3747" s="15" t="s">
        <v>1507</v>
      </c>
      <c r="C3747" s="23"/>
      <c r="D3747" s="23"/>
      <c r="E3747" s="23"/>
      <c r="F3747" s="23"/>
      <c r="G3747" s="23"/>
    </row>
    <row r="3748">
      <c r="A3748" s="5"/>
      <c r="B3748" s="16" t="s">
        <v>1818</v>
      </c>
      <c r="C3748" s="22">
        <f>(3)*(1)*(1)*(1)*(1 + (0))</f>
      </c>
      <c r="D3748" s="22" t="s">
        <v>162</v>
      </c>
      <c r="E3748" s="22"/>
      <c r="F3748" s="22">
        <f>(0)</f>
      </c>
      <c r="G3748" s="22">
        <f>(C3748 * E3748 + C3748 * E3748 * F3748)</f>
      </c>
    </row>
    <row r="3749">
      <c r="A3749" s="5"/>
      <c r="B3749" s="16" t="s">
        <v>1819</v>
      </c>
      <c r="C3749" s="22">
        <f>(1)*(1)*(1)*(1)*(1 + (0))</f>
      </c>
      <c r="D3749" s="22" t="s">
        <v>162</v>
      </c>
      <c r="E3749" s="22"/>
      <c r="F3749" s="22">
        <f>(0)</f>
      </c>
      <c r="G3749" s="22">
        <f>(C3749 * E3749 + C3749 * E3749 * F3749)</f>
      </c>
    </row>
    <row r="3750">
      <c r="A3750" s="5"/>
      <c r="B3750" s="16" t="s">
        <v>1510</v>
      </c>
      <c r="C3750" s="22">
        <f>(6)*(1)*(1)*(1)*(1 + (0))</f>
      </c>
      <c r="D3750" s="22" t="s">
        <v>162</v>
      </c>
      <c r="E3750" s="22"/>
      <c r="F3750" s="22">
        <f>(0)</f>
      </c>
      <c r="G3750" s="22">
        <f>(C3750 * E3750 + C3750 * E3750 * F3750)</f>
      </c>
    </row>
    <row r="3751">
      <c r="A3751" s="6"/>
      <c r="B3751" s="15" t="s">
        <v>1511</v>
      </c>
      <c r="C3751" s="23"/>
      <c r="D3751" s="23"/>
      <c r="E3751" s="23"/>
      <c r="F3751" s="23"/>
      <c r="G3751" s="23"/>
    </row>
    <row r="3752">
      <c r="A3752" s="5"/>
      <c r="B3752" s="16" t="s">
        <v>1512</v>
      </c>
      <c r="C3752" s="22">
        <f>(2)*(1)*(1)*(1)*(1 + (0))</f>
      </c>
      <c r="D3752" s="22" t="s">
        <v>162</v>
      </c>
      <c r="E3752" s="22"/>
      <c r="F3752" s="22">
        <f>(0)</f>
      </c>
      <c r="G3752" s="22">
        <f>(C3752 * E3752 + C3752 * E3752 * F3752)</f>
      </c>
    </row>
    <row r="3753">
      <c r="A3753" s="5"/>
      <c r="B3753" s="16" t="s">
        <v>1513</v>
      </c>
      <c r="C3753" s="22">
        <f>(14)*(1)*(1)*(1)*(1 + (0))</f>
      </c>
      <c r="D3753" s="22" t="s">
        <v>162</v>
      </c>
      <c r="E3753" s="22"/>
      <c r="F3753" s="22">
        <f>(0)</f>
      </c>
      <c r="G3753" s="22">
        <f>(C3753 * E3753 + C3753 * E3753 * F3753)</f>
      </c>
    </row>
    <row r="3754">
      <c r="A3754" s="5"/>
      <c r="B3754" s="16" t="s">
        <v>1820</v>
      </c>
      <c r="C3754" s="22">
        <f>(4)*(1)*(1)*(1)*(1 + (0))</f>
      </c>
      <c r="D3754" s="22" t="s">
        <v>162</v>
      </c>
      <c r="E3754" s="22"/>
      <c r="F3754" s="22">
        <f>(0)</f>
      </c>
      <c r="G3754" s="22">
        <f>(C3754 * E3754 + C3754 * E3754 * F3754)</f>
      </c>
    </row>
    <row r="3755">
      <c r="A3755" s="5"/>
      <c r="B3755" s="16" t="s">
        <v>1506</v>
      </c>
      <c r="C3755" s="22">
        <f>(1)*(1)*(1)*(1)*(1 + (0))</f>
      </c>
      <c r="D3755" s="22" t="s">
        <v>162</v>
      </c>
      <c r="E3755" s="22"/>
      <c r="F3755" s="22">
        <f>(0)</f>
      </c>
      <c r="G3755" s="22">
        <f>(C3755 * E3755 + C3755 * E3755 * F3755)</f>
      </c>
    </row>
    <row r="3756">
      <c r="A3756" s="5"/>
      <c r="B3756" s="16" t="s">
        <v>1515</v>
      </c>
      <c r="C3756" s="22">
        <f>(6)*(1)*(1)*(1)*(1 + (0))</f>
      </c>
      <c r="D3756" s="22" t="s">
        <v>162</v>
      </c>
      <c r="E3756" s="22"/>
      <c r="F3756" s="22">
        <f>(0)</f>
      </c>
      <c r="G3756" s="22">
        <f>(C3756 * E3756 + C3756 * E3756 * F3756)</f>
      </c>
    </row>
    <row r="3757">
      <c r="A3757" s="6"/>
      <c r="B3757" s="15" t="s">
        <v>1516</v>
      </c>
      <c r="C3757" s="23"/>
      <c r="D3757" s="23"/>
      <c r="E3757" s="23"/>
      <c r="F3757" s="23"/>
      <c r="G3757" s="23"/>
    </row>
    <row r="3758">
      <c r="A3758" s="5"/>
      <c r="B3758" s="16" t="s">
        <v>1517</v>
      </c>
      <c r="C3758" s="22">
        <f>(4)*(1)*(1)*(1)*(1 + (0))</f>
      </c>
      <c r="D3758" s="22" t="s">
        <v>162</v>
      </c>
      <c r="E3758" s="22"/>
      <c r="F3758" s="22">
        <f>(0)</f>
      </c>
      <c r="G3758" s="22">
        <f>(C3758 * E3758 + C3758 * E3758 * F3758)</f>
      </c>
    </row>
    <row r="3759">
      <c r="A3759" s="5"/>
      <c r="B3759" s="16" t="s">
        <v>1518</v>
      </c>
      <c r="C3759" s="22">
        <f>(18)*(1)*(1)*(1)*(1 + (0))</f>
      </c>
      <c r="D3759" s="22" t="s">
        <v>162</v>
      </c>
      <c r="E3759" s="22"/>
      <c r="F3759" s="22">
        <f>(0)</f>
      </c>
      <c r="G3759" s="22">
        <f>(C3759 * E3759 + C3759 * E3759 * F3759)</f>
      </c>
    </row>
    <row r="3760">
      <c r="A3760" s="5"/>
      <c r="B3760" s="16" t="s">
        <v>1519</v>
      </c>
      <c r="C3760" s="22">
        <f>(6)*(1)*(1)*(1)*(1 + (0))</f>
      </c>
      <c r="D3760" s="22" t="s">
        <v>162</v>
      </c>
      <c r="E3760" s="22"/>
      <c r="F3760" s="22">
        <f>(0)</f>
      </c>
      <c r="G3760" s="22">
        <f>(C3760 * E3760 + C3760 * E3760 * F3760)</f>
      </c>
    </row>
    <row r="3761">
      <c r="A3761" s="6"/>
      <c r="B3761" s="15" t="s">
        <v>1520</v>
      </c>
      <c r="C3761" s="23"/>
      <c r="D3761" s="23"/>
      <c r="E3761" s="23"/>
      <c r="F3761" s="23"/>
      <c r="G3761" s="23"/>
    </row>
    <row r="3762">
      <c r="A3762" s="5"/>
      <c r="B3762" s="16" t="s">
        <v>1521</v>
      </c>
      <c r="C3762" s="22">
        <f>(1)*(1)*(1)*(1)*(1 + (0))</f>
      </c>
      <c r="D3762" s="22" t="s">
        <v>162</v>
      </c>
      <c r="E3762" s="22"/>
      <c r="F3762" s="22">
        <f>(0)</f>
      </c>
      <c r="G3762" s="22">
        <f>(C3762 * E3762 + C3762 * E3762 * F3762)</f>
      </c>
    </row>
    <row r="3763">
      <c r="A3763" s="6"/>
      <c r="B3763" s="15" t="s">
        <v>1523</v>
      </c>
      <c r="C3763" s="23"/>
      <c r="D3763" s="23"/>
      <c r="E3763" s="23"/>
      <c r="F3763" s="23"/>
      <c r="G3763" s="23"/>
    </row>
    <row r="3764">
      <c r="A3764" s="5"/>
      <c r="B3764" s="16" t="s">
        <v>1524</v>
      </c>
      <c r="C3764" s="22">
        <f>(5)*(1)*(1)*(1)*(1 + (0))</f>
      </c>
      <c r="D3764" s="22" t="s">
        <v>162</v>
      </c>
      <c r="E3764" s="22"/>
      <c r="F3764" s="22">
        <f>(0)</f>
      </c>
      <c r="G3764" s="22">
        <f>(C3764 * E3764 + C3764 * E3764 * F3764)</f>
      </c>
    </row>
    <row r="3765">
      <c r="A3765" s="5"/>
      <c r="B3765" s="16" t="s">
        <v>1821</v>
      </c>
      <c r="C3765" s="22">
        <f>(2)*(1)*(1)*(1)*(1 + (0))</f>
      </c>
      <c r="D3765" s="22" t="s">
        <v>162</v>
      </c>
      <c r="E3765" s="22"/>
      <c r="F3765" s="22">
        <f>(0)</f>
      </c>
      <c r="G3765" s="22">
        <f>(C3765 * E3765 + C3765 * E3765 * F3765)</f>
      </c>
    </row>
    <row r="3766">
      <c r="A3766" s="6"/>
      <c r="B3766" s="15" t="s">
        <v>1822</v>
      </c>
      <c r="C3766" s="23"/>
      <c r="D3766" s="23"/>
      <c r="E3766" s="23"/>
      <c r="F3766" s="23"/>
      <c r="G3766" s="23"/>
    </row>
    <row r="3767">
      <c r="A3767" s="5"/>
      <c r="B3767" s="16" t="s">
        <v>1823</v>
      </c>
      <c r="C3767" s="22">
        <f>(1)*(1)*(1)*(1)*(1 + (0))</f>
      </c>
      <c r="D3767" s="22" t="s">
        <v>162</v>
      </c>
      <c r="E3767" s="22"/>
      <c r="F3767" s="22">
        <f>(0)</f>
      </c>
      <c r="G3767" s="22">
        <f>(C3767 * E3767 + C3767 * E3767 * F3767)</f>
      </c>
    </row>
    <row r="3768">
      <c r="A3768" s="4"/>
      <c r="B3768" s="12" t="s">
        <v>1527</v>
      </c>
      <c r="C3768" s="21"/>
      <c r="D3768" s="21"/>
      <c r="E3768" s="21"/>
      <c r="F3768" s="21"/>
      <c r="G3768" s="21"/>
    </row>
    <row r="3769">
      <c r="A3769" s="5"/>
      <c r="B3769" s="13" t="s">
        <v>1528</v>
      </c>
      <c r="C3769" s="22">
        <f>(5)*(1)*(1)*(1)*(1 + (0))</f>
      </c>
      <c r="D3769" s="22" t="s">
        <v>162</v>
      </c>
      <c r="E3769" s="22"/>
      <c r="F3769" s="22">
        <f>(0)</f>
      </c>
      <c r="G3769" s="22">
        <f>(C3769 * E3769 + C3769 * E3769 * F3769)</f>
      </c>
    </row>
    <row r="3770">
      <c r="A3770" s="6"/>
      <c r="B3770" s="15" t="s">
        <v>1824</v>
      </c>
      <c r="C3770" s="23"/>
      <c r="D3770" s="23"/>
      <c r="E3770" s="23"/>
      <c r="F3770" s="23"/>
      <c r="G3770" s="23"/>
    </row>
    <row r="3771">
      <c r="A3771" s="5"/>
      <c r="B3771" s="16" t="s">
        <v>1825</v>
      </c>
      <c r="C3771" s="22">
        <f>(1)*(1)*(1)*(1)*(1 + (0))</f>
      </c>
      <c r="D3771" s="22" t="s">
        <v>162</v>
      </c>
      <c r="E3771" s="22"/>
      <c r="F3771" s="22">
        <f>(0)</f>
      </c>
      <c r="G3771" s="22">
        <f>(C3771 * E3771 + C3771 * E3771 * F3771)</f>
      </c>
    </row>
    <row r="3772">
      <c r="A3772" s="2"/>
      <c r="B3772" s="10" t="s">
        <v>1533</v>
      </c>
      <c r="C3772" s="19"/>
      <c r="D3772" s="19"/>
      <c r="E3772" s="19"/>
      <c r="F3772" s="19"/>
      <c r="G3772" s="19"/>
    </row>
    <row r="3773">
      <c r="A3773" s="3"/>
      <c r="B3773" s="11" t="s">
        <v>37</v>
      </c>
      <c r="C3773" s="20"/>
      <c r="D3773" s="20"/>
      <c r="E3773" s="20"/>
      <c r="F3773" s="20"/>
      <c r="G3773" s="20"/>
    </row>
    <row r="3774">
      <c r="A3774" s="5" t="s">
        <v>1285</v>
      </c>
      <c r="B3774" s="14" t="s">
        <v>39</v>
      </c>
      <c r="C3774" s="22"/>
      <c r="D3774" s="22" t="s">
        <v>10</v>
      </c>
      <c r="E3774" s="22"/>
      <c r="F3774" s="22">
        <f>(0)</f>
      </c>
      <c r="G3774" s="22">
        <f>(C3774 * E3774 + C3774 * E3774 * F3774)</f>
      </c>
    </row>
    <row r="3775">
      <c r="A3775" s="5" t="s">
        <v>1286</v>
      </c>
      <c r="B3775" s="14" t="s">
        <v>41</v>
      </c>
      <c r="C3775" s="22"/>
      <c r="D3775" s="22" t="s">
        <v>10</v>
      </c>
      <c r="E3775" s="22"/>
      <c r="F3775" s="22">
        <f>(0)</f>
      </c>
      <c r="G3775" s="22">
        <f>(C3775 * E3775 + C3775 * E3775 * F3775)</f>
      </c>
    </row>
    <row r="3776">
      <c r="A3776" s="3"/>
      <c r="B3776" s="11" t="s">
        <v>42</v>
      </c>
      <c r="C3776" s="20"/>
      <c r="D3776" s="20"/>
      <c r="E3776" s="20"/>
      <c r="F3776" s="20"/>
      <c r="G3776" s="20"/>
    </row>
    <row r="3777">
      <c r="A3777" s="5"/>
      <c r="B3777" s="14" t="s">
        <v>1287</v>
      </c>
      <c r="C3777" s="22"/>
      <c r="D3777" s="22" t="s">
        <v>10</v>
      </c>
      <c r="E3777" s="22"/>
      <c r="F3777" s="22">
        <f>(0)</f>
      </c>
      <c r="G3777" s="22">
        <f>(C3777 * E3777 + C3777 * E3777 * F3777)</f>
      </c>
    </row>
    <row r="3778">
      <c r="A3778" s="5"/>
      <c r="B3778" s="14" t="s">
        <v>1288</v>
      </c>
      <c r="C3778" s="22"/>
      <c r="D3778" s="22" t="s">
        <v>10</v>
      </c>
      <c r="E3778" s="22"/>
      <c r="F3778" s="22">
        <f>(0)</f>
      </c>
      <c r="G3778" s="22">
        <f>(C3778 * E3778 + C3778 * E3778 * F3778)</f>
      </c>
    </row>
    <row r="3779">
      <c r="A3779" s="5"/>
      <c r="B3779" s="14" t="s">
        <v>1289</v>
      </c>
      <c r="C3779" s="22"/>
      <c r="D3779" s="22" t="s">
        <v>10</v>
      </c>
      <c r="E3779" s="22"/>
      <c r="F3779" s="22">
        <f>(0)</f>
      </c>
      <c r="G3779" s="22">
        <f>(C3779 * E3779 + C3779 * E3779 * F3779)</f>
      </c>
    </row>
    <row r="3780">
      <c r="A3780" s="5"/>
      <c r="B3780" s="14" t="s">
        <v>1290</v>
      </c>
      <c r="C3780" s="22"/>
      <c r="D3780" s="22" t="s">
        <v>10</v>
      </c>
      <c r="E3780" s="22"/>
      <c r="F3780" s="22">
        <f>(0)</f>
      </c>
      <c r="G3780" s="22">
        <f>(C3780 * E3780 + C3780 * E3780 * F3780)</f>
      </c>
    </row>
    <row r="3781">
      <c r="A3781" s="3"/>
      <c r="B3781" s="11" t="s">
        <v>44</v>
      </c>
      <c r="C3781" s="20"/>
      <c r="D3781" s="20"/>
      <c r="E3781" s="20"/>
      <c r="F3781" s="20"/>
      <c r="G3781" s="20"/>
    </row>
    <row r="3782">
      <c r="A3782" s="4"/>
      <c r="B3782" s="12" t="s">
        <v>45</v>
      </c>
      <c r="C3782" s="21"/>
      <c r="D3782" s="21"/>
      <c r="E3782" s="21"/>
      <c r="F3782" s="21"/>
      <c r="G3782" s="21"/>
    </row>
    <row r="3783">
      <c r="A3783" s="5" t="s">
        <v>1291</v>
      </c>
      <c r="B3783" s="13" t="s">
        <v>767</v>
      </c>
      <c r="C3783" s="22"/>
      <c r="D3783" s="22" t="s">
        <v>10</v>
      </c>
      <c r="E3783" s="22"/>
      <c r="F3783" s="22">
        <f>(0)</f>
      </c>
      <c r="G3783" s="22">
        <f>(C3783 * E3783 + C3783 * E3783 * F3783)</f>
      </c>
    </row>
    <row r="3784">
      <c r="A3784" s="5" t="s">
        <v>1292</v>
      </c>
      <c r="B3784" s="13" t="s">
        <v>123</v>
      </c>
      <c r="C3784" s="22"/>
      <c r="D3784" s="22" t="s">
        <v>10</v>
      </c>
      <c r="E3784" s="22"/>
      <c r="F3784" s="22">
        <f>(0)</f>
      </c>
      <c r="G3784" s="22">
        <f>(C3784 * E3784 + C3784 * E3784 * F3784)</f>
      </c>
    </row>
    <row r="3785">
      <c r="A3785" s="3"/>
      <c r="B3785" s="11" t="s">
        <v>68</v>
      </c>
      <c r="C3785" s="20"/>
      <c r="D3785" s="20"/>
      <c r="E3785" s="20"/>
      <c r="F3785" s="20"/>
      <c r="G3785" s="20"/>
    </row>
    <row r="3786">
      <c r="A3786" s="5" t="s">
        <v>1293</v>
      </c>
      <c r="B3786" s="14" t="s">
        <v>230</v>
      </c>
      <c r="C3786" s="22">
        <f>(1)*(1)*(1)*(1)*(1 + (0))</f>
      </c>
      <c r="D3786" s="22" t="s">
        <v>71</v>
      </c>
      <c r="E3786" s="22"/>
      <c r="F3786" s="22">
        <f>(0)</f>
      </c>
      <c r="G3786" s="22">
        <f>(C3786 * E3786 + C3786 * E3786 * F3786)</f>
      </c>
    </row>
    <row r="3787">
      <c r="A3787" s="5" t="s">
        <v>1294</v>
      </c>
      <c r="B3787" s="14" t="s">
        <v>70</v>
      </c>
      <c r="C3787" s="22">
        <f>(1)*(1)*(1)*(1)*(1 + (0))</f>
      </c>
      <c r="D3787" s="22" t="s">
        <v>71</v>
      </c>
      <c r="E3787" s="22"/>
      <c r="F3787" s="22">
        <f>(0)</f>
      </c>
      <c r="G3787" s="22">
        <f>(C3787 * E3787 + C3787 * E3787 * F3787)</f>
      </c>
    </row>
    <row r="3788">
      <c r="A3788" s="5" t="s">
        <v>1295</v>
      </c>
      <c r="B3788" s="14" t="s">
        <v>906</v>
      </c>
      <c r="C3788" s="22">
        <f>(1)*(1)*(1)*(1)*(1 + (0))</f>
      </c>
      <c r="D3788" s="22" t="s">
        <v>71</v>
      </c>
      <c r="E3788" s="22"/>
      <c r="F3788" s="22">
        <f>(0)</f>
      </c>
      <c r="G3788" s="22">
        <f>(C3788 * E3788 + C3788 * E3788 * F3788)</f>
      </c>
    </row>
    <row r="3789">
      <c r="A3789" s="5" t="s">
        <v>1296</v>
      </c>
      <c r="B3789" s="14" t="s">
        <v>665</v>
      </c>
      <c r="C3789" s="22">
        <f>(1)*(1)*(1)*(1)*(1 + (0))</f>
      </c>
      <c r="D3789" s="22" t="s">
        <v>71</v>
      </c>
      <c r="E3789" s="22"/>
      <c r="F3789" s="22">
        <f>(0)</f>
      </c>
      <c r="G3789" s="22">
        <f>(C3789 * E3789 + C3789 * E3789 * F3789)</f>
      </c>
    </row>
    <row r="3790">
      <c r="A3790" s="3"/>
      <c r="B3790" s="11" t="s">
        <v>106</v>
      </c>
      <c r="C3790" s="20"/>
      <c r="D3790" s="20"/>
      <c r="E3790" s="20"/>
      <c r="F3790" s="20"/>
      <c r="G3790" s="20"/>
    </row>
    <row r="3791">
      <c r="A3791" s="5"/>
      <c r="B3791" s="14" t="s">
        <v>1455</v>
      </c>
      <c r="C3791" s="22"/>
      <c r="D3791" s="22" t="s">
        <v>1335</v>
      </c>
      <c r="E3791" s="22"/>
      <c r="F3791" s="22">
        <f>(0)</f>
      </c>
      <c r="G3791" s="22">
        <f>(C3791 * E3791 + C3791 * E3791 * F3791)</f>
      </c>
    </row>
    <row r="3792">
      <c r="A3792" s="3"/>
      <c r="B3792" s="11" t="s">
        <v>1534</v>
      </c>
      <c r="C3792" s="20"/>
      <c r="D3792" s="20"/>
      <c r="E3792" s="20"/>
      <c r="F3792" s="20"/>
      <c r="G3792" s="20"/>
    </row>
    <row r="3793">
      <c r="A3793" s="4"/>
      <c r="B3793" s="12" t="s">
        <v>1461</v>
      </c>
      <c r="C3793" s="21"/>
      <c r="D3793" s="21"/>
      <c r="E3793" s="21"/>
      <c r="F3793" s="21"/>
      <c r="G3793" s="21"/>
    </row>
    <row r="3794">
      <c r="A3794" s="6"/>
      <c r="B3794" s="15" t="s">
        <v>1535</v>
      </c>
      <c r="C3794" s="23"/>
      <c r="D3794" s="23"/>
      <c r="E3794" s="23"/>
      <c r="F3794" s="23"/>
      <c r="G3794" s="23"/>
    </row>
    <row r="3795">
      <c r="A3795" s="5"/>
      <c r="B3795" s="16" t="s">
        <v>1826</v>
      </c>
      <c r="C3795" s="22">
        <f>(4)*(1)*(1)*(1)*(1 + (0))</f>
      </c>
      <c r="D3795" s="22" t="s">
        <v>162</v>
      </c>
      <c r="E3795" s="22"/>
      <c r="F3795" s="22">
        <f>(0)</f>
      </c>
      <c r="G3795" s="22">
        <f>(C3795 * E3795 + C3795 * E3795 * F3795)</f>
      </c>
    </row>
    <row r="3796">
      <c r="A3796" s="5"/>
      <c r="B3796" s="16" t="s">
        <v>1827</v>
      </c>
      <c r="C3796" s="22">
        <f>(462)*(1)*(1)*(1)*(1 + (0))</f>
      </c>
      <c r="D3796" s="22" t="s">
        <v>162</v>
      </c>
      <c r="E3796" s="22"/>
      <c r="F3796" s="22">
        <f>(0)</f>
      </c>
      <c r="G3796" s="22">
        <f>(C3796 * E3796 + C3796 * E3796 * F3796)</f>
      </c>
    </row>
    <row r="3797">
      <c r="A3797" s="5"/>
      <c r="B3797" s="16" t="s">
        <v>1828</v>
      </c>
      <c r="C3797" s="22">
        <f>(47)*(1)*(1)*(1)*(1 + (0))</f>
      </c>
      <c r="D3797" s="22" t="s">
        <v>162</v>
      </c>
      <c r="E3797" s="22"/>
      <c r="F3797" s="22">
        <f>(0)</f>
      </c>
      <c r="G3797" s="22">
        <f>(C3797 * E3797 + C3797 * E3797 * F3797)</f>
      </c>
    </row>
    <row r="3798">
      <c r="A3798" s="5"/>
      <c r="B3798" s="16" t="s">
        <v>1829</v>
      </c>
      <c r="C3798" s="22">
        <f>(16)*(1)*(1)*(1)*(1 + (0))</f>
      </c>
      <c r="D3798" s="22" t="s">
        <v>162</v>
      </c>
      <c r="E3798" s="22"/>
      <c r="F3798" s="22">
        <f>(0)</f>
      </c>
      <c r="G3798" s="22">
        <f>(C3798 * E3798 + C3798 * E3798 * F3798)</f>
      </c>
    </row>
    <row r="3799">
      <c r="A3799" s="5"/>
      <c r="B3799" s="16" t="s">
        <v>1542</v>
      </c>
      <c r="C3799" s="22">
        <f>(15)*(1)*(1)*(1)*(1 + (0))</f>
      </c>
      <c r="D3799" s="22" t="s">
        <v>162</v>
      </c>
      <c r="E3799" s="22"/>
      <c r="F3799" s="22">
        <f>(0)</f>
      </c>
      <c r="G3799" s="22">
        <f>(C3799 * E3799 + C3799 * E3799 * F3799)</f>
      </c>
    </row>
    <row r="3800">
      <c r="A3800" s="5"/>
      <c r="B3800" s="16" t="s">
        <v>1830</v>
      </c>
      <c r="C3800" s="22">
        <f>(66)*(1)*(1)*(1)*(1 + (0))</f>
      </c>
      <c r="D3800" s="22" t="s">
        <v>162</v>
      </c>
      <c r="E3800" s="22"/>
      <c r="F3800" s="22">
        <f>(0)</f>
      </c>
      <c r="G3800" s="22">
        <f>(C3800 * E3800 + C3800 * E3800 * F3800)</f>
      </c>
    </row>
    <row r="3801">
      <c r="A3801" s="5"/>
      <c r="B3801" s="16" t="s">
        <v>1547</v>
      </c>
      <c r="C3801" s="22">
        <f>(54)*(1)*(1)*(1)*(1 + (0))</f>
      </c>
      <c r="D3801" s="22" t="s">
        <v>162</v>
      </c>
      <c r="E3801" s="22"/>
      <c r="F3801" s="22">
        <f>(0)</f>
      </c>
      <c r="G3801" s="22">
        <f>(C3801 * E3801 + C3801 * E3801 * F3801)</f>
      </c>
    </row>
    <row r="3802">
      <c r="A3802" s="5"/>
      <c r="B3802" s="16" t="s">
        <v>1831</v>
      </c>
      <c r="C3802" s="22">
        <f>(1)*(1)*(1)*(1)*(1 + (0))</f>
      </c>
      <c r="D3802" s="22" t="s">
        <v>162</v>
      </c>
      <c r="E3802" s="22"/>
      <c r="F3802" s="22">
        <f>(0)</f>
      </c>
      <c r="G3802" s="22">
        <f>(C3802 * E3802 + C3802 * E3802 * F3802)</f>
      </c>
    </row>
    <row r="3803">
      <c r="A3803" s="5"/>
      <c r="B3803" s="16" t="s">
        <v>1832</v>
      </c>
      <c r="C3803" s="22">
        <f>(1)*(1)*(1)*(1)*(1 + (0))</f>
      </c>
      <c r="D3803" s="22" t="s">
        <v>162</v>
      </c>
      <c r="E3803" s="22"/>
      <c r="F3803" s="22">
        <f>(0)</f>
      </c>
      <c r="G3803" s="22">
        <f>(C3803 * E3803 + C3803 * E3803 * F3803)</f>
      </c>
    </row>
    <row r="3804">
      <c r="A3804" s="5"/>
      <c r="B3804" s="16" t="s">
        <v>1833</v>
      </c>
      <c r="C3804" s="22">
        <f>(1)*(1)*(1)*(1)*(1 + (0))</f>
      </c>
      <c r="D3804" s="22" t="s">
        <v>162</v>
      </c>
      <c r="E3804" s="22"/>
      <c r="F3804" s="22">
        <f>(0)</f>
      </c>
      <c r="G3804" s="22">
        <f>(C3804 * E3804 + C3804 * E3804 * F3804)</f>
      </c>
    </row>
    <row r="3805">
      <c r="A3805" s="5"/>
      <c r="B3805" s="16" t="s">
        <v>1834</v>
      </c>
      <c r="C3805" s="22">
        <f>(2)*(1)*(1)*(1)*(1 + (0))</f>
      </c>
      <c r="D3805" s="22" t="s">
        <v>162</v>
      </c>
      <c r="E3805" s="22"/>
      <c r="F3805" s="22">
        <f>(0)</f>
      </c>
      <c r="G3805" s="22">
        <f>(C3805 * E3805 + C3805 * E3805 * F3805)</f>
      </c>
    </row>
    <row r="3806">
      <c r="A3806" s="6"/>
      <c r="B3806" s="15" t="s">
        <v>1553</v>
      </c>
      <c r="C3806" s="23"/>
      <c r="D3806" s="23"/>
      <c r="E3806" s="23"/>
      <c r="F3806" s="23"/>
      <c r="G3806" s="23"/>
    </row>
    <row r="3807">
      <c r="A3807" s="5"/>
      <c r="B3807" s="16" t="s">
        <v>1835</v>
      </c>
      <c r="C3807" s="22">
        <f>(18)*(1)*(1)*(1)*(1 + (0))</f>
      </c>
      <c r="D3807" s="22" t="s">
        <v>162</v>
      </c>
      <c r="E3807" s="22"/>
      <c r="F3807" s="22">
        <f>(0)</f>
      </c>
      <c r="G3807" s="22">
        <f>(C3807 * E3807 + C3807 * E3807 * F3807)</f>
      </c>
    </row>
    <row r="3808">
      <c r="A3808" s="5"/>
      <c r="B3808" s="16" t="s">
        <v>1559</v>
      </c>
      <c r="C3808" s="22">
        <f>(249)*(1)*(1)*(1)*(1 + (0))</f>
      </c>
      <c r="D3808" s="22" t="s">
        <v>162</v>
      </c>
      <c r="E3808" s="22"/>
      <c r="F3808" s="22">
        <f>(0)</f>
      </c>
      <c r="G3808" s="22">
        <f>(C3808 * E3808 + C3808 * E3808 * F3808)</f>
      </c>
    </row>
    <row r="3809">
      <c r="A3809" s="5"/>
      <c r="B3809" s="16" t="s">
        <v>1836</v>
      </c>
      <c r="C3809" s="22">
        <f>(18)*(1)*(1)*(1)*(1 + (0))</f>
      </c>
      <c r="D3809" s="22" t="s">
        <v>162</v>
      </c>
      <c r="E3809" s="22"/>
      <c r="F3809" s="22">
        <f>(0)</f>
      </c>
      <c r="G3809" s="22">
        <f>(C3809 * E3809 + C3809 * E3809 * F3809)</f>
      </c>
    </row>
    <row r="3810">
      <c r="A3810" s="5"/>
      <c r="B3810" s="16" t="s">
        <v>1837</v>
      </c>
      <c r="C3810" s="22">
        <f>(9)*(1)*(1)*(1)*(1 + (0))</f>
      </c>
      <c r="D3810" s="22" t="s">
        <v>162</v>
      </c>
      <c r="E3810" s="22"/>
      <c r="F3810" s="22">
        <f>(0)</f>
      </c>
      <c r="G3810" s="22">
        <f>(C3810 * E3810 + C3810 * E3810 * F3810)</f>
      </c>
    </row>
    <row r="3811">
      <c r="A3811" s="5"/>
      <c r="B3811" s="16" t="s">
        <v>1838</v>
      </c>
      <c r="C3811" s="22">
        <f>(24)*(1)*(1)*(1)*(1 + (0))</f>
      </c>
      <c r="D3811" s="22" t="s">
        <v>162</v>
      </c>
      <c r="E3811" s="22"/>
      <c r="F3811" s="22">
        <f>(0)</f>
      </c>
      <c r="G3811" s="22">
        <f>(C3811 * E3811 + C3811 * E3811 * F3811)</f>
      </c>
    </row>
    <row r="3812">
      <c r="A3812" s="5"/>
      <c r="B3812" s="16" t="s">
        <v>1564</v>
      </c>
      <c r="C3812" s="22">
        <f>(1)*(1)*(1)*(1)*(1 + (0))</f>
      </c>
      <c r="D3812" s="22" t="s">
        <v>162</v>
      </c>
      <c r="E3812" s="22"/>
      <c r="F3812" s="22">
        <f>(0)</f>
      </c>
      <c r="G3812" s="22">
        <f>(C3812 * E3812 + C3812 * E3812 * F3812)</f>
      </c>
    </row>
    <row r="3813">
      <c r="A3813" s="5"/>
      <c r="B3813" s="16" t="s">
        <v>1839</v>
      </c>
      <c r="C3813" s="22">
        <f>(9)*(1)*(1)*(1)*(1 + (0))</f>
      </c>
      <c r="D3813" s="22" t="s">
        <v>162</v>
      </c>
      <c r="E3813" s="22"/>
      <c r="F3813" s="22">
        <f>(0)</f>
      </c>
      <c r="G3813" s="22">
        <f>(C3813 * E3813 + C3813 * E3813 * F3813)</f>
      </c>
    </row>
    <row r="3814">
      <c r="A3814" s="5"/>
      <c r="B3814" s="16" t="s">
        <v>1555</v>
      </c>
      <c r="C3814" s="22">
        <f>(15)*(1)*(1)*(1)*(1 + (0))</f>
      </c>
      <c r="D3814" s="22" t="s">
        <v>162</v>
      </c>
      <c r="E3814" s="22"/>
      <c r="F3814" s="22">
        <f>(0)</f>
      </c>
      <c r="G3814" s="22">
        <f>(C3814 * E3814 + C3814 * E3814 * F3814)</f>
      </c>
    </row>
    <row r="3815">
      <c r="A3815" s="6"/>
      <c r="B3815" s="15" t="s">
        <v>1462</v>
      </c>
      <c r="C3815" s="23"/>
      <c r="D3815" s="23"/>
      <c r="E3815" s="23"/>
      <c r="F3815" s="23"/>
      <c r="G3815" s="23"/>
    </row>
    <row r="3816">
      <c r="A3816" s="5"/>
      <c r="B3816" s="16" t="s">
        <v>1840</v>
      </c>
      <c r="C3816" s="22">
        <f>(2)*(1)*(1)*(1)*(1 + (0))</f>
      </c>
      <c r="D3816" s="22" t="s">
        <v>162</v>
      </c>
      <c r="E3816" s="22"/>
      <c r="F3816" s="22">
        <f>(0)</f>
      </c>
      <c r="G3816" s="22">
        <f>(C3816 * E3816 + C3816 * E3816 * F3816)</f>
      </c>
    </row>
    <row r="3817">
      <c r="A3817" s="5"/>
      <c r="B3817" s="16" t="s">
        <v>1574</v>
      </c>
      <c r="C3817" s="22">
        <f>(48)*(1)*(1)*(1)*(1 + (0))</f>
      </c>
      <c r="D3817" s="22" t="s">
        <v>162</v>
      </c>
      <c r="E3817" s="22"/>
      <c r="F3817" s="22">
        <f>(0)</f>
      </c>
      <c r="G3817" s="22">
        <f>(C3817 * E3817 + C3817 * E3817 * F3817)</f>
      </c>
    </row>
    <row r="3818">
      <c r="A3818" s="2"/>
      <c r="B3818" s="10" t="s">
        <v>1841</v>
      </c>
      <c r="C3818" s="19"/>
      <c r="D3818" s="19"/>
      <c r="E3818" s="19"/>
      <c r="F3818" s="19"/>
      <c r="G3818" s="19"/>
    </row>
    <row r="3819">
      <c r="A3819" s="3"/>
      <c r="B3819" s="11" t="s">
        <v>37</v>
      </c>
      <c r="C3819" s="20"/>
      <c r="D3819" s="20"/>
      <c r="E3819" s="20"/>
      <c r="F3819" s="20"/>
      <c r="G3819" s="20"/>
    </row>
    <row r="3820">
      <c r="A3820" s="5" t="s">
        <v>1285</v>
      </c>
      <c r="B3820" s="14" t="s">
        <v>39</v>
      </c>
      <c r="C3820" s="22"/>
      <c r="D3820" s="22" t="s">
        <v>10</v>
      </c>
      <c r="E3820" s="22"/>
      <c r="F3820" s="22">
        <f>(0)</f>
      </c>
      <c r="G3820" s="22">
        <f>(C3820 * E3820 + C3820 * E3820 * F3820)</f>
      </c>
    </row>
    <row r="3821">
      <c r="A3821" s="5" t="s">
        <v>1286</v>
      </c>
      <c r="B3821" s="14" t="s">
        <v>41</v>
      </c>
      <c r="C3821" s="22"/>
      <c r="D3821" s="22" t="s">
        <v>10</v>
      </c>
      <c r="E3821" s="22"/>
      <c r="F3821" s="22">
        <f>(0)</f>
      </c>
      <c r="G3821" s="22">
        <f>(C3821 * E3821 + C3821 * E3821 * F3821)</f>
      </c>
    </row>
    <row r="3822">
      <c r="A3822" s="3"/>
      <c r="B3822" s="11" t="s">
        <v>42</v>
      </c>
      <c r="C3822" s="20"/>
      <c r="D3822" s="20"/>
      <c r="E3822" s="20"/>
      <c r="F3822" s="20"/>
      <c r="G3822" s="20"/>
    </row>
    <row r="3823">
      <c r="A3823" s="5"/>
      <c r="B3823" s="14" t="s">
        <v>1287</v>
      </c>
      <c r="C3823" s="22"/>
      <c r="D3823" s="22" t="s">
        <v>10</v>
      </c>
      <c r="E3823" s="22"/>
      <c r="F3823" s="22">
        <f>(0)</f>
      </c>
      <c r="G3823" s="22">
        <f>(C3823 * E3823 + C3823 * E3823 * F3823)</f>
      </c>
    </row>
    <row r="3824">
      <c r="A3824" s="5"/>
      <c r="B3824" s="14" t="s">
        <v>1288</v>
      </c>
      <c r="C3824" s="22"/>
      <c r="D3824" s="22" t="s">
        <v>10</v>
      </c>
      <c r="E3824" s="22"/>
      <c r="F3824" s="22">
        <f>(0)</f>
      </c>
      <c r="G3824" s="22">
        <f>(C3824 * E3824 + C3824 * E3824 * F3824)</f>
      </c>
    </row>
    <row r="3825">
      <c r="A3825" s="5"/>
      <c r="B3825" s="14" t="s">
        <v>1289</v>
      </c>
      <c r="C3825" s="22"/>
      <c r="D3825" s="22" t="s">
        <v>10</v>
      </c>
      <c r="E3825" s="22"/>
      <c r="F3825" s="22">
        <f>(0)</f>
      </c>
      <c r="G3825" s="22">
        <f>(C3825 * E3825 + C3825 * E3825 * F3825)</f>
      </c>
    </row>
    <row r="3826">
      <c r="A3826" s="5"/>
      <c r="B3826" s="14" t="s">
        <v>1290</v>
      </c>
      <c r="C3826" s="22"/>
      <c r="D3826" s="22" t="s">
        <v>10</v>
      </c>
      <c r="E3826" s="22"/>
      <c r="F3826" s="22">
        <f>(0)</f>
      </c>
      <c r="G3826" s="22">
        <f>(C3826 * E3826 + C3826 * E3826 * F3826)</f>
      </c>
    </row>
    <row r="3827">
      <c r="A3827" s="3"/>
      <c r="B3827" s="11" t="s">
        <v>44</v>
      </c>
      <c r="C3827" s="20"/>
      <c r="D3827" s="20"/>
      <c r="E3827" s="20"/>
      <c r="F3827" s="20"/>
      <c r="G3827" s="20"/>
    </row>
    <row r="3828">
      <c r="A3828" s="4"/>
      <c r="B3828" s="12" t="s">
        <v>45</v>
      </c>
      <c r="C3828" s="21"/>
      <c r="D3828" s="21"/>
      <c r="E3828" s="21"/>
      <c r="F3828" s="21"/>
      <c r="G3828" s="21"/>
    </row>
    <row r="3829">
      <c r="A3829" s="5" t="s">
        <v>1291</v>
      </c>
      <c r="B3829" s="13" t="s">
        <v>767</v>
      </c>
      <c r="C3829" s="22"/>
      <c r="D3829" s="22" t="s">
        <v>10</v>
      </c>
      <c r="E3829" s="22"/>
      <c r="F3829" s="22">
        <f>(0)</f>
      </c>
      <c r="G3829" s="22">
        <f>(C3829 * E3829 + C3829 * E3829 * F3829)</f>
      </c>
    </row>
    <row r="3830">
      <c r="A3830" s="5" t="s">
        <v>1292</v>
      </c>
      <c r="B3830" s="13" t="s">
        <v>123</v>
      </c>
      <c r="C3830" s="22"/>
      <c r="D3830" s="22" t="s">
        <v>10</v>
      </c>
      <c r="E3830" s="22"/>
      <c r="F3830" s="22">
        <f>(0)</f>
      </c>
      <c r="G3830" s="22">
        <f>(C3830 * E3830 + C3830 * E3830 * F3830)</f>
      </c>
    </row>
    <row r="3831">
      <c r="A3831" s="3"/>
      <c r="B3831" s="11" t="s">
        <v>68</v>
      </c>
      <c r="C3831" s="20"/>
      <c r="D3831" s="20"/>
      <c r="E3831" s="20"/>
      <c r="F3831" s="20"/>
      <c r="G3831" s="20"/>
    </row>
    <row r="3832">
      <c r="A3832" s="5" t="s">
        <v>1293</v>
      </c>
      <c r="B3832" s="14" t="s">
        <v>230</v>
      </c>
      <c r="C3832" s="22">
        <f>(1)*(1)*(1)*(1)*(1 + (0))</f>
      </c>
      <c r="D3832" s="22" t="s">
        <v>71</v>
      </c>
      <c r="E3832" s="22"/>
      <c r="F3832" s="22">
        <f>(0)</f>
      </c>
      <c r="G3832" s="22">
        <f>(C3832 * E3832 + C3832 * E3832 * F3832)</f>
      </c>
    </row>
    <row r="3833">
      <c r="A3833" s="5" t="s">
        <v>1294</v>
      </c>
      <c r="B3833" s="14" t="s">
        <v>70</v>
      </c>
      <c r="C3833" s="22">
        <f>(1)*(1)*(1)*(1)*(1 + (0))</f>
      </c>
      <c r="D3833" s="22" t="s">
        <v>71</v>
      </c>
      <c r="E3833" s="22"/>
      <c r="F3833" s="22">
        <f>(0)</f>
      </c>
      <c r="G3833" s="22">
        <f>(C3833 * E3833 + C3833 * E3833 * F3833)</f>
      </c>
    </row>
    <row r="3834">
      <c r="A3834" s="5" t="s">
        <v>1295</v>
      </c>
      <c r="B3834" s="14" t="s">
        <v>906</v>
      </c>
      <c r="C3834" s="22">
        <f>(1)*(1)*(1)*(1)*(1 + (0))</f>
      </c>
      <c r="D3834" s="22" t="s">
        <v>71</v>
      </c>
      <c r="E3834" s="22"/>
      <c r="F3834" s="22">
        <f>(0)</f>
      </c>
      <c r="G3834" s="22">
        <f>(C3834 * E3834 + C3834 * E3834 * F3834)</f>
      </c>
    </row>
    <row r="3835">
      <c r="A3835" s="5" t="s">
        <v>1296</v>
      </c>
      <c r="B3835" s="14" t="s">
        <v>665</v>
      </c>
      <c r="C3835" s="22">
        <f>(1)*(1)*(1)*(1)*(1 + (0))</f>
      </c>
      <c r="D3835" s="22" t="s">
        <v>71</v>
      </c>
      <c r="E3835" s="22"/>
      <c r="F3835" s="22">
        <f>(0)</f>
      </c>
      <c r="G3835" s="22">
        <f>(C3835 * E3835 + C3835 * E3835 * F3835)</f>
      </c>
    </row>
    <row r="3836">
      <c r="A3836" s="3"/>
      <c r="B3836" s="11" t="s">
        <v>1585</v>
      </c>
      <c r="C3836" s="20"/>
      <c r="D3836" s="20"/>
      <c r="E3836" s="20"/>
      <c r="F3836" s="20"/>
      <c r="G3836" s="20"/>
    </row>
    <row r="3837">
      <c r="A3837" s="4"/>
      <c r="B3837" s="12" t="s">
        <v>1527</v>
      </c>
      <c r="C3837" s="21"/>
      <c r="D3837" s="21"/>
      <c r="E3837" s="21"/>
      <c r="F3837" s="21"/>
      <c r="G3837" s="21"/>
    </row>
    <row r="3838">
      <c r="A3838" s="5"/>
      <c r="B3838" s="13" t="s">
        <v>1842</v>
      </c>
      <c r="C3838" s="22">
        <f>(15)*(1)*(1)*(1)*(1 + (0))</f>
      </c>
      <c r="D3838" s="22" t="s">
        <v>162</v>
      </c>
      <c r="E3838" s="22"/>
      <c r="F3838" s="22">
        <f>(0)</f>
      </c>
      <c r="G3838" s="22">
        <f>(C3838 * E3838 + C3838 * E3838 * F3838)</f>
      </c>
    </row>
    <row r="3839">
      <c r="A3839" s="5"/>
      <c r="B3839" s="7"/>
      <c r="C3839" s="22"/>
      <c r="D3839" s="22"/>
      <c r="E3839" s="22"/>
      <c r="F3839" s="22">
        <f>(0)</f>
      </c>
      <c r="G3839" s="22">
        <f>(C3839 * E3839 + C3839 * E3839 * F3839)</f>
      </c>
    </row>
    <row r="3840">
      <c r="A3840" s="5"/>
      <c r="B3840" s="7"/>
      <c r="C3840" s="22"/>
      <c r="D3840" s="22"/>
      <c r="E3840" s="22"/>
      <c r="F3840" s="22">
        <f>(0)</f>
      </c>
      <c r="G3840" s="22">
        <f>(C3840 * E3840 + C3840 * E3840 * F3840)</f>
      </c>
    </row>
    <row r="3841">
      <c r="A3841" s="5"/>
      <c r="B3841" s="7" t="s">
        <v>29</v>
      </c>
      <c r="C3841" s="22"/>
      <c r="D3841" s="22"/>
      <c r="E3841" s="22"/>
      <c r="F3841" s="22">
        <f>(0)</f>
      </c>
      <c r="G3841" s="22">
        <f>(C3841 * E3841 + C3841 * E3841 * F3841)</f>
      </c>
    </row>
    <row r="3842">
      <c r="A3842" s="2"/>
      <c r="B3842" s="10" t="s">
        <v>36</v>
      </c>
      <c r="C3842" s="19"/>
      <c r="D3842" s="19"/>
      <c r="E3842" s="19"/>
      <c r="F3842" s="19"/>
      <c r="G3842" s="19"/>
    </row>
    <row r="3843">
      <c r="A3843" s="3"/>
      <c r="B3843" s="11" t="s">
        <v>37</v>
      </c>
      <c r="C3843" s="20"/>
      <c r="D3843" s="20"/>
      <c r="E3843" s="20"/>
      <c r="F3843" s="20"/>
      <c r="G3843" s="20"/>
    </row>
    <row r="3844">
      <c r="A3844" s="5" t="s">
        <v>38</v>
      </c>
      <c r="B3844" s="14" t="s">
        <v>39</v>
      </c>
      <c r="C3844" s="22"/>
      <c r="D3844" s="22" t="s">
        <v>10</v>
      </c>
      <c r="E3844" s="22"/>
      <c r="F3844" s="22">
        <f>(0)</f>
      </c>
      <c r="G3844" s="22">
        <f>(C3844 * E3844 + C3844 * E3844 * F3844)</f>
      </c>
    </row>
    <row r="3845">
      <c r="A3845" s="5" t="s">
        <v>40</v>
      </c>
      <c r="B3845" s="14" t="s">
        <v>41</v>
      </c>
      <c r="C3845" s="22"/>
      <c r="D3845" s="22" t="s">
        <v>10</v>
      </c>
      <c r="E3845" s="22"/>
      <c r="F3845" s="22">
        <f>(0)</f>
      </c>
      <c r="G3845" s="22">
        <f>(C3845 * E3845 + C3845 * E3845 * F3845)</f>
      </c>
    </row>
    <row r="3846">
      <c r="A3846" s="3"/>
      <c r="B3846" s="11" t="s">
        <v>42</v>
      </c>
      <c r="C3846" s="20"/>
      <c r="D3846" s="20"/>
      <c r="E3846" s="20"/>
      <c r="F3846" s="20"/>
      <c r="G3846" s="20"/>
    </row>
    <row r="3847">
      <c r="A3847" s="5"/>
      <c r="B3847" s="14" t="s">
        <v>636</v>
      </c>
      <c r="C3847" s="22"/>
      <c r="D3847" s="22" t="s">
        <v>10</v>
      </c>
      <c r="E3847" s="22"/>
      <c r="F3847" s="22">
        <f>(0)</f>
      </c>
      <c r="G3847" s="22">
        <f>(C3847 * E3847 + C3847 * E3847 * F3847)</f>
      </c>
    </row>
    <row r="3848">
      <c r="A3848" s="3"/>
      <c r="B3848" s="11" t="s">
        <v>44</v>
      </c>
      <c r="C3848" s="20"/>
      <c r="D3848" s="20"/>
      <c r="E3848" s="20"/>
      <c r="F3848" s="20"/>
      <c r="G3848" s="20"/>
    </row>
    <row r="3849">
      <c r="A3849" s="4"/>
      <c r="B3849" s="12" t="s">
        <v>45</v>
      </c>
      <c r="C3849" s="21"/>
      <c r="D3849" s="21"/>
      <c r="E3849" s="21"/>
      <c r="F3849" s="21"/>
      <c r="G3849" s="21"/>
    </row>
    <row r="3850">
      <c r="A3850" s="5" t="s">
        <v>46</v>
      </c>
      <c r="B3850" s="13" t="s">
        <v>47</v>
      </c>
      <c r="C3850" s="22"/>
      <c r="D3850" s="22" t="s">
        <v>10</v>
      </c>
      <c r="E3850" s="22"/>
      <c r="F3850" s="22">
        <f>(0)</f>
      </c>
      <c r="G3850" s="22">
        <f>(C3850 * E3850 + C3850 * E3850 * F3850)</f>
      </c>
    </row>
    <row r="3851">
      <c r="A3851" s="5" t="s">
        <v>48</v>
      </c>
      <c r="B3851" s="13" t="s">
        <v>49</v>
      </c>
      <c r="C3851" s="22"/>
      <c r="D3851" s="22" t="s">
        <v>10</v>
      </c>
      <c r="E3851" s="22"/>
      <c r="F3851" s="22">
        <f>(0)</f>
      </c>
      <c r="G3851" s="22">
        <f>(C3851 * E3851 + C3851 * E3851 * F3851)</f>
      </c>
    </row>
    <row r="3852">
      <c r="A3852" s="5" t="s">
        <v>50</v>
      </c>
      <c r="B3852" s="13" t="s">
        <v>51</v>
      </c>
      <c r="C3852" s="22"/>
      <c r="D3852" s="22" t="s">
        <v>10</v>
      </c>
      <c r="E3852" s="22"/>
      <c r="F3852" s="22">
        <f>(0)</f>
      </c>
      <c r="G3852" s="22">
        <f>(C3852 * E3852 + C3852 * E3852 * F3852)</f>
      </c>
    </row>
    <row r="3853">
      <c r="A3853" s="5" t="s">
        <v>52</v>
      </c>
      <c r="B3853" s="13" t="s">
        <v>53</v>
      </c>
      <c r="C3853" s="22"/>
      <c r="D3853" s="22" t="s">
        <v>10</v>
      </c>
      <c r="E3853" s="22"/>
      <c r="F3853" s="22">
        <f>(0)</f>
      </c>
      <c r="G3853" s="22">
        <f>(C3853 * E3853 + C3853 * E3853 * F3853)</f>
      </c>
    </row>
    <row r="3854">
      <c r="A3854" s="5" t="s">
        <v>54</v>
      </c>
      <c r="B3854" s="13" t="s">
        <v>55</v>
      </c>
      <c r="C3854" s="22"/>
      <c r="D3854" s="22" t="s">
        <v>10</v>
      </c>
      <c r="E3854" s="22"/>
      <c r="F3854" s="22">
        <f>(0)</f>
      </c>
      <c r="G3854" s="22">
        <f>(C3854 * E3854 + C3854 * E3854 * F3854)</f>
      </c>
    </row>
    <row r="3855">
      <c r="A3855" s="5" t="s">
        <v>56</v>
      </c>
      <c r="B3855" s="13" t="s">
        <v>57</v>
      </c>
      <c r="C3855" s="22"/>
      <c r="D3855" s="22" t="s">
        <v>10</v>
      </c>
      <c r="E3855" s="22"/>
      <c r="F3855" s="22">
        <f>(0)</f>
      </c>
      <c r="G3855" s="22">
        <f>(C3855 * E3855 + C3855 * E3855 * F3855)</f>
      </c>
    </row>
    <row r="3856">
      <c r="A3856" s="5" t="s">
        <v>58</v>
      </c>
      <c r="B3856" s="13" t="s">
        <v>59</v>
      </c>
      <c r="C3856" s="22"/>
      <c r="D3856" s="22" t="s">
        <v>10</v>
      </c>
      <c r="E3856" s="22"/>
      <c r="F3856" s="22">
        <f>(0)</f>
      </c>
      <c r="G3856" s="22">
        <f>(C3856 * E3856 + C3856 * E3856 * F3856)</f>
      </c>
    </row>
    <row r="3857">
      <c r="A3857" s="5" t="s">
        <v>60</v>
      </c>
      <c r="B3857" s="13" t="s">
        <v>61</v>
      </c>
      <c r="C3857" s="22"/>
      <c r="D3857" s="22" t="s">
        <v>10</v>
      </c>
      <c r="E3857" s="22"/>
      <c r="F3857" s="22">
        <f>(0)</f>
      </c>
      <c r="G3857" s="22">
        <f>(C3857 * E3857 + C3857 * E3857 * F3857)</f>
      </c>
    </row>
    <row r="3858">
      <c r="A3858" s="5" t="s">
        <v>62</v>
      </c>
      <c r="B3858" s="13" t="s">
        <v>63</v>
      </c>
      <c r="C3858" s="22"/>
      <c r="D3858" s="22" t="s">
        <v>10</v>
      </c>
      <c r="E3858" s="22"/>
      <c r="F3858" s="22">
        <f>(0)</f>
      </c>
      <c r="G3858" s="22">
        <f>(C3858 * E3858 + C3858 * E3858 * F3858)</f>
      </c>
    </row>
    <row r="3859">
      <c r="A3859" s="5" t="s">
        <v>64</v>
      </c>
      <c r="B3859" s="13" t="s">
        <v>65</v>
      </c>
      <c r="C3859" s="22"/>
      <c r="D3859" s="22" t="s">
        <v>10</v>
      </c>
      <c r="E3859" s="22"/>
      <c r="F3859" s="22">
        <f>(0)</f>
      </c>
      <c r="G3859" s="22">
        <f>(C3859 * E3859 + C3859 * E3859 * F3859)</f>
      </c>
    </row>
    <row r="3860">
      <c r="A3860" s="5" t="s">
        <v>66</v>
      </c>
      <c r="B3860" s="13" t="s">
        <v>67</v>
      </c>
      <c r="C3860" s="22"/>
      <c r="D3860" s="22" t="s">
        <v>10</v>
      </c>
      <c r="E3860" s="22"/>
      <c r="F3860" s="22">
        <f>(0)</f>
      </c>
      <c r="G3860" s="22">
        <f>(C3860 * E3860 + C3860 * E3860 * F3860)</f>
      </c>
    </row>
    <row r="3861">
      <c r="A3861" s="3"/>
      <c r="B3861" s="11" t="s">
        <v>68</v>
      </c>
      <c r="C3861" s="20"/>
      <c r="D3861" s="20"/>
      <c r="E3861" s="20"/>
      <c r="F3861" s="20"/>
      <c r="G3861" s="20"/>
    </row>
    <row r="3862">
      <c r="A3862" s="5" t="s">
        <v>69</v>
      </c>
      <c r="B3862" s="14" t="s">
        <v>70</v>
      </c>
      <c r="C3862" s="22">
        <f>(1)*(1)*(1)*(1)*(1 + (0))</f>
      </c>
      <c r="D3862" s="22" t="s">
        <v>71</v>
      </c>
      <c r="E3862" s="22"/>
      <c r="F3862" s="22">
        <f>(0)</f>
      </c>
      <c r="G3862" s="22">
        <f>(C3862 * E3862 + C3862 * E3862 * F3862)</f>
      </c>
    </row>
    <row r="3863">
      <c r="A3863" s="5" t="s">
        <v>72</v>
      </c>
      <c r="B3863" s="14" t="s">
        <v>73</v>
      </c>
      <c r="C3863" s="22">
        <f>(1)*(1)*(1)*(1)*(1 + (0))</f>
      </c>
      <c r="D3863" s="22" t="s">
        <v>71</v>
      </c>
      <c r="E3863" s="22"/>
      <c r="F3863" s="22">
        <f>(0)</f>
      </c>
      <c r="G3863" s="22">
        <f>(C3863 * E3863 + C3863 * E3863 * F3863)</f>
      </c>
    </row>
    <row r="3864">
      <c r="A3864" s="5" t="s">
        <v>74</v>
      </c>
      <c r="B3864" s="14" t="s">
        <v>75</v>
      </c>
      <c r="C3864" s="22">
        <f>(1)*(1)*(1)*(1)*(1 + (0))</f>
      </c>
      <c r="D3864" s="22" t="s">
        <v>71</v>
      </c>
      <c r="E3864" s="22"/>
      <c r="F3864" s="22">
        <f>(0)</f>
      </c>
      <c r="G3864" s="22">
        <f>(C3864 * E3864 + C3864 * E3864 * F3864)</f>
      </c>
    </row>
    <row r="3865">
      <c r="A3865" s="5" t="s">
        <v>76</v>
      </c>
      <c r="B3865" s="14" t="s">
        <v>77</v>
      </c>
      <c r="C3865" s="22">
        <f>(1)*(1)*(1)*(1)*(1 + (0))</f>
      </c>
      <c r="D3865" s="22" t="s">
        <v>71</v>
      </c>
      <c r="E3865" s="22"/>
      <c r="F3865" s="22">
        <f>(0)</f>
      </c>
      <c r="G3865" s="22">
        <f>(C3865 * E3865 + C3865 * E3865 * F3865)</f>
      </c>
    </row>
    <row r="3866">
      <c r="A3866" s="5" t="s">
        <v>78</v>
      </c>
      <c r="B3866" s="14" t="s">
        <v>79</v>
      </c>
      <c r="C3866" s="22">
        <f>(1)*(1)*(1)*(1)*(1 + (0))</f>
      </c>
      <c r="D3866" s="22" t="s">
        <v>71</v>
      </c>
      <c r="E3866" s="22"/>
      <c r="F3866" s="22">
        <f>(0)</f>
      </c>
      <c r="G3866" s="22">
        <f>(C3866 * E3866 + C3866 * E3866 * F3866)</f>
      </c>
    </row>
    <row r="3867">
      <c r="A3867" s="5" t="s">
        <v>80</v>
      </c>
      <c r="B3867" s="14" t="s">
        <v>81</v>
      </c>
      <c r="C3867" s="22">
        <f>(1)*(1)*(1)*(1)*(1 + (0))</f>
      </c>
      <c r="D3867" s="22" t="s">
        <v>71</v>
      </c>
      <c r="E3867" s="22"/>
      <c r="F3867" s="22">
        <f>(0)</f>
      </c>
      <c r="G3867" s="22">
        <f>(C3867 * E3867 + C3867 * E3867 * F3867)</f>
      </c>
    </row>
    <row r="3868">
      <c r="A3868" s="5" t="s">
        <v>82</v>
      </c>
      <c r="B3868" s="14" t="s">
        <v>83</v>
      </c>
      <c r="C3868" s="22">
        <f>(1)*(1)*(1)*(1)*(1 + (0))</f>
      </c>
      <c r="D3868" s="22" t="s">
        <v>71</v>
      </c>
      <c r="E3868" s="22"/>
      <c r="F3868" s="22">
        <f>(0)</f>
      </c>
      <c r="G3868" s="22">
        <f>(C3868 * E3868 + C3868 * E3868 * F3868)</f>
      </c>
    </row>
    <row r="3869">
      <c r="A3869" s="5" t="s">
        <v>84</v>
      </c>
      <c r="B3869" s="14" t="s">
        <v>85</v>
      </c>
      <c r="C3869" s="22">
        <f>(1)*(1)*(1)*(1)*(1 + (0))</f>
      </c>
      <c r="D3869" s="22" t="s">
        <v>71</v>
      </c>
      <c r="E3869" s="22"/>
      <c r="F3869" s="22">
        <f>(0)</f>
      </c>
      <c r="G3869" s="22">
        <f>(C3869 * E3869 + C3869 * E3869 * F3869)</f>
      </c>
    </row>
    <row r="3870">
      <c r="A3870" s="5" t="s">
        <v>86</v>
      </c>
      <c r="B3870" s="14" t="s">
        <v>87</v>
      </c>
      <c r="C3870" s="22">
        <f>(1)*(1)*(1)*(1)*(1 + (0))</f>
      </c>
      <c r="D3870" s="22" t="s">
        <v>71</v>
      </c>
      <c r="E3870" s="22"/>
      <c r="F3870" s="22">
        <f>(0)</f>
      </c>
      <c r="G3870" s="22">
        <f>(C3870 * E3870 + C3870 * E3870 * F3870)</f>
      </c>
    </row>
    <row r="3871">
      <c r="A3871" s="5" t="s">
        <v>88</v>
      </c>
      <c r="B3871" s="14" t="s">
        <v>89</v>
      </c>
      <c r="C3871" s="22">
        <f>(1)*(1)*(1)*(1)*(1 + (0))</f>
      </c>
      <c r="D3871" s="22" t="s">
        <v>71</v>
      </c>
      <c r="E3871" s="22"/>
      <c r="F3871" s="22">
        <f>(0)</f>
      </c>
      <c r="G3871" s="22">
        <f>(C3871 * E3871 + C3871 * E3871 * F3871)</f>
      </c>
    </row>
    <row r="3872">
      <c r="A3872" s="5" t="s">
        <v>90</v>
      </c>
      <c r="B3872" s="14" t="s">
        <v>91</v>
      </c>
      <c r="C3872" s="22">
        <f>(1)*(1)*(1)*(1)*(1 + (0))</f>
      </c>
      <c r="D3872" s="22" t="s">
        <v>71</v>
      </c>
      <c r="E3872" s="22"/>
      <c r="F3872" s="22">
        <f>(0)</f>
      </c>
      <c r="G3872" s="22">
        <f>(C3872 * E3872 + C3872 * E3872 * F3872)</f>
      </c>
    </row>
    <row r="3873">
      <c r="A3873" s="5" t="s">
        <v>92</v>
      </c>
      <c r="B3873" s="14" t="s">
        <v>93</v>
      </c>
      <c r="C3873" s="22">
        <f>(1)*(1)*(1)*(1)*(1 + (0))</f>
      </c>
      <c r="D3873" s="22" t="s">
        <v>71</v>
      </c>
      <c r="E3873" s="22"/>
      <c r="F3873" s="22">
        <f>(0)</f>
      </c>
      <c r="G3873" s="22">
        <f>(C3873 * E3873 + C3873 * E3873 * F3873)</f>
      </c>
    </row>
    <row r="3874">
      <c r="A3874" s="5" t="s">
        <v>94</v>
      </c>
      <c r="B3874" s="14" t="s">
        <v>95</v>
      </c>
      <c r="C3874" s="22">
        <f>(1)*(1)*(1)*(1)*(1 + (0))</f>
      </c>
      <c r="D3874" s="22" t="s">
        <v>71</v>
      </c>
      <c r="E3874" s="22"/>
      <c r="F3874" s="22">
        <f>(0)</f>
      </c>
      <c r="G3874" s="22">
        <f>(C3874 * E3874 + C3874 * E3874 * F3874)</f>
      </c>
    </row>
    <row r="3875">
      <c r="A3875" s="5" t="s">
        <v>96</v>
      </c>
      <c r="B3875" s="14" t="s">
        <v>97</v>
      </c>
      <c r="C3875" s="22">
        <f>(1)*(1)*(1)*(1)*(1 + (0))</f>
      </c>
      <c r="D3875" s="22" t="s">
        <v>71</v>
      </c>
      <c r="E3875" s="22"/>
      <c r="F3875" s="22">
        <f>(0)</f>
      </c>
      <c r="G3875" s="22">
        <f>(C3875 * E3875 + C3875 * E3875 * F3875)</f>
      </c>
    </row>
    <row r="3876">
      <c r="A3876" s="5" t="s">
        <v>98</v>
      </c>
      <c r="B3876" s="14" t="s">
        <v>99</v>
      </c>
      <c r="C3876" s="22">
        <f>(1)*(1)*(1)*(1)*(1 + (0))</f>
      </c>
      <c r="D3876" s="22" t="s">
        <v>71</v>
      </c>
      <c r="E3876" s="22"/>
      <c r="F3876" s="22">
        <f>(0)</f>
      </c>
      <c r="G3876" s="22">
        <f>(C3876 * E3876 + C3876 * E3876 * F3876)</f>
      </c>
    </row>
    <row r="3877">
      <c r="A3877" s="5" t="s">
        <v>100</v>
      </c>
      <c r="B3877" s="14" t="s">
        <v>101</v>
      </c>
      <c r="C3877" s="22">
        <f>(1)*(1)*(1)*(1)*(1 + (0))</f>
      </c>
      <c r="D3877" s="22" t="s">
        <v>71</v>
      </c>
      <c r="E3877" s="22"/>
      <c r="F3877" s="22">
        <f>(0)</f>
      </c>
      <c r="G3877" s="22">
        <f>(C3877 * E3877 + C3877 * E3877 * F3877)</f>
      </c>
    </row>
    <row r="3878">
      <c r="A3878" s="5" t="s">
        <v>102</v>
      </c>
      <c r="B3878" s="14" t="s">
        <v>103</v>
      </c>
      <c r="C3878" s="22">
        <f>(1)*(1)*(1)*(1)*(1 + (0))</f>
      </c>
      <c r="D3878" s="22" t="s">
        <v>71</v>
      </c>
      <c r="E3878" s="22"/>
      <c r="F3878" s="22">
        <f>(0)</f>
      </c>
      <c r="G3878" s="22">
        <f>(C3878 * E3878 + C3878 * E3878 * F3878)</f>
      </c>
    </row>
    <row r="3879">
      <c r="A3879" s="5" t="s">
        <v>104</v>
      </c>
      <c r="B3879" s="14" t="s">
        <v>105</v>
      </c>
      <c r="C3879" s="22">
        <f>(1)*(1)*(1)*(1)*(1 + (0))</f>
      </c>
      <c r="D3879" s="22" t="s">
        <v>71</v>
      </c>
      <c r="E3879" s="22"/>
      <c r="F3879" s="22">
        <f>(0)</f>
      </c>
      <c r="G3879" s="22">
        <f>(C3879 * E3879 + C3879 * E3879 * F3879)</f>
      </c>
    </row>
    <row r="3880">
      <c r="A3880" s="3"/>
      <c r="B3880" s="11" t="s">
        <v>106</v>
      </c>
      <c r="C3880" s="20"/>
      <c r="D3880" s="20"/>
      <c r="E3880" s="20"/>
      <c r="F3880" s="20"/>
      <c r="G3880" s="20"/>
    </row>
    <row r="3881">
      <c r="A3881" s="5"/>
      <c r="B3881" s="14" t="s">
        <v>107</v>
      </c>
      <c r="C3881" s="22"/>
      <c r="D3881" s="22" t="s">
        <v>10</v>
      </c>
      <c r="E3881" s="22"/>
      <c r="F3881" s="22">
        <f>(0)</f>
      </c>
      <c r="G3881" s="22">
        <f>(C3881 * E3881 + C3881 * E3881 * F3881)</f>
      </c>
    </row>
    <row r="3882">
      <c r="A3882" s="3"/>
      <c r="B3882" s="11" t="s">
        <v>108</v>
      </c>
      <c r="C3882" s="20"/>
      <c r="D3882" s="20"/>
      <c r="E3882" s="20"/>
      <c r="F3882" s="20"/>
      <c r="G3882" s="20"/>
    </row>
    <row r="3883">
      <c r="A3883" s="4"/>
      <c r="B3883" s="12" t="s">
        <v>109</v>
      </c>
      <c r="C3883" s="21"/>
      <c r="D3883" s="21"/>
      <c r="E3883" s="21"/>
      <c r="F3883" s="21"/>
      <c r="G3883" s="21"/>
    </row>
    <row r="3884">
      <c r="A3884" s="5"/>
      <c r="B3884" s="13" t="s">
        <v>1843</v>
      </c>
      <c r="C3884" s="22">
        <f>(94)*(1)*(1)*(1)*(1 + (0))</f>
      </c>
      <c r="D3884" s="22" t="s">
        <v>111</v>
      </c>
      <c r="E3884" s="22"/>
      <c r="F3884" s="22">
        <f>(0)</f>
      </c>
      <c r="G3884" s="22">
        <f>(C3884 * E3884 + C3884 * E3884 * F3884)</f>
      </c>
    </row>
    <row r="3885">
      <c r="A3885" s="5"/>
      <c r="B3885" s="13" t="s">
        <v>114</v>
      </c>
      <c r="C3885" s="22">
        <f>(52)*(1)*(1)*(1)*(1 + (0))</f>
      </c>
      <c r="D3885" s="22" t="s">
        <v>111</v>
      </c>
      <c r="E3885" s="22"/>
      <c r="F3885" s="22">
        <f>(0)</f>
      </c>
      <c r="G3885" s="22">
        <f>(C3885 * E3885 + C3885 * E3885 * F3885)</f>
      </c>
    </row>
    <row r="3886">
      <c r="A3886" s="2"/>
      <c r="B3886" s="10" t="s">
        <v>207</v>
      </c>
      <c r="C3886" s="19"/>
      <c r="D3886" s="19"/>
      <c r="E3886" s="19"/>
      <c r="F3886" s="19"/>
      <c r="G3886" s="19"/>
    </row>
    <row r="3887">
      <c r="A3887" s="3"/>
      <c r="B3887" s="11" t="s">
        <v>37</v>
      </c>
      <c r="C3887" s="20"/>
      <c r="D3887" s="20"/>
      <c r="E3887" s="20"/>
      <c r="F3887" s="20"/>
      <c r="G3887" s="20"/>
    </row>
    <row r="3888">
      <c r="A3888" s="5" t="s">
        <v>208</v>
      </c>
      <c r="B3888" s="14" t="s">
        <v>39</v>
      </c>
      <c r="C3888" s="22"/>
      <c r="D3888" s="22" t="s">
        <v>10</v>
      </c>
      <c r="E3888" s="22"/>
      <c r="F3888" s="22">
        <f>(0)</f>
      </c>
      <c r="G3888" s="22">
        <f>(C3888 * E3888 + C3888 * E3888 * F3888)</f>
      </c>
    </row>
    <row r="3889">
      <c r="A3889" s="5" t="s">
        <v>209</v>
      </c>
      <c r="B3889" s="14" t="s">
        <v>41</v>
      </c>
      <c r="C3889" s="22"/>
      <c r="D3889" s="22" t="s">
        <v>10</v>
      </c>
      <c r="E3889" s="22"/>
      <c r="F3889" s="22">
        <f>(0)</f>
      </c>
      <c r="G3889" s="22">
        <f>(C3889 * E3889 + C3889 * E3889 * F3889)</f>
      </c>
    </row>
    <row r="3890">
      <c r="A3890" s="3"/>
      <c r="B3890" s="11" t="s">
        <v>42</v>
      </c>
      <c r="C3890" s="20"/>
      <c r="D3890" s="20"/>
      <c r="E3890" s="20"/>
      <c r="F3890" s="20"/>
      <c r="G3890" s="20"/>
    </row>
    <row r="3891">
      <c r="A3891" s="5"/>
      <c r="B3891" s="14" t="s">
        <v>118</v>
      </c>
      <c r="C3891" s="22"/>
      <c r="D3891" s="22" t="s">
        <v>10</v>
      </c>
      <c r="E3891" s="22"/>
      <c r="F3891" s="22">
        <f>(0)</f>
      </c>
      <c r="G3891" s="22">
        <f>(C3891 * E3891 + C3891 * E3891 * F3891)</f>
      </c>
    </row>
    <row r="3892">
      <c r="A3892" s="5"/>
      <c r="B3892" s="14" t="s">
        <v>636</v>
      </c>
      <c r="C3892" s="22"/>
      <c r="D3892" s="22" t="s">
        <v>10</v>
      </c>
      <c r="E3892" s="22"/>
      <c r="F3892" s="22">
        <f>(0)</f>
      </c>
      <c r="G3892" s="22">
        <f>(C3892 * E3892 + C3892 * E3892 * F3892)</f>
      </c>
    </row>
    <row r="3893">
      <c r="A3893" s="5"/>
      <c r="B3893" s="14" t="s">
        <v>210</v>
      </c>
      <c r="C3893" s="22"/>
      <c r="D3893" s="22" t="s">
        <v>10</v>
      </c>
      <c r="E3893" s="22"/>
      <c r="F3893" s="22">
        <f>(0)</f>
      </c>
      <c r="G3893" s="22">
        <f>(C3893 * E3893 + C3893 * E3893 * F3893)</f>
      </c>
    </row>
    <row r="3894">
      <c r="A3894" s="3"/>
      <c r="B3894" s="11" t="s">
        <v>44</v>
      </c>
      <c r="C3894" s="20"/>
      <c r="D3894" s="20"/>
      <c r="E3894" s="20"/>
      <c r="F3894" s="20"/>
      <c r="G3894" s="20"/>
    </row>
    <row r="3895">
      <c r="A3895" s="4"/>
      <c r="B3895" s="12" t="s">
        <v>45</v>
      </c>
      <c r="C3895" s="21"/>
      <c r="D3895" s="21"/>
      <c r="E3895" s="21"/>
      <c r="F3895" s="21"/>
      <c r="G3895" s="21"/>
    </row>
    <row r="3896">
      <c r="A3896" s="5" t="s">
        <v>211</v>
      </c>
      <c r="B3896" s="13" t="s">
        <v>212</v>
      </c>
      <c r="C3896" s="22"/>
      <c r="D3896" s="22" t="s">
        <v>10</v>
      </c>
      <c r="E3896" s="22"/>
      <c r="F3896" s="22">
        <f>(0)</f>
      </c>
      <c r="G3896" s="22">
        <f>(C3896 * E3896 + C3896 * E3896 * F3896)</f>
      </c>
    </row>
    <row r="3897">
      <c r="A3897" s="5" t="s">
        <v>213</v>
      </c>
      <c r="B3897" s="13" t="s">
        <v>214</v>
      </c>
      <c r="C3897" s="22"/>
      <c r="D3897" s="22" t="s">
        <v>10</v>
      </c>
      <c r="E3897" s="22"/>
      <c r="F3897" s="22">
        <f>(0)</f>
      </c>
      <c r="G3897" s="22">
        <f>(C3897 * E3897 + C3897 * E3897 * F3897)</f>
      </c>
    </row>
    <row r="3898">
      <c r="A3898" s="5" t="s">
        <v>215</v>
      </c>
      <c r="B3898" s="13" t="s">
        <v>216</v>
      </c>
      <c r="C3898" s="22"/>
      <c r="D3898" s="22" t="s">
        <v>10</v>
      </c>
      <c r="E3898" s="22"/>
      <c r="F3898" s="22">
        <f>(0)</f>
      </c>
      <c r="G3898" s="22">
        <f>(C3898 * E3898 + C3898 * E3898 * F3898)</f>
      </c>
    </row>
    <row r="3899">
      <c r="A3899" s="5" t="s">
        <v>217</v>
      </c>
      <c r="B3899" s="13" t="s">
        <v>218</v>
      </c>
      <c r="C3899" s="22"/>
      <c r="D3899" s="22" t="s">
        <v>10</v>
      </c>
      <c r="E3899" s="22"/>
      <c r="F3899" s="22">
        <f>(0)</f>
      </c>
      <c r="G3899" s="22">
        <f>(C3899 * E3899 + C3899 * E3899 * F3899)</f>
      </c>
    </row>
    <row r="3900">
      <c r="A3900" s="5" t="s">
        <v>219</v>
      </c>
      <c r="B3900" s="13" t="s">
        <v>220</v>
      </c>
      <c r="C3900" s="22"/>
      <c r="D3900" s="22" t="s">
        <v>10</v>
      </c>
      <c r="E3900" s="22"/>
      <c r="F3900" s="22">
        <f>(0)</f>
      </c>
      <c r="G3900" s="22">
        <f>(C3900 * E3900 + C3900 * E3900 * F3900)</f>
      </c>
    </row>
    <row r="3901">
      <c r="A3901" s="5" t="s">
        <v>221</v>
      </c>
      <c r="B3901" s="13" t="s">
        <v>123</v>
      </c>
      <c r="C3901" s="22"/>
      <c r="D3901" s="22" t="s">
        <v>10</v>
      </c>
      <c r="E3901" s="22"/>
      <c r="F3901" s="22">
        <f>(0)</f>
      </c>
      <c r="G3901" s="22">
        <f>(C3901 * E3901 + C3901 * E3901 * F3901)</f>
      </c>
    </row>
    <row r="3902">
      <c r="A3902" s="3"/>
      <c r="B3902" s="11" t="s">
        <v>68</v>
      </c>
      <c r="C3902" s="20"/>
      <c r="D3902" s="20"/>
      <c r="E3902" s="20"/>
      <c r="F3902" s="20"/>
      <c r="G3902" s="20"/>
    </row>
    <row r="3903">
      <c r="A3903" s="5" t="s">
        <v>222</v>
      </c>
      <c r="B3903" s="14" t="s">
        <v>223</v>
      </c>
      <c r="C3903" s="22">
        <f>(1)*(1)*(1)*(1)*(1 + (0))</f>
      </c>
      <c r="D3903" s="22" t="s">
        <v>71</v>
      </c>
      <c r="E3903" s="22"/>
      <c r="F3903" s="22">
        <f>(0)</f>
      </c>
      <c r="G3903" s="22">
        <f>(C3903 * E3903 + C3903 * E3903 * F3903)</f>
      </c>
    </row>
    <row r="3904">
      <c r="A3904" s="5" t="s">
        <v>224</v>
      </c>
      <c r="B3904" s="14" t="s">
        <v>70</v>
      </c>
      <c r="C3904" s="22">
        <f>(1)*(1)*(1)*(1)*(1 + (0))</f>
      </c>
      <c r="D3904" s="22" t="s">
        <v>71</v>
      </c>
      <c r="E3904" s="22"/>
      <c r="F3904" s="22">
        <f>(0)</f>
      </c>
      <c r="G3904" s="22">
        <f>(C3904 * E3904 + C3904 * E3904 * F3904)</f>
      </c>
    </row>
    <row r="3905">
      <c r="A3905" s="5" t="s">
        <v>225</v>
      </c>
      <c r="B3905" s="14" t="s">
        <v>73</v>
      </c>
      <c r="C3905" s="22">
        <f>(1)*(1)*(1)*(1)*(1 + (0))</f>
      </c>
      <c r="D3905" s="22" t="s">
        <v>71</v>
      </c>
      <c r="E3905" s="22"/>
      <c r="F3905" s="22">
        <f>(0)</f>
      </c>
      <c r="G3905" s="22">
        <f>(C3905 * E3905 + C3905 * E3905 * F3905)</f>
      </c>
    </row>
    <row r="3906">
      <c r="A3906" s="5" t="s">
        <v>226</v>
      </c>
      <c r="B3906" s="14" t="s">
        <v>134</v>
      </c>
      <c r="C3906" s="22">
        <f>(1)*(1)*(1)*(1)*(1 + (0))</f>
      </c>
      <c r="D3906" s="22" t="s">
        <v>71</v>
      </c>
      <c r="E3906" s="22"/>
      <c r="F3906" s="22">
        <f>(0)</f>
      </c>
      <c r="G3906" s="22">
        <f>(C3906 * E3906 + C3906 * E3906 * F3906)</f>
      </c>
    </row>
    <row r="3907">
      <c r="A3907" s="5" t="s">
        <v>227</v>
      </c>
      <c r="B3907" s="14" t="s">
        <v>228</v>
      </c>
      <c r="C3907" s="22">
        <f>(1)*(1)*(1)*(1)*(1 + (0))</f>
      </c>
      <c r="D3907" s="22" t="s">
        <v>71</v>
      </c>
      <c r="E3907" s="22"/>
      <c r="F3907" s="22">
        <f>(0)</f>
      </c>
      <c r="G3907" s="22">
        <f>(C3907 * E3907 + C3907 * E3907 * F3907)</f>
      </c>
    </row>
    <row r="3908">
      <c r="A3908" s="5" t="s">
        <v>229</v>
      </c>
      <c r="B3908" s="14" t="s">
        <v>230</v>
      </c>
      <c r="C3908" s="22">
        <f>(1)*(1)*(1)*(1)*(1 + (0))</f>
      </c>
      <c r="D3908" s="22" t="s">
        <v>71</v>
      </c>
      <c r="E3908" s="22"/>
      <c r="F3908" s="22">
        <f>(0)</f>
      </c>
      <c r="G3908" s="22">
        <f>(C3908 * E3908 + C3908 * E3908 * F3908)</f>
      </c>
    </row>
    <row r="3909">
      <c r="A3909" s="5" t="s">
        <v>231</v>
      </c>
      <c r="B3909" s="14" t="s">
        <v>232</v>
      </c>
      <c r="C3909" s="22">
        <f>(1)*(1)*(1)*(1)*(1 + (0))</f>
      </c>
      <c r="D3909" s="22" t="s">
        <v>71</v>
      </c>
      <c r="E3909" s="22"/>
      <c r="F3909" s="22">
        <f>(0)</f>
      </c>
      <c r="G3909" s="22">
        <f>(C3909 * E3909 + C3909 * E3909 * F3909)</f>
      </c>
    </row>
    <row r="3910">
      <c r="A3910" s="5" t="s">
        <v>233</v>
      </c>
      <c r="B3910" s="14" t="s">
        <v>234</v>
      </c>
      <c r="C3910" s="22">
        <f>(1)*(1)*(1)*(1)*(1 + (0))</f>
      </c>
      <c r="D3910" s="22" t="s">
        <v>71</v>
      </c>
      <c r="E3910" s="22"/>
      <c r="F3910" s="22">
        <f>(0)</f>
      </c>
      <c r="G3910" s="22">
        <f>(C3910 * E3910 + C3910 * E3910 * F3910)</f>
      </c>
    </row>
    <row r="3911">
      <c r="A3911" s="5" t="s">
        <v>235</v>
      </c>
      <c r="B3911" s="14" t="s">
        <v>236</v>
      </c>
      <c r="C3911" s="22">
        <f>(1)*(1)*(1)*(1)*(1 + (0))</f>
      </c>
      <c r="D3911" s="22" t="s">
        <v>71</v>
      </c>
      <c r="E3911" s="22"/>
      <c r="F3911" s="22">
        <f>(0)</f>
      </c>
      <c r="G3911" s="22">
        <f>(C3911 * E3911 + C3911 * E3911 * F3911)</f>
      </c>
    </row>
    <row r="3912">
      <c r="A3912" s="5" t="s">
        <v>237</v>
      </c>
      <c r="B3912" s="14" t="s">
        <v>238</v>
      </c>
      <c r="C3912" s="22">
        <f>(1)*(1)*(1)*(1)*(1 + (0))</f>
      </c>
      <c r="D3912" s="22" t="s">
        <v>71</v>
      </c>
      <c r="E3912" s="22"/>
      <c r="F3912" s="22">
        <f>(0)</f>
      </c>
      <c r="G3912" s="22">
        <f>(C3912 * E3912 + C3912 * E3912 * F3912)</f>
      </c>
    </row>
    <row r="3913">
      <c r="A3913" s="5" t="s">
        <v>239</v>
      </c>
      <c r="B3913" s="14" t="s">
        <v>240</v>
      </c>
      <c r="C3913" s="22">
        <f>(1)*(1)*(1)*(1)*(1 + (0))</f>
      </c>
      <c r="D3913" s="22" t="s">
        <v>71</v>
      </c>
      <c r="E3913" s="22"/>
      <c r="F3913" s="22">
        <f>(0)</f>
      </c>
      <c r="G3913" s="22">
        <f>(C3913 * E3913 + C3913 * E3913 * F3913)</f>
      </c>
    </row>
    <row r="3914">
      <c r="A3914" s="3"/>
      <c r="B3914" s="11" t="s">
        <v>106</v>
      </c>
      <c r="C3914" s="20"/>
      <c r="D3914" s="20"/>
      <c r="E3914" s="20"/>
      <c r="F3914" s="20"/>
      <c r="G3914" s="20"/>
    </row>
    <row r="3915">
      <c r="A3915" s="5"/>
      <c r="B3915" s="14" t="s">
        <v>241</v>
      </c>
      <c r="C3915" s="22"/>
      <c r="D3915" s="22" t="s">
        <v>10</v>
      </c>
      <c r="E3915" s="22"/>
      <c r="F3915" s="22">
        <f>(0)</f>
      </c>
      <c r="G3915" s="22">
        <f>(C3915 * E3915 + C3915 * E3915 * F3915)</f>
      </c>
    </row>
    <row r="3916">
      <c r="A3916" s="3"/>
      <c r="B3916" s="11" t="s">
        <v>242</v>
      </c>
      <c r="C3916" s="20"/>
      <c r="D3916" s="20"/>
      <c r="E3916" s="20"/>
      <c r="F3916" s="20"/>
      <c r="G3916" s="20"/>
    </row>
    <row r="3917">
      <c r="A3917" s="5"/>
      <c r="B3917" s="14" t="s">
        <v>1623</v>
      </c>
      <c r="C3917" s="22">
        <f>(276)*(1)*(1)*(1)*(1 + (0))</f>
      </c>
      <c r="D3917" s="22" t="s">
        <v>111</v>
      </c>
      <c r="E3917" s="22"/>
      <c r="F3917" s="22">
        <f>(0)</f>
      </c>
      <c r="G3917" s="22">
        <f>(C3917 * E3917 + C3917 * E3917 * F3917)</f>
      </c>
    </row>
    <row r="3918">
      <c r="A3918" s="3"/>
      <c r="B3918" s="11" t="s">
        <v>245</v>
      </c>
      <c r="C3918" s="20"/>
      <c r="D3918" s="20"/>
      <c r="E3918" s="20"/>
      <c r="F3918" s="20"/>
      <c r="G3918" s="20"/>
    </row>
    <row r="3919">
      <c r="A3919" s="4"/>
      <c r="B3919" s="12" t="s">
        <v>1844</v>
      </c>
      <c r="C3919" s="21"/>
      <c r="D3919" s="21"/>
      <c r="E3919" s="21"/>
      <c r="F3919" s="21"/>
      <c r="G3919" s="21"/>
    </row>
    <row r="3920">
      <c r="A3920" s="6"/>
      <c r="B3920" s="15" t="s">
        <v>252</v>
      </c>
      <c r="C3920" s="23"/>
      <c r="D3920" s="23"/>
      <c r="E3920" s="23"/>
      <c r="F3920" s="23"/>
      <c r="G3920" s="23"/>
    </row>
    <row r="3921">
      <c r="A3921" s="5"/>
      <c r="B3921" s="16" t="s">
        <v>1845</v>
      </c>
      <c r="C3921" s="22">
        <f>(31)*(1)*(1)*(1)*(1 + (0))</f>
      </c>
      <c r="D3921" s="22" t="s">
        <v>111</v>
      </c>
      <c r="E3921" s="22"/>
      <c r="F3921" s="22">
        <f>(0)</f>
      </c>
      <c r="G3921" s="22">
        <f>(C3921 * E3921 + C3921 * E3921 * F3921)</f>
      </c>
    </row>
    <row r="3922">
      <c r="A3922" s="5"/>
      <c r="B3922" s="16" t="s">
        <v>1846</v>
      </c>
      <c r="C3922" s="22">
        <f>(20)*(1)*(1)*(1)*(1 + (0))</f>
      </c>
      <c r="D3922" s="22" t="s">
        <v>111</v>
      </c>
      <c r="E3922" s="22"/>
      <c r="F3922" s="22">
        <f>(0)</f>
      </c>
      <c r="G3922" s="22">
        <f>(C3922 * E3922 + C3922 * E3922 * F3922)</f>
      </c>
    </row>
    <row r="3923">
      <c r="A3923" s="5"/>
      <c r="B3923" s="16" t="s">
        <v>1847</v>
      </c>
      <c r="C3923" s="22">
        <f>(19)*(1)*(1)*(1)*(1 + (0))</f>
      </c>
      <c r="D3923" s="22" t="s">
        <v>111</v>
      </c>
      <c r="E3923" s="22"/>
      <c r="F3923" s="22">
        <f>(0)</f>
      </c>
      <c r="G3923" s="22">
        <f>(C3923 * E3923 + C3923 * E3923 * F3923)</f>
      </c>
    </row>
    <row r="3924">
      <c r="A3924" s="5"/>
      <c r="B3924" s="16" t="s">
        <v>1848</v>
      </c>
      <c r="C3924" s="22">
        <f>(6)*(1)*(1)*(1)*(1 + (0))</f>
      </c>
      <c r="D3924" s="22" t="s">
        <v>111</v>
      </c>
      <c r="E3924" s="22"/>
      <c r="F3924" s="22">
        <f>(0)</f>
      </c>
      <c r="G3924" s="22">
        <f>(C3924 * E3924 + C3924 * E3924 * F3924)</f>
      </c>
    </row>
    <row r="3925">
      <c r="A3925" s="5"/>
      <c r="B3925" s="16" t="s">
        <v>1849</v>
      </c>
      <c r="C3925" s="22">
        <f>(10)*(1)*(1)*(1)*(1 + (0))</f>
      </c>
      <c r="D3925" s="22" t="s">
        <v>111</v>
      </c>
      <c r="E3925" s="22"/>
      <c r="F3925" s="22">
        <f>(0)</f>
      </c>
      <c r="G3925" s="22">
        <f>(C3925 * E3925 + C3925 * E3925 * F3925)</f>
      </c>
    </row>
    <row r="3926">
      <c r="A3926" s="5"/>
      <c r="B3926" s="16" t="s">
        <v>1850</v>
      </c>
      <c r="C3926" s="22">
        <f>(5)*(1)*(1)*(1)*(1 + (0))</f>
      </c>
      <c r="D3926" s="22" t="s">
        <v>111</v>
      </c>
      <c r="E3926" s="22"/>
      <c r="F3926" s="22">
        <f>(0)</f>
      </c>
      <c r="G3926" s="22">
        <f>(C3926 * E3926 + C3926 * E3926 * F3926)</f>
      </c>
    </row>
    <row r="3927">
      <c r="A3927" s="5"/>
      <c r="B3927" s="16" t="s">
        <v>1851</v>
      </c>
      <c r="C3927" s="22">
        <f>(6)*(1)*(1)*(1)*(1 + (0))</f>
      </c>
      <c r="D3927" s="22" t="s">
        <v>111</v>
      </c>
      <c r="E3927" s="22"/>
      <c r="F3927" s="22">
        <f>(0)</f>
      </c>
      <c r="G3927" s="22">
        <f>(C3927 * E3927 + C3927 * E3927 * F3927)</f>
      </c>
    </row>
    <row r="3928">
      <c r="A3928" s="4"/>
      <c r="B3928" s="12" t="s">
        <v>256</v>
      </c>
      <c r="C3928" s="21"/>
      <c r="D3928" s="21"/>
      <c r="E3928" s="21"/>
      <c r="F3928" s="21"/>
      <c r="G3928" s="21"/>
    </row>
    <row r="3929">
      <c r="A3929" s="6"/>
      <c r="B3929" s="15" t="s">
        <v>252</v>
      </c>
      <c r="C3929" s="23"/>
      <c r="D3929" s="23"/>
      <c r="E3929" s="23"/>
      <c r="F3929" s="23"/>
      <c r="G3929" s="23"/>
    </row>
    <row r="3930">
      <c r="A3930" s="5"/>
      <c r="B3930" s="16" t="s">
        <v>1852</v>
      </c>
      <c r="C3930" s="22">
        <f>(15)*(1)*(1)*(1)*(1 + (0))</f>
      </c>
      <c r="D3930" s="22" t="s">
        <v>111</v>
      </c>
      <c r="E3930" s="22"/>
      <c r="F3930" s="22">
        <f>(0)</f>
      </c>
      <c r="G3930" s="22">
        <f>(C3930 * E3930 + C3930 * E3930 * F3930)</f>
      </c>
    </row>
    <row r="3931">
      <c r="A3931" s="5"/>
      <c r="B3931" s="16" t="s">
        <v>1853</v>
      </c>
      <c r="C3931" s="22">
        <f>(2)*(1)*(1)*(1)*(1 + (0))</f>
      </c>
      <c r="D3931" s="22" t="s">
        <v>111</v>
      </c>
      <c r="E3931" s="22"/>
      <c r="F3931" s="22">
        <f>(0)</f>
      </c>
      <c r="G3931" s="22">
        <f>(C3931 * E3931 + C3931 * E3931 * F3931)</f>
      </c>
    </row>
    <row r="3932">
      <c r="A3932" s="5"/>
      <c r="B3932" s="16" t="s">
        <v>1854</v>
      </c>
      <c r="C3932" s="22">
        <f>(5)*(1)*(1)*(1)*(1 + (0))</f>
      </c>
      <c r="D3932" s="22" t="s">
        <v>111</v>
      </c>
      <c r="E3932" s="22"/>
      <c r="F3932" s="22">
        <f>(0)</f>
      </c>
      <c r="G3932" s="22">
        <f>(C3932 * E3932 + C3932 * E3932 * F3932)</f>
      </c>
    </row>
    <row r="3933">
      <c r="A3933" s="5"/>
      <c r="B3933" s="16" t="s">
        <v>1855</v>
      </c>
      <c r="C3933" s="22">
        <f>(29)*(1)*(1)*(1)*(1 + (0))</f>
      </c>
      <c r="D3933" s="22" t="s">
        <v>111</v>
      </c>
      <c r="E3933" s="22"/>
      <c r="F3933" s="22">
        <f>(0)</f>
      </c>
      <c r="G3933" s="22">
        <f>(C3933 * E3933 + C3933 * E3933 * F3933)</f>
      </c>
    </row>
    <row r="3934">
      <c r="A3934" s="5"/>
      <c r="B3934" s="16" t="s">
        <v>1856</v>
      </c>
      <c r="C3934" s="22">
        <f>(2)*(1)*(1)*(1)*(1 + (0))</f>
      </c>
      <c r="D3934" s="22" t="s">
        <v>111</v>
      </c>
      <c r="E3934" s="22"/>
      <c r="F3934" s="22">
        <f>(0)</f>
      </c>
      <c r="G3934" s="22">
        <f>(C3934 * E3934 + C3934 * E3934 * F3934)</f>
      </c>
    </row>
    <row r="3935">
      <c r="A3935" s="4"/>
      <c r="B3935" s="12" t="s">
        <v>261</v>
      </c>
      <c r="C3935" s="21"/>
      <c r="D3935" s="21"/>
      <c r="E3935" s="21"/>
      <c r="F3935" s="21"/>
      <c r="G3935" s="21"/>
    </row>
    <row r="3936">
      <c r="A3936" s="6"/>
      <c r="B3936" s="15" t="s">
        <v>252</v>
      </c>
      <c r="C3936" s="23"/>
      <c r="D3936" s="23"/>
      <c r="E3936" s="23"/>
      <c r="F3936" s="23"/>
      <c r="G3936" s="23"/>
    </row>
    <row r="3937">
      <c r="A3937" s="5"/>
      <c r="B3937" s="16" t="s">
        <v>1857</v>
      </c>
      <c r="C3937" s="22">
        <f>(17)*(1)*(1)*(1)*(1 + (0))</f>
      </c>
      <c r="D3937" s="22" t="s">
        <v>111</v>
      </c>
      <c r="E3937" s="22"/>
      <c r="F3937" s="22">
        <f>(0)</f>
      </c>
      <c r="G3937" s="22">
        <f>(C3937 * E3937 + C3937 * E3937 * F3937)</f>
      </c>
    </row>
    <row r="3938">
      <c r="A3938" s="5"/>
      <c r="B3938" s="16" t="s">
        <v>1858</v>
      </c>
      <c r="C3938" s="22">
        <f>(96)*(1)*(1)*(1)*(1 + (0))</f>
      </c>
      <c r="D3938" s="22" t="s">
        <v>111</v>
      </c>
      <c r="E3938" s="22"/>
      <c r="F3938" s="22">
        <f>(0)</f>
      </c>
      <c r="G3938" s="22">
        <f>(C3938 * E3938 + C3938 * E3938 * F3938)</f>
      </c>
    </row>
    <row r="3939">
      <c r="A3939" s="5"/>
      <c r="B3939" s="16" t="s">
        <v>1859</v>
      </c>
      <c r="C3939" s="22">
        <f>(2)*(1)*(1)*(1)*(1 + (0))</f>
      </c>
      <c r="D3939" s="22" t="s">
        <v>111</v>
      </c>
      <c r="E3939" s="22"/>
      <c r="F3939" s="22">
        <f>(0)</f>
      </c>
      <c r="G3939" s="22">
        <f>(C3939 * E3939 + C3939 * E3939 * F3939)</f>
      </c>
    </row>
    <row r="3940">
      <c r="A3940" s="5"/>
      <c r="B3940" s="16" t="s">
        <v>1860</v>
      </c>
      <c r="C3940" s="22">
        <f>(1)*(1)*(1)*(1)*(1 + (0))</f>
      </c>
      <c r="D3940" s="22" t="s">
        <v>111</v>
      </c>
      <c r="E3940" s="22"/>
      <c r="F3940" s="22">
        <f>(0)</f>
      </c>
      <c r="G3940" s="22">
        <f>(C3940 * E3940 + C3940 * E3940 * F3940)</f>
      </c>
    </row>
    <row r="3941">
      <c r="A3941" s="5"/>
      <c r="B3941" s="16" t="s">
        <v>1861</v>
      </c>
      <c r="C3941" s="22">
        <f>(6)*(1)*(1)*(1)*(1 + (0))</f>
      </c>
      <c r="D3941" s="22" t="s">
        <v>111</v>
      </c>
      <c r="E3941" s="22"/>
      <c r="F3941" s="22">
        <f>(0)</f>
      </c>
      <c r="G3941" s="22">
        <f>(C3941 * E3941 + C3941 * E3941 * F3941)</f>
      </c>
    </row>
    <row r="3942">
      <c r="A3942" s="5"/>
      <c r="B3942" s="16" t="s">
        <v>1862</v>
      </c>
      <c r="C3942" s="22">
        <f>(149)*(1)*(1)*(1)*(1 + (0))</f>
      </c>
      <c r="D3942" s="22" t="s">
        <v>24</v>
      </c>
      <c r="E3942" s="22"/>
      <c r="F3942" s="22">
        <f>(0)</f>
      </c>
      <c r="G3942" s="22">
        <f>(C3942 * E3942 + C3942 * E3942 * F3942)</f>
      </c>
    </row>
    <row r="3943">
      <c r="A3943" s="4"/>
      <c r="B3943" s="12" t="s">
        <v>312</v>
      </c>
      <c r="C3943" s="21"/>
      <c r="D3943" s="21"/>
      <c r="E3943" s="21"/>
      <c r="F3943" s="21"/>
      <c r="G3943" s="21"/>
    </row>
    <row r="3944">
      <c r="A3944" s="6"/>
      <c r="B3944" s="15" t="s">
        <v>1863</v>
      </c>
      <c r="C3944" s="23"/>
      <c r="D3944" s="23"/>
      <c r="E3944" s="23"/>
      <c r="F3944" s="23"/>
      <c r="G3944" s="23"/>
    </row>
    <row r="3945">
      <c r="A3945" s="5"/>
      <c r="B3945" s="16" t="s">
        <v>1864</v>
      </c>
      <c r="C3945" s="22">
        <f>(3)*(1)*(1)*(1)*(1 + (0))</f>
      </c>
      <c r="D3945" s="22" t="s">
        <v>111</v>
      </c>
      <c r="E3945" s="22"/>
      <c r="F3945" s="22">
        <f>(0)</f>
      </c>
      <c r="G3945" s="22">
        <f>(C3945 * E3945 + C3945 * E3945 * F3945)</f>
      </c>
    </row>
    <row r="3946">
      <c r="A3946" s="5"/>
      <c r="B3946" s="16" t="s">
        <v>1865</v>
      </c>
      <c r="C3946" s="22">
        <f>(1)*(1)*(1)*(1)*(1 + (0))</f>
      </c>
      <c r="D3946" s="22" t="s">
        <v>111</v>
      </c>
      <c r="E3946" s="22"/>
      <c r="F3946" s="22">
        <f>(0)</f>
      </c>
      <c r="G3946" s="22">
        <f>(C3946 * E3946 + C3946 * E3946 * F3946)</f>
      </c>
    </row>
    <row r="3947">
      <c r="A3947" s="3"/>
      <c r="B3947" s="11" t="s">
        <v>325</v>
      </c>
      <c r="C3947" s="20"/>
      <c r="D3947" s="20"/>
      <c r="E3947" s="20"/>
      <c r="F3947" s="20"/>
      <c r="G3947" s="20"/>
    </row>
    <row r="3948">
      <c r="A3948" s="4"/>
      <c r="B3948" s="12" t="s">
        <v>326</v>
      </c>
      <c r="C3948" s="21"/>
      <c r="D3948" s="21"/>
      <c r="E3948" s="21"/>
      <c r="F3948" s="21"/>
      <c r="G3948" s="21"/>
    </row>
    <row r="3949">
      <c r="A3949" s="5"/>
      <c r="B3949" s="13" t="s">
        <v>327</v>
      </c>
      <c r="C3949" s="22">
        <f>(714)*(1)*(1)*(1)*(1 + (0))</f>
      </c>
      <c r="D3949" s="22" t="s">
        <v>24</v>
      </c>
      <c r="E3949" s="22"/>
      <c r="F3949" s="22">
        <f>(0)</f>
      </c>
      <c r="G3949" s="22">
        <f>(C3949 * E3949 + C3949 * E3949 * F3949)</f>
      </c>
    </row>
    <row r="3950">
      <c r="A3950" s="4"/>
      <c r="B3950" s="12" t="s">
        <v>330</v>
      </c>
      <c r="C3950" s="21"/>
      <c r="D3950" s="21"/>
      <c r="E3950" s="21"/>
      <c r="F3950" s="21"/>
      <c r="G3950" s="21"/>
    </row>
    <row r="3951">
      <c r="A3951" s="5"/>
      <c r="B3951" s="13" t="s">
        <v>331</v>
      </c>
      <c r="C3951" s="22">
        <f>(714)*(1)*(1)*(1)*(1 + (0))</f>
      </c>
      <c r="D3951" s="22" t="s">
        <v>24</v>
      </c>
      <c r="E3951" s="22"/>
      <c r="F3951" s="22">
        <f>(0)</f>
      </c>
      <c r="G3951" s="22">
        <f>(C3951 * E3951 + C3951 * E3951 * F3951)</f>
      </c>
    </row>
    <row r="3952">
      <c r="A3952" s="5"/>
      <c r="B3952" s="13" t="s">
        <v>333</v>
      </c>
      <c r="C3952" s="22">
        <f>(49)*(1)*(1)*(1)*(1 + (0))</f>
      </c>
      <c r="D3952" s="22" t="s">
        <v>24</v>
      </c>
      <c r="E3952" s="22"/>
      <c r="F3952" s="22">
        <f>(0)</f>
      </c>
      <c r="G3952" s="22">
        <f>(C3952 * E3952 + C3952 * E3952 * F3952)</f>
      </c>
    </row>
    <row r="3953">
      <c r="A3953" s="3"/>
      <c r="B3953" s="11" t="s">
        <v>344</v>
      </c>
      <c r="C3953" s="20"/>
      <c r="D3953" s="20"/>
      <c r="E3953" s="20"/>
      <c r="F3953" s="20"/>
      <c r="G3953" s="20"/>
    </row>
    <row r="3954">
      <c r="A3954" s="5"/>
      <c r="B3954" s="14" t="s">
        <v>345</v>
      </c>
      <c r="C3954" s="22">
        <f>(11)*(1)*(1)*(1)*(1 + (0))</f>
      </c>
      <c r="D3954" s="22" t="s">
        <v>153</v>
      </c>
      <c r="E3954" s="22"/>
      <c r="F3954" s="22">
        <f>(0)</f>
      </c>
      <c r="G3954" s="22">
        <f>(C3954 * E3954 + C3954 * E3954 * F3954)</f>
      </c>
    </row>
    <row r="3955">
      <c r="A3955" s="5"/>
      <c r="B3955" s="14" t="s">
        <v>1663</v>
      </c>
      <c r="C3955" s="22">
        <f>(23)*(1)*(1)*(1)*(1 + (0))</f>
      </c>
      <c r="D3955" s="22" t="s">
        <v>153</v>
      </c>
      <c r="E3955" s="22"/>
      <c r="F3955" s="22">
        <f>(0)</f>
      </c>
      <c r="G3955" s="22">
        <f>(C3955 * E3955 + C3955 * E3955 * F3955)</f>
      </c>
    </row>
    <row r="3956">
      <c r="A3956" s="3"/>
      <c r="B3956" s="11" t="s">
        <v>347</v>
      </c>
      <c r="C3956" s="20"/>
      <c r="D3956" s="20"/>
      <c r="E3956" s="20"/>
      <c r="F3956" s="20"/>
      <c r="G3956" s="20"/>
    </row>
    <row r="3957">
      <c r="A3957" s="5"/>
      <c r="B3957" s="14" t="s">
        <v>1866</v>
      </c>
      <c r="C3957" s="22">
        <f>(714)*(1)*(1)*(1)*(1 + (0))</f>
      </c>
      <c r="D3957" s="22" t="s">
        <v>24</v>
      </c>
      <c r="E3957" s="22"/>
      <c r="F3957" s="22">
        <f>(0)</f>
      </c>
      <c r="G3957" s="22">
        <f>(C3957 * E3957 + C3957 * E3957 * F3957)</f>
      </c>
    </row>
    <row r="3958">
      <c r="A3958" s="5"/>
      <c r="B3958" s="14" t="s">
        <v>349</v>
      </c>
      <c r="C3958" s="22">
        <f>(1312)*(1)*(1)*(1)*(1 + (0))</f>
      </c>
      <c r="D3958" s="22" t="s">
        <v>24</v>
      </c>
      <c r="E3958" s="22"/>
      <c r="F3958" s="22">
        <f>(0)</f>
      </c>
      <c r="G3958" s="22">
        <f>(C3958 * E3958 + C3958 * E3958 * F3958)</f>
      </c>
    </row>
    <row r="3959">
      <c r="A3959" s="2"/>
      <c r="B3959" s="10" t="s">
        <v>350</v>
      </c>
      <c r="C3959" s="19"/>
      <c r="D3959" s="19"/>
      <c r="E3959" s="19"/>
      <c r="F3959" s="19"/>
      <c r="G3959" s="19"/>
    </row>
    <row r="3960">
      <c r="A3960" s="3"/>
      <c r="B3960" s="11" t="s">
        <v>37</v>
      </c>
      <c r="C3960" s="20"/>
      <c r="D3960" s="20"/>
      <c r="E3960" s="20"/>
      <c r="F3960" s="20"/>
      <c r="G3960" s="20"/>
    </row>
    <row r="3961">
      <c r="A3961" s="5" t="s">
        <v>351</v>
      </c>
      <c r="B3961" s="14" t="s">
        <v>39</v>
      </c>
      <c r="C3961" s="22"/>
      <c r="D3961" s="22" t="s">
        <v>10</v>
      </c>
      <c r="E3961" s="22"/>
      <c r="F3961" s="22">
        <f>(0)</f>
      </c>
      <c r="G3961" s="22">
        <f>(C3961 * E3961 + C3961 * E3961 * F3961)</f>
      </c>
    </row>
    <row r="3962">
      <c r="A3962" s="5" t="s">
        <v>352</v>
      </c>
      <c r="B3962" s="14" t="s">
        <v>41</v>
      </c>
      <c r="C3962" s="22"/>
      <c r="D3962" s="22" t="s">
        <v>10</v>
      </c>
      <c r="E3962" s="22"/>
      <c r="F3962" s="22">
        <f>(0)</f>
      </c>
      <c r="G3962" s="22">
        <f>(C3962 * E3962 + C3962 * E3962 * F3962)</f>
      </c>
    </row>
    <row r="3963">
      <c r="A3963" s="3"/>
      <c r="B3963" s="11" t="s">
        <v>42</v>
      </c>
      <c r="C3963" s="20"/>
      <c r="D3963" s="20"/>
      <c r="E3963" s="20"/>
      <c r="F3963" s="20"/>
      <c r="G3963" s="20"/>
    </row>
    <row r="3964">
      <c r="A3964" s="5"/>
      <c r="B3964" s="14" t="s">
        <v>118</v>
      </c>
      <c r="C3964" s="22"/>
      <c r="D3964" s="22" t="s">
        <v>10</v>
      </c>
      <c r="E3964" s="22"/>
      <c r="F3964" s="22">
        <f>(0)</f>
      </c>
      <c r="G3964" s="22">
        <f>(C3964 * E3964 + C3964 * E3964 * F3964)</f>
      </c>
    </row>
    <row r="3965">
      <c r="A3965" s="5"/>
      <c r="B3965" s="14" t="s">
        <v>636</v>
      </c>
      <c r="C3965" s="22"/>
      <c r="D3965" s="22" t="s">
        <v>10</v>
      </c>
      <c r="E3965" s="22"/>
      <c r="F3965" s="22">
        <f>(0)</f>
      </c>
      <c r="G3965" s="22">
        <f>(C3965 * E3965 + C3965 * E3965 * F3965)</f>
      </c>
    </row>
    <row r="3966">
      <c r="A3966" s="5"/>
      <c r="B3966" s="14" t="s">
        <v>210</v>
      </c>
      <c r="C3966" s="22"/>
      <c r="D3966" s="22" t="s">
        <v>10</v>
      </c>
      <c r="E3966" s="22"/>
      <c r="F3966" s="22">
        <f>(0)</f>
      </c>
      <c r="G3966" s="22">
        <f>(C3966 * E3966 + C3966 * E3966 * F3966)</f>
      </c>
    </row>
    <row r="3967">
      <c r="A3967" s="3"/>
      <c r="B3967" s="11" t="s">
        <v>44</v>
      </c>
      <c r="C3967" s="20"/>
      <c r="D3967" s="20"/>
      <c r="E3967" s="20"/>
      <c r="F3967" s="20"/>
      <c r="G3967" s="20"/>
    </row>
    <row r="3968">
      <c r="A3968" s="4"/>
      <c r="B3968" s="12" t="s">
        <v>45</v>
      </c>
      <c r="C3968" s="21"/>
      <c r="D3968" s="21"/>
      <c r="E3968" s="21"/>
      <c r="F3968" s="21"/>
      <c r="G3968" s="21"/>
    </row>
    <row r="3969">
      <c r="A3969" s="5" t="s">
        <v>353</v>
      </c>
      <c r="B3969" s="13" t="s">
        <v>354</v>
      </c>
      <c r="C3969" s="22"/>
      <c r="D3969" s="22" t="s">
        <v>10</v>
      </c>
      <c r="E3969" s="22"/>
      <c r="F3969" s="22">
        <f>(0)</f>
      </c>
      <c r="G3969" s="22">
        <f>(C3969 * E3969 + C3969 * E3969 * F3969)</f>
      </c>
    </row>
    <row r="3970">
      <c r="A3970" s="5" t="s">
        <v>355</v>
      </c>
      <c r="B3970" s="13" t="s">
        <v>356</v>
      </c>
      <c r="C3970" s="22"/>
      <c r="D3970" s="22" t="s">
        <v>10</v>
      </c>
      <c r="E3970" s="22"/>
      <c r="F3970" s="22">
        <f>(0)</f>
      </c>
      <c r="G3970" s="22">
        <f>(C3970 * E3970 + C3970 * E3970 * F3970)</f>
      </c>
    </row>
    <row r="3971">
      <c r="A3971" s="5" t="s">
        <v>357</v>
      </c>
      <c r="B3971" s="13" t="s">
        <v>358</v>
      </c>
      <c r="C3971" s="22"/>
      <c r="D3971" s="22" t="s">
        <v>10</v>
      </c>
      <c r="E3971" s="22"/>
      <c r="F3971" s="22">
        <f>(0)</f>
      </c>
      <c r="G3971" s="22">
        <f>(C3971 * E3971 + C3971 * E3971 * F3971)</f>
      </c>
    </row>
    <row r="3972">
      <c r="A3972" s="5" t="s">
        <v>359</v>
      </c>
      <c r="B3972" s="13" t="s">
        <v>360</v>
      </c>
      <c r="C3972" s="22"/>
      <c r="D3972" s="22" t="s">
        <v>10</v>
      </c>
      <c r="E3972" s="22"/>
      <c r="F3972" s="22">
        <f>(0)</f>
      </c>
      <c r="G3972" s="22">
        <f>(C3972 * E3972 + C3972 * E3972 * F3972)</f>
      </c>
    </row>
    <row r="3973">
      <c r="A3973" s="5" t="s">
        <v>361</v>
      </c>
      <c r="B3973" s="13" t="s">
        <v>362</v>
      </c>
      <c r="C3973" s="22"/>
      <c r="D3973" s="22" t="s">
        <v>10</v>
      </c>
      <c r="E3973" s="22"/>
      <c r="F3973" s="22">
        <f>(0)</f>
      </c>
      <c r="G3973" s="22">
        <f>(C3973 * E3973 + C3973 * E3973 * F3973)</f>
      </c>
    </row>
    <row r="3974">
      <c r="A3974" s="5" t="s">
        <v>363</v>
      </c>
      <c r="B3974" s="13" t="s">
        <v>364</v>
      </c>
      <c r="C3974" s="22"/>
      <c r="D3974" s="22" t="s">
        <v>10</v>
      </c>
      <c r="E3974" s="22"/>
      <c r="F3974" s="22">
        <f>(0)</f>
      </c>
      <c r="G3974" s="22">
        <f>(C3974 * E3974 + C3974 * E3974 * F3974)</f>
      </c>
    </row>
    <row r="3975">
      <c r="A3975" s="5" t="s">
        <v>365</v>
      </c>
      <c r="B3975" s="13" t="s">
        <v>366</v>
      </c>
      <c r="C3975" s="22"/>
      <c r="D3975" s="22" t="s">
        <v>10</v>
      </c>
      <c r="E3975" s="22"/>
      <c r="F3975" s="22">
        <f>(0)</f>
      </c>
      <c r="G3975" s="22">
        <f>(C3975 * E3975 + C3975 * E3975 * F3975)</f>
      </c>
    </row>
    <row r="3976">
      <c r="A3976" s="5" t="s">
        <v>367</v>
      </c>
      <c r="B3976" s="13" t="s">
        <v>368</v>
      </c>
      <c r="C3976" s="22"/>
      <c r="D3976" s="22" t="s">
        <v>10</v>
      </c>
      <c r="E3976" s="22"/>
      <c r="F3976" s="22">
        <f>(0)</f>
      </c>
      <c r="G3976" s="22">
        <f>(C3976 * E3976 + C3976 * E3976 * F3976)</f>
      </c>
    </row>
    <row r="3977">
      <c r="A3977" s="5" t="s">
        <v>369</v>
      </c>
      <c r="B3977" s="13" t="s">
        <v>370</v>
      </c>
      <c r="C3977" s="22"/>
      <c r="D3977" s="22" t="s">
        <v>10</v>
      </c>
      <c r="E3977" s="22"/>
      <c r="F3977" s="22">
        <f>(0)</f>
      </c>
      <c r="G3977" s="22">
        <f>(C3977 * E3977 + C3977 * E3977 * F3977)</f>
      </c>
    </row>
    <row r="3978">
      <c r="A3978" s="5" t="s">
        <v>371</v>
      </c>
      <c r="B3978" s="13" t="s">
        <v>123</v>
      </c>
      <c r="C3978" s="22"/>
      <c r="D3978" s="22" t="s">
        <v>10</v>
      </c>
      <c r="E3978" s="22"/>
      <c r="F3978" s="22">
        <f>(0)</f>
      </c>
      <c r="G3978" s="22">
        <f>(C3978 * E3978 + C3978 * E3978 * F3978)</f>
      </c>
    </row>
    <row r="3979">
      <c r="A3979" s="3"/>
      <c r="B3979" s="11" t="s">
        <v>68</v>
      </c>
      <c r="C3979" s="20"/>
      <c r="D3979" s="20"/>
      <c r="E3979" s="20"/>
      <c r="F3979" s="20"/>
      <c r="G3979" s="20"/>
    </row>
    <row r="3980">
      <c r="A3980" s="5" t="s">
        <v>372</v>
      </c>
      <c r="B3980" s="14" t="s">
        <v>70</v>
      </c>
      <c r="C3980" s="22">
        <f>(1)*(1)*(1)*(1)*(1 + (0))</f>
      </c>
      <c r="D3980" s="22" t="s">
        <v>71</v>
      </c>
      <c r="E3980" s="22"/>
      <c r="F3980" s="22">
        <f>(0)</f>
      </c>
      <c r="G3980" s="22">
        <f>(C3980 * E3980 + C3980 * E3980 * F3980)</f>
      </c>
    </row>
    <row r="3981">
      <c r="A3981" s="5" t="s">
        <v>373</v>
      </c>
      <c r="B3981" s="14" t="s">
        <v>73</v>
      </c>
      <c r="C3981" s="22">
        <f>(1)*(1)*(1)*(1)*(1 + (0))</f>
      </c>
      <c r="D3981" s="22" t="s">
        <v>71</v>
      </c>
      <c r="E3981" s="22"/>
      <c r="F3981" s="22">
        <f>(0)</f>
      </c>
      <c r="G3981" s="22">
        <f>(C3981 * E3981 + C3981 * E3981 * F3981)</f>
      </c>
    </row>
    <row r="3982">
      <c r="A3982" s="5" t="s">
        <v>374</v>
      </c>
      <c r="B3982" s="14" t="s">
        <v>79</v>
      </c>
      <c r="C3982" s="22">
        <f>(1)*(1)*(1)*(1)*(1 + (0))</f>
      </c>
      <c r="D3982" s="22" t="s">
        <v>71</v>
      </c>
      <c r="E3982" s="22"/>
      <c r="F3982" s="22">
        <f>(0)</f>
      </c>
      <c r="G3982" s="22">
        <f>(C3982 * E3982 + C3982 * E3982 * F3982)</f>
      </c>
    </row>
    <row r="3983">
      <c r="A3983" s="5" t="s">
        <v>375</v>
      </c>
      <c r="B3983" s="14" t="s">
        <v>376</v>
      </c>
      <c r="C3983" s="22">
        <f>(1)*(1)*(1)*(1)*(1 + (0))</f>
      </c>
      <c r="D3983" s="22" t="s">
        <v>71</v>
      </c>
      <c r="E3983" s="22"/>
      <c r="F3983" s="22">
        <f>(0)</f>
      </c>
      <c r="G3983" s="22">
        <f>(C3983 * E3983 + C3983 * E3983 * F3983)</f>
      </c>
    </row>
    <row r="3984">
      <c r="A3984" s="5" t="s">
        <v>377</v>
      </c>
      <c r="B3984" s="14" t="s">
        <v>378</v>
      </c>
      <c r="C3984" s="22">
        <f>(1)*(1)*(1)*(1)*(1 + (0))</f>
      </c>
      <c r="D3984" s="22" t="s">
        <v>71</v>
      </c>
      <c r="E3984" s="22"/>
      <c r="F3984" s="22">
        <f>(0)</f>
      </c>
      <c r="G3984" s="22">
        <f>(C3984 * E3984 + C3984 * E3984 * F3984)</f>
      </c>
    </row>
    <row r="3985">
      <c r="A3985" s="3"/>
      <c r="B3985" s="11" t="s">
        <v>106</v>
      </c>
      <c r="C3985" s="20"/>
      <c r="D3985" s="20"/>
      <c r="E3985" s="20"/>
      <c r="F3985" s="20"/>
      <c r="G3985" s="20"/>
    </row>
    <row r="3986">
      <c r="A3986" s="5"/>
      <c r="B3986" s="14" t="s">
        <v>379</v>
      </c>
      <c r="C3986" s="22"/>
      <c r="D3986" s="22" t="s">
        <v>10</v>
      </c>
      <c r="E3986" s="22"/>
      <c r="F3986" s="22">
        <f>(0)</f>
      </c>
      <c r="G3986" s="22">
        <f>(C3986 * E3986 + C3986 * E3986 * F3986)</f>
      </c>
    </row>
    <row r="3987">
      <c r="A3987" s="5"/>
      <c r="B3987" s="14" t="s">
        <v>380</v>
      </c>
      <c r="C3987" s="22"/>
      <c r="D3987" s="22" t="s">
        <v>10</v>
      </c>
      <c r="E3987" s="22"/>
      <c r="F3987" s="22">
        <f>(0)</f>
      </c>
      <c r="G3987" s="22">
        <f>(C3987 * E3987 + C3987 * E3987 * F3987)</f>
      </c>
    </row>
    <row r="3988">
      <c r="A3988" s="3"/>
      <c r="B3988" s="11" t="s">
        <v>381</v>
      </c>
      <c r="C3988" s="20"/>
      <c r="D3988" s="20"/>
      <c r="E3988" s="20"/>
      <c r="F3988" s="20"/>
      <c r="G3988" s="20"/>
    </row>
    <row r="3989">
      <c r="A3989" s="4"/>
      <c r="B3989" s="12" t="s">
        <v>397</v>
      </c>
      <c r="C3989" s="21"/>
      <c r="D3989" s="21"/>
      <c r="E3989" s="21"/>
      <c r="F3989" s="21"/>
      <c r="G3989" s="21"/>
    </row>
    <row r="3990">
      <c r="A3990" s="6"/>
      <c r="B3990" s="15" t="s">
        <v>1863</v>
      </c>
      <c r="C3990" s="23"/>
      <c r="D3990" s="23"/>
      <c r="E3990" s="23"/>
      <c r="F3990" s="23"/>
      <c r="G3990" s="23"/>
    </row>
    <row r="3991">
      <c r="A3991" s="5"/>
      <c r="B3991" s="16" t="s">
        <v>398</v>
      </c>
      <c r="C3991" s="22">
        <f>(172)*(1)*(1)*(1)*(1 + (0))</f>
      </c>
      <c r="D3991" s="22" t="s">
        <v>153</v>
      </c>
      <c r="E3991" s="22"/>
      <c r="F3991" s="22">
        <f>(0)</f>
      </c>
      <c r="G3991" s="22">
        <f>(C3991 * E3991 + C3991 * E3991 * F3991)</f>
      </c>
    </row>
    <row r="3992">
      <c r="A3992" s="3"/>
      <c r="B3992" s="11" t="s">
        <v>399</v>
      </c>
      <c r="C3992" s="20"/>
      <c r="D3992" s="20"/>
      <c r="E3992" s="20"/>
      <c r="F3992" s="20"/>
      <c r="G3992" s="20"/>
    </row>
    <row r="3993">
      <c r="A3993" s="4"/>
      <c r="B3993" s="12" t="s">
        <v>1867</v>
      </c>
      <c r="C3993" s="21"/>
      <c r="D3993" s="21"/>
      <c r="E3993" s="21"/>
      <c r="F3993" s="21"/>
      <c r="G3993" s="21"/>
    </row>
    <row r="3994">
      <c r="A3994" s="6"/>
      <c r="B3994" s="15" t="s">
        <v>252</v>
      </c>
      <c r="C3994" s="23"/>
      <c r="D3994" s="23"/>
      <c r="E3994" s="23"/>
      <c r="F3994" s="23"/>
      <c r="G3994" s="23"/>
    </row>
    <row r="3995">
      <c r="A3995" s="5"/>
      <c r="B3995" s="16" t="s">
        <v>1868</v>
      </c>
      <c r="C3995" s="22">
        <f>(49)*(1)*(1)*(1)*(1 + (0))</f>
      </c>
      <c r="D3995" s="22" t="s">
        <v>24</v>
      </c>
      <c r="E3995" s="22"/>
      <c r="F3995" s="22">
        <f>(0)</f>
      </c>
      <c r="G3995" s="22">
        <f>(C3995 * E3995 + C3995 * E3995 * F3995)</f>
      </c>
    </row>
    <row r="3996">
      <c r="A3996" s="5"/>
      <c r="B3996" s="16" t="s">
        <v>1869</v>
      </c>
      <c r="C3996" s="22">
        <f>(50)*(1)*(1)*(1)*(1 + (0))</f>
      </c>
      <c r="D3996" s="22" t="s">
        <v>24</v>
      </c>
      <c r="E3996" s="22"/>
      <c r="F3996" s="22">
        <f>(0)</f>
      </c>
      <c r="G3996" s="22">
        <f>(C3996 * E3996 + C3996 * E3996 * F3996)</f>
      </c>
    </row>
    <row r="3997">
      <c r="A3997" s="5"/>
      <c r="B3997" s="16" t="s">
        <v>1870</v>
      </c>
      <c r="C3997" s="22">
        <f>(30)*(1)*(1)*(1)*(1 + (0))</f>
      </c>
      <c r="D3997" s="22" t="s">
        <v>24</v>
      </c>
      <c r="E3997" s="22"/>
      <c r="F3997" s="22">
        <f>(0)</f>
      </c>
      <c r="G3997" s="22">
        <f>(C3997 * E3997 + C3997 * E3997 * F3997)</f>
      </c>
    </row>
    <row r="3998">
      <c r="A3998" s="5"/>
      <c r="B3998" s="16" t="s">
        <v>1871</v>
      </c>
      <c r="C3998" s="22">
        <f>(18)*(1)*(1)*(1)*(1 + (0))</f>
      </c>
      <c r="D3998" s="22" t="s">
        <v>24</v>
      </c>
      <c r="E3998" s="22"/>
      <c r="F3998" s="22">
        <f>(0)</f>
      </c>
      <c r="G3998" s="22">
        <f>(C3998 * E3998 + C3998 * E3998 * F3998)</f>
      </c>
    </row>
    <row r="3999">
      <c r="A3999" s="5"/>
      <c r="B3999" s="16" t="s">
        <v>1872</v>
      </c>
      <c r="C3999" s="22">
        <f>(32)*(1)*(1)*(1)*(1 + (0))</f>
      </c>
      <c r="D3999" s="22" t="s">
        <v>24</v>
      </c>
      <c r="E3999" s="22"/>
      <c r="F3999" s="22">
        <f>(0)</f>
      </c>
      <c r="G3999" s="22">
        <f>(C3999 * E3999 + C3999 * E3999 * F3999)</f>
      </c>
    </row>
    <row r="4000">
      <c r="A4000" s="5"/>
      <c r="B4000" s="16" t="s">
        <v>1873</v>
      </c>
      <c r="C4000" s="22">
        <f>(11)*(1)*(1)*(1)*(1 + (0))</f>
      </c>
      <c r="D4000" s="22" t="s">
        <v>24</v>
      </c>
      <c r="E4000" s="22"/>
      <c r="F4000" s="22">
        <f>(0)</f>
      </c>
      <c r="G4000" s="22">
        <f>(C4000 * E4000 + C4000 * E4000 * F4000)</f>
      </c>
    </row>
    <row r="4001">
      <c r="A4001" s="5"/>
      <c r="B4001" s="16" t="s">
        <v>1874</v>
      </c>
      <c r="C4001" s="22">
        <f>(13)*(1)*(1)*(1)*(1 + (0))</f>
      </c>
      <c r="D4001" s="22" t="s">
        <v>24</v>
      </c>
      <c r="E4001" s="22"/>
      <c r="F4001" s="22">
        <f>(0)</f>
      </c>
      <c r="G4001" s="22">
        <f>(C4001 * E4001 + C4001 * E4001 * F4001)</f>
      </c>
    </row>
    <row r="4002">
      <c r="A4002" s="4"/>
      <c r="B4002" s="12" t="s">
        <v>408</v>
      </c>
      <c r="C4002" s="21"/>
      <c r="D4002" s="21"/>
      <c r="E4002" s="21"/>
      <c r="F4002" s="21"/>
      <c r="G4002" s="21"/>
    </row>
    <row r="4003">
      <c r="A4003" s="6"/>
      <c r="B4003" s="15" t="s">
        <v>252</v>
      </c>
      <c r="C4003" s="23"/>
      <c r="D4003" s="23"/>
      <c r="E4003" s="23"/>
      <c r="F4003" s="23"/>
      <c r="G4003" s="23"/>
    </row>
    <row r="4004">
      <c r="A4004" s="5"/>
      <c r="B4004" s="16" t="s">
        <v>1671</v>
      </c>
      <c r="C4004" s="22">
        <f>(305)*(1)*(1)*(1)*(1 + (0))</f>
      </c>
      <c r="D4004" s="22" t="s">
        <v>24</v>
      </c>
      <c r="E4004" s="22"/>
      <c r="F4004" s="22">
        <f>(0)</f>
      </c>
      <c r="G4004" s="22">
        <f>(C4004 * E4004 + C4004 * E4004 * F4004)</f>
      </c>
    </row>
    <row r="4005">
      <c r="A4005" s="4"/>
      <c r="B4005" s="12" t="s">
        <v>411</v>
      </c>
      <c r="C4005" s="21"/>
      <c r="D4005" s="21"/>
      <c r="E4005" s="21"/>
      <c r="F4005" s="21"/>
      <c r="G4005" s="21"/>
    </row>
    <row r="4006">
      <c r="A4006" s="6"/>
      <c r="B4006" s="15" t="s">
        <v>252</v>
      </c>
      <c r="C4006" s="23"/>
      <c r="D4006" s="23"/>
      <c r="E4006" s="23"/>
      <c r="F4006" s="23"/>
      <c r="G4006" s="23"/>
    </row>
    <row r="4007">
      <c r="A4007" s="5"/>
      <c r="B4007" s="16" t="s">
        <v>413</v>
      </c>
      <c r="C4007" s="22">
        <f>(107)*(1)*(1)*(1)*(1 + (0))</f>
      </c>
      <c r="D4007" s="22" t="s">
        <v>153</v>
      </c>
      <c r="E4007" s="22"/>
      <c r="F4007" s="22">
        <f>(0)</f>
      </c>
      <c r="G4007" s="22">
        <f>(C4007 * E4007 + C4007 * E4007 * F4007)</f>
      </c>
    </row>
    <row r="4008">
      <c r="A4008" s="5"/>
      <c r="B4008" s="16" t="s">
        <v>414</v>
      </c>
      <c r="C4008" s="22">
        <f>(123)*(1)*(1)*(1)*(1 + (0))</f>
      </c>
      <c r="D4008" s="22" t="s">
        <v>153</v>
      </c>
      <c r="E4008" s="22"/>
      <c r="F4008" s="22">
        <f>(0)</f>
      </c>
      <c r="G4008" s="22">
        <f>(C4008 * E4008 + C4008 * E4008 * F4008)</f>
      </c>
    </row>
    <row r="4009">
      <c r="A4009" s="2"/>
      <c r="B4009" s="10" t="s">
        <v>178</v>
      </c>
      <c r="C4009" s="19"/>
      <c r="D4009" s="19"/>
      <c r="E4009" s="19"/>
      <c r="F4009" s="19"/>
      <c r="G4009" s="19"/>
    </row>
    <row r="4010">
      <c r="A4010" s="3"/>
      <c r="B4010" s="11" t="s">
        <v>37</v>
      </c>
      <c r="C4010" s="20"/>
      <c r="D4010" s="20"/>
      <c r="E4010" s="20"/>
      <c r="F4010" s="20"/>
      <c r="G4010" s="20"/>
    </row>
    <row r="4011">
      <c r="A4011" s="5" t="s">
        <v>431</v>
      </c>
      <c r="B4011" s="14" t="s">
        <v>39</v>
      </c>
      <c r="C4011" s="22"/>
      <c r="D4011" s="22" t="s">
        <v>10</v>
      </c>
      <c r="E4011" s="22"/>
      <c r="F4011" s="22">
        <f>(0)</f>
      </c>
      <c r="G4011" s="22">
        <f>(C4011 * E4011 + C4011 * E4011 * F4011)</f>
      </c>
    </row>
    <row r="4012">
      <c r="A4012" s="5" t="s">
        <v>432</v>
      </c>
      <c r="B4012" s="14" t="s">
        <v>41</v>
      </c>
      <c r="C4012" s="22"/>
      <c r="D4012" s="22" t="s">
        <v>10</v>
      </c>
      <c r="E4012" s="22"/>
      <c r="F4012" s="22">
        <f>(0)</f>
      </c>
      <c r="G4012" s="22">
        <f>(C4012 * E4012 + C4012 * E4012 * F4012)</f>
      </c>
    </row>
    <row r="4013">
      <c r="A4013" s="3"/>
      <c r="B4013" s="11" t="s">
        <v>42</v>
      </c>
      <c r="C4013" s="20"/>
      <c r="D4013" s="20"/>
      <c r="E4013" s="20"/>
      <c r="F4013" s="20"/>
      <c r="G4013" s="20"/>
    </row>
    <row r="4014">
      <c r="A4014" s="5"/>
      <c r="B4014" s="14" t="s">
        <v>118</v>
      </c>
      <c r="C4014" s="22"/>
      <c r="D4014" s="22" t="s">
        <v>10</v>
      </c>
      <c r="E4014" s="22"/>
      <c r="F4014" s="22">
        <f>(0)</f>
      </c>
      <c r="G4014" s="22">
        <f>(C4014 * E4014 + C4014 * E4014 * F4014)</f>
      </c>
    </row>
    <row r="4015">
      <c r="A4015" s="5"/>
      <c r="B4015" s="14" t="s">
        <v>636</v>
      </c>
      <c r="C4015" s="22"/>
      <c r="D4015" s="22" t="s">
        <v>10</v>
      </c>
      <c r="E4015" s="22"/>
      <c r="F4015" s="22">
        <f>(0)</f>
      </c>
      <c r="G4015" s="22">
        <f>(C4015 * E4015 + C4015 * E4015 * F4015)</f>
      </c>
    </row>
    <row r="4016">
      <c r="A4016" s="5"/>
      <c r="B4016" s="14" t="s">
        <v>210</v>
      </c>
      <c r="C4016" s="22"/>
      <c r="D4016" s="22" t="s">
        <v>10</v>
      </c>
      <c r="E4016" s="22"/>
      <c r="F4016" s="22">
        <f>(0)</f>
      </c>
      <c r="G4016" s="22">
        <f>(C4016 * E4016 + C4016 * E4016 * F4016)</f>
      </c>
    </row>
    <row r="4017">
      <c r="A4017" s="3"/>
      <c r="B4017" s="11" t="s">
        <v>44</v>
      </c>
      <c r="C4017" s="20"/>
      <c r="D4017" s="20"/>
      <c r="E4017" s="20"/>
      <c r="F4017" s="20"/>
      <c r="G4017" s="20"/>
    </row>
    <row r="4018">
      <c r="A4018" s="4"/>
      <c r="B4018" s="12" t="s">
        <v>45</v>
      </c>
      <c r="C4018" s="21"/>
      <c r="D4018" s="21"/>
      <c r="E4018" s="21"/>
      <c r="F4018" s="21"/>
      <c r="G4018" s="21"/>
    </row>
    <row r="4019">
      <c r="A4019" s="5" t="s">
        <v>433</v>
      </c>
      <c r="B4019" s="13" t="s">
        <v>434</v>
      </c>
      <c r="C4019" s="22"/>
      <c r="D4019" s="22" t="s">
        <v>10</v>
      </c>
      <c r="E4019" s="22"/>
      <c r="F4019" s="22">
        <f>(0)</f>
      </c>
      <c r="G4019" s="22">
        <f>(C4019 * E4019 + C4019 * E4019 * F4019)</f>
      </c>
    </row>
    <row r="4020">
      <c r="A4020" s="5" t="s">
        <v>435</v>
      </c>
      <c r="B4020" s="13" t="s">
        <v>436</v>
      </c>
      <c r="C4020" s="22"/>
      <c r="D4020" s="22" t="s">
        <v>10</v>
      </c>
      <c r="E4020" s="22"/>
      <c r="F4020" s="22">
        <f>(0)</f>
      </c>
      <c r="G4020" s="22">
        <f>(C4020 * E4020 + C4020 * E4020 * F4020)</f>
      </c>
    </row>
    <row r="4021">
      <c r="A4021" s="5" t="s">
        <v>437</v>
      </c>
      <c r="B4021" s="13" t="s">
        <v>438</v>
      </c>
      <c r="C4021" s="22"/>
      <c r="D4021" s="22" t="s">
        <v>10</v>
      </c>
      <c r="E4021" s="22"/>
      <c r="F4021" s="22">
        <f>(0)</f>
      </c>
      <c r="G4021" s="22">
        <f>(C4021 * E4021 + C4021 * E4021 * F4021)</f>
      </c>
    </row>
    <row r="4022">
      <c r="A4022" s="5" t="s">
        <v>439</v>
      </c>
      <c r="B4022" s="13" t="s">
        <v>440</v>
      </c>
      <c r="C4022" s="22"/>
      <c r="D4022" s="22" t="s">
        <v>10</v>
      </c>
      <c r="E4022" s="22"/>
      <c r="F4022" s="22">
        <f>(0)</f>
      </c>
      <c r="G4022" s="22">
        <f>(C4022 * E4022 + C4022 * E4022 * F4022)</f>
      </c>
    </row>
    <row r="4023">
      <c r="A4023" s="5" t="s">
        <v>441</v>
      </c>
      <c r="B4023" s="13" t="s">
        <v>123</v>
      </c>
      <c r="C4023" s="22"/>
      <c r="D4023" s="22" t="s">
        <v>10</v>
      </c>
      <c r="E4023" s="22"/>
      <c r="F4023" s="22">
        <f>(0)</f>
      </c>
      <c r="G4023" s="22">
        <f>(C4023 * E4023 + C4023 * E4023 * F4023)</f>
      </c>
    </row>
    <row r="4024">
      <c r="A4024" s="3"/>
      <c r="B4024" s="11" t="s">
        <v>68</v>
      </c>
      <c r="C4024" s="20"/>
      <c r="D4024" s="20"/>
      <c r="E4024" s="20"/>
      <c r="F4024" s="20"/>
      <c r="G4024" s="20"/>
    </row>
    <row r="4025">
      <c r="A4025" s="5" t="s">
        <v>442</v>
      </c>
      <c r="B4025" s="14" t="s">
        <v>70</v>
      </c>
      <c r="C4025" s="22">
        <f>(1)*(1)*(1)*(1)*(1 + (0))</f>
      </c>
      <c r="D4025" s="22" t="s">
        <v>71</v>
      </c>
      <c r="E4025" s="22"/>
      <c r="F4025" s="22">
        <f>(0)</f>
      </c>
      <c r="G4025" s="22">
        <f>(C4025 * E4025 + C4025 * E4025 * F4025)</f>
      </c>
    </row>
    <row r="4026">
      <c r="A4026" s="5" t="s">
        <v>443</v>
      </c>
      <c r="B4026" s="14" t="s">
        <v>73</v>
      </c>
      <c r="C4026" s="22">
        <f>(1)*(1)*(1)*(1)*(1 + (0))</f>
      </c>
      <c r="D4026" s="22" t="s">
        <v>71</v>
      </c>
      <c r="E4026" s="22"/>
      <c r="F4026" s="22">
        <f>(0)</f>
      </c>
      <c r="G4026" s="22">
        <f>(C4026 * E4026 + C4026 * E4026 * F4026)</f>
      </c>
    </row>
    <row r="4027">
      <c r="A4027" s="5" t="s">
        <v>444</v>
      </c>
      <c r="B4027" s="14" t="s">
        <v>445</v>
      </c>
      <c r="C4027" s="22">
        <f>(1)*(1)*(1)*(1)*(1 + (0))</f>
      </c>
      <c r="D4027" s="22" t="s">
        <v>71</v>
      </c>
      <c r="E4027" s="22"/>
      <c r="F4027" s="22">
        <f>(0)</f>
      </c>
      <c r="G4027" s="22">
        <f>(C4027 * E4027 + C4027 * E4027 * F4027)</f>
      </c>
    </row>
    <row r="4028">
      <c r="A4028" s="5" t="s">
        <v>446</v>
      </c>
      <c r="B4028" s="14" t="s">
        <v>447</v>
      </c>
      <c r="C4028" s="22">
        <f>(1)*(1)*(1)*(1)*(1 + (0))</f>
      </c>
      <c r="D4028" s="22" t="s">
        <v>71</v>
      </c>
      <c r="E4028" s="22"/>
      <c r="F4028" s="22">
        <f>(0)</f>
      </c>
      <c r="G4028" s="22">
        <f>(C4028 * E4028 + C4028 * E4028 * F4028)</f>
      </c>
    </row>
    <row r="4029">
      <c r="A4029" s="5" t="s">
        <v>448</v>
      </c>
      <c r="B4029" s="14" t="s">
        <v>449</v>
      </c>
      <c r="C4029" s="22">
        <f>(1)*(1)*(1)*(1)*(1 + (0))</f>
      </c>
      <c r="D4029" s="22" t="s">
        <v>71</v>
      </c>
      <c r="E4029" s="22"/>
      <c r="F4029" s="22">
        <f>(0)</f>
      </c>
      <c r="G4029" s="22">
        <f>(C4029 * E4029 + C4029 * E4029 * F4029)</f>
      </c>
    </row>
    <row r="4030">
      <c r="A4030" s="5" t="s">
        <v>450</v>
      </c>
      <c r="B4030" s="14" t="s">
        <v>451</v>
      </c>
      <c r="C4030" s="22">
        <f>(1)*(1)*(1)*(1)*(1 + (0))</f>
      </c>
      <c r="D4030" s="22" t="s">
        <v>71</v>
      </c>
      <c r="E4030" s="22"/>
      <c r="F4030" s="22">
        <f>(0)</f>
      </c>
      <c r="G4030" s="22">
        <f>(C4030 * E4030 + C4030 * E4030 * F4030)</f>
      </c>
    </row>
    <row r="4031">
      <c r="A4031" s="3"/>
      <c r="B4031" s="11" t="s">
        <v>106</v>
      </c>
      <c r="C4031" s="20"/>
      <c r="D4031" s="20"/>
      <c r="E4031" s="20"/>
      <c r="F4031" s="20"/>
      <c r="G4031" s="20"/>
    </row>
    <row r="4032">
      <c r="A4032" s="5"/>
      <c r="B4032" s="14" t="s">
        <v>452</v>
      </c>
      <c r="C4032" s="22"/>
      <c r="D4032" s="22" t="s">
        <v>10</v>
      </c>
      <c r="E4032" s="22"/>
      <c r="F4032" s="22">
        <f>(0)</f>
      </c>
      <c r="G4032" s="22">
        <f>(C4032 * E4032 + C4032 * E4032 * F4032)</f>
      </c>
    </row>
    <row r="4033">
      <c r="A4033" s="3"/>
      <c r="B4033" s="11" t="s">
        <v>453</v>
      </c>
      <c r="C4033" s="20"/>
      <c r="D4033" s="20"/>
      <c r="E4033" s="20"/>
      <c r="F4033" s="20"/>
      <c r="G4033" s="20"/>
    </row>
    <row r="4034">
      <c r="A4034" s="5"/>
      <c r="B4034" s="14" t="s">
        <v>454</v>
      </c>
      <c r="C4034" s="22">
        <f>(0.46)*(1)*(1)*(1)*(1 + (0))</f>
      </c>
      <c r="D4034" s="22" t="s">
        <v>182</v>
      </c>
      <c r="E4034" s="22"/>
      <c r="F4034" s="22">
        <f>(0)</f>
      </c>
      <c r="G4034" s="22">
        <f>(C4034 * E4034 + C4034 * E4034 * F4034)</f>
      </c>
    </row>
    <row r="4035">
      <c r="A4035" s="5"/>
      <c r="B4035" s="14" t="s">
        <v>455</v>
      </c>
      <c r="C4035" s="22">
        <f>(21.52)*(1)*(1)*(1)*(1 + (0))</f>
      </c>
      <c r="D4035" s="22" t="s">
        <v>182</v>
      </c>
      <c r="E4035" s="22"/>
      <c r="F4035" s="22">
        <f>(0)</f>
      </c>
      <c r="G4035" s="22">
        <f>(C4035 * E4035 + C4035 * E4035 * F4035)</f>
      </c>
    </row>
    <row r="4036">
      <c r="A4036" s="5"/>
      <c r="B4036" s="14" t="s">
        <v>1875</v>
      </c>
      <c r="C4036" s="22">
        <f>(714)*(1)*(1)*(1)*(1 + (0))</f>
      </c>
      <c r="D4036" s="22" t="s">
        <v>24</v>
      </c>
      <c r="E4036" s="22"/>
      <c r="F4036" s="22">
        <f>(0)</f>
      </c>
      <c r="G4036" s="22">
        <f>(C4036 * E4036 + C4036 * E4036 * F4036)</f>
      </c>
    </row>
    <row r="4037">
      <c r="A4037" s="3"/>
      <c r="B4037" s="11" t="s">
        <v>457</v>
      </c>
      <c r="C4037" s="20"/>
      <c r="D4037" s="20"/>
      <c r="E4037" s="20"/>
      <c r="F4037" s="20"/>
      <c r="G4037" s="20"/>
    </row>
    <row r="4038">
      <c r="A4038" s="4"/>
      <c r="B4038" s="12" t="s">
        <v>397</v>
      </c>
      <c r="C4038" s="21"/>
      <c r="D4038" s="21"/>
      <c r="E4038" s="21"/>
      <c r="F4038" s="21"/>
      <c r="G4038" s="21"/>
    </row>
    <row r="4039">
      <c r="A4039" s="6"/>
      <c r="B4039" s="15" t="s">
        <v>1863</v>
      </c>
      <c r="C4039" s="23"/>
      <c r="D4039" s="23"/>
      <c r="E4039" s="23"/>
      <c r="F4039" s="23"/>
      <c r="G4039" s="23"/>
    </row>
    <row r="4040">
      <c r="A4040" s="5"/>
      <c r="B4040" s="16" t="s">
        <v>458</v>
      </c>
      <c r="C4040" s="22">
        <f>(0.464416106)*(1)*(1)*(1)*(1 + (0))</f>
      </c>
      <c r="D4040" s="22" t="s">
        <v>182</v>
      </c>
      <c r="E4040" s="22"/>
      <c r="F4040" s="22">
        <f>(0)</f>
      </c>
      <c r="G4040" s="22">
        <f>(C4040 * E4040 + C4040 * E4040 * F4040)</f>
      </c>
    </row>
    <row r="4041">
      <c r="A4041" s="3"/>
      <c r="B4041" s="11" t="s">
        <v>459</v>
      </c>
      <c r="C4041" s="20"/>
      <c r="D4041" s="20"/>
      <c r="E4041" s="20"/>
      <c r="F4041" s="20"/>
      <c r="G4041" s="20"/>
    </row>
    <row r="4042">
      <c r="A4042" s="4"/>
      <c r="B4042" s="12" t="s">
        <v>1867</v>
      </c>
      <c r="C4042" s="21"/>
      <c r="D4042" s="21"/>
      <c r="E4042" s="21"/>
      <c r="F4042" s="21"/>
      <c r="G4042" s="21"/>
    </row>
    <row r="4043">
      <c r="A4043" s="6"/>
      <c r="B4043" s="15" t="s">
        <v>252</v>
      </c>
      <c r="C4043" s="23"/>
      <c r="D4043" s="23"/>
      <c r="E4043" s="23"/>
      <c r="F4043" s="23"/>
      <c r="G4043" s="23"/>
    </row>
    <row r="4044">
      <c r="A4044" s="5"/>
      <c r="B4044" s="16" t="s">
        <v>1876</v>
      </c>
      <c r="C4044" s="22">
        <f>(8.42913)*(1)*(1)*(1)*(1 + (0))</f>
      </c>
      <c r="D4044" s="22" t="s">
        <v>182</v>
      </c>
      <c r="E4044" s="22"/>
      <c r="F4044" s="22">
        <f>(0)</f>
      </c>
      <c r="G4044" s="22">
        <f>(C4044 * E4044 + C4044 * E4044 * F4044)</f>
      </c>
    </row>
    <row r="4045">
      <c r="A4045" s="4"/>
      <c r="B4045" s="12" t="s">
        <v>408</v>
      </c>
      <c r="C4045" s="21"/>
      <c r="D4045" s="21"/>
      <c r="E4045" s="21"/>
      <c r="F4045" s="21"/>
      <c r="G4045" s="21"/>
    </row>
    <row r="4046">
      <c r="A4046" s="6"/>
      <c r="B4046" s="15" t="s">
        <v>252</v>
      </c>
      <c r="C4046" s="23"/>
      <c r="D4046" s="23"/>
      <c r="E4046" s="23"/>
      <c r="F4046" s="23"/>
      <c r="G4046" s="23"/>
    </row>
    <row r="4047">
      <c r="A4047" s="5"/>
      <c r="B4047" s="16" t="s">
        <v>1877</v>
      </c>
      <c r="C4047" s="22">
        <f>(13.0878887219623)*(1)*(1)*(1)*(1 + (0))</f>
      </c>
      <c r="D4047" s="22" t="s">
        <v>182</v>
      </c>
      <c r="E4047" s="22"/>
      <c r="F4047" s="22">
        <f>(0)</f>
      </c>
      <c r="G4047" s="22">
        <f>(C4047 * E4047 + C4047 * E4047 * F4047)</f>
      </c>
    </row>
    <row r="4048">
      <c r="A4048" s="3"/>
      <c r="B4048" s="11" t="s">
        <v>482</v>
      </c>
      <c r="C4048" s="20"/>
      <c r="D4048" s="20"/>
      <c r="E4048" s="20"/>
      <c r="F4048" s="20"/>
      <c r="G4048" s="20"/>
    </row>
    <row r="4049">
      <c r="A4049" s="4"/>
      <c r="B4049" s="12" t="s">
        <v>411</v>
      </c>
      <c r="C4049" s="21"/>
      <c r="D4049" s="21"/>
      <c r="E4049" s="21"/>
      <c r="F4049" s="21"/>
      <c r="G4049" s="21"/>
    </row>
    <row r="4050">
      <c r="A4050" s="6"/>
      <c r="B4050" s="15" t="s">
        <v>252</v>
      </c>
      <c r="C4050" s="23"/>
      <c r="D4050" s="23"/>
      <c r="E4050" s="23"/>
      <c r="F4050" s="23"/>
      <c r="G4050" s="23"/>
    </row>
    <row r="4051">
      <c r="A4051" s="5"/>
      <c r="B4051" s="16" t="s">
        <v>1878</v>
      </c>
      <c r="C4051" s="22">
        <f>(714)*(1)*(1)*(1)*(1 + (0))</f>
      </c>
      <c r="D4051" s="22" t="s">
        <v>24</v>
      </c>
      <c r="E4051" s="22"/>
      <c r="F4051" s="22">
        <f>(0)</f>
      </c>
      <c r="G4051" s="22">
        <f>(C4051 * E4051 + C4051 * E4051 * F4051)</f>
      </c>
    </row>
    <row r="4052">
      <c r="A4052" s="2"/>
      <c r="B4052" s="10" t="s">
        <v>519</v>
      </c>
      <c r="C4052" s="19"/>
      <c r="D4052" s="19"/>
      <c r="E4052" s="19"/>
      <c r="F4052" s="19"/>
      <c r="G4052" s="19"/>
    </row>
    <row r="4053">
      <c r="A4053" s="3"/>
      <c r="B4053" s="11" t="s">
        <v>37</v>
      </c>
      <c r="C4053" s="20"/>
      <c r="D4053" s="20"/>
      <c r="E4053" s="20"/>
      <c r="F4053" s="20"/>
      <c r="G4053" s="20"/>
    </row>
    <row r="4054">
      <c r="A4054" s="5"/>
      <c r="B4054" s="14" t="s">
        <v>39</v>
      </c>
      <c r="C4054" s="22"/>
      <c r="D4054" s="22" t="s">
        <v>10</v>
      </c>
      <c r="E4054" s="22"/>
      <c r="F4054" s="22">
        <f>(0)</f>
      </c>
      <c r="G4054" s="22">
        <f>(C4054 * E4054 + C4054 * E4054 * F4054)</f>
      </c>
    </row>
    <row r="4055">
      <c r="A4055" s="5"/>
      <c r="B4055" s="14" t="s">
        <v>41</v>
      </c>
      <c r="C4055" s="22"/>
      <c r="D4055" s="22" t="s">
        <v>10</v>
      </c>
      <c r="E4055" s="22"/>
      <c r="F4055" s="22">
        <f>(0)</f>
      </c>
      <c r="G4055" s="22">
        <f>(C4055 * E4055 + C4055 * E4055 * F4055)</f>
      </c>
    </row>
    <row r="4056">
      <c r="A4056" s="3"/>
      <c r="B4056" s="11" t="s">
        <v>44</v>
      </c>
      <c r="C4056" s="20"/>
      <c r="D4056" s="20"/>
      <c r="E4056" s="20"/>
      <c r="F4056" s="20"/>
      <c r="G4056" s="20"/>
    </row>
    <row r="4057">
      <c r="A4057" s="4"/>
      <c r="B4057" s="12" t="s">
        <v>45</v>
      </c>
      <c r="C4057" s="21"/>
      <c r="D4057" s="21"/>
      <c r="E4057" s="21"/>
      <c r="F4057" s="21"/>
      <c r="G4057" s="21"/>
    </row>
    <row r="4058">
      <c r="A4058" s="5"/>
      <c r="B4058" s="13" t="s">
        <v>1879</v>
      </c>
      <c r="C4058" s="22"/>
      <c r="D4058" s="22" t="s">
        <v>10</v>
      </c>
      <c r="E4058" s="22"/>
      <c r="F4058" s="22">
        <f>(0)</f>
      </c>
      <c r="G4058" s="22">
        <f>(C4058 * E4058 + C4058 * E4058 * F4058)</f>
      </c>
    </row>
    <row r="4059">
      <c r="A4059" s="5"/>
      <c r="B4059" s="13" t="s">
        <v>1880</v>
      </c>
      <c r="C4059" s="22"/>
      <c r="D4059" s="22" t="s">
        <v>10</v>
      </c>
      <c r="E4059" s="22"/>
      <c r="F4059" s="22">
        <f>(0)</f>
      </c>
      <c r="G4059" s="22">
        <f>(C4059 * E4059 + C4059 * E4059 * F4059)</f>
      </c>
    </row>
    <row r="4060">
      <c r="A4060" s="5"/>
      <c r="B4060" s="13" t="s">
        <v>1881</v>
      </c>
      <c r="C4060" s="22"/>
      <c r="D4060" s="22" t="s">
        <v>10</v>
      </c>
      <c r="E4060" s="22"/>
      <c r="F4060" s="22">
        <f>(0)</f>
      </c>
      <c r="G4060" s="22">
        <f>(C4060 * E4060 + C4060 * E4060 * F4060)</f>
      </c>
    </row>
    <row r="4061">
      <c r="A4061" s="5"/>
      <c r="B4061" s="13" t="s">
        <v>1882</v>
      </c>
      <c r="C4061" s="22"/>
      <c r="D4061" s="22" t="s">
        <v>10</v>
      </c>
      <c r="E4061" s="22"/>
      <c r="F4061" s="22">
        <f>(0)</f>
      </c>
      <c r="G4061" s="22">
        <f>(C4061 * E4061 + C4061 * E4061 * F4061)</f>
      </c>
    </row>
    <row r="4062">
      <c r="A4062" s="5"/>
      <c r="B4062" s="13" t="s">
        <v>1883</v>
      </c>
      <c r="C4062" s="22"/>
      <c r="D4062" s="22" t="s">
        <v>10</v>
      </c>
      <c r="E4062" s="22"/>
      <c r="F4062" s="22">
        <f>(0)</f>
      </c>
      <c r="G4062" s="22">
        <f>(C4062 * E4062 + C4062 * E4062 * F4062)</f>
      </c>
    </row>
    <row r="4063">
      <c r="A4063" s="5"/>
      <c r="B4063" s="13" t="s">
        <v>1884</v>
      </c>
      <c r="C4063" s="22"/>
      <c r="D4063" s="22" t="s">
        <v>10</v>
      </c>
      <c r="E4063" s="22"/>
      <c r="F4063" s="22">
        <f>(0)</f>
      </c>
      <c r="G4063" s="22">
        <f>(C4063 * E4063 + C4063 * E4063 * F4063)</f>
      </c>
    </row>
    <row r="4064">
      <c r="A4064" s="5"/>
      <c r="B4064" s="13" t="s">
        <v>1885</v>
      </c>
      <c r="C4064" s="22"/>
      <c r="D4064" s="22" t="s">
        <v>10</v>
      </c>
      <c r="E4064" s="22"/>
      <c r="F4064" s="22">
        <f>(0)</f>
      </c>
      <c r="G4064" s="22">
        <f>(C4064 * E4064 + C4064 * E4064 * F4064)</f>
      </c>
    </row>
    <row r="4065">
      <c r="A4065" s="5"/>
      <c r="B4065" s="13" t="s">
        <v>1886</v>
      </c>
      <c r="C4065" s="22"/>
      <c r="D4065" s="22" t="s">
        <v>10</v>
      </c>
      <c r="E4065" s="22"/>
      <c r="F4065" s="22">
        <f>(0)</f>
      </c>
      <c r="G4065" s="22">
        <f>(C4065 * E4065 + C4065 * E4065 * F4065)</f>
      </c>
    </row>
    <row r="4066">
      <c r="A4066" s="5"/>
      <c r="B4066" s="13" t="s">
        <v>1887</v>
      </c>
      <c r="C4066" s="22"/>
      <c r="D4066" s="22" t="s">
        <v>10</v>
      </c>
      <c r="E4066" s="22"/>
      <c r="F4066" s="22">
        <f>(0)</f>
      </c>
      <c r="G4066" s="22">
        <f>(C4066 * E4066 + C4066 * E4066 * F4066)</f>
      </c>
    </row>
    <row r="4067">
      <c r="A4067" s="5"/>
      <c r="B4067" s="13" t="s">
        <v>1888</v>
      </c>
      <c r="C4067" s="22"/>
      <c r="D4067" s="22" t="s">
        <v>10</v>
      </c>
      <c r="E4067" s="22"/>
      <c r="F4067" s="22">
        <f>(0)</f>
      </c>
      <c r="G4067" s="22">
        <f>(C4067 * E4067 + C4067 * E4067 * F4067)</f>
      </c>
    </row>
    <row r="4068">
      <c r="A4068" s="5"/>
      <c r="B4068" s="13" t="s">
        <v>1889</v>
      </c>
      <c r="C4068" s="22"/>
      <c r="D4068" s="22" t="s">
        <v>10</v>
      </c>
      <c r="E4068" s="22"/>
      <c r="F4068" s="22">
        <f>(0)</f>
      </c>
      <c r="G4068" s="22">
        <f>(C4068 * E4068 + C4068 * E4068 * F4068)</f>
      </c>
    </row>
    <row r="4069">
      <c r="A4069" s="5"/>
      <c r="B4069" s="13" t="s">
        <v>1890</v>
      </c>
      <c r="C4069" s="22"/>
      <c r="D4069" s="22" t="s">
        <v>10</v>
      </c>
      <c r="E4069" s="22"/>
      <c r="F4069" s="22">
        <f>(0)</f>
      </c>
      <c r="G4069" s="22">
        <f>(C4069 * E4069 + C4069 * E4069 * F4069)</f>
      </c>
    </row>
    <row r="4070">
      <c r="A4070" s="5"/>
      <c r="B4070" s="13" t="s">
        <v>1891</v>
      </c>
      <c r="C4070" s="22"/>
      <c r="D4070" s="22" t="s">
        <v>10</v>
      </c>
      <c r="E4070" s="22"/>
      <c r="F4070" s="22">
        <f>(0)</f>
      </c>
      <c r="G4070" s="22">
        <f>(C4070 * E4070 + C4070 * E4070 * F4070)</f>
      </c>
    </row>
    <row r="4071">
      <c r="A4071" s="5"/>
      <c r="B4071" s="13" t="s">
        <v>123</v>
      </c>
      <c r="C4071" s="22"/>
      <c r="D4071" s="22" t="s">
        <v>10</v>
      </c>
      <c r="E4071" s="22"/>
      <c r="F4071" s="22">
        <f>(0)</f>
      </c>
      <c r="G4071" s="22">
        <f>(C4071 * E4071 + C4071 * E4071 * F4071)</f>
      </c>
    </row>
    <row r="4072">
      <c r="A4072" s="3"/>
      <c r="B4072" s="11" t="s">
        <v>106</v>
      </c>
      <c r="C4072" s="20"/>
      <c r="D4072" s="20"/>
      <c r="E4072" s="20"/>
      <c r="F4072" s="20"/>
      <c r="G4072" s="20"/>
    </row>
    <row r="4073">
      <c r="A4073" s="5"/>
      <c r="B4073" s="14" t="s">
        <v>1892</v>
      </c>
      <c r="C4073" s="22"/>
      <c r="D4073" s="22" t="s">
        <v>10</v>
      </c>
      <c r="E4073" s="22"/>
      <c r="F4073" s="22">
        <f>(0)</f>
      </c>
      <c r="G4073" s="22">
        <f>(C4073 * E4073 + C4073 * E4073 * F4073)</f>
      </c>
    </row>
    <row r="4074">
      <c r="A4074" s="3"/>
      <c r="B4074" s="11" t="s">
        <v>1893</v>
      </c>
      <c r="C4074" s="20"/>
      <c r="D4074" s="20"/>
      <c r="E4074" s="20"/>
      <c r="F4074" s="20"/>
      <c r="G4074" s="20"/>
    </row>
    <row r="4075">
      <c r="A4075" s="4"/>
      <c r="B4075" s="12" t="s">
        <v>1894</v>
      </c>
      <c r="C4075" s="21"/>
      <c r="D4075" s="21"/>
      <c r="E4075" s="21"/>
      <c r="F4075" s="21"/>
      <c r="G4075" s="21"/>
    </row>
    <row r="4076">
      <c r="A4076" s="6"/>
      <c r="B4076" s="15" t="s">
        <v>1895</v>
      </c>
      <c r="C4076" s="23"/>
      <c r="D4076" s="23"/>
      <c r="E4076" s="23"/>
      <c r="F4076" s="23"/>
      <c r="G4076" s="23"/>
    </row>
    <row r="4077">
      <c r="A4077" s="5"/>
      <c r="B4077" s="16" t="s">
        <v>1896</v>
      </c>
      <c r="C4077" s="22"/>
      <c r="D4077" s="22"/>
      <c r="E4077" s="22"/>
      <c r="F4077" s="22"/>
      <c r="G4077" s="22"/>
    </row>
    <row r="4078">
      <c r="A4078" s="5"/>
      <c r="B4078" s="17" t="s">
        <v>1897</v>
      </c>
      <c r="C4078" s="22"/>
      <c r="D4078" s="22"/>
      <c r="E4078" s="22"/>
      <c r="F4078" s="22"/>
      <c r="G4078" s="22"/>
    </row>
    <row r="4079">
      <c r="A4079" s="5"/>
      <c r="B4079" s="18" t="s">
        <v>1898</v>
      </c>
      <c r="C4079" s="22">
        <f>(57)*(1)*(1)*(1)*(1 + (0))</f>
      </c>
      <c r="D4079" s="22" t="s">
        <v>24</v>
      </c>
      <c r="E4079" s="22"/>
      <c r="F4079" s="22">
        <f>(0)</f>
      </c>
      <c r="G4079" s="22">
        <f>(C4079 * E4079 + C4079 * E4079 * F4079)</f>
      </c>
    </row>
    <row r="4080">
      <c r="A4080" s="6"/>
      <c r="B4080" s="15" t="s">
        <v>1899</v>
      </c>
      <c r="C4080" s="23"/>
      <c r="D4080" s="23"/>
      <c r="E4080" s="23"/>
      <c r="F4080" s="23"/>
      <c r="G4080" s="23"/>
    </row>
    <row r="4081">
      <c r="A4081" s="5"/>
      <c r="B4081" s="16" t="s">
        <v>1900</v>
      </c>
      <c r="C4081" s="22"/>
      <c r="D4081" s="22"/>
      <c r="E4081" s="22"/>
      <c r="F4081" s="22"/>
      <c r="G4081" s="22"/>
    </row>
    <row r="4082">
      <c r="A4082" s="5"/>
      <c r="B4082" s="17" t="s">
        <v>1901</v>
      </c>
      <c r="C4082" s="22"/>
      <c r="D4082" s="22"/>
      <c r="E4082" s="22"/>
      <c r="F4082" s="22"/>
      <c r="G4082" s="22"/>
    </row>
    <row r="4083">
      <c r="A4083" s="5"/>
      <c r="B4083" s="18" t="s">
        <v>1898</v>
      </c>
      <c r="C4083" s="22">
        <f>(17)*(1)*(1)*(1)*(1 + (0))</f>
      </c>
      <c r="D4083" s="22" t="s">
        <v>24</v>
      </c>
      <c r="E4083" s="22"/>
      <c r="F4083" s="22">
        <f>(0)</f>
      </c>
      <c r="G4083" s="22">
        <f>(C4083 * E4083 + C4083 * E4083 * F4083)</f>
      </c>
    </row>
    <row r="4084">
      <c r="A4084" s="5"/>
      <c r="B4084" s="17" t="s">
        <v>1902</v>
      </c>
      <c r="C4084" s="22"/>
      <c r="D4084" s="22"/>
      <c r="E4084" s="22"/>
      <c r="F4084" s="22"/>
      <c r="G4084" s="22"/>
    </row>
    <row r="4085">
      <c r="A4085" s="5"/>
      <c r="B4085" s="18" t="s">
        <v>1898</v>
      </c>
      <c r="C4085" s="22">
        <f>(17)*(1)*(1)*(1)*(1 + (0))</f>
      </c>
      <c r="D4085" s="22" t="s">
        <v>24</v>
      </c>
      <c r="E4085" s="22"/>
      <c r="F4085" s="22">
        <f>(0)</f>
      </c>
      <c r="G4085" s="22">
        <f>(C4085 * E4085 + C4085 * E4085 * F4085)</f>
      </c>
    </row>
    <row r="4086">
      <c r="A4086" s="5"/>
      <c r="B4086" s="17" t="s">
        <v>1903</v>
      </c>
      <c r="C4086" s="22"/>
      <c r="D4086" s="22"/>
      <c r="E4086" s="22"/>
      <c r="F4086" s="22"/>
      <c r="G4086" s="22"/>
    </row>
    <row r="4087">
      <c r="A4087" s="5"/>
      <c r="B4087" s="18" t="s">
        <v>1898</v>
      </c>
      <c r="C4087" s="22">
        <f>(11)*(1)*(1)*(1)*(1 + (0))</f>
      </c>
      <c r="D4087" s="22" t="s">
        <v>24</v>
      </c>
      <c r="E4087" s="22"/>
      <c r="F4087" s="22">
        <f>(0)</f>
      </c>
      <c r="G4087" s="22">
        <f>(C4087 * E4087 + C4087 * E4087 * F4087)</f>
      </c>
    </row>
    <row r="4088">
      <c r="A4088" s="5"/>
      <c r="B4088" s="17" t="s">
        <v>1904</v>
      </c>
      <c r="C4088" s="22"/>
      <c r="D4088" s="22"/>
      <c r="E4088" s="22"/>
      <c r="F4088" s="22"/>
      <c r="G4088" s="22"/>
    </row>
    <row r="4089">
      <c r="A4089" s="5"/>
      <c r="B4089" s="18" t="s">
        <v>1898</v>
      </c>
      <c r="C4089" s="22">
        <f>(24)*(1)*(1)*(1)*(1 + (0))</f>
      </c>
      <c r="D4089" s="22" t="s">
        <v>24</v>
      </c>
      <c r="E4089" s="22"/>
      <c r="F4089" s="22">
        <f>(0)</f>
      </c>
      <c r="G4089" s="22">
        <f>(C4089 * E4089 + C4089 * E4089 * F4089)</f>
      </c>
    </row>
    <row r="4090">
      <c r="A4090" s="5"/>
      <c r="B4090" s="17" t="s">
        <v>1905</v>
      </c>
      <c r="C4090" s="22"/>
      <c r="D4090" s="22"/>
      <c r="E4090" s="22"/>
      <c r="F4090" s="22"/>
      <c r="G4090" s="22"/>
    </row>
    <row r="4091">
      <c r="A4091" s="5"/>
      <c r="B4091" s="18" t="s">
        <v>1898</v>
      </c>
      <c r="C4091" s="22">
        <f>(17)*(1)*(1)*(1)*(1 + (0))</f>
      </c>
      <c r="D4091" s="22" t="s">
        <v>24</v>
      </c>
      <c r="E4091" s="22"/>
      <c r="F4091" s="22">
        <f>(0)</f>
      </c>
      <c r="G4091" s="22">
        <f>(C4091 * E4091 + C4091 * E4091 * F4091)</f>
      </c>
    </row>
    <row r="4092">
      <c r="A4092" s="5"/>
      <c r="B4092" s="16" t="s">
        <v>1906</v>
      </c>
      <c r="C4092" s="22"/>
      <c r="D4092" s="22"/>
      <c r="E4092" s="22"/>
      <c r="F4092" s="22"/>
      <c r="G4092" s="22"/>
    </row>
    <row r="4093">
      <c r="A4093" s="5"/>
      <c r="B4093" s="17" t="s">
        <v>1907</v>
      </c>
      <c r="C4093" s="22"/>
      <c r="D4093" s="22"/>
      <c r="E4093" s="22"/>
      <c r="F4093" s="22"/>
      <c r="G4093" s="22"/>
    </row>
    <row r="4094">
      <c r="A4094" s="5"/>
      <c r="B4094" s="18" t="s">
        <v>1898</v>
      </c>
      <c r="C4094" s="22">
        <f>(7)*(1)*(1)*(1)*(1 + (0))</f>
      </c>
      <c r="D4094" s="22" t="s">
        <v>24</v>
      </c>
      <c r="E4094" s="22"/>
      <c r="F4094" s="22">
        <f>(0)</f>
      </c>
      <c r="G4094" s="22">
        <f>(C4094 * E4094 + C4094 * E4094 * F4094)</f>
      </c>
    </row>
    <row r="4095">
      <c r="A4095" s="5"/>
      <c r="B4095" s="17" t="s">
        <v>1908</v>
      </c>
      <c r="C4095" s="22"/>
      <c r="D4095" s="22"/>
      <c r="E4095" s="22"/>
      <c r="F4095" s="22"/>
      <c r="G4095" s="22"/>
    </row>
    <row r="4096">
      <c r="A4096" s="5"/>
      <c r="B4096" s="18" t="s">
        <v>1898</v>
      </c>
      <c r="C4096" s="22">
        <f>(70)*(1)*(1)*(1)*(1 + (0))</f>
      </c>
      <c r="D4096" s="22" t="s">
        <v>24</v>
      </c>
      <c r="E4096" s="22"/>
      <c r="F4096" s="22">
        <f>(0)</f>
      </c>
      <c r="G4096" s="22">
        <f>(C4096 * E4096 + C4096 * E4096 * F4096)</f>
      </c>
    </row>
    <row r="4097">
      <c r="A4097" s="5"/>
      <c r="B4097" s="17" t="s">
        <v>1909</v>
      </c>
      <c r="C4097" s="22"/>
      <c r="D4097" s="22"/>
      <c r="E4097" s="22"/>
      <c r="F4097" s="22"/>
      <c r="G4097" s="22"/>
    </row>
    <row r="4098">
      <c r="A4098" s="5"/>
      <c r="B4098" s="18" t="s">
        <v>1898</v>
      </c>
      <c r="C4098" s="22">
        <f>(33)*(1)*(1)*(1)*(1 + (0))</f>
      </c>
      <c r="D4098" s="22" t="s">
        <v>24</v>
      </c>
      <c r="E4098" s="22"/>
      <c r="F4098" s="22">
        <f>(0)</f>
      </c>
      <c r="G4098" s="22">
        <f>(C4098 * E4098 + C4098 * E4098 * F4098)</f>
      </c>
    </row>
    <row r="4099">
      <c r="A4099" s="6"/>
      <c r="B4099" s="15" t="s">
        <v>1910</v>
      </c>
      <c r="C4099" s="23"/>
      <c r="D4099" s="23"/>
      <c r="E4099" s="23"/>
      <c r="F4099" s="23"/>
      <c r="G4099" s="23"/>
    </row>
    <row r="4100">
      <c r="A4100" s="5"/>
      <c r="B4100" s="16" t="s">
        <v>1898</v>
      </c>
      <c r="C4100" s="22">
        <f>(7)*(1)*(1)*(1)*(1 + (0))</f>
      </c>
      <c r="D4100" s="22" t="s">
        <v>24</v>
      </c>
      <c r="E4100" s="22"/>
      <c r="F4100" s="22">
        <f>(0)</f>
      </c>
      <c r="G4100" s="22">
        <f>(C4100 * E4100 + C4100 * E4100 * F4100)</f>
      </c>
    </row>
    <row r="4101">
      <c r="A4101" s="4"/>
      <c r="B4101" s="12" t="s">
        <v>1911</v>
      </c>
      <c r="C4101" s="21"/>
      <c r="D4101" s="21"/>
      <c r="E4101" s="21"/>
      <c r="F4101" s="21"/>
      <c r="G4101" s="21"/>
    </row>
    <row r="4102">
      <c r="A4102" s="6"/>
      <c r="B4102" s="15" t="s">
        <v>1912</v>
      </c>
      <c r="C4102" s="23"/>
      <c r="D4102" s="23"/>
      <c r="E4102" s="23"/>
      <c r="F4102" s="23"/>
      <c r="G4102" s="23"/>
    </row>
    <row r="4103">
      <c r="A4103" s="5"/>
      <c r="B4103" s="16" t="s">
        <v>1913</v>
      </c>
      <c r="C4103" s="22"/>
      <c r="D4103" s="22"/>
      <c r="E4103" s="22"/>
      <c r="F4103" s="22"/>
      <c r="G4103" s="22"/>
    </row>
    <row r="4104">
      <c r="A4104" s="5"/>
      <c r="B4104" s="17" t="s">
        <v>1914</v>
      </c>
      <c r="C4104" s="22"/>
      <c r="D4104" s="22"/>
      <c r="E4104" s="22"/>
      <c r="F4104" s="22"/>
      <c r="G4104" s="22"/>
    </row>
    <row r="4105">
      <c r="A4105" s="5"/>
      <c r="B4105" s="18" t="s">
        <v>1898</v>
      </c>
      <c r="C4105" s="22">
        <f>(7)*(1)*(1)*(1)*(1 + (0))</f>
      </c>
      <c r="D4105" s="22" t="s">
        <v>111</v>
      </c>
      <c r="E4105" s="22"/>
      <c r="F4105" s="22">
        <f>(0)</f>
      </c>
      <c r="G4105" s="22">
        <f>(C4105 * E4105 + C4105 * E4105 * F4105)</f>
      </c>
    </row>
    <row r="4106">
      <c r="A4106" s="6"/>
      <c r="B4106" s="15" t="s">
        <v>1915</v>
      </c>
      <c r="C4106" s="23"/>
      <c r="D4106" s="23"/>
      <c r="E4106" s="23"/>
      <c r="F4106" s="23"/>
      <c r="G4106" s="23"/>
    </row>
    <row r="4107">
      <c r="A4107" s="5"/>
      <c r="B4107" s="16" t="s">
        <v>1916</v>
      </c>
      <c r="C4107" s="22"/>
      <c r="D4107" s="22"/>
      <c r="E4107" s="22"/>
      <c r="F4107" s="22"/>
      <c r="G4107" s="22"/>
    </row>
    <row r="4108">
      <c r="A4108" s="5"/>
      <c r="B4108" s="17" t="s">
        <v>1917</v>
      </c>
      <c r="C4108" s="22"/>
      <c r="D4108" s="22"/>
      <c r="E4108" s="22"/>
      <c r="F4108" s="22"/>
      <c r="G4108" s="22"/>
    </row>
    <row r="4109">
      <c r="A4109" s="5"/>
      <c r="B4109" s="18" t="s">
        <v>1898</v>
      </c>
      <c r="C4109" s="22">
        <f>(3)*(1)*(1)*(1)*(1 + (0))</f>
      </c>
      <c r="D4109" s="22" t="s">
        <v>111</v>
      </c>
      <c r="E4109" s="22"/>
      <c r="F4109" s="22">
        <f>(0)</f>
      </c>
      <c r="G4109" s="22">
        <f>(C4109 * E4109 + C4109 * E4109 * F4109)</f>
      </c>
    </row>
    <row r="4110">
      <c r="A4110" s="5"/>
      <c r="B4110" s="17" t="s">
        <v>1918</v>
      </c>
      <c r="C4110" s="22"/>
      <c r="D4110" s="22"/>
      <c r="E4110" s="22"/>
      <c r="F4110" s="22"/>
      <c r="G4110" s="22"/>
    </row>
    <row r="4111">
      <c r="A4111" s="5"/>
      <c r="B4111" s="18" t="s">
        <v>1898</v>
      </c>
      <c r="C4111" s="22">
        <f>(2)*(1)*(1)*(1)*(1 + (0))</f>
      </c>
      <c r="D4111" s="22" t="s">
        <v>111</v>
      </c>
      <c r="E4111" s="22"/>
      <c r="F4111" s="22">
        <f>(0)</f>
      </c>
      <c r="G4111" s="22">
        <f>(C4111 * E4111 + C4111 * E4111 * F4111)</f>
      </c>
    </row>
    <row r="4112">
      <c r="A4112" s="5"/>
      <c r="B4112" s="17" t="s">
        <v>1919</v>
      </c>
      <c r="C4112" s="22"/>
      <c r="D4112" s="22"/>
      <c r="E4112" s="22"/>
      <c r="F4112" s="22"/>
      <c r="G4112" s="22"/>
    </row>
    <row r="4113">
      <c r="A4113" s="5"/>
      <c r="B4113" s="18" t="s">
        <v>1898</v>
      </c>
      <c r="C4113" s="22">
        <f>(2)*(1)*(1)*(1)*(1 + (0))</f>
      </c>
      <c r="D4113" s="22" t="s">
        <v>111</v>
      </c>
      <c r="E4113" s="22"/>
      <c r="F4113" s="22">
        <f>(0)</f>
      </c>
      <c r="G4113" s="22">
        <f>(C4113 * E4113 + C4113 * E4113 * F4113)</f>
      </c>
    </row>
    <row r="4114">
      <c r="A4114" s="5"/>
      <c r="B4114" s="17" t="s">
        <v>1920</v>
      </c>
      <c r="C4114" s="22"/>
      <c r="D4114" s="22"/>
      <c r="E4114" s="22"/>
      <c r="F4114" s="22"/>
      <c r="G4114" s="22"/>
    </row>
    <row r="4115">
      <c r="A4115" s="5"/>
      <c r="B4115" s="18" t="s">
        <v>1898</v>
      </c>
      <c r="C4115" s="22">
        <f>(3)*(1)*(1)*(1)*(1 + (0))</f>
      </c>
      <c r="D4115" s="22" t="s">
        <v>111</v>
      </c>
      <c r="E4115" s="22"/>
      <c r="F4115" s="22">
        <f>(0)</f>
      </c>
      <c r="G4115" s="22">
        <f>(C4115 * E4115 + C4115 * E4115 * F4115)</f>
      </c>
    </row>
    <row r="4116">
      <c r="A4116" s="5"/>
      <c r="B4116" s="17" t="s">
        <v>1921</v>
      </c>
      <c r="C4116" s="22"/>
      <c r="D4116" s="22"/>
      <c r="E4116" s="22"/>
      <c r="F4116" s="22"/>
      <c r="G4116" s="22"/>
    </row>
    <row r="4117">
      <c r="A4117" s="5"/>
      <c r="B4117" s="18" t="s">
        <v>1898</v>
      </c>
      <c r="C4117" s="22">
        <f>(2)*(1)*(1)*(1)*(1 + (0))</f>
      </c>
      <c r="D4117" s="22" t="s">
        <v>111</v>
      </c>
      <c r="E4117" s="22"/>
      <c r="F4117" s="22">
        <f>(0)</f>
      </c>
      <c r="G4117" s="22">
        <f>(C4117 * E4117 + C4117 * E4117 * F4117)</f>
      </c>
    </row>
    <row r="4118">
      <c r="A4118" s="5"/>
      <c r="B4118" s="16" t="s">
        <v>1922</v>
      </c>
      <c r="C4118" s="22"/>
      <c r="D4118" s="22"/>
      <c r="E4118" s="22"/>
      <c r="F4118" s="22"/>
      <c r="G4118" s="22"/>
    </row>
    <row r="4119">
      <c r="A4119" s="5"/>
      <c r="B4119" s="17" t="s">
        <v>1923</v>
      </c>
      <c r="C4119" s="22"/>
      <c r="D4119" s="22"/>
      <c r="E4119" s="22"/>
      <c r="F4119" s="22"/>
      <c r="G4119" s="22"/>
    </row>
    <row r="4120">
      <c r="A4120" s="5"/>
      <c r="B4120" s="18" t="s">
        <v>1898</v>
      </c>
      <c r="C4120" s="22">
        <f>(1)*(1)*(1)*(1)*(1 + (0))</f>
      </c>
      <c r="D4120" s="22" t="s">
        <v>111</v>
      </c>
      <c r="E4120" s="22"/>
      <c r="F4120" s="22">
        <f>(0)</f>
      </c>
      <c r="G4120" s="22">
        <f>(C4120 * E4120 + C4120 * E4120 * F4120)</f>
      </c>
    </row>
    <row r="4121">
      <c r="A4121" s="5"/>
      <c r="B4121" s="17" t="s">
        <v>1920</v>
      </c>
      <c r="C4121" s="22"/>
      <c r="D4121" s="22"/>
      <c r="E4121" s="22"/>
      <c r="F4121" s="22"/>
      <c r="G4121" s="22"/>
    </row>
    <row r="4122">
      <c r="A4122" s="5"/>
      <c r="B4122" s="18" t="s">
        <v>1898</v>
      </c>
      <c r="C4122" s="22">
        <f>(9)*(1)*(1)*(1)*(1 + (0))</f>
      </c>
      <c r="D4122" s="22" t="s">
        <v>111</v>
      </c>
      <c r="E4122" s="22"/>
      <c r="F4122" s="22">
        <f>(0)</f>
      </c>
      <c r="G4122" s="22">
        <f>(C4122 * E4122 + C4122 * E4122 * F4122)</f>
      </c>
    </row>
    <row r="4123">
      <c r="A4123" s="5"/>
      <c r="B4123" s="17" t="s">
        <v>1924</v>
      </c>
      <c r="C4123" s="22"/>
      <c r="D4123" s="22"/>
      <c r="E4123" s="22"/>
      <c r="F4123" s="22"/>
      <c r="G4123" s="22"/>
    </row>
    <row r="4124">
      <c r="A4124" s="5"/>
      <c r="B4124" s="18" t="s">
        <v>1898</v>
      </c>
      <c r="C4124" s="22">
        <f>(4)*(1)*(1)*(1)*(1 + (0))</f>
      </c>
      <c r="D4124" s="22" t="s">
        <v>111</v>
      </c>
      <c r="E4124" s="22"/>
      <c r="F4124" s="22">
        <f>(0)</f>
      </c>
      <c r="G4124" s="22">
        <f>(C4124 * E4124 + C4124 * E4124 * F4124)</f>
      </c>
    </row>
    <row r="4125">
      <c r="A4125" s="6"/>
      <c r="B4125" s="15" t="s">
        <v>1925</v>
      </c>
      <c r="C4125" s="23"/>
      <c r="D4125" s="23"/>
      <c r="E4125" s="23"/>
      <c r="F4125" s="23"/>
      <c r="G4125" s="23"/>
    </row>
    <row r="4126">
      <c r="A4126" s="5"/>
      <c r="B4126" s="16" t="s">
        <v>1898</v>
      </c>
      <c r="C4126" s="22">
        <f>(1)*(1)*(1)*(1)*(1 + (0))</f>
      </c>
      <c r="D4126" s="22" t="s">
        <v>111</v>
      </c>
      <c r="E4126" s="22"/>
      <c r="F4126" s="22">
        <f>(0)</f>
      </c>
      <c r="G4126" s="22">
        <f>(C4126 * E4126 + C4126 * E4126 * F4126)</f>
      </c>
    </row>
    <row r="4127">
      <c r="A4127" s="4"/>
      <c r="B4127" s="12" t="s">
        <v>1926</v>
      </c>
      <c r="C4127" s="21"/>
      <c r="D4127" s="21"/>
      <c r="E4127" s="21"/>
      <c r="F4127" s="21"/>
      <c r="G4127" s="21"/>
    </row>
    <row r="4128">
      <c r="A4128" s="6"/>
      <c r="B4128" s="15" t="s">
        <v>1927</v>
      </c>
      <c r="C4128" s="23"/>
      <c r="D4128" s="23"/>
      <c r="E4128" s="23"/>
      <c r="F4128" s="23"/>
      <c r="G4128" s="23"/>
    </row>
    <row r="4129">
      <c r="A4129" s="5"/>
      <c r="B4129" s="16" t="s">
        <v>1928</v>
      </c>
      <c r="C4129" s="22"/>
      <c r="D4129" s="22"/>
      <c r="E4129" s="22"/>
      <c r="F4129" s="22"/>
      <c r="G4129" s="22"/>
    </row>
    <row r="4130">
      <c r="A4130" s="5"/>
      <c r="B4130" s="17" t="s">
        <v>1929</v>
      </c>
      <c r="C4130" s="22"/>
      <c r="D4130" s="22"/>
      <c r="E4130" s="22"/>
      <c r="F4130" s="22"/>
      <c r="G4130" s="22"/>
    </row>
    <row r="4131">
      <c r="A4131" s="5"/>
      <c r="B4131" s="18" t="s">
        <v>1898</v>
      </c>
      <c r="C4131" s="22">
        <f>(0.646044541731993)*(1)*(1)*(1)*(1 + (0))</f>
      </c>
      <c r="D4131" s="22" t="s">
        <v>182</v>
      </c>
      <c r="E4131" s="22"/>
      <c r="F4131" s="22">
        <f>(0)</f>
      </c>
      <c r="G4131" s="22">
        <f>(C4131 * E4131 + C4131 * E4131 * F4131)</f>
      </c>
    </row>
    <row r="4132">
      <c r="A4132" s="6"/>
      <c r="B4132" s="15" t="s">
        <v>1930</v>
      </c>
      <c r="C4132" s="23"/>
      <c r="D4132" s="23"/>
      <c r="E4132" s="23"/>
      <c r="F4132" s="23"/>
      <c r="G4132" s="23"/>
    </row>
    <row r="4133">
      <c r="A4133" s="5"/>
      <c r="B4133" s="16" t="s">
        <v>1931</v>
      </c>
      <c r="C4133" s="22"/>
      <c r="D4133" s="22"/>
      <c r="E4133" s="22"/>
      <c r="F4133" s="22"/>
      <c r="G4133" s="22"/>
    </row>
    <row r="4134">
      <c r="A4134" s="5"/>
      <c r="B4134" s="17" t="s">
        <v>1932</v>
      </c>
      <c r="C4134" s="22"/>
      <c r="D4134" s="22"/>
      <c r="E4134" s="22"/>
      <c r="F4134" s="22"/>
      <c r="G4134" s="22"/>
    </row>
    <row r="4135">
      <c r="A4135" s="5"/>
      <c r="B4135" s="18" t="s">
        <v>1898</v>
      </c>
      <c r="C4135" s="22">
        <f>(0.193116210932093)*(1)*(1)*(1)*(1 + (0))</f>
      </c>
      <c r="D4135" s="22" t="s">
        <v>182</v>
      </c>
      <c r="E4135" s="22"/>
      <c r="F4135" s="22">
        <f>(0)</f>
      </c>
      <c r="G4135" s="22">
        <f>(C4135 * E4135 + C4135 * E4135 * F4135)</f>
      </c>
    </row>
    <row r="4136">
      <c r="A4136" s="5"/>
      <c r="B4136" s="17" t="s">
        <v>1933</v>
      </c>
      <c r="C4136" s="22"/>
      <c r="D4136" s="22"/>
      <c r="E4136" s="22"/>
      <c r="F4136" s="22"/>
      <c r="G4136" s="22"/>
    </row>
    <row r="4137">
      <c r="A4137" s="5"/>
      <c r="B4137" s="18" t="s">
        <v>1898</v>
      </c>
      <c r="C4137" s="22">
        <f>(0.188333287794746)*(1)*(1)*(1)*(1 + (0))</f>
      </c>
      <c r="D4137" s="22" t="s">
        <v>182</v>
      </c>
      <c r="E4137" s="22"/>
      <c r="F4137" s="22">
        <f>(0)</f>
      </c>
      <c r="G4137" s="22">
        <f>(C4137 * E4137 + C4137 * E4137 * F4137)</f>
      </c>
    </row>
    <row r="4138">
      <c r="A4138" s="5"/>
      <c r="B4138" s="17" t="s">
        <v>1934</v>
      </c>
      <c r="C4138" s="22"/>
      <c r="D4138" s="22"/>
      <c r="E4138" s="22"/>
      <c r="F4138" s="22"/>
      <c r="G4138" s="22"/>
    </row>
    <row r="4139">
      <c r="A4139" s="5"/>
      <c r="B4139" s="18" t="s">
        <v>1898</v>
      </c>
      <c r="C4139" s="22">
        <f>(0.117084674688882)*(1)*(1)*(1)*(1 + (0))</f>
      </c>
      <c r="D4139" s="22" t="s">
        <v>182</v>
      </c>
      <c r="E4139" s="22"/>
      <c r="F4139" s="22">
        <f>(0)</f>
      </c>
      <c r="G4139" s="22">
        <f>(C4139 * E4139 + C4139 * E4139 * F4139)</f>
      </c>
    </row>
    <row r="4140">
      <c r="A4140" s="5"/>
      <c r="B4140" s="17" t="s">
        <v>1935</v>
      </c>
      <c r="C4140" s="22"/>
      <c r="D4140" s="22"/>
      <c r="E4140" s="22"/>
      <c r="F4140" s="22"/>
      <c r="G4140" s="22"/>
    </row>
    <row r="4141">
      <c r="A4141" s="5"/>
      <c r="B4141" s="18" t="s">
        <v>1898</v>
      </c>
      <c r="C4141" s="22">
        <f>(0.269976055932204)*(1)*(1)*(1)*(1 + (0))</f>
      </c>
      <c r="D4141" s="22" t="s">
        <v>182</v>
      </c>
      <c r="E4141" s="22"/>
      <c r="F4141" s="22">
        <f>(0)</f>
      </c>
      <c r="G4141" s="22">
        <f>(C4141 * E4141 + C4141 * E4141 * F4141)</f>
      </c>
    </row>
    <row r="4142">
      <c r="A4142" s="5"/>
      <c r="B4142" s="17" t="s">
        <v>1936</v>
      </c>
      <c r="C4142" s="22"/>
      <c r="D4142" s="22"/>
      <c r="E4142" s="22"/>
      <c r="F4142" s="22"/>
      <c r="G4142" s="22"/>
    </row>
    <row r="4143">
      <c r="A4143" s="5"/>
      <c r="B4143" s="18" t="s">
        <v>1898</v>
      </c>
      <c r="C4143" s="22">
        <f>(0.183258831347278)*(1)*(1)*(1)*(1 + (0))</f>
      </c>
      <c r="D4143" s="22" t="s">
        <v>182</v>
      </c>
      <c r="E4143" s="22"/>
      <c r="F4143" s="22">
        <f>(0)</f>
      </c>
      <c r="G4143" s="22">
        <f>(C4143 * E4143 + C4143 * E4143 * F4143)</f>
      </c>
    </row>
    <row r="4144">
      <c r="A4144" s="5"/>
      <c r="B4144" s="16" t="s">
        <v>1937</v>
      </c>
      <c r="C4144" s="22"/>
      <c r="D4144" s="22"/>
      <c r="E4144" s="22"/>
      <c r="F4144" s="22"/>
      <c r="G4144" s="22"/>
    </row>
    <row r="4145">
      <c r="A4145" s="5"/>
      <c r="B4145" s="17" t="s">
        <v>1938</v>
      </c>
      <c r="C4145" s="22"/>
      <c r="D4145" s="22"/>
      <c r="E4145" s="22"/>
      <c r="F4145" s="22"/>
      <c r="G4145" s="22"/>
    </row>
    <row r="4146">
      <c r="A4146" s="5"/>
      <c r="B4146" s="18" t="s">
        <v>1898</v>
      </c>
      <c r="C4146" s="22">
        <f>(0.0789555995725489)*(1)*(1)*(1)*(1 + (0))</f>
      </c>
      <c r="D4146" s="22" t="s">
        <v>182</v>
      </c>
      <c r="E4146" s="22"/>
      <c r="F4146" s="22">
        <f>(0)</f>
      </c>
      <c r="G4146" s="22">
        <f>(C4146 * E4146 + C4146 * E4146 * F4146)</f>
      </c>
    </row>
    <row r="4147">
      <c r="A4147" s="5"/>
      <c r="B4147" s="17" t="s">
        <v>1935</v>
      </c>
      <c r="C4147" s="22"/>
      <c r="D4147" s="22"/>
      <c r="E4147" s="22"/>
      <c r="F4147" s="22"/>
      <c r="G4147" s="22"/>
    </row>
    <row r="4148">
      <c r="A4148" s="5"/>
      <c r="B4148" s="18" t="s">
        <v>1898</v>
      </c>
      <c r="C4148" s="22">
        <f>(0.789875654002596)*(1)*(1)*(1)*(1 + (0))</f>
      </c>
      <c r="D4148" s="22" t="s">
        <v>182</v>
      </c>
      <c r="E4148" s="22"/>
      <c r="F4148" s="22">
        <f>(0)</f>
      </c>
      <c r="G4148" s="22">
        <f>(C4148 * E4148 + C4148 * E4148 * F4148)</f>
      </c>
    </row>
    <row r="4149">
      <c r="A4149" s="5"/>
      <c r="B4149" s="17" t="s">
        <v>1939</v>
      </c>
      <c r="C4149" s="22"/>
      <c r="D4149" s="22"/>
      <c r="E4149" s="22"/>
      <c r="F4149" s="22"/>
      <c r="G4149" s="22"/>
    </row>
    <row r="4150">
      <c r="A4150" s="5"/>
      <c r="B4150" s="18" t="s">
        <v>1898</v>
      </c>
      <c r="C4150" s="22">
        <f>(0.3656135600917)*(1)*(1)*(1)*(1 + (0))</f>
      </c>
      <c r="D4150" s="22" t="s">
        <v>182</v>
      </c>
      <c r="E4150" s="22"/>
      <c r="F4150" s="22">
        <f>(0)</f>
      </c>
      <c r="G4150" s="22">
        <f>(C4150 * E4150 + C4150 * E4150 * F4150)</f>
      </c>
    </row>
    <row r="4151">
      <c r="A4151" s="3"/>
      <c r="B4151" s="11" t="s">
        <v>1940</v>
      </c>
      <c r="C4151" s="20"/>
      <c r="D4151" s="20"/>
      <c r="E4151" s="20"/>
      <c r="F4151" s="20"/>
      <c r="G4151" s="20"/>
    </row>
    <row r="4152">
      <c r="A4152" s="4"/>
      <c r="B4152" s="12" t="s">
        <v>1941</v>
      </c>
      <c r="C4152" s="21"/>
      <c r="D4152" s="21"/>
      <c r="E4152" s="21"/>
      <c r="F4152" s="21"/>
      <c r="G4152" s="21"/>
    </row>
    <row r="4153">
      <c r="A4153" s="5"/>
      <c r="B4153" s="13" t="s">
        <v>1942</v>
      </c>
      <c r="C4153" s="22">
        <f>(223)*(1)*(1)*(1)*(1 + (0))</f>
      </c>
      <c r="D4153" s="22" t="s">
        <v>24</v>
      </c>
      <c r="E4153" s="22"/>
      <c r="F4153" s="22">
        <f>(0)</f>
      </c>
      <c r="G4153" s="22">
        <f>(C4153 * E4153 + C4153 * E4153 * F4153)</f>
      </c>
    </row>
    <row r="4154">
      <c r="A4154" s="2"/>
      <c r="B4154" s="10" t="s">
        <v>520</v>
      </c>
      <c r="C4154" s="19"/>
      <c r="D4154" s="19"/>
      <c r="E4154" s="19"/>
      <c r="F4154" s="19"/>
      <c r="G4154" s="19"/>
    </row>
    <row r="4155">
      <c r="A4155" s="3"/>
      <c r="B4155" s="11" t="s">
        <v>37</v>
      </c>
      <c r="C4155" s="20"/>
      <c r="D4155" s="20"/>
      <c r="E4155" s="20"/>
      <c r="F4155" s="20"/>
      <c r="G4155" s="20"/>
    </row>
    <row r="4156">
      <c r="A4156" s="5" t="s">
        <v>521</v>
      </c>
      <c r="B4156" s="14" t="s">
        <v>39</v>
      </c>
      <c r="C4156" s="22"/>
      <c r="D4156" s="22" t="s">
        <v>10</v>
      </c>
      <c r="E4156" s="22"/>
      <c r="F4156" s="22">
        <f>(0)</f>
      </c>
      <c r="G4156" s="22">
        <f>(C4156 * E4156 + C4156 * E4156 * F4156)</f>
      </c>
    </row>
    <row r="4157">
      <c r="A4157" s="5" t="s">
        <v>522</v>
      </c>
      <c r="B4157" s="14" t="s">
        <v>41</v>
      </c>
      <c r="C4157" s="22"/>
      <c r="D4157" s="22" t="s">
        <v>10</v>
      </c>
      <c r="E4157" s="22"/>
      <c r="F4157" s="22">
        <f>(0)</f>
      </c>
      <c r="G4157" s="22">
        <f>(C4157 * E4157 + C4157 * E4157 * F4157)</f>
      </c>
    </row>
    <row r="4158">
      <c r="A4158" s="3"/>
      <c r="B4158" s="11" t="s">
        <v>523</v>
      </c>
      <c r="C4158" s="20"/>
      <c r="D4158" s="20"/>
      <c r="E4158" s="20"/>
      <c r="F4158" s="20"/>
      <c r="G4158" s="20"/>
    </row>
    <row r="4159">
      <c r="A4159" s="5"/>
      <c r="B4159" s="14" t="s">
        <v>524</v>
      </c>
      <c r="C4159" s="22"/>
      <c r="D4159" s="22" t="s">
        <v>10</v>
      </c>
      <c r="E4159" s="22"/>
      <c r="F4159" s="22">
        <f>(0)</f>
      </c>
      <c r="G4159" s="22">
        <f>(C4159 * E4159 + C4159 * E4159 * F4159)</f>
      </c>
    </row>
    <row r="4160">
      <c r="A4160" s="5"/>
      <c r="B4160" s="14" t="s">
        <v>1943</v>
      </c>
      <c r="C4160" s="22"/>
      <c r="D4160" s="22" t="s">
        <v>10</v>
      </c>
      <c r="E4160" s="22"/>
      <c r="F4160" s="22">
        <f>(0)</f>
      </c>
      <c r="G4160" s="22">
        <f>(C4160 * E4160 + C4160 * E4160 * F4160)</f>
      </c>
    </row>
    <row r="4161">
      <c r="A4161" s="3"/>
      <c r="B4161" s="11" t="s">
        <v>44</v>
      </c>
      <c r="C4161" s="20"/>
      <c r="D4161" s="20"/>
      <c r="E4161" s="20"/>
      <c r="F4161" s="20"/>
      <c r="G4161" s="20"/>
    </row>
    <row r="4162">
      <c r="A4162" s="4"/>
      <c r="B4162" s="12" t="s">
        <v>45</v>
      </c>
      <c r="C4162" s="21"/>
      <c r="D4162" s="21"/>
      <c r="E4162" s="21"/>
      <c r="F4162" s="21"/>
      <c r="G4162" s="21"/>
    </row>
    <row r="4163">
      <c r="A4163" s="5" t="s">
        <v>527</v>
      </c>
      <c r="B4163" s="13" t="s">
        <v>528</v>
      </c>
      <c r="C4163" s="22"/>
      <c r="D4163" s="22" t="s">
        <v>10</v>
      </c>
      <c r="E4163" s="22"/>
      <c r="F4163" s="22">
        <f>(0)</f>
      </c>
      <c r="G4163" s="22">
        <f>(C4163 * E4163 + C4163 * E4163 * F4163)</f>
      </c>
    </row>
    <row r="4164">
      <c r="A4164" s="5" t="s">
        <v>529</v>
      </c>
      <c r="B4164" s="13" t="s">
        <v>530</v>
      </c>
      <c r="C4164" s="22"/>
      <c r="D4164" s="22" t="s">
        <v>10</v>
      </c>
      <c r="E4164" s="22"/>
      <c r="F4164" s="22">
        <f>(0)</f>
      </c>
      <c r="G4164" s="22">
        <f>(C4164 * E4164 + C4164 * E4164 * F4164)</f>
      </c>
    </row>
    <row r="4165">
      <c r="A4165" s="5" t="s">
        <v>531</v>
      </c>
      <c r="B4165" s="13" t="s">
        <v>532</v>
      </c>
      <c r="C4165" s="22"/>
      <c r="D4165" s="22" t="s">
        <v>10</v>
      </c>
      <c r="E4165" s="22"/>
      <c r="F4165" s="22">
        <f>(0)</f>
      </c>
      <c r="G4165" s="22">
        <f>(C4165 * E4165 + C4165 * E4165 * F4165)</f>
      </c>
    </row>
    <row r="4166">
      <c r="A4166" s="5" t="s">
        <v>533</v>
      </c>
      <c r="B4166" s="13" t="s">
        <v>534</v>
      </c>
      <c r="C4166" s="22"/>
      <c r="D4166" s="22" t="s">
        <v>10</v>
      </c>
      <c r="E4166" s="22"/>
      <c r="F4166" s="22">
        <f>(0)</f>
      </c>
      <c r="G4166" s="22">
        <f>(C4166 * E4166 + C4166 * E4166 * F4166)</f>
      </c>
    </row>
    <row r="4167">
      <c r="A4167" s="5" t="s">
        <v>535</v>
      </c>
      <c r="B4167" s="13" t="s">
        <v>536</v>
      </c>
      <c r="C4167" s="22"/>
      <c r="D4167" s="22" t="s">
        <v>10</v>
      </c>
      <c r="E4167" s="22"/>
      <c r="F4167" s="22">
        <f>(0)</f>
      </c>
      <c r="G4167" s="22">
        <f>(C4167 * E4167 + C4167 * E4167 * F4167)</f>
      </c>
    </row>
    <row r="4168">
      <c r="A4168" s="5" t="s">
        <v>537</v>
      </c>
      <c r="B4168" s="13" t="s">
        <v>538</v>
      </c>
      <c r="C4168" s="22"/>
      <c r="D4168" s="22" t="s">
        <v>10</v>
      </c>
      <c r="E4168" s="22"/>
      <c r="F4168" s="22">
        <f>(0)</f>
      </c>
      <c r="G4168" s="22">
        <f>(C4168 * E4168 + C4168 * E4168 * F4168)</f>
      </c>
    </row>
    <row r="4169">
      <c r="A4169" s="5" t="s">
        <v>539</v>
      </c>
      <c r="B4169" s="13" t="s">
        <v>123</v>
      </c>
      <c r="C4169" s="22"/>
      <c r="D4169" s="22" t="s">
        <v>10</v>
      </c>
      <c r="E4169" s="22"/>
      <c r="F4169" s="22">
        <f>(0)</f>
      </c>
      <c r="G4169" s="22">
        <f>(C4169 * E4169 + C4169 * E4169 * F4169)</f>
      </c>
    </row>
    <row r="4170">
      <c r="A4170" s="3"/>
      <c r="B4170" s="11" t="s">
        <v>68</v>
      </c>
      <c r="C4170" s="20"/>
      <c r="D4170" s="20"/>
      <c r="E4170" s="20"/>
      <c r="F4170" s="20"/>
      <c r="G4170" s="20"/>
    </row>
    <row r="4171">
      <c r="A4171" s="5" t="s">
        <v>540</v>
      </c>
      <c r="B4171" s="14" t="s">
        <v>70</v>
      </c>
      <c r="C4171" s="22">
        <f>(1)*(1)*(1)*(1)*(1 + (0))</f>
      </c>
      <c r="D4171" s="22" t="s">
        <v>71</v>
      </c>
      <c r="E4171" s="22"/>
      <c r="F4171" s="22">
        <f>(0)</f>
      </c>
      <c r="G4171" s="22">
        <f>(C4171 * E4171 + C4171 * E4171 * F4171)</f>
      </c>
    </row>
    <row r="4172">
      <c r="A4172" s="5" t="s">
        <v>541</v>
      </c>
      <c r="B4172" s="14" t="s">
        <v>73</v>
      </c>
      <c r="C4172" s="22">
        <f>(1)*(1)*(1)*(1)*(1 + (0))</f>
      </c>
      <c r="D4172" s="22" t="s">
        <v>71</v>
      </c>
      <c r="E4172" s="22"/>
      <c r="F4172" s="22">
        <f>(0)</f>
      </c>
      <c r="G4172" s="22">
        <f>(C4172 * E4172 + C4172 * E4172 * F4172)</f>
      </c>
    </row>
    <row r="4173">
      <c r="A4173" s="5" t="s">
        <v>542</v>
      </c>
      <c r="B4173" s="14" t="s">
        <v>543</v>
      </c>
      <c r="C4173" s="22">
        <f>(1)*(1)*(1)*(1)*(1 + (0))</f>
      </c>
      <c r="D4173" s="22" t="s">
        <v>71</v>
      </c>
      <c r="E4173" s="22"/>
      <c r="F4173" s="22">
        <f>(0)</f>
      </c>
      <c r="G4173" s="22">
        <f>(C4173 * E4173 + C4173 * E4173 * F4173)</f>
      </c>
    </row>
    <row r="4174">
      <c r="A4174" s="5" t="s">
        <v>544</v>
      </c>
      <c r="B4174" s="14" t="s">
        <v>545</v>
      </c>
      <c r="C4174" s="22">
        <f>(1)*(1)*(1)*(1)*(1 + (0))</f>
      </c>
      <c r="D4174" s="22" t="s">
        <v>71</v>
      </c>
      <c r="E4174" s="22"/>
      <c r="F4174" s="22">
        <f>(0)</f>
      </c>
      <c r="G4174" s="22">
        <f>(C4174 * E4174 + C4174 * E4174 * F4174)</f>
      </c>
    </row>
    <row r="4175">
      <c r="A4175" s="5" t="s">
        <v>546</v>
      </c>
      <c r="B4175" s="14" t="s">
        <v>547</v>
      </c>
      <c r="C4175" s="22">
        <f>(1)*(1)*(1)*(1)*(1 + (0))</f>
      </c>
      <c r="D4175" s="22" t="s">
        <v>71</v>
      </c>
      <c r="E4175" s="22"/>
      <c r="F4175" s="22">
        <f>(0)</f>
      </c>
      <c r="G4175" s="22">
        <f>(C4175 * E4175 + C4175 * E4175 * F4175)</f>
      </c>
    </row>
    <row r="4176">
      <c r="A4176" s="5" t="s">
        <v>548</v>
      </c>
      <c r="B4176" s="14" t="s">
        <v>549</v>
      </c>
      <c r="C4176" s="22">
        <f>(1)*(1)*(1)*(1)*(1 + (0))</f>
      </c>
      <c r="D4176" s="22" t="s">
        <v>71</v>
      </c>
      <c r="E4176" s="22"/>
      <c r="F4176" s="22">
        <f>(0)</f>
      </c>
      <c r="G4176" s="22">
        <f>(C4176 * E4176 + C4176 * E4176 * F4176)</f>
      </c>
    </row>
    <row r="4177">
      <c r="A4177" s="5" t="s">
        <v>550</v>
      </c>
      <c r="B4177" s="14" t="s">
        <v>551</v>
      </c>
      <c r="C4177" s="22">
        <f>(1)*(1)*(1)*(1)*(1 + (0))</f>
      </c>
      <c r="D4177" s="22" t="s">
        <v>71</v>
      </c>
      <c r="E4177" s="22"/>
      <c r="F4177" s="22">
        <f>(0)</f>
      </c>
      <c r="G4177" s="22">
        <f>(C4177 * E4177 + C4177 * E4177 * F4177)</f>
      </c>
    </row>
    <row r="4178">
      <c r="A4178" s="5" t="s">
        <v>552</v>
      </c>
      <c r="B4178" s="14" t="s">
        <v>553</v>
      </c>
      <c r="C4178" s="22">
        <f>(1)*(1)*(1)*(1)*(1 + (0))</f>
      </c>
      <c r="D4178" s="22" t="s">
        <v>71</v>
      </c>
      <c r="E4178" s="22"/>
      <c r="F4178" s="22">
        <f>(0)</f>
      </c>
      <c r="G4178" s="22">
        <f>(C4178 * E4178 + C4178 * E4178 * F4178)</f>
      </c>
    </row>
    <row r="4179">
      <c r="A4179" s="5" t="s">
        <v>554</v>
      </c>
      <c r="B4179" s="14" t="s">
        <v>555</v>
      </c>
      <c r="C4179" s="22">
        <f>(1)*(1)*(1)*(1)*(1 + (0))</f>
      </c>
      <c r="D4179" s="22" t="s">
        <v>71</v>
      </c>
      <c r="E4179" s="22"/>
      <c r="F4179" s="22">
        <f>(0)</f>
      </c>
      <c r="G4179" s="22">
        <f>(C4179 * E4179 + C4179 * E4179 * F4179)</f>
      </c>
    </row>
    <row r="4180">
      <c r="A4180" s="5" t="s">
        <v>556</v>
      </c>
      <c r="B4180" s="14" t="s">
        <v>447</v>
      </c>
      <c r="C4180" s="22">
        <f>(1)*(1)*(1)*(1)*(1 + (0))</f>
      </c>
      <c r="D4180" s="22" t="s">
        <v>71</v>
      </c>
      <c r="E4180" s="22"/>
      <c r="F4180" s="22">
        <f>(0)</f>
      </c>
      <c r="G4180" s="22">
        <f>(C4180 * E4180 + C4180 * E4180 * F4180)</f>
      </c>
    </row>
    <row r="4181">
      <c r="A4181" s="5" t="s">
        <v>557</v>
      </c>
      <c r="B4181" s="14" t="s">
        <v>558</v>
      </c>
      <c r="C4181" s="22">
        <f>(1)*(1)*(1)*(1)*(1 + (0))</f>
      </c>
      <c r="D4181" s="22" t="s">
        <v>71</v>
      </c>
      <c r="E4181" s="22"/>
      <c r="F4181" s="22">
        <f>(0)</f>
      </c>
      <c r="G4181" s="22">
        <f>(C4181 * E4181 + C4181 * E4181 * F4181)</f>
      </c>
    </row>
    <row r="4182">
      <c r="A4182" s="3"/>
      <c r="B4182" s="11" t="s">
        <v>560</v>
      </c>
      <c r="C4182" s="20"/>
      <c r="D4182" s="20"/>
      <c r="E4182" s="20"/>
      <c r="F4182" s="20"/>
      <c r="G4182" s="20"/>
    </row>
    <row r="4183">
      <c r="A4183" s="4"/>
      <c r="B4183" s="12" t="s">
        <v>392</v>
      </c>
      <c r="C4183" s="21"/>
      <c r="D4183" s="21"/>
      <c r="E4183" s="21"/>
      <c r="F4183" s="21"/>
      <c r="G4183" s="21"/>
    </row>
    <row r="4184">
      <c r="A4184" s="6"/>
      <c r="B4184" s="15" t="s">
        <v>252</v>
      </c>
      <c r="C4184" s="23"/>
      <c r="D4184" s="23"/>
      <c r="E4184" s="23"/>
      <c r="F4184" s="23"/>
      <c r="G4184" s="23"/>
    </row>
    <row r="4185">
      <c r="A4185" s="5"/>
      <c r="B4185" s="16" t="s">
        <v>1944</v>
      </c>
      <c r="C4185" s="22">
        <f>(1.4012)*(1)*(1)*(1)*(1 + (0))</f>
      </c>
      <c r="D4185" s="22" t="s">
        <v>182</v>
      </c>
      <c r="E4185" s="22"/>
      <c r="F4185" s="22">
        <f>(0)</f>
      </c>
      <c r="G4185" s="22">
        <f>(C4185 * E4185 + C4185 * E4185 * F4185)</f>
      </c>
    </row>
    <row r="4186">
      <c r="A4186" s="5"/>
      <c r="B4186" s="16" t="s">
        <v>1945</v>
      </c>
      <c r="C4186" s="22">
        <f>(1.55)*(1)*(1)*(1)*(1 + (0))</f>
      </c>
      <c r="D4186" s="22" t="s">
        <v>182</v>
      </c>
      <c r="E4186" s="22"/>
      <c r="F4186" s="22">
        <f>(0)</f>
      </c>
      <c r="G4186" s="22">
        <f>(C4186 * E4186 + C4186 * E4186 * F4186)</f>
      </c>
    </row>
    <row r="4187">
      <c r="A4187" s="5"/>
      <c r="B4187" s="16" t="s">
        <v>1946</v>
      </c>
      <c r="C4187" s="22">
        <f>(0.28272)*(1)*(1)*(1)*(1 + (0))</f>
      </c>
      <c r="D4187" s="22" t="s">
        <v>182</v>
      </c>
      <c r="E4187" s="22"/>
      <c r="F4187" s="22">
        <f>(0)</f>
      </c>
      <c r="G4187" s="22">
        <f>(C4187 * E4187 + C4187 * E4187 * F4187)</f>
      </c>
    </row>
    <row r="4188">
      <c r="A4188" s="5"/>
      <c r="B4188" s="16" t="s">
        <v>1676</v>
      </c>
      <c r="C4188" s="22">
        <f>(4.34588)*(1)*(1)*(1)*(1 + (0))</f>
      </c>
      <c r="D4188" s="22" t="s">
        <v>182</v>
      </c>
      <c r="E4188" s="22"/>
      <c r="F4188" s="22">
        <f>(0)</f>
      </c>
      <c r="G4188" s="22">
        <f>(C4188 * E4188 + C4188 * E4188 * F4188)</f>
      </c>
    </row>
    <row r="4189">
      <c r="A4189" s="5"/>
      <c r="B4189" s="16" t="s">
        <v>1947</v>
      </c>
      <c r="C4189" s="22">
        <f>(1.68744)*(1)*(1)*(1)*(1 + (0))</f>
      </c>
      <c r="D4189" s="22" t="s">
        <v>182</v>
      </c>
      <c r="E4189" s="22"/>
      <c r="F4189" s="22">
        <f>(0)</f>
      </c>
      <c r="G4189" s="22">
        <f>(C4189 * E4189 + C4189 * E4189 * F4189)</f>
      </c>
    </row>
    <row r="4190">
      <c r="A4190" s="5"/>
      <c r="B4190" s="16" t="s">
        <v>1948</v>
      </c>
      <c r="C4190" s="22">
        <f>(0.89252)*(1)*(1)*(1)*(1 + (0))</f>
      </c>
      <c r="D4190" s="22" t="s">
        <v>182</v>
      </c>
      <c r="E4190" s="22"/>
      <c r="F4190" s="22">
        <f>(0)</f>
      </c>
      <c r="G4190" s="22">
        <f>(C4190 * E4190 + C4190 * E4190 * F4190)</f>
      </c>
    </row>
    <row r="4191">
      <c r="A4191" s="5"/>
      <c r="B4191" s="16" t="s">
        <v>563</v>
      </c>
      <c r="C4191" s="22">
        <f>(1.524)*(1)*(1)*(1)*(1 + (0))</f>
      </c>
      <c r="D4191" s="22" t="s">
        <v>182</v>
      </c>
      <c r="E4191" s="22"/>
      <c r="F4191" s="22">
        <f>(0)</f>
      </c>
      <c r="G4191" s="22">
        <f>(C4191 * E4191 + C4191 * E4191 * F4191)</f>
      </c>
    </row>
    <row r="4192">
      <c r="A4192" s="5"/>
      <c r="B4192" s="16" t="s">
        <v>1949</v>
      </c>
      <c r="C4192" s="22">
        <f>(2)*(1)*(1)*(1)*(1 + (0))</f>
      </c>
      <c r="D4192" s="22" t="s">
        <v>162</v>
      </c>
      <c r="E4192" s="22"/>
      <c r="F4192" s="22">
        <f>(0)</f>
      </c>
      <c r="G4192" s="22">
        <f>(C4192 * E4192 + C4192 * E4192 * F4192)</f>
      </c>
    </row>
    <row r="4193">
      <c r="A4193" s="5"/>
      <c r="B4193" s="16" t="s">
        <v>1950</v>
      </c>
      <c r="C4193" s="22">
        <f>(2)*(1)*(1)*(1)*(1 + (0))</f>
      </c>
      <c r="D4193" s="22" t="s">
        <v>162</v>
      </c>
      <c r="E4193" s="22"/>
      <c r="F4193" s="22">
        <f>(0)</f>
      </c>
      <c r="G4193" s="22">
        <f>(C4193 * E4193 + C4193 * E4193 * F4193)</f>
      </c>
    </row>
    <row r="4194">
      <c r="A4194" s="5"/>
      <c r="B4194" s="16" t="s">
        <v>1951</v>
      </c>
      <c r="C4194" s="22">
        <f>(2)*(1)*(1)*(1)*(1 + (0))</f>
      </c>
      <c r="D4194" s="22" t="s">
        <v>162</v>
      </c>
      <c r="E4194" s="22"/>
      <c r="F4194" s="22">
        <f>(0)</f>
      </c>
      <c r="G4194" s="22">
        <f>(C4194 * E4194 + C4194 * E4194 * F4194)</f>
      </c>
    </row>
    <row r="4195">
      <c r="A4195" s="5"/>
      <c r="B4195" s="16" t="s">
        <v>1952</v>
      </c>
      <c r="C4195" s="22">
        <f>(16)*(1)*(1)*(1)*(1 + (0))</f>
      </c>
      <c r="D4195" s="22" t="s">
        <v>162</v>
      </c>
      <c r="E4195" s="22"/>
      <c r="F4195" s="22">
        <f>(0)</f>
      </c>
      <c r="G4195" s="22">
        <f>(C4195 * E4195 + C4195 * E4195 * F4195)</f>
      </c>
    </row>
    <row r="4196">
      <c r="A4196" s="5"/>
      <c r="B4196" s="16" t="s">
        <v>1953</v>
      </c>
      <c r="C4196" s="22">
        <f>(20)*(1)*(1)*(1)*(1 + (0))</f>
      </c>
      <c r="D4196" s="22" t="s">
        <v>162</v>
      </c>
      <c r="E4196" s="22"/>
      <c r="F4196" s="22">
        <f>(0)</f>
      </c>
      <c r="G4196" s="22">
        <f>(C4196 * E4196 + C4196 * E4196 * F4196)</f>
      </c>
    </row>
    <row r="4197">
      <c r="A4197" s="5"/>
      <c r="B4197" s="16" t="s">
        <v>1954</v>
      </c>
      <c r="C4197" s="22">
        <f>(4)*(1)*(1)*(1)*(1 + (0))</f>
      </c>
      <c r="D4197" s="22" t="s">
        <v>162</v>
      </c>
      <c r="E4197" s="22"/>
      <c r="F4197" s="22">
        <f>(0)</f>
      </c>
      <c r="G4197" s="22">
        <f>(C4197 * E4197 + C4197 * E4197 * F4197)</f>
      </c>
    </row>
    <row r="4198">
      <c r="A4198" s="5"/>
      <c r="B4198" s="16" t="s">
        <v>1955</v>
      </c>
      <c r="C4198" s="22">
        <f>(42)*(1)*(1)*(1)*(1 + (0))</f>
      </c>
      <c r="D4198" s="22" t="s">
        <v>162</v>
      </c>
      <c r="E4198" s="22"/>
      <c r="F4198" s="22">
        <f>(0)</f>
      </c>
      <c r="G4198" s="22">
        <f>(C4198 * E4198 + C4198 * E4198 * F4198)</f>
      </c>
    </row>
    <row r="4199">
      <c r="A4199" s="5"/>
      <c r="B4199" s="16" t="s">
        <v>1956</v>
      </c>
      <c r="C4199" s="22">
        <f>(4)*(1)*(1)*(1)*(1 + (0))</f>
      </c>
      <c r="D4199" s="22" t="s">
        <v>162</v>
      </c>
      <c r="E4199" s="22"/>
      <c r="F4199" s="22">
        <f>(0)</f>
      </c>
      <c r="G4199" s="22">
        <f>(C4199 * E4199 + C4199 * E4199 * F4199)</f>
      </c>
    </row>
    <row r="4200">
      <c r="A4200" s="6"/>
      <c r="B4200" s="15" t="s">
        <v>1957</v>
      </c>
      <c r="C4200" s="23"/>
      <c r="D4200" s="23"/>
      <c r="E4200" s="23"/>
      <c r="F4200" s="23"/>
      <c r="G4200" s="23"/>
    </row>
    <row r="4201">
      <c r="A4201" s="5"/>
      <c r="B4201" s="16" t="s">
        <v>1948</v>
      </c>
      <c r="C4201" s="22">
        <f>(0.1684)*(1)*(1)*(1)*(1 + (0))</f>
      </c>
      <c r="D4201" s="22" t="s">
        <v>182</v>
      </c>
      <c r="E4201" s="22"/>
      <c r="F4201" s="22">
        <f>(0)</f>
      </c>
      <c r="G4201" s="22">
        <f>(C4201 * E4201 + C4201 * E4201 * F4201)</f>
      </c>
    </row>
    <row r="4202">
      <c r="A4202" s="5"/>
      <c r="B4202" s="16" t="s">
        <v>563</v>
      </c>
      <c r="C4202" s="22">
        <f>(0.0255)*(1)*(1)*(1)*(1 + (0))</f>
      </c>
      <c r="D4202" s="22" t="s">
        <v>182</v>
      </c>
      <c r="E4202" s="22"/>
      <c r="F4202" s="22">
        <f>(0)</f>
      </c>
      <c r="G4202" s="22">
        <f>(C4202 * E4202 + C4202 * E4202 * F4202)</f>
      </c>
    </row>
    <row r="4203">
      <c r="A4203" s="4"/>
      <c r="B4203" s="12" t="s">
        <v>565</v>
      </c>
      <c r="C4203" s="21"/>
      <c r="D4203" s="21"/>
      <c r="E4203" s="21"/>
      <c r="F4203" s="21"/>
      <c r="G4203" s="21"/>
    </row>
    <row r="4204">
      <c r="A4204" s="6"/>
      <c r="B4204" s="15" t="s">
        <v>1958</v>
      </c>
      <c r="C4204" s="23"/>
      <c r="D4204" s="23"/>
      <c r="E4204" s="23"/>
      <c r="F4204" s="23"/>
      <c r="G4204" s="23"/>
    </row>
    <row r="4205">
      <c r="A4205" s="5"/>
      <c r="B4205" s="16" t="s">
        <v>1959</v>
      </c>
      <c r="C4205" s="22">
        <f>(0.0968296084780196)*(1)*(1)*(1)*(1 + (0))</f>
      </c>
      <c r="D4205" s="22" t="s">
        <v>182</v>
      </c>
      <c r="E4205" s="22"/>
      <c r="F4205" s="22">
        <f>(0)</f>
      </c>
      <c r="G4205" s="22">
        <f>(C4205 * E4205 + C4205 * E4205 * F4205)</f>
      </c>
    </row>
    <row r="4206">
      <c r="A4206" s="5"/>
      <c r="B4206" s="16" t="s">
        <v>1960</v>
      </c>
      <c r="C4206" s="22">
        <f>(2.58406280780404)*(1)*(1)*(1)*(1 + (0))</f>
      </c>
      <c r="D4206" s="22" t="s">
        <v>182</v>
      </c>
      <c r="E4206" s="22"/>
      <c r="F4206" s="22">
        <f>(0)</f>
      </c>
      <c r="G4206" s="22">
        <f>(C4206 * E4206 + C4206 * E4206 * F4206)</f>
      </c>
    </row>
    <row r="4207">
      <c r="A4207" s="5"/>
      <c r="B4207" s="16" t="s">
        <v>1961</v>
      </c>
      <c r="C4207" s="22">
        <f>(0.336225550048539)*(1)*(1)*(1)*(1 + (0))</f>
      </c>
      <c r="D4207" s="22" t="s">
        <v>182</v>
      </c>
      <c r="E4207" s="22"/>
      <c r="F4207" s="22">
        <f>(0)</f>
      </c>
      <c r="G4207" s="22">
        <f>(C4207 * E4207 + C4207 * E4207 * F4207)</f>
      </c>
    </row>
    <row r="4208">
      <c r="A4208" s="5"/>
      <c r="B4208" s="16" t="s">
        <v>582</v>
      </c>
      <c r="C4208" s="22">
        <f>(0.200704529820001)*(1)*(1)*(1)*(1 + (0))</f>
      </c>
      <c r="D4208" s="22" t="s">
        <v>182</v>
      </c>
      <c r="E4208" s="22"/>
      <c r="F4208" s="22">
        <f>(0)</f>
      </c>
      <c r="G4208" s="22">
        <f>(C4208 * E4208 + C4208 * E4208 * F4208)</f>
      </c>
    </row>
    <row r="4209">
      <c r="A4209" s="5"/>
      <c r="B4209" s="16" t="s">
        <v>1962</v>
      </c>
      <c r="C4209" s="22">
        <f>(1.66327159537997)*(1)*(1)*(1)*(1 + (0))</f>
      </c>
      <c r="D4209" s="22" t="s">
        <v>182</v>
      </c>
      <c r="E4209" s="22"/>
      <c r="F4209" s="22">
        <f>(0)</f>
      </c>
      <c r="G4209" s="22">
        <f>(C4209 * E4209 + C4209 * E4209 * F4209)</f>
      </c>
    </row>
    <row r="4210">
      <c r="A4210" s="5"/>
      <c r="B4210" s="16" t="s">
        <v>569</v>
      </c>
      <c r="C4210" s="22">
        <f>(0.196944590765011)*(1)*(1)*(1)*(1 + (0))</f>
      </c>
      <c r="D4210" s="22" t="s">
        <v>182</v>
      </c>
      <c r="E4210" s="22"/>
      <c r="F4210" s="22">
        <f>(0)</f>
      </c>
      <c r="G4210" s="22">
        <f>(C4210 * E4210 + C4210 * E4210 * F4210)</f>
      </c>
    </row>
    <row r="4211">
      <c r="A4211" s="5"/>
      <c r="B4211" s="16" t="s">
        <v>563</v>
      </c>
      <c r="C4211" s="22">
        <f>(0.762)*(1)*(1)*(1)*(1 + (0))</f>
      </c>
      <c r="D4211" s="22" t="s">
        <v>182</v>
      </c>
      <c r="E4211" s="22"/>
      <c r="F4211" s="22">
        <f>(0)</f>
      </c>
      <c r="G4211" s="22">
        <f>(C4211 * E4211 + C4211 * E4211 * F4211)</f>
      </c>
    </row>
    <row r="4212">
      <c r="A4212" s="6"/>
      <c r="B4212" s="15" t="s">
        <v>1957</v>
      </c>
      <c r="C4212" s="23"/>
      <c r="D4212" s="23"/>
      <c r="E4212" s="23"/>
      <c r="F4212" s="23"/>
      <c r="G4212" s="23"/>
    </row>
    <row r="4213">
      <c r="A4213" s="5"/>
      <c r="B4213" s="16" t="s">
        <v>1960</v>
      </c>
      <c r="C4213" s="22">
        <f>(0.543788704067533)*(1)*(1)*(1)*(1 + (0))</f>
      </c>
      <c r="D4213" s="22" t="s">
        <v>182</v>
      </c>
      <c r="E4213" s="22"/>
      <c r="F4213" s="22">
        <f>(0)</f>
      </c>
      <c r="G4213" s="22">
        <f>(C4213 * E4213 + C4213 * E4213 * F4213)</f>
      </c>
    </row>
    <row r="4214">
      <c r="A4214" s="5"/>
      <c r="B4214" s="16" t="s">
        <v>582</v>
      </c>
      <c r="C4214" s="22">
        <f>(1.9172432433218)*(1)*(1)*(1)*(1 + (0))</f>
      </c>
      <c r="D4214" s="22" t="s">
        <v>182</v>
      </c>
      <c r="E4214" s="22"/>
      <c r="F4214" s="22">
        <f>(0)</f>
      </c>
      <c r="G4214" s="22">
        <f>(C4214 * E4214 + C4214 * E4214 * F4214)</f>
      </c>
    </row>
    <row r="4215">
      <c r="A4215" s="5"/>
      <c r="B4215" s="16" t="s">
        <v>1963</v>
      </c>
      <c r="C4215" s="22">
        <f>(2.9672207520104)*(1)*(1)*(1)*(1 + (0))</f>
      </c>
      <c r="D4215" s="22" t="s">
        <v>182</v>
      </c>
      <c r="E4215" s="22"/>
      <c r="F4215" s="22">
        <f>(0)</f>
      </c>
      <c r="G4215" s="22">
        <f>(C4215 * E4215 + C4215 * E4215 * F4215)</f>
      </c>
    </row>
    <row r="4216">
      <c r="A4216" s="5"/>
      <c r="B4216" s="16" t="s">
        <v>1964</v>
      </c>
      <c r="C4216" s="22">
        <f>(4.23248026449319)*(1)*(1)*(1)*(1 + (0))</f>
      </c>
      <c r="D4216" s="22" t="s">
        <v>182</v>
      </c>
      <c r="E4216" s="22"/>
      <c r="F4216" s="22">
        <f>(0)</f>
      </c>
      <c r="G4216" s="22">
        <f>(C4216 * E4216 + C4216 * E4216 * F4216)</f>
      </c>
    </row>
    <row r="4217">
      <c r="A4217" s="5"/>
      <c r="B4217" s="16" t="s">
        <v>1965</v>
      </c>
      <c r="C4217" s="22">
        <f>(0.828862288878898)*(1)*(1)*(1)*(1 + (0))</f>
      </c>
      <c r="D4217" s="22" t="s">
        <v>182</v>
      </c>
      <c r="E4217" s="22"/>
      <c r="F4217" s="22">
        <f>(0)</f>
      </c>
      <c r="G4217" s="22">
        <f>(C4217 * E4217 + C4217 * E4217 * F4217)</f>
      </c>
    </row>
    <row r="4218">
      <c r="A4218" s="5"/>
      <c r="B4218" s="16" t="s">
        <v>1676</v>
      </c>
      <c r="C4218" s="22">
        <f>(2.14104200047591)*(1)*(1)*(1)*(1 + (0))</f>
      </c>
      <c r="D4218" s="22" t="s">
        <v>182</v>
      </c>
      <c r="E4218" s="22"/>
      <c r="F4218" s="22">
        <f>(0)</f>
      </c>
      <c r="G4218" s="22">
        <f>(C4218 * E4218 + C4218 * E4218 * F4218)</f>
      </c>
    </row>
    <row r="4219">
      <c r="A4219" s="5"/>
      <c r="B4219" s="16" t="s">
        <v>1966</v>
      </c>
      <c r="C4219" s="22">
        <f>(0.526689744173881)*(1)*(1)*(1)*(1 + (0))</f>
      </c>
      <c r="D4219" s="22" t="s">
        <v>182</v>
      </c>
      <c r="E4219" s="22"/>
      <c r="F4219" s="22">
        <f>(0)</f>
      </c>
      <c r="G4219" s="22">
        <f>(C4219 * E4219 + C4219 * E4219 * F4219)</f>
      </c>
    </row>
    <row r="4220">
      <c r="A4220" s="5"/>
      <c r="B4220" s="16" t="s">
        <v>1967</v>
      </c>
      <c r="C4220" s="22">
        <f>(0.883771737383626)*(1)*(1)*(1)*(1 + (0))</f>
      </c>
      <c r="D4220" s="22" t="s">
        <v>182</v>
      </c>
      <c r="E4220" s="22"/>
      <c r="F4220" s="22">
        <f>(0)</f>
      </c>
      <c r="G4220" s="22">
        <f>(C4220 * E4220 + C4220 * E4220 * F4220)</f>
      </c>
    </row>
    <row r="4221">
      <c r="A4221" s="5"/>
      <c r="B4221" s="16" t="s">
        <v>581</v>
      </c>
      <c r="C4221" s="22">
        <f>(0.168978429455361)*(1)*(1)*(1)*(1 + (0))</f>
      </c>
      <c r="D4221" s="22" t="s">
        <v>182</v>
      </c>
      <c r="E4221" s="22"/>
      <c r="F4221" s="22">
        <f>(0)</f>
      </c>
      <c r="G4221" s="22">
        <f>(C4221 * E4221 + C4221 * E4221 * F4221)</f>
      </c>
    </row>
    <row r="4222">
      <c r="A4222" s="5"/>
      <c r="B4222" s="16" t="s">
        <v>569</v>
      </c>
      <c r="C4222" s="22">
        <f>(3.04856098854716)*(1)*(1)*(1)*(1 + (0))</f>
      </c>
      <c r="D4222" s="22" t="s">
        <v>182</v>
      </c>
      <c r="E4222" s="22"/>
      <c r="F4222" s="22">
        <f>(0)</f>
      </c>
      <c r="G4222" s="22">
        <f>(C4222 * E4222 + C4222 * E4222 * F4222)</f>
      </c>
    </row>
    <row r="4223">
      <c r="A4223" s="5"/>
      <c r="B4223" s="16" t="s">
        <v>563</v>
      </c>
      <c r="C4223" s="22">
        <f>(2.589)*(1)*(1)*(1)*(1 + (0))</f>
      </c>
      <c r="D4223" s="22" t="s">
        <v>182</v>
      </c>
      <c r="E4223" s="22"/>
      <c r="F4223" s="22">
        <f>(0)</f>
      </c>
      <c r="G4223" s="22">
        <f>(C4223 * E4223 + C4223 * E4223 * F4223)</f>
      </c>
    </row>
    <row r="4224">
      <c r="A4224" s="4"/>
      <c r="B4224" s="12" t="s">
        <v>583</v>
      </c>
      <c r="C4224" s="21"/>
      <c r="D4224" s="21"/>
      <c r="E4224" s="21"/>
      <c r="F4224" s="21"/>
      <c r="G4224" s="21"/>
    </row>
    <row r="4225">
      <c r="A4225" s="6"/>
      <c r="B4225" s="15" t="s">
        <v>1958</v>
      </c>
      <c r="C4225" s="23"/>
      <c r="D4225" s="23"/>
      <c r="E4225" s="23"/>
      <c r="F4225" s="23"/>
      <c r="G4225" s="23"/>
    </row>
    <row r="4226">
      <c r="A4226" s="5"/>
      <c r="B4226" s="16" t="s">
        <v>1968</v>
      </c>
      <c r="C4226" s="22">
        <f>(0.0845570522171318)*(1)*(1)*(1)*(1 + (0))</f>
      </c>
      <c r="D4226" s="22" t="s">
        <v>182</v>
      </c>
      <c r="E4226" s="22"/>
      <c r="F4226" s="22">
        <f>(0)</f>
      </c>
      <c r="G4226" s="22">
        <f>(C4226 * E4226 + C4226 * E4226 * F4226)</f>
      </c>
    </row>
    <row r="4227">
      <c r="A4227" s="5"/>
      <c r="B4227" s="16" t="s">
        <v>585</v>
      </c>
      <c r="C4227" s="22">
        <f>(0.09044)*(1)*(1)*(1)*(1 + (0))</f>
      </c>
      <c r="D4227" s="22" t="s">
        <v>182</v>
      </c>
      <c r="E4227" s="22"/>
      <c r="F4227" s="22">
        <f>(0)</f>
      </c>
      <c r="G4227" s="22">
        <f>(C4227 * E4227 + C4227 * E4227 * F4227)</f>
      </c>
    </row>
    <row r="4228">
      <c r="A4228" s="5"/>
      <c r="B4228" s="16" t="s">
        <v>563</v>
      </c>
      <c r="C4228" s="22">
        <f>(0.0255)*(1)*(1)*(1)*(1 + (0))</f>
      </c>
      <c r="D4228" s="22" t="s">
        <v>182</v>
      </c>
      <c r="E4228" s="22"/>
      <c r="F4228" s="22">
        <f>(0)</f>
      </c>
      <c r="G4228" s="22">
        <f>(C4228 * E4228 + C4228 * E4228 * F4228)</f>
      </c>
    </row>
    <row r="4229">
      <c r="A4229" s="6"/>
      <c r="B4229" s="15" t="s">
        <v>1957</v>
      </c>
      <c r="C4229" s="23"/>
      <c r="D4229" s="23"/>
      <c r="E4229" s="23"/>
      <c r="F4229" s="23"/>
      <c r="G4229" s="23"/>
    </row>
    <row r="4230">
      <c r="A4230" s="5"/>
      <c r="B4230" s="16" t="s">
        <v>1969</v>
      </c>
      <c r="C4230" s="22">
        <f>(1.06697543601324)*(1)*(1)*(1)*(1 + (0))</f>
      </c>
      <c r="D4230" s="22" t="s">
        <v>182</v>
      </c>
      <c r="E4230" s="22"/>
      <c r="F4230" s="22">
        <f>(0)</f>
      </c>
      <c r="G4230" s="22">
        <f>(C4230 * E4230 + C4230 * E4230 * F4230)</f>
      </c>
    </row>
    <row r="4231">
      <c r="A4231" s="5"/>
      <c r="B4231" s="16" t="s">
        <v>585</v>
      </c>
      <c r="C4231" s="22">
        <f>(0.17136)*(1)*(1)*(1)*(1 + (0))</f>
      </c>
      <c r="D4231" s="22" t="s">
        <v>182</v>
      </c>
      <c r="E4231" s="22"/>
      <c r="F4231" s="22">
        <f>(0)</f>
      </c>
      <c r="G4231" s="22">
        <f>(C4231 * E4231 + C4231 * E4231 * F4231)</f>
      </c>
    </row>
    <row r="4232">
      <c r="A4232" s="5"/>
      <c r="B4232" s="16" t="s">
        <v>563</v>
      </c>
      <c r="C4232" s="22">
        <f>(0.186)*(1)*(1)*(1)*(1 + (0))</f>
      </c>
      <c r="D4232" s="22" t="s">
        <v>182</v>
      </c>
      <c r="E4232" s="22"/>
      <c r="F4232" s="22">
        <f>(0)</f>
      </c>
      <c r="G4232" s="22">
        <f>(C4232 * E4232 + C4232 * E4232 * F4232)</f>
      </c>
    </row>
    <row r="4233">
      <c r="A4233" s="4"/>
      <c r="B4233" s="12" t="s">
        <v>586</v>
      </c>
      <c r="C4233" s="21"/>
      <c r="D4233" s="21"/>
      <c r="E4233" s="21"/>
      <c r="F4233" s="21"/>
      <c r="G4233" s="21"/>
    </row>
    <row r="4234">
      <c r="A4234" s="6"/>
      <c r="B4234" s="15" t="s">
        <v>1958</v>
      </c>
      <c r="C4234" s="23"/>
      <c r="D4234" s="23"/>
      <c r="E4234" s="23"/>
      <c r="F4234" s="23"/>
      <c r="G4234" s="23"/>
    </row>
    <row r="4235">
      <c r="A4235" s="5"/>
      <c r="B4235" s="16" t="s">
        <v>1970</v>
      </c>
      <c r="C4235" s="22">
        <f>(23)*(1)*(1)*(1)*(1 + (0))</f>
      </c>
      <c r="D4235" s="22" t="s">
        <v>153</v>
      </c>
      <c r="E4235" s="22"/>
      <c r="F4235" s="22">
        <f>(0)</f>
      </c>
      <c r="G4235" s="22">
        <f>(C4235 * E4235 + C4235 * E4235 * F4235)</f>
      </c>
    </row>
    <row r="4236">
      <c r="A4236" s="5"/>
      <c r="B4236" s="16" t="s">
        <v>592</v>
      </c>
      <c r="C4236" s="22">
        <f>(127)*(1)*(1)*(1)*(1 + (0))</f>
      </c>
      <c r="D4236" s="22" t="s">
        <v>153</v>
      </c>
      <c r="E4236" s="22"/>
      <c r="F4236" s="22">
        <f>(0)</f>
      </c>
      <c r="G4236" s="22">
        <f>(C4236 * E4236 + C4236 * E4236 * F4236)</f>
      </c>
    </row>
    <row r="4237">
      <c r="A4237" s="5"/>
      <c r="B4237" s="16" t="s">
        <v>1971</v>
      </c>
      <c r="C4237" s="22">
        <f>(19)*(1)*(1)*(1)*(1 + (0))</f>
      </c>
      <c r="D4237" s="22" t="s">
        <v>153</v>
      </c>
      <c r="E4237" s="22"/>
      <c r="F4237" s="22">
        <f>(0)</f>
      </c>
      <c r="G4237" s="22">
        <f>(C4237 * E4237 + C4237 * E4237 * F4237)</f>
      </c>
    </row>
    <row r="4238">
      <c r="A4238" s="5"/>
      <c r="B4238" s="16" t="s">
        <v>1972</v>
      </c>
      <c r="C4238" s="22">
        <f>(5)*(1)*(1)*(1)*(1 + (0))</f>
      </c>
      <c r="D4238" s="22" t="s">
        <v>153</v>
      </c>
      <c r="E4238" s="22"/>
      <c r="F4238" s="22">
        <f>(0)</f>
      </c>
      <c r="G4238" s="22">
        <f>(C4238 * E4238 + C4238 * E4238 * F4238)</f>
      </c>
    </row>
    <row r="4239">
      <c r="A4239" s="5"/>
      <c r="B4239" s="16" t="s">
        <v>1973</v>
      </c>
      <c r="C4239" s="22">
        <f>(22)*(1)*(1)*(1)*(1 + (0))</f>
      </c>
      <c r="D4239" s="22" t="s">
        <v>153</v>
      </c>
      <c r="E4239" s="22"/>
      <c r="F4239" s="22">
        <f>(0)</f>
      </c>
      <c r="G4239" s="22">
        <f>(C4239 * E4239 + C4239 * E4239 * F4239)</f>
      </c>
    </row>
    <row r="4240">
      <c r="A4240" s="6"/>
      <c r="B4240" s="15" t="s">
        <v>1957</v>
      </c>
      <c r="C4240" s="23"/>
      <c r="D4240" s="23"/>
      <c r="E4240" s="23"/>
      <c r="F4240" s="23"/>
      <c r="G4240" s="23"/>
    </row>
    <row r="4241">
      <c r="A4241" s="5"/>
      <c r="B4241" s="16" t="s">
        <v>1974</v>
      </c>
      <c r="C4241" s="22">
        <f>(107)*(1)*(1)*(1)*(1 + (0))</f>
      </c>
      <c r="D4241" s="22" t="s">
        <v>153</v>
      </c>
      <c r="E4241" s="22"/>
      <c r="F4241" s="22">
        <f>(0)</f>
      </c>
      <c r="G4241" s="22">
        <f>(C4241 * E4241 + C4241 * E4241 * F4241)</f>
      </c>
    </row>
    <row r="4242">
      <c r="A4242" s="5"/>
      <c r="B4242" s="16" t="s">
        <v>1975</v>
      </c>
      <c r="C4242" s="22">
        <f>(712)*(1)*(1)*(1)*(1 + (0))</f>
      </c>
      <c r="D4242" s="22" t="s">
        <v>153</v>
      </c>
      <c r="E4242" s="22"/>
      <c r="F4242" s="22">
        <f>(0)</f>
      </c>
      <c r="G4242" s="22">
        <f>(C4242 * E4242 + C4242 * E4242 * F4242)</f>
      </c>
    </row>
    <row r="4243">
      <c r="A4243" s="5"/>
      <c r="B4243" s="16" t="s">
        <v>596</v>
      </c>
      <c r="C4243" s="22">
        <f>(544.004633086768)*(1)*(1)*(1)*(1 + (0))</f>
      </c>
      <c r="D4243" s="22" t="s">
        <v>153</v>
      </c>
      <c r="E4243" s="22"/>
      <c r="F4243" s="22">
        <f>(0)</f>
      </c>
      <c r="G4243" s="22">
        <f>(C4243 * E4243 + C4243 * E4243 * F4243)</f>
      </c>
    </row>
    <row r="4244">
      <c r="A4244" s="5"/>
      <c r="B4244" s="16" t="s">
        <v>1976</v>
      </c>
      <c r="C4244" s="22">
        <f>(111)*(1)*(1)*(1)*(1 + (0))</f>
      </c>
      <c r="D4244" s="22" t="s">
        <v>153</v>
      </c>
      <c r="E4244" s="22"/>
      <c r="F4244" s="22">
        <f>(0)</f>
      </c>
      <c r="G4244" s="22">
        <f>(C4244 * E4244 + C4244 * E4244 * F4244)</f>
      </c>
    </row>
    <row r="4245">
      <c r="A4245" s="5"/>
      <c r="B4245" s="16" t="s">
        <v>1681</v>
      </c>
      <c r="C4245" s="22">
        <f>(74)*(1)*(1)*(1)*(1 + (0))</f>
      </c>
      <c r="D4245" s="22" t="s">
        <v>153</v>
      </c>
      <c r="E4245" s="22"/>
      <c r="F4245" s="22">
        <f>(0)</f>
      </c>
      <c r="G4245" s="22">
        <f>(C4245 * E4245 + C4245 * E4245 * F4245)</f>
      </c>
    </row>
    <row r="4246">
      <c r="A4246" s="4"/>
      <c r="B4246" s="12" t="s">
        <v>598</v>
      </c>
      <c r="C4246" s="21"/>
      <c r="D4246" s="21"/>
      <c r="E4246" s="21"/>
      <c r="F4246" s="21"/>
      <c r="G4246" s="21"/>
    </row>
    <row r="4247">
      <c r="A4247" s="6"/>
      <c r="B4247" s="15" t="s">
        <v>1977</v>
      </c>
      <c r="C4247" s="23"/>
      <c r="D4247" s="23"/>
      <c r="E4247" s="23"/>
      <c r="F4247" s="23"/>
      <c r="G4247" s="23"/>
    </row>
    <row r="4248">
      <c r="A4248" s="5"/>
      <c r="B4248" s="16" t="s">
        <v>1978</v>
      </c>
      <c r="C4248" s="22">
        <f>(0.656490406874977)*(1)*(1)*(1)*(1 + (0))</f>
      </c>
      <c r="D4248" s="22" t="s">
        <v>182</v>
      </c>
      <c r="E4248" s="22"/>
      <c r="F4248" s="22">
        <f>(0)</f>
      </c>
      <c r="G4248" s="22">
        <f>(C4248 * E4248 + C4248 * E4248 * F4248)</f>
      </c>
    </row>
    <row r="4249">
      <c r="A4249" s="5"/>
      <c r="B4249" s="16" t="s">
        <v>1979</v>
      </c>
      <c r="C4249" s="22">
        <f>(0.320823946346121)*(1)*(1)*(1)*(1 + (0))</f>
      </c>
      <c r="D4249" s="22" t="s">
        <v>182</v>
      </c>
      <c r="E4249" s="22"/>
      <c r="F4249" s="22">
        <f>(0)</f>
      </c>
      <c r="G4249" s="22">
        <f>(C4249 * E4249 + C4249 * E4249 * F4249)</f>
      </c>
    </row>
    <row r="4250">
      <c r="A4250" s="5"/>
      <c r="B4250" s="16" t="s">
        <v>1980</v>
      </c>
      <c r="C4250" s="22">
        <f>(0.727248798770042)*(1)*(1)*(1)*(1 + (0))</f>
      </c>
      <c r="D4250" s="22" t="s">
        <v>182</v>
      </c>
      <c r="E4250" s="22"/>
      <c r="F4250" s="22">
        <f>(0)</f>
      </c>
      <c r="G4250" s="22">
        <f>(C4250 * E4250 + C4250 * E4250 * F4250)</f>
      </c>
    </row>
    <row r="4251">
      <c r="A4251" s="5"/>
      <c r="B4251" s="16" t="s">
        <v>1981</v>
      </c>
      <c r="C4251" s="22">
        <f>(1.22571602918859)*(1)*(1)*(1)*(1 + (0))</f>
      </c>
      <c r="D4251" s="22" t="s">
        <v>182</v>
      </c>
      <c r="E4251" s="22"/>
      <c r="F4251" s="22">
        <f>(0)</f>
      </c>
      <c r="G4251" s="22">
        <f>(C4251 * E4251 + C4251 * E4251 * F4251)</f>
      </c>
    </row>
    <row r="4252">
      <c r="A4252" s="5"/>
      <c r="B4252" s="16" t="s">
        <v>615</v>
      </c>
      <c r="C4252" s="22">
        <f>(1.01984656872459)*(1)*(1)*(1)*(1 + (0))</f>
      </c>
      <c r="D4252" s="22" t="s">
        <v>182</v>
      </c>
      <c r="E4252" s="22"/>
      <c r="F4252" s="22">
        <f>(0)</f>
      </c>
      <c r="G4252" s="22">
        <f>(C4252 * E4252 + C4252 * E4252 * F4252)</f>
      </c>
    </row>
    <row r="4253">
      <c r="A4253" s="5"/>
      <c r="B4253" s="16" t="s">
        <v>616</v>
      </c>
      <c r="C4253" s="22">
        <f>(0.279253941371572)*(1)*(1)*(1)*(1 + (0))</f>
      </c>
      <c r="D4253" s="22" t="s">
        <v>182</v>
      </c>
      <c r="E4253" s="22"/>
      <c r="F4253" s="22">
        <f>(0)</f>
      </c>
      <c r="G4253" s="22">
        <f>(C4253 * E4253 + C4253 * E4253 * F4253)</f>
      </c>
    </row>
    <row r="4254">
      <c r="A4254" s="5"/>
      <c r="B4254" s="16" t="s">
        <v>563</v>
      </c>
      <c r="C4254" s="22">
        <f>(0.636)*(1)*(1)*(1)*(1 + (0))</f>
      </c>
      <c r="D4254" s="22" t="s">
        <v>182</v>
      </c>
      <c r="E4254" s="22"/>
      <c r="F4254" s="22">
        <f>(0)</f>
      </c>
      <c r="G4254" s="22">
        <f>(C4254 * E4254 + C4254 * E4254 * F4254)</f>
      </c>
    </row>
    <row r="4255">
      <c r="A4255" s="5"/>
      <c r="B4255" s="16" t="s">
        <v>1982</v>
      </c>
      <c r="C4255" s="22">
        <f>(9)*(1)*(1)*(1)*(1 + (0))</f>
      </c>
      <c r="D4255" s="22" t="s">
        <v>162</v>
      </c>
      <c r="E4255" s="22"/>
      <c r="F4255" s="22">
        <f>(0)</f>
      </c>
      <c r="G4255" s="22">
        <f>(C4255 * E4255 + C4255 * E4255 * F4255)</f>
      </c>
    </row>
    <row r="4256">
      <c r="A4256" s="3"/>
      <c r="B4256" s="11" t="s">
        <v>619</v>
      </c>
      <c r="C4256" s="20"/>
      <c r="D4256" s="20"/>
      <c r="E4256" s="20"/>
      <c r="F4256" s="20"/>
      <c r="G4256" s="20"/>
    </row>
    <row r="4257">
      <c r="A4257" s="4"/>
      <c r="B4257" s="12" t="s">
        <v>620</v>
      </c>
      <c r="C4257" s="21"/>
      <c r="D4257" s="21"/>
      <c r="E4257" s="21"/>
      <c r="F4257" s="21"/>
      <c r="G4257" s="21"/>
    </row>
    <row r="4258">
      <c r="A4258" s="5"/>
      <c r="B4258" s="13" t="s">
        <v>621</v>
      </c>
      <c r="C4258" s="22">
        <f>(11.87)*(1)*(1)*(1)*(1 + (0))</f>
      </c>
      <c r="D4258" s="22" t="s">
        <v>182</v>
      </c>
      <c r="E4258" s="22"/>
      <c r="F4258" s="22">
        <f>(0)</f>
      </c>
      <c r="G4258" s="22">
        <f>(C4258 * E4258 + C4258 * E4258 * F4258)</f>
      </c>
    </row>
    <row r="4259">
      <c r="A4259" s="5"/>
      <c r="B4259" s="13" t="s">
        <v>623</v>
      </c>
      <c r="C4259" s="22">
        <f>(25.69)*(1)*(1)*(1)*(1 + (0))</f>
      </c>
      <c r="D4259" s="22" t="s">
        <v>182</v>
      </c>
      <c r="E4259" s="22"/>
      <c r="F4259" s="22">
        <f>(0)</f>
      </c>
      <c r="G4259" s="22">
        <f>(C4259 * E4259 + C4259 * E4259 * F4259)</f>
      </c>
    </row>
    <row r="4260">
      <c r="A4260" s="5"/>
      <c r="B4260" s="13" t="s">
        <v>1702</v>
      </c>
      <c r="C4260" s="22">
        <f>(1.62)*(1)*(1)*(1)*(1 + (0))</f>
      </c>
      <c r="D4260" s="22" t="s">
        <v>182</v>
      </c>
      <c r="E4260" s="22"/>
      <c r="F4260" s="22">
        <f>(0)</f>
      </c>
      <c r="G4260" s="22">
        <f>(C4260 * E4260 + C4260 * E4260 * F4260)</f>
      </c>
    </row>
    <row r="4261">
      <c r="A4261" s="5"/>
      <c r="B4261" s="13" t="s">
        <v>622</v>
      </c>
      <c r="C4261" s="22">
        <f>(4.87)*(1)*(1)*(1)*(1 + (0))</f>
      </c>
      <c r="D4261" s="22" t="s">
        <v>182</v>
      </c>
      <c r="E4261" s="22"/>
      <c r="F4261" s="22">
        <f>(0)</f>
      </c>
      <c r="G4261" s="22">
        <f>(C4261 * E4261 + C4261 * E4261 * F4261)</f>
      </c>
    </row>
    <row r="4262">
      <c r="A4262" s="4"/>
      <c r="B4262" s="12" t="s">
        <v>625</v>
      </c>
      <c r="C4262" s="21"/>
      <c r="D4262" s="21"/>
      <c r="E4262" s="21"/>
      <c r="F4262" s="21"/>
      <c r="G4262" s="21"/>
    </row>
    <row r="4263">
      <c r="A4263" s="5"/>
      <c r="B4263" s="13" t="s">
        <v>1703</v>
      </c>
      <c r="C4263" s="22">
        <f>(11.87)*(1)*(1)*(1)*(1 + (0))</f>
      </c>
      <c r="D4263" s="22" t="s">
        <v>182</v>
      </c>
      <c r="E4263" s="22"/>
      <c r="F4263" s="22">
        <f>(0)</f>
      </c>
      <c r="G4263" s="22">
        <f>(C4263 * E4263 + C4263 * E4263 * F4263)</f>
      </c>
    </row>
    <row r="4264">
      <c r="A4264" s="5"/>
      <c r="B4264" s="13" t="s">
        <v>628</v>
      </c>
      <c r="C4264" s="22">
        <f>(25.69)*(1)*(1)*(1)*(1 + (0))</f>
      </c>
      <c r="D4264" s="22" t="s">
        <v>182</v>
      </c>
      <c r="E4264" s="22"/>
      <c r="F4264" s="22">
        <f>(0)</f>
      </c>
      <c r="G4264" s="22">
        <f>(C4264 * E4264 + C4264 * E4264 * F4264)</f>
      </c>
    </row>
    <row r="4265">
      <c r="A4265" s="5"/>
      <c r="B4265" s="13" t="s">
        <v>1704</v>
      </c>
      <c r="C4265" s="22">
        <f>(1.62)*(1)*(1)*(1)*(1 + (0))</f>
      </c>
      <c r="D4265" s="22" t="s">
        <v>182</v>
      </c>
      <c r="E4265" s="22"/>
      <c r="F4265" s="22">
        <f>(0)</f>
      </c>
      <c r="G4265" s="22">
        <f>(C4265 * E4265 + C4265 * E4265 * F4265)</f>
      </c>
    </row>
    <row r="4266">
      <c r="A4266" s="5"/>
      <c r="B4266" s="13" t="s">
        <v>627</v>
      </c>
      <c r="C4266" s="22">
        <f>(4.87)*(1)*(1)*(1)*(1 + (0))</f>
      </c>
      <c r="D4266" s="22" t="s">
        <v>182</v>
      </c>
      <c r="E4266" s="22"/>
      <c r="F4266" s="22">
        <f>(0)</f>
      </c>
      <c r="G4266" s="22">
        <f>(C4266 * E4266 + C4266 * E4266 * F4266)</f>
      </c>
    </row>
    <row r="4267">
      <c r="A4267" s="4"/>
      <c r="B4267" s="12" t="s">
        <v>629</v>
      </c>
      <c r="C4267" s="21"/>
      <c r="D4267" s="21"/>
      <c r="E4267" s="21"/>
      <c r="F4267" s="21"/>
      <c r="G4267" s="21"/>
    </row>
    <row r="4268">
      <c r="A4268" s="5"/>
      <c r="B4268" s="13" t="s">
        <v>1706</v>
      </c>
      <c r="C4268" s="22">
        <f>(11.87)*(1)*(1)*(1)*(1 + (0))</f>
      </c>
      <c r="D4268" s="22" t="s">
        <v>182</v>
      </c>
      <c r="E4268" s="22"/>
      <c r="F4268" s="22">
        <f>(0)</f>
      </c>
      <c r="G4268" s="22">
        <f>(C4268 * E4268 + C4268 * E4268 * F4268)</f>
      </c>
    </row>
    <row r="4269">
      <c r="A4269" s="5"/>
      <c r="B4269" s="13" t="s">
        <v>1707</v>
      </c>
      <c r="C4269" s="22">
        <f>(25.69)*(1)*(1)*(1)*(1 + (0))</f>
      </c>
      <c r="D4269" s="22" t="s">
        <v>182</v>
      </c>
      <c r="E4269" s="22"/>
      <c r="F4269" s="22">
        <f>(0)</f>
      </c>
      <c r="G4269" s="22">
        <f>(C4269 * E4269 + C4269 * E4269 * F4269)</f>
      </c>
    </row>
    <row r="4270">
      <c r="A4270" s="5"/>
      <c r="B4270" s="13" t="s">
        <v>1708</v>
      </c>
      <c r="C4270" s="22">
        <f>(1.62)*(1)*(1)*(1)*(1 + (0))</f>
      </c>
      <c r="D4270" s="22" t="s">
        <v>182</v>
      </c>
      <c r="E4270" s="22"/>
      <c r="F4270" s="22">
        <f>(0)</f>
      </c>
      <c r="G4270" s="22">
        <f>(C4270 * E4270 + C4270 * E4270 * F4270)</f>
      </c>
    </row>
    <row r="4271">
      <c r="A4271" s="2"/>
      <c r="B4271" s="10" t="s">
        <v>631</v>
      </c>
      <c r="C4271" s="19"/>
      <c r="D4271" s="19"/>
      <c r="E4271" s="19"/>
      <c r="F4271" s="19"/>
      <c r="G4271" s="19"/>
    </row>
    <row r="4272">
      <c r="A4272" s="3"/>
      <c r="B4272" s="11" t="s">
        <v>37</v>
      </c>
      <c r="C4272" s="20"/>
      <c r="D4272" s="20"/>
      <c r="E4272" s="20"/>
      <c r="F4272" s="20"/>
      <c r="G4272" s="20"/>
    </row>
    <row r="4273">
      <c r="A4273" s="5" t="s">
        <v>632</v>
      </c>
      <c r="B4273" s="14" t="s">
        <v>39</v>
      </c>
      <c r="C4273" s="22"/>
      <c r="D4273" s="22" t="s">
        <v>10</v>
      </c>
      <c r="E4273" s="22"/>
      <c r="F4273" s="22">
        <f>(0)</f>
      </c>
      <c r="G4273" s="22">
        <f>(C4273 * E4273 + C4273 * E4273 * F4273)</f>
      </c>
    </row>
    <row r="4274">
      <c r="A4274" s="5" t="s">
        <v>633</v>
      </c>
      <c r="B4274" s="14" t="s">
        <v>41</v>
      </c>
      <c r="C4274" s="22"/>
      <c r="D4274" s="22" t="s">
        <v>10</v>
      </c>
      <c r="E4274" s="22"/>
      <c r="F4274" s="22">
        <f>(0)</f>
      </c>
      <c r="G4274" s="22">
        <f>(C4274 * E4274 + C4274 * E4274 * F4274)</f>
      </c>
    </row>
    <row r="4275">
      <c r="A4275" s="3"/>
      <c r="B4275" s="11" t="s">
        <v>523</v>
      </c>
      <c r="C4275" s="20"/>
      <c r="D4275" s="20"/>
      <c r="E4275" s="20"/>
      <c r="F4275" s="20"/>
      <c r="G4275" s="20"/>
    </row>
    <row r="4276">
      <c r="A4276" s="5"/>
      <c r="B4276" s="14" t="s">
        <v>1709</v>
      </c>
      <c r="C4276" s="22"/>
      <c r="D4276" s="22" t="s">
        <v>10</v>
      </c>
      <c r="E4276" s="22"/>
      <c r="F4276" s="22">
        <f>(0)</f>
      </c>
      <c r="G4276" s="22">
        <f>(C4276 * E4276 + C4276 * E4276 * F4276)</f>
      </c>
    </row>
    <row r="4277">
      <c r="A4277" s="5"/>
      <c r="B4277" s="14" t="s">
        <v>635</v>
      </c>
      <c r="C4277" s="22"/>
      <c r="D4277" s="22" t="s">
        <v>10</v>
      </c>
      <c r="E4277" s="22"/>
      <c r="F4277" s="22">
        <f>(0)</f>
      </c>
      <c r="G4277" s="22">
        <f>(C4277 * E4277 + C4277 * E4277 * F4277)</f>
      </c>
    </row>
    <row r="4278">
      <c r="A4278" s="3"/>
      <c r="B4278" s="11" t="s">
        <v>44</v>
      </c>
      <c r="C4278" s="20"/>
      <c r="D4278" s="20"/>
      <c r="E4278" s="20"/>
      <c r="F4278" s="20"/>
      <c r="G4278" s="20"/>
    </row>
    <row r="4279">
      <c r="A4279" s="4"/>
      <c r="B4279" s="12" t="s">
        <v>45</v>
      </c>
      <c r="C4279" s="21"/>
      <c r="D4279" s="21"/>
      <c r="E4279" s="21"/>
      <c r="F4279" s="21"/>
      <c r="G4279" s="21"/>
    </row>
    <row r="4280">
      <c r="A4280" s="5" t="s">
        <v>637</v>
      </c>
      <c r="B4280" s="13" t="s">
        <v>638</v>
      </c>
      <c r="C4280" s="22"/>
      <c r="D4280" s="22" t="s">
        <v>10</v>
      </c>
      <c r="E4280" s="22"/>
      <c r="F4280" s="22">
        <f>(0)</f>
      </c>
      <c r="G4280" s="22">
        <f>(C4280 * E4280 + C4280 * E4280 * F4280)</f>
      </c>
    </row>
    <row r="4281">
      <c r="A4281" s="5" t="s">
        <v>639</v>
      </c>
      <c r="B4281" s="13" t="s">
        <v>640</v>
      </c>
      <c r="C4281" s="22"/>
      <c r="D4281" s="22" t="s">
        <v>10</v>
      </c>
      <c r="E4281" s="22"/>
      <c r="F4281" s="22">
        <f>(0)</f>
      </c>
      <c r="G4281" s="22">
        <f>(C4281 * E4281 + C4281 * E4281 * F4281)</f>
      </c>
    </row>
    <row r="4282">
      <c r="A4282" s="5" t="s">
        <v>641</v>
      </c>
      <c r="B4282" s="13" t="s">
        <v>642</v>
      </c>
      <c r="C4282" s="22"/>
      <c r="D4282" s="22" t="s">
        <v>10</v>
      </c>
      <c r="E4282" s="22"/>
      <c r="F4282" s="22">
        <f>(0)</f>
      </c>
      <c r="G4282" s="22">
        <f>(C4282 * E4282 + C4282 * E4282 * F4282)</f>
      </c>
    </row>
    <row r="4283">
      <c r="A4283" s="5" t="s">
        <v>643</v>
      </c>
      <c r="B4283" s="13" t="s">
        <v>644</v>
      </c>
      <c r="C4283" s="22"/>
      <c r="D4283" s="22" t="s">
        <v>10</v>
      </c>
      <c r="E4283" s="22"/>
      <c r="F4283" s="22">
        <f>(0)</f>
      </c>
      <c r="G4283" s="22">
        <f>(C4283 * E4283 + C4283 * E4283 * F4283)</f>
      </c>
    </row>
    <row r="4284">
      <c r="A4284" s="5" t="s">
        <v>645</v>
      </c>
      <c r="B4284" s="13" t="s">
        <v>646</v>
      </c>
      <c r="C4284" s="22"/>
      <c r="D4284" s="22" t="s">
        <v>10</v>
      </c>
      <c r="E4284" s="22"/>
      <c r="F4284" s="22">
        <f>(0)</f>
      </c>
      <c r="G4284" s="22">
        <f>(C4284 * E4284 + C4284 * E4284 * F4284)</f>
      </c>
    </row>
    <row r="4285">
      <c r="A4285" s="5" t="s">
        <v>647</v>
      </c>
      <c r="B4285" s="13" t="s">
        <v>648</v>
      </c>
      <c r="C4285" s="22"/>
      <c r="D4285" s="22" t="s">
        <v>10</v>
      </c>
      <c r="E4285" s="22"/>
      <c r="F4285" s="22">
        <f>(0)</f>
      </c>
      <c r="G4285" s="22">
        <f>(C4285 * E4285 + C4285 * E4285 * F4285)</f>
      </c>
    </row>
    <row r="4286">
      <c r="A4286" s="5" t="s">
        <v>649</v>
      </c>
      <c r="B4286" s="13" t="s">
        <v>650</v>
      </c>
      <c r="C4286" s="22"/>
      <c r="D4286" s="22" t="s">
        <v>10</v>
      </c>
      <c r="E4286" s="22"/>
      <c r="F4286" s="22">
        <f>(0)</f>
      </c>
      <c r="G4286" s="22">
        <f>(C4286 * E4286 + C4286 * E4286 * F4286)</f>
      </c>
    </row>
    <row r="4287">
      <c r="A4287" s="5" t="s">
        <v>651</v>
      </c>
      <c r="B4287" s="13" t="s">
        <v>652</v>
      </c>
      <c r="C4287" s="22"/>
      <c r="D4287" s="22" t="s">
        <v>10</v>
      </c>
      <c r="E4287" s="22"/>
      <c r="F4287" s="22">
        <f>(0)</f>
      </c>
      <c r="G4287" s="22">
        <f>(C4287 * E4287 + C4287 * E4287 * F4287)</f>
      </c>
    </row>
    <row r="4288">
      <c r="A4288" s="5" t="s">
        <v>653</v>
      </c>
      <c r="B4288" s="13" t="s">
        <v>654</v>
      </c>
      <c r="C4288" s="22"/>
      <c r="D4288" s="22" t="s">
        <v>10</v>
      </c>
      <c r="E4288" s="22"/>
      <c r="F4288" s="22">
        <f>(0)</f>
      </c>
      <c r="G4288" s="22">
        <f>(C4288 * E4288 + C4288 * E4288 * F4288)</f>
      </c>
    </row>
    <row r="4289">
      <c r="A4289" s="3"/>
      <c r="B4289" s="11" t="s">
        <v>68</v>
      </c>
      <c r="C4289" s="20"/>
      <c r="D4289" s="20"/>
      <c r="E4289" s="20"/>
      <c r="F4289" s="20"/>
      <c r="G4289" s="20"/>
    </row>
    <row r="4290">
      <c r="A4290" s="5" t="s">
        <v>655</v>
      </c>
      <c r="B4290" s="14" t="s">
        <v>656</v>
      </c>
      <c r="C4290" s="22">
        <f>(1)*(1)*(1)*(1)*(1 + (0))</f>
      </c>
      <c r="D4290" s="22" t="s">
        <v>71</v>
      </c>
      <c r="E4290" s="22"/>
      <c r="F4290" s="22">
        <f>(0)</f>
      </c>
      <c r="G4290" s="22">
        <f>(C4290 * E4290 + C4290 * E4290 * F4290)</f>
      </c>
    </row>
    <row r="4291">
      <c r="A4291" s="5" t="s">
        <v>657</v>
      </c>
      <c r="B4291" s="14" t="s">
        <v>658</v>
      </c>
      <c r="C4291" s="22">
        <f>(1)*(1)*(1)*(1)*(1 + (0))</f>
      </c>
      <c r="D4291" s="22" t="s">
        <v>71</v>
      </c>
      <c r="E4291" s="22"/>
      <c r="F4291" s="22">
        <f>(0)</f>
      </c>
      <c r="G4291" s="22">
        <f>(C4291 * E4291 + C4291 * E4291 * F4291)</f>
      </c>
    </row>
    <row r="4292">
      <c r="A4292" s="5" t="s">
        <v>659</v>
      </c>
      <c r="B4292" s="14" t="s">
        <v>660</v>
      </c>
      <c r="C4292" s="22">
        <f>(1)*(1)*(1)*(1)*(1 + (0))</f>
      </c>
      <c r="D4292" s="22" t="s">
        <v>71</v>
      </c>
      <c r="E4292" s="22"/>
      <c r="F4292" s="22">
        <f>(0)</f>
      </c>
      <c r="G4292" s="22">
        <f>(C4292 * E4292 + C4292 * E4292 * F4292)</f>
      </c>
    </row>
    <row r="4293">
      <c r="A4293" s="5" t="s">
        <v>661</v>
      </c>
      <c r="B4293" s="14" t="s">
        <v>77</v>
      </c>
      <c r="C4293" s="22">
        <f>(1)*(1)*(1)*(1)*(1 + (0))</f>
      </c>
      <c r="D4293" s="22" t="s">
        <v>71</v>
      </c>
      <c r="E4293" s="22"/>
      <c r="F4293" s="22">
        <f>(0)</f>
      </c>
      <c r="G4293" s="22">
        <f>(C4293 * E4293 + C4293 * E4293 * F4293)</f>
      </c>
    </row>
    <row r="4294">
      <c r="A4294" s="5" t="s">
        <v>662</v>
      </c>
      <c r="B4294" s="14" t="s">
        <v>663</v>
      </c>
      <c r="C4294" s="22">
        <f>(1)*(1)*(1)*(1)*(1 + (0))</f>
      </c>
      <c r="D4294" s="22" t="s">
        <v>71</v>
      </c>
      <c r="E4294" s="22"/>
      <c r="F4294" s="22">
        <f>(0)</f>
      </c>
      <c r="G4294" s="22">
        <f>(C4294 * E4294 + C4294 * E4294 * F4294)</f>
      </c>
    </row>
    <row r="4295">
      <c r="A4295" s="5" t="s">
        <v>664</v>
      </c>
      <c r="B4295" s="14" t="s">
        <v>665</v>
      </c>
      <c r="C4295" s="22">
        <f>(1)*(1)*(1)*(1)*(1 + (0))</f>
      </c>
      <c r="D4295" s="22" t="s">
        <v>71</v>
      </c>
      <c r="E4295" s="22"/>
      <c r="F4295" s="22">
        <f>(0)</f>
      </c>
      <c r="G4295" s="22">
        <f>(C4295 * E4295 + C4295 * E4295 * F4295)</f>
      </c>
    </row>
    <row r="4296">
      <c r="A4296" s="5" t="s">
        <v>666</v>
      </c>
      <c r="B4296" s="14" t="s">
        <v>667</v>
      </c>
      <c r="C4296" s="22">
        <f>(1)*(1)*(1)*(1)*(1 + (0))</f>
      </c>
      <c r="D4296" s="22" t="s">
        <v>71</v>
      </c>
      <c r="E4296" s="22"/>
      <c r="F4296" s="22">
        <f>(0)</f>
      </c>
      <c r="G4296" s="22">
        <f>(C4296 * E4296 + C4296 * E4296 * F4296)</f>
      </c>
    </row>
    <row r="4297">
      <c r="A4297" s="5" t="s">
        <v>668</v>
      </c>
      <c r="B4297" s="14" t="s">
        <v>669</v>
      </c>
      <c r="C4297" s="22">
        <f>(1)*(1)*(1)*(1)*(1 + (0))</f>
      </c>
      <c r="D4297" s="22" t="s">
        <v>71</v>
      </c>
      <c r="E4297" s="22"/>
      <c r="F4297" s="22">
        <f>(0)</f>
      </c>
      <c r="G4297" s="22">
        <f>(C4297 * E4297 + C4297 * E4297 * F4297)</f>
      </c>
    </row>
    <row r="4298">
      <c r="A4298" s="3"/>
      <c r="B4298" s="11" t="s">
        <v>106</v>
      </c>
      <c r="C4298" s="20"/>
      <c r="D4298" s="20"/>
      <c r="E4298" s="20"/>
      <c r="F4298" s="20"/>
      <c r="G4298" s="20"/>
    </row>
    <row r="4299">
      <c r="A4299" s="5"/>
      <c r="B4299" s="14" t="s">
        <v>671</v>
      </c>
      <c r="C4299" s="22"/>
      <c r="D4299" s="22" t="s">
        <v>10</v>
      </c>
      <c r="E4299" s="22"/>
      <c r="F4299" s="22">
        <f>(0)</f>
      </c>
      <c r="G4299" s="22">
        <f>(C4299 * E4299 + C4299 * E4299 * F4299)</f>
      </c>
    </row>
    <row r="4300">
      <c r="A4300" s="3"/>
      <c r="B4300" s="11" t="s">
        <v>672</v>
      </c>
      <c r="C4300" s="20"/>
      <c r="D4300" s="20"/>
      <c r="E4300" s="20"/>
      <c r="F4300" s="20"/>
      <c r="G4300" s="20"/>
    </row>
    <row r="4301">
      <c r="A4301" s="4"/>
      <c r="B4301" s="12" t="s">
        <v>673</v>
      </c>
      <c r="C4301" s="21"/>
      <c r="D4301" s="21"/>
      <c r="E4301" s="21"/>
      <c r="F4301" s="21"/>
      <c r="G4301" s="21"/>
    </row>
    <row r="4302">
      <c r="A4302" s="6"/>
      <c r="B4302" s="15" t="s">
        <v>674</v>
      </c>
      <c r="C4302" s="23"/>
      <c r="D4302" s="23"/>
      <c r="E4302" s="23"/>
      <c r="F4302" s="23"/>
      <c r="G4302" s="23"/>
    </row>
    <row r="4303">
      <c r="A4303" s="5"/>
      <c r="B4303" s="16" t="s">
        <v>675</v>
      </c>
      <c r="C4303" s="22"/>
      <c r="D4303" s="22"/>
      <c r="E4303" s="22"/>
      <c r="F4303" s="22"/>
      <c r="G4303" s="22"/>
    </row>
    <row r="4304">
      <c r="A4304" s="5"/>
      <c r="B4304" s="17" t="s">
        <v>1710</v>
      </c>
      <c r="C4304" s="22">
        <f>(46)*(1)*(1)*(1)*(1 + (0))</f>
      </c>
      <c r="D4304" s="22" t="s">
        <v>24</v>
      </c>
      <c r="E4304" s="22"/>
      <c r="F4304" s="22">
        <f>(0)</f>
      </c>
      <c r="G4304" s="22">
        <f>(C4304 * E4304 + C4304 * E4304 * F4304)</f>
      </c>
    </row>
    <row r="4305">
      <c r="A4305" s="5"/>
      <c r="B4305" s="16" t="s">
        <v>677</v>
      </c>
      <c r="C4305" s="22"/>
      <c r="D4305" s="22"/>
      <c r="E4305" s="22"/>
      <c r="F4305" s="22"/>
      <c r="G4305" s="22"/>
    </row>
    <row r="4306">
      <c r="A4306" s="5"/>
      <c r="B4306" s="17" t="s">
        <v>1710</v>
      </c>
      <c r="C4306" s="22">
        <f>(12)*(1)*(1)*(1)*(1 + (0))</f>
      </c>
      <c r="D4306" s="22" t="s">
        <v>24</v>
      </c>
      <c r="E4306" s="22"/>
      <c r="F4306" s="22">
        <f>(0)</f>
      </c>
      <c r="G4306" s="22">
        <f>(C4306 * E4306 + C4306 * E4306 * F4306)</f>
      </c>
    </row>
    <row r="4307">
      <c r="A4307" s="5"/>
      <c r="B4307" s="16" t="s">
        <v>678</v>
      </c>
      <c r="C4307" s="22"/>
      <c r="D4307" s="22"/>
      <c r="E4307" s="22"/>
      <c r="F4307" s="22"/>
      <c r="G4307" s="22"/>
    </row>
    <row r="4308">
      <c r="A4308" s="5"/>
      <c r="B4308" s="17" t="s">
        <v>1711</v>
      </c>
      <c r="C4308" s="22">
        <f>(47)*(1)*(1)*(1)*(1 + (0))</f>
      </c>
      <c r="D4308" s="22" t="s">
        <v>153</v>
      </c>
      <c r="E4308" s="22"/>
      <c r="F4308" s="22">
        <f>(0)</f>
      </c>
      <c r="G4308" s="22">
        <f>(C4308 * E4308 + C4308 * E4308 * F4308)</f>
      </c>
    </row>
    <row r="4309">
      <c r="A4309" s="2"/>
      <c r="B4309" s="10" t="s">
        <v>689</v>
      </c>
      <c r="C4309" s="19"/>
      <c r="D4309" s="19"/>
      <c r="E4309" s="19"/>
      <c r="F4309" s="19"/>
      <c r="G4309" s="19"/>
    </row>
    <row r="4310">
      <c r="A4310" s="3"/>
      <c r="B4310" s="11" t="s">
        <v>37</v>
      </c>
      <c r="C4310" s="20"/>
      <c r="D4310" s="20"/>
      <c r="E4310" s="20"/>
      <c r="F4310" s="20"/>
      <c r="G4310" s="20"/>
    </row>
    <row r="4311">
      <c r="A4311" s="5" t="s">
        <v>690</v>
      </c>
      <c r="B4311" s="14" t="s">
        <v>39</v>
      </c>
      <c r="C4311" s="22"/>
      <c r="D4311" s="22" t="s">
        <v>10</v>
      </c>
      <c r="E4311" s="22"/>
      <c r="F4311" s="22">
        <f>(0)</f>
      </c>
      <c r="G4311" s="22">
        <f>(C4311 * E4311 + C4311 * E4311 * F4311)</f>
      </c>
    </row>
    <row r="4312">
      <c r="A4312" s="5" t="s">
        <v>691</v>
      </c>
      <c r="B4312" s="14" t="s">
        <v>41</v>
      </c>
      <c r="C4312" s="22"/>
      <c r="D4312" s="22" t="s">
        <v>10</v>
      </c>
      <c r="E4312" s="22"/>
      <c r="F4312" s="22">
        <f>(0)</f>
      </c>
      <c r="G4312" s="22">
        <f>(C4312 * E4312 + C4312 * E4312 * F4312)</f>
      </c>
    </row>
    <row r="4313">
      <c r="A4313" s="3"/>
      <c r="B4313" s="11" t="s">
        <v>42</v>
      </c>
      <c r="C4313" s="20"/>
      <c r="D4313" s="20"/>
      <c r="E4313" s="20"/>
      <c r="F4313" s="20"/>
      <c r="G4313" s="20"/>
    </row>
    <row r="4314">
      <c r="A4314" s="5"/>
      <c r="B4314" s="14" t="s">
        <v>692</v>
      </c>
      <c r="C4314" s="22"/>
      <c r="D4314" s="22" t="s">
        <v>10</v>
      </c>
      <c r="E4314" s="22"/>
      <c r="F4314" s="22">
        <f>(0)</f>
      </c>
      <c r="G4314" s="22">
        <f>(C4314 * E4314 + C4314 * E4314 * F4314)</f>
      </c>
    </row>
    <row r="4315">
      <c r="A4315" s="5"/>
      <c r="B4315" s="14" t="s">
        <v>693</v>
      </c>
      <c r="C4315" s="22"/>
      <c r="D4315" s="22" t="s">
        <v>10</v>
      </c>
      <c r="E4315" s="22"/>
      <c r="F4315" s="22">
        <f>(0)</f>
      </c>
      <c r="G4315" s="22">
        <f>(C4315 * E4315 + C4315 * E4315 * F4315)</f>
      </c>
    </row>
    <row r="4316">
      <c r="A4316" s="5"/>
      <c r="B4316" s="14" t="s">
        <v>694</v>
      </c>
      <c r="C4316" s="22"/>
      <c r="D4316" s="22" t="s">
        <v>10</v>
      </c>
      <c r="E4316" s="22"/>
      <c r="F4316" s="22">
        <f>(0)</f>
      </c>
      <c r="G4316" s="22">
        <f>(C4316 * E4316 + C4316 * E4316 * F4316)</f>
      </c>
    </row>
    <row r="4317">
      <c r="A4317" s="3"/>
      <c r="B4317" s="11" t="s">
        <v>44</v>
      </c>
      <c r="C4317" s="20"/>
      <c r="D4317" s="20"/>
      <c r="E4317" s="20"/>
      <c r="F4317" s="20"/>
      <c r="G4317" s="20"/>
    </row>
    <row r="4318">
      <c r="A4318" s="4"/>
      <c r="B4318" s="12" t="s">
        <v>45</v>
      </c>
      <c r="C4318" s="21"/>
      <c r="D4318" s="21"/>
      <c r="E4318" s="21"/>
      <c r="F4318" s="21"/>
      <c r="G4318" s="21"/>
    </row>
    <row r="4319">
      <c r="A4319" s="5" t="s">
        <v>695</v>
      </c>
      <c r="B4319" s="13" t="s">
        <v>696</v>
      </c>
      <c r="C4319" s="22"/>
      <c r="D4319" s="22" t="s">
        <v>10</v>
      </c>
      <c r="E4319" s="22"/>
      <c r="F4319" s="22">
        <f>(0)</f>
      </c>
      <c r="G4319" s="22">
        <f>(C4319 * E4319 + C4319 * E4319 * F4319)</f>
      </c>
    </row>
    <row r="4320">
      <c r="A4320" s="5" t="s">
        <v>697</v>
      </c>
      <c r="B4320" s="13" t="s">
        <v>698</v>
      </c>
      <c r="C4320" s="22"/>
      <c r="D4320" s="22" t="s">
        <v>10</v>
      </c>
      <c r="E4320" s="22"/>
      <c r="F4320" s="22">
        <f>(0)</f>
      </c>
      <c r="G4320" s="22">
        <f>(C4320 * E4320 + C4320 * E4320 * F4320)</f>
      </c>
    </row>
    <row r="4321">
      <c r="A4321" s="5" t="s">
        <v>699</v>
      </c>
      <c r="B4321" s="13" t="s">
        <v>700</v>
      </c>
      <c r="C4321" s="22"/>
      <c r="D4321" s="22" t="s">
        <v>10</v>
      </c>
      <c r="E4321" s="22"/>
      <c r="F4321" s="22">
        <f>(0)</f>
      </c>
      <c r="G4321" s="22">
        <f>(C4321 * E4321 + C4321 * E4321 * F4321)</f>
      </c>
    </row>
    <row r="4322">
      <c r="A4322" s="5" t="s">
        <v>701</v>
      </c>
      <c r="B4322" s="13" t="s">
        <v>646</v>
      </c>
      <c r="C4322" s="22"/>
      <c r="D4322" s="22" t="s">
        <v>10</v>
      </c>
      <c r="E4322" s="22"/>
      <c r="F4322" s="22">
        <f>(0)</f>
      </c>
      <c r="G4322" s="22">
        <f>(C4322 * E4322 + C4322 * E4322 * F4322)</f>
      </c>
    </row>
    <row r="4323">
      <c r="A4323" s="5" t="s">
        <v>702</v>
      </c>
      <c r="B4323" s="13" t="s">
        <v>648</v>
      </c>
      <c r="C4323" s="22"/>
      <c r="D4323" s="22" t="s">
        <v>10</v>
      </c>
      <c r="E4323" s="22"/>
      <c r="F4323" s="22">
        <f>(0)</f>
      </c>
      <c r="G4323" s="22">
        <f>(C4323 * E4323 + C4323 * E4323 * F4323)</f>
      </c>
    </row>
    <row r="4324">
      <c r="A4324" s="5" t="s">
        <v>703</v>
      </c>
      <c r="B4324" s="13" t="s">
        <v>704</v>
      </c>
      <c r="C4324" s="22"/>
      <c r="D4324" s="22" t="s">
        <v>10</v>
      </c>
      <c r="E4324" s="22"/>
      <c r="F4324" s="22">
        <f>(0)</f>
      </c>
      <c r="G4324" s="22">
        <f>(C4324 * E4324 + C4324 * E4324 * F4324)</f>
      </c>
    </row>
    <row r="4325">
      <c r="A4325" s="5" t="s">
        <v>705</v>
      </c>
      <c r="B4325" s="13" t="s">
        <v>123</v>
      </c>
      <c r="C4325" s="22"/>
      <c r="D4325" s="22" t="s">
        <v>10</v>
      </c>
      <c r="E4325" s="22"/>
      <c r="F4325" s="22">
        <f>(0)</f>
      </c>
      <c r="G4325" s="22">
        <f>(C4325 * E4325 + C4325 * E4325 * F4325)</f>
      </c>
    </row>
    <row r="4326">
      <c r="A4326" s="3"/>
      <c r="B4326" s="11" t="s">
        <v>68</v>
      </c>
      <c r="C4326" s="20"/>
      <c r="D4326" s="20"/>
      <c r="E4326" s="20"/>
      <c r="F4326" s="20"/>
      <c r="G4326" s="20"/>
    </row>
    <row r="4327">
      <c r="A4327" s="5" t="s">
        <v>706</v>
      </c>
      <c r="B4327" s="14" t="s">
        <v>707</v>
      </c>
      <c r="C4327" s="22">
        <f>(1)*(1)*(1)*(1)*(1 + (0))</f>
      </c>
      <c r="D4327" s="22" t="s">
        <v>71</v>
      </c>
      <c r="E4327" s="22"/>
      <c r="F4327" s="22">
        <f>(0)</f>
      </c>
      <c r="G4327" s="22">
        <f>(C4327 * E4327 + C4327 * E4327 * F4327)</f>
      </c>
    </row>
    <row r="4328">
      <c r="A4328" s="5" t="s">
        <v>708</v>
      </c>
      <c r="B4328" s="14" t="s">
        <v>709</v>
      </c>
      <c r="C4328" s="22">
        <f>(1)*(1)*(1)*(1)*(1 + (0))</f>
      </c>
      <c r="D4328" s="22" t="s">
        <v>71</v>
      </c>
      <c r="E4328" s="22"/>
      <c r="F4328" s="22">
        <f>(0)</f>
      </c>
      <c r="G4328" s="22">
        <f>(C4328 * E4328 + C4328 * E4328 * F4328)</f>
      </c>
    </row>
    <row r="4329">
      <c r="A4329" s="5" t="s">
        <v>710</v>
      </c>
      <c r="B4329" s="14" t="s">
        <v>711</v>
      </c>
      <c r="C4329" s="22">
        <f>(1)*(1)*(1)*(1)*(1 + (0))</f>
      </c>
      <c r="D4329" s="22" t="s">
        <v>71</v>
      </c>
      <c r="E4329" s="22"/>
      <c r="F4329" s="22">
        <f>(0)</f>
      </c>
      <c r="G4329" s="22">
        <f>(C4329 * E4329 + C4329 * E4329 * F4329)</f>
      </c>
    </row>
    <row r="4330">
      <c r="A4330" s="5" t="s">
        <v>712</v>
      </c>
      <c r="B4330" s="14" t="s">
        <v>79</v>
      </c>
      <c r="C4330" s="22">
        <f>(1)*(1)*(1)*(1)*(1 + (0))</f>
      </c>
      <c r="D4330" s="22" t="s">
        <v>71</v>
      </c>
      <c r="E4330" s="22"/>
      <c r="F4330" s="22">
        <f>(0)</f>
      </c>
      <c r="G4330" s="22">
        <f>(C4330 * E4330 + C4330 * E4330 * F4330)</f>
      </c>
    </row>
    <row r="4331">
      <c r="A4331" s="5" t="s">
        <v>713</v>
      </c>
      <c r="B4331" s="14" t="s">
        <v>714</v>
      </c>
      <c r="C4331" s="22">
        <f>(1)*(1)*(1)*(1)*(1 + (0))</f>
      </c>
      <c r="D4331" s="22" t="s">
        <v>71</v>
      </c>
      <c r="E4331" s="22"/>
      <c r="F4331" s="22">
        <f>(0)</f>
      </c>
      <c r="G4331" s="22">
        <f>(C4331 * E4331 + C4331 * E4331 * F4331)</f>
      </c>
    </row>
    <row r="4332">
      <c r="A4332" s="5" t="s">
        <v>715</v>
      </c>
      <c r="B4332" s="14" t="s">
        <v>716</v>
      </c>
      <c r="C4332" s="22">
        <f>(1)*(1)*(1)*(1)*(1 + (0))</f>
      </c>
      <c r="D4332" s="22" t="s">
        <v>71</v>
      </c>
      <c r="E4332" s="22"/>
      <c r="F4332" s="22">
        <f>(0)</f>
      </c>
      <c r="G4332" s="22">
        <f>(C4332 * E4332 + C4332 * E4332 * F4332)</f>
      </c>
    </row>
    <row r="4333">
      <c r="A4333" s="5" t="s">
        <v>717</v>
      </c>
      <c r="B4333" s="14" t="s">
        <v>718</v>
      </c>
      <c r="C4333" s="22">
        <f>(1)*(1)*(1)*(1)*(1 + (0))</f>
      </c>
      <c r="D4333" s="22" t="s">
        <v>71</v>
      </c>
      <c r="E4333" s="22"/>
      <c r="F4333" s="22">
        <f>(0)</f>
      </c>
      <c r="G4333" s="22">
        <f>(C4333 * E4333 + C4333 * E4333 * F4333)</f>
      </c>
    </row>
    <row r="4334">
      <c r="A4334" s="5" t="s">
        <v>719</v>
      </c>
      <c r="B4334" s="14" t="s">
        <v>720</v>
      </c>
      <c r="C4334" s="22">
        <f>(1)*(1)*(1)*(1)*(1 + (0))</f>
      </c>
      <c r="D4334" s="22" t="s">
        <v>71</v>
      </c>
      <c r="E4334" s="22"/>
      <c r="F4334" s="22">
        <f>(0)</f>
      </c>
      <c r="G4334" s="22">
        <f>(C4334 * E4334 + C4334 * E4334 * F4334)</f>
      </c>
    </row>
    <row r="4335">
      <c r="A4335" s="3"/>
      <c r="B4335" s="11" t="s">
        <v>721</v>
      </c>
      <c r="C4335" s="20"/>
      <c r="D4335" s="20"/>
      <c r="E4335" s="20"/>
      <c r="F4335" s="20"/>
      <c r="G4335" s="20"/>
    </row>
    <row r="4336">
      <c r="A4336" s="5"/>
      <c r="B4336" s="14" t="s">
        <v>722</v>
      </c>
      <c r="C4336" s="22">
        <f>(876)*(1)*(1)*(1)*(1 + (0))</f>
      </c>
      <c r="D4336" s="22" t="s">
        <v>24</v>
      </c>
      <c r="E4336" s="22"/>
      <c r="F4336" s="22">
        <f>(0)</f>
      </c>
      <c r="G4336" s="22">
        <f>(C4336 * E4336 + C4336 * E4336 * F4336)</f>
      </c>
    </row>
    <row r="4337">
      <c r="A4337" s="5"/>
      <c r="B4337" s="14" t="s">
        <v>1983</v>
      </c>
      <c r="C4337" s="22">
        <f>(153)*(1)*(1)*(1)*(1 + (0))</f>
      </c>
      <c r="D4337" s="22" t="s">
        <v>24</v>
      </c>
      <c r="E4337" s="22"/>
      <c r="F4337" s="22">
        <f>(0)</f>
      </c>
      <c r="G4337" s="22">
        <f>(C4337 * E4337 + C4337 * E4337 * F4337)</f>
      </c>
    </row>
    <row r="4338">
      <c r="A4338" s="5"/>
      <c r="B4338" s="14" t="s">
        <v>1984</v>
      </c>
      <c r="C4338" s="22">
        <f>(410)*(1)*(1)*(1)*(1 + (0))</f>
      </c>
      <c r="D4338" s="22" t="s">
        <v>24</v>
      </c>
      <c r="E4338" s="22"/>
      <c r="F4338" s="22">
        <f>(0)</f>
      </c>
      <c r="G4338" s="22">
        <f>(C4338 * E4338 + C4338 * E4338 * F4338)</f>
      </c>
    </row>
    <row r="4339">
      <c r="A4339" s="3"/>
      <c r="B4339" s="11" t="s">
        <v>723</v>
      </c>
      <c r="C4339" s="20"/>
      <c r="D4339" s="20"/>
      <c r="E4339" s="20"/>
      <c r="F4339" s="20"/>
      <c r="G4339" s="20"/>
    </row>
    <row r="4340">
      <c r="A4340" s="5"/>
      <c r="B4340" s="14" t="s">
        <v>727</v>
      </c>
      <c r="C4340" s="22">
        <f>(876)*(1)*(1)*(1)*(1 + (0))</f>
      </c>
      <c r="D4340" s="22" t="s">
        <v>24</v>
      </c>
      <c r="E4340" s="22"/>
      <c r="F4340" s="22">
        <f>(0)</f>
      </c>
      <c r="G4340" s="22">
        <f>(C4340 * E4340 + C4340 * E4340 * F4340)</f>
      </c>
    </row>
    <row r="4341">
      <c r="A4341" s="5"/>
      <c r="B4341" s="14" t="s">
        <v>1985</v>
      </c>
      <c r="C4341" s="22">
        <f>(113)*(1)*(1)*(1)*(1 + (0))</f>
      </c>
      <c r="D4341" s="22" t="s">
        <v>24</v>
      </c>
      <c r="E4341" s="22"/>
      <c r="F4341" s="22">
        <f>(0)</f>
      </c>
      <c r="G4341" s="22">
        <f>(C4341 * E4341 + C4341 * E4341 * F4341)</f>
      </c>
    </row>
    <row r="4342">
      <c r="A4342" s="5"/>
      <c r="B4342" s="14" t="s">
        <v>1986</v>
      </c>
      <c r="C4342" s="22">
        <f>(410)*(1)*(1)*(1)*(1 + (0))</f>
      </c>
      <c r="D4342" s="22" t="s">
        <v>24</v>
      </c>
      <c r="E4342" s="22"/>
      <c r="F4342" s="22">
        <f>(0)</f>
      </c>
      <c r="G4342" s="22">
        <f>(C4342 * E4342 + C4342 * E4342 * F4342)</f>
      </c>
    </row>
    <row r="4343">
      <c r="A4343" s="3"/>
      <c r="B4343" s="11" t="s">
        <v>728</v>
      </c>
      <c r="C4343" s="20"/>
      <c r="D4343" s="20"/>
      <c r="E4343" s="20"/>
      <c r="F4343" s="20"/>
      <c r="G4343" s="20"/>
    </row>
    <row r="4344">
      <c r="A4344" s="5"/>
      <c r="B4344" s="14" t="s">
        <v>729</v>
      </c>
      <c r="C4344" s="22">
        <f>(1398)*(1)*(1)*(1)*(1 + (0))</f>
      </c>
      <c r="D4344" s="22" t="s">
        <v>24</v>
      </c>
      <c r="E4344" s="22"/>
      <c r="F4344" s="22">
        <f>(0)</f>
      </c>
      <c r="G4344" s="22">
        <f>(C4344 * E4344 + C4344 * E4344 * F4344)</f>
      </c>
    </row>
    <row r="4345">
      <c r="A4345" s="3"/>
      <c r="B4345" s="11" t="s">
        <v>730</v>
      </c>
      <c r="C4345" s="20"/>
      <c r="D4345" s="20"/>
      <c r="E4345" s="20"/>
      <c r="F4345" s="20"/>
      <c r="G4345" s="20"/>
    </row>
    <row r="4346">
      <c r="A4346" s="4"/>
      <c r="B4346" s="12" t="s">
        <v>731</v>
      </c>
      <c r="C4346" s="21"/>
      <c r="D4346" s="21"/>
      <c r="E4346" s="21"/>
      <c r="F4346" s="21"/>
      <c r="G4346" s="21"/>
    </row>
    <row r="4347">
      <c r="A4347" s="5"/>
      <c r="B4347" s="13" t="s">
        <v>732</v>
      </c>
      <c r="C4347" s="22">
        <f>(72)*(1)*(1)*(1)*(1 + (0))</f>
      </c>
      <c r="D4347" s="22" t="s">
        <v>153</v>
      </c>
      <c r="E4347" s="22"/>
      <c r="F4347" s="22">
        <f>(0)</f>
      </c>
      <c r="G4347" s="22">
        <f>(C4347 * E4347 + C4347 * E4347 * F4347)</f>
      </c>
    </row>
    <row r="4348">
      <c r="A4348" s="5"/>
      <c r="B4348" s="13" t="s">
        <v>733</v>
      </c>
      <c r="C4348" s="22">
        <f>(114)*(1)*(1)*(1)*(1 + (0))</f>
      </c>
      <c r="D4348" s="22" t="s">
        <v>153</v>
      </c>
      <c r="E4348" s="22"/>
      <c r="F4348" s="22">
        <f>(0)</f>
      </c>
      <c r="G4348" s="22">
        <f>(C4348 * E4348 + C4348 * E4348 * F4348)</f>
      </c>
    </row>
    <row r="4349">
      <c r="A4349" s="4"/>
      <c r="B4349" s="12" t="s">
        <v>734</v>
      </c>
      <c r="C4349" s="21"/>
      <c r="D4349" s="21"/>
      <c r="E4349" s="21"/>
      <c r="F4349" s="21"/>
      <c r="G4349" s="21"/>
    </row>
    <row r="4350">
      <c r="A4350" s="5"/>
      <c r="B4350" s="13" t="s">
        <v>737</v>
      </c>
      <c r="C4350" s="22">
        <f>(127)*(1)*(1)*(1)*(1 + (0))</f>
      </c>
      <c r="D4350" s="22" t="s">
        <v>153</v>
      </c>
      <c r="E4350" s="22"/>
      <c r="F4350" s="22">
        <f>(0)</f>
      </c>
      <c r="G4350" s="22">
        <f>(C4350 * E4350 + C4350 * E4350 * F4350)</f>
      </c>
    </row>
    <row r="4351">
      <c r="A4351" s="4"/>
      <c r="B4351" s="12" t="s">
        <v>738</v>
      </c>
      <c r="C4351" s="21"/>
      <c r="D4351" s="21"/>
      <c r="E4351" s="21"/>
      <c r="F4351" s="21"/>
      <c r="G4351" s="21"/>
    </row>
    <row r="4352">
      <c r="A4352" s="5"/>
      <c r="B4352" s="13" t="s">
        <v>1987</v>
      </c>
      <c r="C4352" s="22">
        <f>(7)*(1)*(1)*(1)*(1 + (0))</f>
      </c>
      <c r="D4352" s="22" t="s">
        <v>24</v>
      </c>
      <c r="E4352" s="22"/>
      <c r="F4352" s="22">
        <f>(0)</f>
      </c>
      <c r="G4352" s="22">
        <f>(C4352 * E4352 + C4352 * E4352 * F4352)</f>
      </c>
    </row>
    <row r="4353">
      <c r="A4353" s="5"/>
      <c r="B4353" s="13" t="s">
        <v>1988</v>
      </c>
      <c r="C4353" s="22">
        <f>(15)*(1)*(1)*(1)*(1 + (0))</f>
      </c>
      <c r="D4353" s="22" t="s">
        <v>24</v>
      </c>
      <c r="E4353" s="22"/>
      <c r="F4353" s="22">
        <f>(0)</f>
      </c>
      <c r="G4353" s="22">
        <f>(C4353 * E4353 + C4353 * E4353 * F4353)</f>
      </c>
    </row>
    <row r="4354">
      <c r="A4354" s="5"/>
      <c r="B4354" s="13" t="s">
        <v>1989</v>
      </c>
      <c r="C4354" s="22">
        <f>(23)*(1)*(1)*(1)*(1 + (0))</f>
      </c>
      <c r="D4354" s="22" t="s">
        <v>24</v>
      </c>
      <c r="E4354" s="22"/>
      <c r="F4354" s="22">
        <f>(0)</f>
      </c>
      <c r="G4354" s="22">
        <f>(C4354 * E4354 + C4354 * E4354 * F4354)</f>
      </c>
    </row>
    <row r="4355">
      <c r="A4355" s="3"/>
      <c r="B4355" s="11" t="s">
        <v>740</v>
      </c>
      <c r="C4355" s="20"/>
      <c r="D4355" s="20"/>
      <c r="E4355" s="20"/>
      <c r="F4355" s="20"/>
      <c r="G4355" s="20"/>
    </row>
    <row r="4356">
      <c r="A4356" s="5"/>
      <c r="B4356" s="14" t="s">
        <v>741</v>
      </c>
      <c r="C4356" s="22">
        <f>(81)*(1)*(1)*(1)*(1 + (0))</f>
      </c>
      <c r="D4356" s="22" t="s">
        <v>153</v>
      </c>
      <c r="E4356" s="22"/>
      <c r="F4356" s="22">
        <f>(0)</f>
      </c>
      <c r="G4356" s="22">
        <f>(C4356 * E4356 + C4356 * E4356 * F4356)</f>
      </c>
    </row>
    <row r="4357">
      <c r="A4357" s="5"/>
      <c r="B4357" s="14" t="s">
        <v>1990</v>
      </c>
      <c r="C4357" s="22">
        <f>(4)*(1)*(1)*(1)*(1 + (0))</f>
      </c>
      <c r="D4357" s="22" t="s">
        <v>162</v>
      </c>
      <c r="E4357" s="22"/>
      <c r="F4357" s="22">
        <f>(0)</f>
      </c>
      <c r="G4357" s="22">
        <f>(C4357 * E4357 + C4357 * E4357 * F4357)</f>
      </c>
    </row>
    <row r="4358">
      <c r="A4358" s="5"/>
      <c r="B4358" s="14" t="s">
        <v>1991</v>
      </c>
      <c r="C4358" s="22">
        <f>(2)*(1)*(1)*(1)*(1 + (0))</f>
      </c>
      <c r="D4358" s="22" t="s">
        <v>162</v>
      </c>
      <c r="E4358" s="22"/>
      <c r="F4358" s="22">
        <f>(0)</f>
      </c>
      <c r="G4358" s="22">
        <f>(C4358 * E4358 + C4358 * E4358 * F4358)</f>
      </c>
    </row>
    <row r="4359">
      <c r="A4359" s="5"/>
      <c r="B4359" s="14" t="s">
        <v>1992</v>
      </c>
      <c r="C4359" s="22">
        <f>(4)*(1)*(1)*(1)*(1 + (0))</f>
      </c>
      <c r="D4359" s="22" t="s">
        <v>162</v>
      </c>
      <c r="E4359" s="22"/>
      <c r="F4359" s="22">
        <f>(0)</f>
      </c>
      <c r="G4359" s="22">
        <f>(C4359 * E4359 + C4359 * E4359 * F4359)</f>
      </c>
    </row>
    <row r="4360">
      <c r="A4360" s="5"/>
      <c r="B4360" s="14" t="s">
        <v>1993</v>
      </c>
      <c r="C4360" s="22">
        <f>(33)*(1)*(1)*(1)*(1 + (0))</f>
      </c>
      <c r="D4360" s="22" t="s">
        <v>153</v>
      </c>
      <c r="E4360" s="22"/>
      <c r="F4360" s="22">
        <f>(0)</f>
      </c>
      <c r="G4360" s="22">
        <f>(C4360 * E4360 + C4360 * E4360 * F4360)</f>
      </c>
    </row>
    <row r="4361">
      <c r="A4361" s="5"/>
      <c r="B4361" s="14" t="s">
        <v>1994</v>
      </c>
      <c r="C4361" s="22">
        <f>(4)*(1)*(1)*(1)*(1 + (0))</f>
      </c>
      <c r="D4361" s="22" t="s">
        <v>162</v>
      </c>
      <c r="E4361" s="22"/>
      <c r="F4361" s="22">
        <f>(0)</f>
      </c>
      <c r="G4361" s="22">
        <f>(C4361 * E4361 + C4361 * E4361 * F4361)</f>
      </c>
    </row>
    <row r="4362">
      <c r="A4362" s="5"/>
      <c r="B4362" s="14" t="s">
        <v>748</v>
      </c>
      <c r="C4362" s="22">
        <f>(14)*(1)*(1)*(1)*(1 + (0))</f>
      </c>
      <c r="D4362" s="22" t="s">
        <v>162</v>
      </c>
      <c r="E4362" s="22"/>
      <c r="F4362" s="22">
        <f>(0)</f>
      </c>
      <c r="G4362" s="22">
        <f>(C4362 * E4362 + C4362 * E4362 * F4362)</f>
      </c>
    </row>
    <row r="4363">
      <c r="A4363" s="5"/>
      <c r="B4363" s="14" t="s">
        <v>749</v>
      </c>
      <c r="C4363" s="22">
        <f>(114)*(1)*(1)*(1)*(1 + (0))</f>
      </c>
      <c r="D4363" s="22" t="s">
        <v>153</v>
      </c>
      <c r="E4363" s="22"/>
      <c r="F4363" s="22">
        <f>(0)</f>
      </c>
      <c r="G4363" s="22">
        <f>(C4363 * E4363 + C4363 * E4363 * F4363)</f>
      </c>
    </row>
    <row r="4364">
      <c r="A4364" s="5"/>
      <c r="B4364" s="14" t="s">
        <v>751</v>
      </c>
      <c r="C4364" s="22">
        <f>(14)*(1)*(1)*(1)*(1 + (0))</f>
      </c>
      <c r="D4364" s="22" t="s">
        <v>162</v>
      </c>
      <c r="E4364" s="22"/>
      <c r="F4364" s="22">
        <f>(0)</f>
      </c>
      <c r="G4364" s="22">
        <f>(C4364 * E4364 + C4364 * E4364 * F4364)</f>
      </c>
    </row>
    <row r="4365">
      <c r="A4365" s="3"/>
      <c r="B4365" s="11" t="s">
        <v>1995</v>
      </c>
      <c r="C4365" s="20"/>
      <c r="D4365" s="20"/>
      <c r="E4365" s="20"/>
      <c r="F4365" s="20"/>
      <c r="G4365" s="20"/>
    </row>
    <row r="4366">
      <c r="A4366" s="5"/>
      <c r="B4366" s="14" t="s">
        <v>1996</v>
      </c>
      <c r="C4366" s="22">
        <f>(3)*(1)*(1)*(1)*(1 + (0))</f>
      </c>
      <c r="D4366" s="22" t="s">
        <v>162</v>
      </c>
      <c r="E4366" s="22"/>
      <c r="F4366" s="22">
        <f>(0)</f>
      </c>
      <c r="G4366" s="22">
        <f>(C4366 * E4366 + C4366 * E4366 * F4366)</f>
      </c>
    </row>
    <row r="4367">
      <c r="A4367" s="3"/>
      <c r="B4367" s="11" t="s">
        <v>753</v>
      </c>
      <c r="C4367" s="20"/>
      <c r="D4367" s="20"/>
      <c r="E4367" s="20"/>
      <c r="F4367" s="20"/>
      <c r="G4367" s="20"/>
    </row>
    <row r="4368">
      <c r="A4368" s="5"/>
      <c r="B4368" s="14" t="s">
        <v>755</v>
      </c>
      <c r="C4368" s="22">
        <f>(1)*(1)*(1)*(1)*(1 + (0))</f>
      </c>
      <c r="D4368" s="22" t="s">
        <v>162</v>
      </c>
      <c r="E4368" s="22"/>
      <c r="F4368" s="22">
        <f>(0)</f>
      </c>
      <c r="G4368" s="22">
        <f>(C4368 * E4368 + C4368 * E4368 * F4368)</f>
      </c>
    </row>
    <row r="4369">
      <c r="A4369" s="5"/>
      <c r="B4369" s="14" t="s">
        <v>756</v>
      </c>
      <c r="C4369" s="22">
        <f>(1)*(1)*(1)*(1)*(1 + (0))</f>
      </c>
      <c r="D4369" s="22" t="s">
        <v>71</v>
      </c>
      <c r="E4369" s="22"/>
      <c r="F4369" s="22">
        <f>(0)</f>
      </c>
      <c r="G4369" s="22">
        <f>(C4369 * E4369 + C4369 * E4369 * F4369)</f>
      </c>
    </row>
    <row r="4370">
      <c r="A4370" s="2"/>
      <c r="B4370" s="10" t="s">
        <v>757</v>
      </c>
      <c r="C4370" s="19"/>
      <c r="D4370" s="19"/>
      <c r="E4370" s="19"/>
      <c r="F4370" s="19"/>
      <c r="G4370" s="19"/>
    </row>
    <row r="4371">
      <c r="A4371" s="3"/>
      <c r="B4371" s="11" t="s">
        <v>37</v>
      </c>
      <c r="C4371" s="20"/>
      <c r="D4371" s="20"/>
      <c r="E4371" s="20"/>
      <c r="F4371" s="20"/>
      <c r="G4371" s="20"/>
    </row>
    <row r="4372">
      <c r="A4372" s="5" t="s">
        <v>758</v>
      </c>
      <c r="B4372" s="14" t="s">
        <v>759</v>
      </c>
      <c r="C4372" s="22"/>
      <c r="D4372" s="22" t="s">
        <v>10</v>
      </c>
      <c r="E4372" s="22"/>
      <c r="F4372" s="22">
        <f>(0)</f>
      </c>
      <c r="G4372" s="22">
        <f>(C4372 * E4372 + C4372 * E4372 * F4372)</f>
      </c>
    </row>
    <row r="4373">
      <c r="A4373" s="5" t="s">
        <v>760</v>
      </c>
      <c r="B4373" s="14" t="s">
        <v>41</v>
      </c>
      <c r="C4373" s="22"/>
      <c r="D4373" s="22" t="s">
        <v>10</v>
      </c>
      <c r="E4373" s="22"/>
      <c r="F4373" s="22">
        <f>(0)</f>
      </c>
      <c r="G4373" s="22">
        <f>(C4373 * E4373 + C4373 * E4373 * F4373)</f>
      </c>
    </row>
    <row r="4374">
      <c r="A4374" s="3"/>
      <c r="B4374" s="11" t="s">
        <v>42</v>
      </c>
      <c r="C4374" s="20"/>
      <c r="D4374" s="20"/>
      <c r="E4374" s="20"/>
      <c r="F4374" s="20"/>
      <c r="G4374" s="20"/>
    </row>
    <row r="4375">
      <c r="A4375" s="5"/>
      <c r="B4375" s="14" t="s">
        <v>761</v>
      </c>
      <c r="C4375" s="22"/>
      <c r="D4375" s="22" t="s">
        <v>10</v>
      </c>
      <c r="E4375" s="22"/>
      <c r="F4375" s="22">
        <f>(0)</f>
      </c>
      <c r="G4375" s="22">
        <f>(C4375 * E4375 + C4375 * E4375 * F4375)</f>
      </c>
    </row>
    <row r="4376">
      <c r="A4376" s="5"/>
      <c r="B4376" s="14" t="s">
        <v>762</v>
      </c>
      <c r="C4376" s="22"/>
      <c r="D4376" s="22" t="s">
        <v>10</v>
      </c>
      <c r="E4376" s="22"/>
      <c r="F4376" s="22">
        <f>(0)</f>
      </c>
      <c r="G4376" s="22">
        <f>(C4376 * E4376 + C4376 * E4376 * F4376)</f>
      </c>
    </row>
    <row r="4377">
      <c r="A4377" s="5"/>
      <c r="B4377" s="14" t="s">
        <v>763</v>
      </c>
      <c r="C4377" s="22"/>
      <c r="D4377" s="22" t="s">
        <v>10</v>
      </c>
      <c r="E4377" s="22"/>
      <c r="F4377" s="22">
        <f>(0)</f>
      </c>
      <c r="G4377" s="22">
        <f>(C4377 * E4377 + C4377 * E4377 * F4377)</f>
      </c>
    </row>
    <row r="4378">
      <c r="A4378" s="5"/>
      <c r="B4378" s="14" t="s">
        <v>764</v>
      </c>
      <c r="C4378" s="22"/>
      <c r="D4378" s="22" t="s">
        <v>10</v>
      </c>
      <c r="E4378" s="22"/>
      <c r="F4378" s="22">
        <f>(0)</f>
      </c>
      <c r="G4378" s="22">
        <f>(C4378 * E4378 + C4378 * E4378 * F4378)</f>
      </c>
    </row>
    <row r="4379">
      <c r="A4379" s="3"/>
      <c r="B4379" s="11" t="s">
        <v>44</v>
      </c>
      <c r="C4379" s="20"/>
      <c r="D4379" s="20"/>
      <c r="E4379" s="20"/>
      <c r="F4379" s="20"/>
      <c r="G4379" s="20"/>
    </row>
    <row r="4380">
      <c r="A4380" s="4"/>
      <c r="B4380" s="12" t="s">
        <v>45</v>
      </c>
      <c r="C4380" s="21"/>
      <c r="D4380" s="21"/>
      <c r="E4380" s="21"/>
      <c r="F4380" s="21"/>
      <c r="G4380" s="21"/>
    </row>
    <row r="4381">
      <c r="A4381" s="5" t="s">
        <v>765</v>
      </c>
      <c r="B4381" s="13" t="s">
        <v>696</v>
      </c>
      <c r="C4381" s="22"/>
      <c r="D4381" s="22" t="s">
        <v>10</v>
      </c>
      <c r="E4381" s="22"/>
      <c r="F4381" s="22">
        <f>(0)</f>
      </c>
      <c r="G4381" s="22">
        <f>(C4381 * E4381 + C4381 * E4381 * F4381)</f>
      </c>
    </row>
    <row r="4382">
      <c r="A4382" s="5" t="s">
        <v>766</v>
      </c>
      <c r="B4382" s="13" t="s">
        <v>767</v>
      </c>
      <c r="C4382" s="22"/>
      <c r="D4382" s="22" t="s">
        <v>10</v>
      </c>
      <c r="E4382" s="22"/>
      <c r="F4382" s="22">
        <f>(0)</f>
      </c>
      <c r="G4382" s="22">
        <f>(C4382 * E4382 + C4382 * E4382 * F4382)</f>
      </c>
    </row>
    <row r="4383">
      <c r="A4383" s="5" t="s">
        <v>768</v>
      </c>
      <c r="B4383" s="13" t="s">
        <v>769</v>
      </c>
      <c r="C4383" s="22"/>
      <c r="D4383" s="22" t="s">
        <v>10</v>
      </c>
      <c r="E4383" s="22"/>
      <c r="F4383" s="22">
        <f>(0)</f>
      </c>
      <c r="G4383" s="22">
        <f>(C4383 * E4383 + C4383 * E4383 * F4383)</f>
      </c>
    </row>
    <row r="4384">
      <c r="A4384" s="5" t="s">
        <v>770</v>
      </c>
      <c r="B4384" s="13" t="s">
        <v>654</v>
      </c>
      <c r="C4384" s="22"/>
      <c r="D4384" s="22" t="s">
        <v>10</v>
      </c>
      <c r="E4384" s="22"/>
      <c r="F4384" s="22">
        <f>(0)</f>
      </c>
      <c r="G4384" s="22">
        <f>(C4384 * E4384 + C4384 * E4384 * F4384)</f>
      </c>
    </row>
    <row r="4385">
      <c r="A4385" s="6"/>
      <c r="B4385" s="15" t="s">
        <v>771</v>
      </c>
      <c r="C4385" s="23"/>
      <c r="D4385" s="23"/>
      <c r="E4385" s="23"/>
      <c r="F4385" s="23"/>
      <c r="G4385" s="23"/>
    </row>
    <row r="4386">
      <c r="A4386" s="5" t="s">
        <v>772</v>
      </c>
      <c r="B4386" s="16" t="s">
        <v>528</v>
      </c>
      <c r="C4386" s="22"/>
      <c r="D4386" s="22" t="s">
        <v>10</v>
      </c>
      <c r="E4386" s="22"/>
      <c r="F4386" s="22">
        <f>(0)</f>
      </c>
      <c r="G4386" s="22">
        <f>(C4386 * E4386 + C4386 * E4386 * F4386)</f>
      </c>
    </row>
    <row r="4387">
      <c r="A4387" s="5" t="s">
        <v>773</v>
      </c>
      <c r="B4387" s="16" t="s">
        <v>530</v>
      </c>
      <c r="C4387" s="22"/>
      <c r="D4387" s="22" t="s">
        <v>10</v>
      </c>
      <c r="E4387" s="22"/>
      <c r="F4387" s="22">
        <f>(0)</f>
      </c>
      <c r="G4387" s="22">
        <f>(C4387 * E4387 + C4387 * E4387 * F4387)</f>
      </c>
    </row>
    <row r="4388">
      <c r="A4388" s="5" t="s">
        <v>774</v>
      </c>
      <c r="B4388" s="16" t="s">
        <v>532</v>
      </c>
      <c r="C4388" s="22"/>
      <c r="D4388" s="22" t="s">
        <v>10</v>
      </c>
      <c r="E4388" s="22"/>
      <c r="F4388" s="22">
        <f>(0)</f>
      </c>
      <c r="G4388" s="22">
        <f>(C4388 * E4388 + C4388 * E4388 * F4388)</f>
      </c>
    </row>
    <row r="4389">
      <c r="A4389" s="5" t="s">
        <v>775</v>
      </c>
      <c r="B4389" s="16" t="s">
        <v>536</v>
      </c>
      <c r="C4389" s="22"/>
      <c r="D4389" s="22" t="s">
        <v>10</v>
      </c>
      <c r="E4389" s="22"/>
      <c r="F4389" s="22">
        <f>(0)</f>
      </c>
      <c r="G4389" s="22">
        <f>(C4389 * E4389 + C4389 * E4389 * F4389)</f>
      </c>
    </row>
    <row r="4390">
      <c r="A4390" s="5" t="s">
        <v>776</v>
      </c>
      <c r="B4390" s="16" t="s">
        <v>777</v>
      </c>
      <c r="C4390" s="22"/>
      <c r="D4390" s="22" t="s">
        <v>10</v>
      </c>
      <c r="E4390" s="22"/>
      <c r="F4390" s="22">
        <f>(0)</f>
      </c>
      <c r="G4390" s="22">
        <f>(C4390 * E4390 + C4390 * E4390 * F4390)</f>
      </c>
    </row>
    <row r="4391">
      <c r="A4391" s="6"/>
      <c r="B4391" s="15" t="s">
        <v>778</v>
      </c>
      <c r="C4391" s="23"/>
      <c r="D4391" s="23"/>
      <c r="E4391" s="23"/>
      <c r="F4391" s="23"/>
      <c r="G4391" s="23"/>
    </row>
    <row r="4392">
      <c r="A4392" s="5" t="s">
        <v>779</v>
      </c>
      <c r="B4392" s="16" t="s">
        <v>780</v>
      </c>
      <c r="C4392" s="22"/>
      <c r="D4392" s="22" t="s">
        <v>10</v>
      </c>
      <c r="E4392" s="22"/>
      <c r="F4392" s="22">
        <f>(0)</f>
      </c>
      <c r="G4392" s="22">
        <f>(C4392 * E4392 + C4392 * E4392 * F4392)</f>
      </c>
    </row>
    <row r="4393">
      <c r="A4393" s="5" t="s">
        <v>781</v>
      </c>
      <c r="B4393" s="16" t="s">
        <v>782</v>
      </c>
      <c r="C4393" s="22"/>
      <c r="D4393" s="22" t="s">
        <v>10</v>
      </c>
      <c r="E4393" s="22"/>
      <c r="F4393" s="22">
        <f>(0)</f>
      </c>
      <c r="G4393" s="22">
        <f>(C4393 * E4393 + C4393 * E4393 * F4393)</f>
      </c>
    </row>
    <row r="4394">
      <c r="A4394" s="5" t="s">
        <v>783</v>
      </c>
      <c r="B4394" s="16" t="s">
        <v>784</v>
      </c>
      <c r="C4394" s="22"/>
      <c r="D4394" s="22" t="s">
        <v>10</v>
      </c>
      <c r="E4394" s="22"/>
      <c r="F4394" s="22">
        <f>(0)</f>
      </c>
      <c r="G4394" s="22">
        <f>(C4394 * E4394 + C4394 * E4394 * F4394)</f>
      </c>
    </row>
    <row r="4395">
      <c r="A4395" s="5" t="s">
        <v>785</v>
      </c>
      <c r="B4395" s="16" t="s">
        <v>786</v>
      </c>
      <c r="C4395" s="22"/>
      <c r="D4395" s="22" t="s">
        <v>10</v>
      </c>
      <c r="E4395" s="22"/>
      <c r="F4395" s="22">
        <f>(0)</f>
      </c>
      <c r="G4395" s="22">
        <f>(C4395 * E4395 + C4395 * E4395 * F4395)</f>
      </c>
    </row>
    <row r="4396">
      <c r="A4396" s="5" t="s">
        <v>787</v>
      </c>
      <c r="B4396" s="16" t="s">
        <v>788</v>
      </c>
      <c r="C4396" s="22"/>
      <c r="D4396" s="22" t="s">
        <v>10</v>
      </c>
      <c r="E4396" s="22"/>
      <c r="F4396" s="22">
        <f>(0)</f>
      </c>
      <c r="G4396" s="22">
        <f>(C4396 * E4396 + C4396 * E4396 * F4396)</f>
      </c>
    </row>
    <row r="4397">
      <c r="A4397" s="5" t="s">
        <v>789</v>
      </c>
      <c r="B4397" s="16" t="s">
        <v>769</v>
      </c>
      <c r="C4397" s="22"/>
      <c r="D4397" s="22" t="s">
        <v>10</v>
      </c>
      <c r="E4397" s="22"/>
      <c r="F4397" s="22">
        <f>(0)</f>
      </c>
      <c r="G4397" s="22">
        <f>(C4397 * E4397 + C4397 * E4397 * F4397)</f>
      </c>
    </row>
    <row r="4398">
      <c r="A4398" s="6"/>
      <c r="B4398" s="15" t="s">
        <v>790</v>
      </c>
      <c r="C4398" s="23"/>
      <c r="D4398" s="23"/>
      <c r="E4398" s="23"/>
      <c r="F4398" s="23"/>
      <c r="G4398" s="23"/>
    </row>
    <row r="4399">
      <c r="A4399" s="5" t="s">
        <v>791</v>
      </c>
      <c r="B4399" s="16" t="s">
        <v>652</v>
      </c>
      <c r="C4399" s="22"/>
      <c r="D4399" s="22" t="s">
        <v>10</v>
      </c>
      <c r="E4399" s="22"/>
      <c r="F4399" s="22">
        <f>(0)</f>
      </c>
      <c r="G4399" s="22">
        <f>(C4399 * E4399 + C4399 * E4399 * F4399)</f>
      </c>
    </row>
    <row r="4400">
      <c r="A4400" s="5" t="s">
        <v>792</v>
      </c>
      <c r="B4400" s="16" t="s">
        <v>700</v>
      </c>
      <c r="C4400" s="22"/>
      <c r="D4400" s="22" t="s">
        <v>10</v>
      </c>
      <c r="E4400" s="22"/>
      <c r="F4400" s="22">
        <f>(0)</f>
      </c>
      <c r="G4400" s="22">
        <f>(C4400 * E4400 + C4400 * E4400 * F4400)</f>
      </c>
    </row>
    <row r="4401">
      <c r="A4401" s="5" t="s">
        <v>793</v>
      </c>
      <c r="B4401" s="16" t="s">
        <v>650</v>
      </c>
      <c r="C4401" s="22"/>
      <c r="D4401" s="22" t="s">
        <v>10</v>
      </c>
      <c r="E4401" s="22"/>
      <c r="F4401" s="22">
        <f>(0)</f>
      </c>
      <c r="G4401" s="22">
        <f>(C4401 * E4401 + C4401 * E4401 * F4401)</f>
      </c>
    </row>
    <row r="4402">
      <c r="A4402" s="3"/>
      <c r="B4402" s="11" t="s">
        <v>68</v>
      </c>
      <c r="C4402" s="20"/>
      <c r="D4402" s="20"/>
      <c r="E4402" s="20"/>
      <c r="F4402" s="20"/>
      <c r="G4402" s="20"/>
    </row>
    <row r="4403">
      <c r="A4403" s="5" t="s">
        <v>794</v>
      </c>
      <c r="B4403" s="14" t="s">
        <v>70</v>
      </c>
      <c r="C4403" s="22">
        <f>(1)*(1)*(1)*(1)*(1 + (0))</f>
      </c>
      <c r="D4403" s="22" t="s">
        <v>71</v>
      </c>
      <c r="E4403" s="22"/>
      <c r="F4403" s="22">
        <f>(0)</f>
      </c>
      <c r="G4403" s="22">
        <f>(C4403 * E4403 + C4403 * E4403 * F4403)</f>
      </c>
    </row>
    <row r="4404">
      <c r="A4404" s="5" t="s">
        <v>795</v>
      </c>
      <c r="B4404" s="14" t="s">
        <v>796</v>
      </c>
      <c r="C4404" s="22">
        <f>(1)*(1)*(1)*(1)*(1 + (0))</f>
      </c>
      <c r="D4404" s="22" t="s">
        <v>71</v>
      </c>
      <c r="E4404" s="22"/>
      <c r="F4404" s="22">
        <f>(0)</f>
      </c>
      <c r="G4404" s="22">
        <f>(C4404 * E4404 + C4404 * E4404 * F4404)</f>
      </c>
    </row>
    <row r="4405">
      <c r="A4405" s="5" t="s">
        <v>797</v>
      </c>
      <c r="B4405" s="14" t="s">
        <v>798</v>
      </c>
      <c r="C4405" s="22">
        <f>(1)*(1)*(1)*(1)*(1 + (0))</f>
      </c>
      <c r="D4405" s="22" t="s">
        <v>71</v>
      </c>
      <c r="E4405" s="22"/>
      <c r="F4405" s="22">
        <f>(0)</f>
      </c>
      <c r="G4405" s="22">
        <f>(C4405 * E4405 + C4405 * E4405 * F4405)</f>
      </c>
    </row>
    <row r="4406">
      <c r="A4406" s="5" t="s">
        <v>799</v>
      </c>
      <c r="B4406" s="14" t="s">
        <v>800</v>
      </c>
      <c r="C4406" s="22">
        <f>(1)*(1)*(1)*(1)*(1 + (0))</f>
      </c>
      <c r="D4406" s="22" t="s">
        <v>71</v>
      </c>
      <c r="E4406" s="22"/>
      <c r="F4406" s="22">
        <f>(0)</f>
      </c>
      <c r="G4406" s="22">
        <f>(C4406 * E4406 + C4406 * E4406 * F4406)</f>
      </c>
    </row>
    <row r="4407">
      <c r="A4407" s="5" t="s">
        <v>801</v>
      </c>
      <c r="B4407" s="14" t="s">
        <v>73</v>
      </c>
      <c r="C4407" s="22">
        <f>(1)*(1)*(1)*(1)*(1 + (0))</f>
      </c>
      <c r="D4407" s="22" t="s">
        <v>71</v>
      </c>
      <c r="E4407" s="22"/>
      <c r="F4407" s="22">
        <f>(0)</f>
      </c>
      <c r="G4407" s="22">
        <f>(C4407 * E4407 + C4407 * E4407 * F4407)</f>
      </c>
    </row>
    <row r="4408">
      <c r="A4408" s="5" t="s">
        <v>802</v>
      </c>
      <c r="B4408" s="14" t="s">
        <v>803</v>
      </c>
      <c r="C4408" s="22">
        <f>(1)*(1)*(1)*(1)*(1 + (0))</f>
      </c>
      <c r="D4408" s="22" t="s">
        <v>71</v>
      </c>
      <c r="E4408" s="22"/>
      <c r="F4408" s="22">
        <f>(0)</f>
      </c>
      <c r="G4408" s="22">
        <f>(C4408 * E4408 + C4408 * E4408 * F4408)</f>
      </c>
    </row>
    <row r="4409">
      <c r="A4409" s="5" t="s">
        <v>804</v>
      </c>
      <c r="B4409" s="14" t="s">
        <v>805</v>
      </c>
      <c r="C4409" s="22">
        <f>(1)*(1)*(1)*(1)*(1 + (0))</f>
      </c>
      <c r="D4409" s="22" t="s">
        <v>71</v>
      </c>
      <c r="E4409" s="22"/>
      <c r="F4409" s="22">
        <f>(0)</f>
      </c>
      <c r="G4409" s="22">
        <f>(C4409 * E4409 + C4409 * E4409 * F4409)</f>
      </c>
    </row>
    <row r="4410">
      <c r="A4410" s="5" t="s">
        <v>806</v>
      </c>
      <c r="B4410" s="14" t="s">
        <v>230</v>
      </c>
      <c r="C4410" s="22">
        <f>(1)*(1)*(1)*(1)*(1 + (0))</f>
      </c>
      <c r="D4410" s="22" t="s">
        <v>71</v>
      </c>
      <c r="E4410" s="22"/>
      <c r="F4410" s="22">
        <f>(0)</f>
      </c>
      <c r="G4410" s="22">
        <f>(C4410 * E4410 + C4410 * E4410 * F4410)</f>
      </c>
    </row>
    <row r="4411">
      <c r="A4411" s="5" t="s">
        <v>807</v>
      </c>
      <c r="B4411" s="14" t="s">
        <v>808</v>
      </c>
      <c r="C4411" s="22">
        <f>(1)*(1)*(1)*(1)*(1 + (0))</f>
      </c>
      <c r="D4411" s="22" t="s">
        <v>71</v>
      </c>
      <c r="E4411" s="22"/>
      <c r="F4411" s="22">
        <f>(0)</f>
      </c>
      <c r="G4411" s="22">
        <f>(C4411 * E4411 + C4411 * E4411 * F4411)</f>
      </c>
    </row>
    <row r="4412">
      <c r="A4412" s="5" t="s">
        <v>809</v>
      </c>
      <c r="B4412" s="14" t="s">
        <v>810</v>
      </c>
      <c r="C4412" s="22">
        <f>(1)*(1)*(1)*(1)*(1 + (0))</f>
      </c>
      <c r="D4412" s="22" t="s">
        <v>71</v>
      </c>
      <c r="E4412" s="22"/>
      <c r="F4412" s="22">
        <f>(0)</f>
      </c>
      <c r="G4412" s="22">
        <f>(C4412 * E4412 + C4412 * E4412 * F4412)</f>
      </c>
    </row>
    <row r="4413">
      <c r="A4413" s="5" t="s">
        <v>811</v>
      </c>
      <c r="B4413" s="14" t="s">
        <v>812</v>
      </c>
      <c r="C4413" s="22">
        <f>(1)*(1)*(1)*(1)*(1 + (0))</f>
      </c>
      <c r="D4413" s="22" t="s">
        <v>71</v>
      </c>
      <c r="E4413" s="22"/>
      <c r="F4413" s="22">
        <f>(0)</f>
      </c>
      <c r="G4413" s="22">
        <f>(C4413 * E4413 + C4413 * E4413 * F4413)</f>
      </c>
    </row>
    <row r="4414">
      <c r="A4414" s="5" t="s">
        <v>813</v>
      </c>
      <c r="B4414" s="14" t="s">
        <v>814</v>
      </c>
      <c r="C4414" s="22">
        <f>(1)*(1)*(1)*(1)*(1 + (0))</f>
      </c>
      <c r="D4414" s="22" t="s">
        <v>71</v>
      </c>
      <c r="E4414" s="22"/>
      <c r="F4414" s="22">
        <f>(0)</f>
      </c>
      <c r="G4414" s="22">
        <f>(C4414 * E4414 + C4414 * E4414 * F4414)</f>
      </c>
    </row>
    <row r="4415">
      <c r="A4415" s="5" t="s">
        <v>815</v>
      </c>
      <c r="B4415" s="14" t="s">
        <v>816</v>
      </c>
      <c r="C4415" s="22">
        <f>(1)*(1)*(1)*(1)*(1 + (0))</f>
      </c>
      <c r="D4415" s="22" t="s">
        <v>71</v>
      </c>
      <c r="E4415" s="22"/>
      <c r="F4415" s="22">
        <f>(0)</f>
      </c>
      <c r="G4415" s="22">
        <f>(C4415 * E4415 + C4415 * E4415 * F4415)</f>
      </c>
    </row>
    <row r="4416">
      <c r="A4416" s="5" t="s">
        <v>817</v>
      </c>
      <c r="B4416" s="14" t="s">
        <v>667</v>
      </c>
      <c r="C4416" s="22">
        <f>(1)*(1)*(1)*(1)*(1 + (0))</f>
      </c>
      <c r="D4416" s="22" t="s">
        <v>71</v>
      </c>
      <c r="E4416" s="22"/>
      <c r="F4416" s="22">
        <f>(0)</f>
      </c>
      <c r="G4416" s="22">
        <f>(C4416 * E4416 + C4416 * E4416 * F4416)</f>
      </c>
    </row>
    <row r="4417">
      <c r="A4417" s="3"/>
      <c r="B4417" s="11" t="s">
        <v>106</v>
      </c>
      <c r="C4417" s="20"/>
      <c r="D4417" s="20"/>
      <c r="E4417" s="20"/>
      <c r="F4417" s="20"/>
      <c r="G4417" s="20"/>
    </row>
    <row r="4418">
      <c r="A4418" s="5"/>
      <c r="B4418" s="14" t="s">
        <v>818</v>
      </c>
      <c r="C4418" s="22"/>
      <c r="D4418" s="22" t="s">
        <v>10</v>
      </c>
      <c r="E4418" s="22"/>
      <c r="F4418" s="22">
        <f>(0)</f>
      </c>
      <c r="G4418" s="22">
        <f>(C4418 * E4418 + C4418 * E4418 * F4418)</f>
      </c>
    </row>
    <row r="4419">
      <c r="A4419" s="3"/>
      <c r="B4419" s="11" t="s">
        <v>819</v>
      </c>
      <c r="C4419" s="20"/>
      <c r="D4419" s="20"/>
      <c r="E4419" s="20"/>
      <c r="F4419" s="20"/>
      <c r="G4419" s="20"/>
    </row>
    <row r="4420">
      <c r="A4420" s="4"/>
      <c r="B4420" s="12" t="s">
        <v>820</v>
      </c>
      <c r="C4420" s="21"/>
      <c r="D4420" s="21"/>
      <c r="E4420" s="21"/>
      <c r="F4420" s="21"/>
      <c r="G4420" s="21"/>
    </row>
    <row r="4421">
      <c r="A4421" s="5"/>
      <c r="B4421" s="13" t="s">
        <v>1997</v>
      </c>
      <c r="C4421" s="22">
        <f>(408)*(1)*(1)*(1)*(1 + (0))</f>
      </c>
      <c r="D4421" s="22" t="s">
        <v>24</v>
      </c>
      <c r="E4421" s="22"/>
      <c r="F4421" s="22">
        <f>(0)</f>
      </c>
      <c r="G4421" s="22">
        <f>(C4421 * E4421 + C4421 * E4421 * F4421)</f>
      </c>
    </row>
    <row r="4422">
      <c r="A4422" s="4"/>
      <c r="B4422" s="12" t="s">
        <v>1998</v>
      </c>
      <c r="C4422" s="21"/>
      <c r="D4422" s="21"/>
      <c r="E4422" s="21"/>
      <c r="F4422" s="21"/>
      <c r="G4422" s="21"/>
    </row>
    <row r="4423">
      <c r="A4423" s="5"/>
      <c r="B4423" s="13" t="s">
        <v>1997</v>
      </c>
      <c r="C4423" s="22">
        <f>(5)*(1)*(1)*(1)*(1 + (0))</f>
      </c>
      <c r="D4423" s="22" t="s">
        <v>24</v>
      </c>
      <c r="E4423" s="22"/>
      <c r="F4423" s="22">
        <f>(0)</f>
      </c>
      <c r="G4423" s="22">
        <f>(C4423 * E4423 + C4423 * E4423 * F4423)</f>
      </c>
    </row>
    <row r="4424">
      <c r="A4424" s="4"/>
      <c r="B4424" s="12" t="s">
        <v>826</v>
      </c>
      <c r="C4424" s="21"/>
      <c r="D4424" s="21"/>
      <c r="E4424" s="21"/>
      <c r="F4424" s="21"/>
      <c r="G4424" s="21"/>
    </row>
    <row r="4425">
      <c r="A4425" s="5"/>
      <c r="B4425" s="13" t="s">
        <v>1997</v>
      </c>
      <c r="C4425" s="22">
        <f>(266)*(1)*(1)*(1)*(1 + (0))</f>
      </c>
      <c r="D4425" s="22" t="s">
        <v>24</v>
      </c>
      <c r="E4425" s="22"/>
      <c r="F4425" s="22">
        <f>(0)</f>
      </c>
      <c r="G4425" s="22">
        <f>(C4425 * E4425 + C4425 * E4425 * F4425)</f>
      </c>
    </row>
    <row r="4426">
      <c r="A4426" s="4"/>
      <c r="B4426" s="12" t="s">
        <v>1999</v>
      </c>
      <c r="C4426" s="21"/>
      <c r="D4426" s="21"/>
      <c r="E4426" s="21"/>
      <c r="F4426" s="21"/>
      <c r="G4426" s="21"/>
    </row>
    <row r="4427">
      <c r="A4427" s="5"/>
      <c r="B4427" s="13" t="s">
        <v>1997</v>
      </c>
      <c r="C4427" s="22">
        <f>(91)*(1)*(1)*(1)*(1 + (0))</f>
      </c>
      <c r="D4427" s="22" t="s">
        <v>24</v>
      </c>
      <c r="E4427" s="22"/>
      <c r="F4427" s="22">
        <f>(0)</f>
      </c>
      <c r="G4427" s="22">
        <f>(C4427 * E4427 + C4427 * E4427 * F4427)</f>
      </c>
    </row>
    <row r="4428">
      <c r="A4428" s="2"/>
      <c r="B4428" s="10" t="s">
        <v>828</v>
      </c>
      <c r="C4428" s="19"/>
      <c r="D4428" s="19"/>
      <c r="E4428" s="19"/>
      <c r="F4428" s="19"/>
      <c r="G4428" s="19"/>
    </row>
    <row r="4429">
      <c r="A4429" s="3"/>
      <c r="B4429" s="11" t="s">
        <v>37</v>
      </c>
      <c r="C4429" s="20"/>
      <c r="D4429" s="20"/>
      <c r="E4429" s="20"/>
      <c r="F4429" s="20"/>
      <c r="G4429" s="20"/>
    </row>
    <row r="4430">
      <c r="A4430" s="5" t="s">
        <v>829</v>
      </c>
      <c r="B4430" s="14" t="s">
        <v>39</v>
      </c>
      <c r="C4430" s="22"/>
      <c r="D4430" s="22" t="s">
        <v>10</v>
      </c>
      <c r="E4430" s="22"/>
      <c r="F4430" s="22">
        <f>(0)</f>
      </c>
      <c r="G4430" s="22">
        <f>(C4430 * E4430 + C4430 * E4430 * F4430)</f>
      </c>
    </row>
    <row r="4431">
      <c r="A4431" s="5" t="s">
        <v>830</v>
      </c>
      <c r="B4431" s="14" t="s">
        <v>41</v>
      </c>
      <c r="C4431" s="22"/>
      <c r="D4431" s="22" t="s">
        <v>10</v>
      </c>
      <c r="E4431" s="22"/>
      <c r="F4431" s="22">
        <f>(0)</f>
      </c>
      <c r="G4431" s="22">
        <f>(C4431 * E4431 + C4431 * E4431 * F4431)</f>
      </c>
    </row>
    <row r="4432">
      <c r="A4432" s="3"/>
      <c r="B4432" s="11" t="s">
        <v>42</v>
      </c>
      <c r="C4432" s="20"/>
      <c r="D4432" s="20"/>
      <c r="E4432" s="20"/>
      <c r="F4432" s="20"/>
      <c r="G4432" s="20"/>
    </row>
    <row r="4433">
      <c r="A4433" s="5"/>
      <c r="B4433" s="14" t="s">
        <v>1722</v>
      </c>
      <c r="C4433" s="22"/>
      <c r="D4433" s="22" t="s">
        <v>10</v>
      </c>
      <c r="E4433" s="22"/>
      <c r="F4433" s="22">
        <f>(0)</f>
      </c>
      <c r="G4433" s="22">
        <f>(C4433 * E4433 + C4433 * E4433 * F4433)</f>
      </c>
    </row>
    <row r="4434">
      <c r="A4434" s="5"/>
      <c r="B4434" s="14" t="s">
        <v>1723</v>
      </c>
      <c r="C4434" s="22"/>
      <c r="D4434" s="22" t="s">
        <v>10</v>
      </c>
      <c r="E4434" s="22"/>
      <c r="F4434" s="22">
        <f>(0)</f>
      </c>
      <c r="G4434" s="22">
        <f>(C4434 * E4434 + C4434 * E4434 * F4434)</f>
      </c>
    </row>
    <row r="4435">
      <c r="A4435" s="3"/>
      <c r="B4435" s="11" t="s">
        <v>44</v>
      </c>
      <c r="C4435" s="20"/>
      <c r="D4435" s="20"/>
      <c r="E4435" s="20"/>
      <c r="F4435" s="20"/>
      <c r="G4435" s="20"/>
    </row>
    <row r="4436">
      <c r="A4436" s="4"/>
      <c r="B4436" s="12" t="s">
        <v>45</v>
      </c>
      <c r="C4436" s="21"/>
      <c r="D4436" s="21"/>
      <c r="E4436" s="21"/>
      <c r="F4436" s="21"/>
      <c r="G4436" s="21"/>
    </row>
    <row r="4437">
      <c r="A4437" s="5" t="s">
        <v>831</v>
      </c>
      <c r="B4437" s="13" t="s">
        <v>832</v>
      </c>
      <c r="C4437" s="22"/>
      <c r="D4437" s="22" t="s">
        <v>10</v>
      </c>
      <c r="E4437" s="22"/>
      <c r="F4437" s="22">
        <f>(0)</f>
      </c>
      <c r="G4437" s="22">
        <f>(C4437 * E4437 + C4437 * E4437 * F4437)</f>
      </c>
    </row>
    <row r="4438">
      <c r="A4438" s="5" t="s">
        <v>833</v>
      </c>
      <c r="B4438" s="13" t="s">
        <v>530</v>
      </c>
      <c r="C4438" s="22"/>
      <c r="D4438" s="22" t="s">
        <v>10</v>
      </c>
      <c r="E4438" s="22"/>
      <c r="F4438" s="22">
        <f>(0)</f>
      </c>
      <c r="G4438" s="22">
        <f>(C4438 * E4438 + C4438 * E4438 * F4438)</f>
      </c>
    </row>
    <row r="4439">
      <c r="A4439" s="5" t="s">
        <v>834</v>
      </c>
      <c r="B4439" s="13" t="s">
        <v>835</v>
      </c>
      <c r="C4439" s="22"/>
      <c r="D4439" s="22" t="s">
        <v>10</v>
      </c>
      <c r="E4439" s="22"/>
      <c r="F4439" s="22">
        <f>(0)</f>
      </c>
      <c r="G4439" s="22">
        <f>(C4439 * E4439 + C4439 * E4439 * F4439)</f>
      </c>
    </row>
    <row r="4440">
      <c r="A4440" s="5" t="s">
        <v>836</v>
      </c>
      <c r="B4440" s="13" t="s">
        <v>837</v>
      </c>
      <c r="C4440" s="22"/>
      <c r="D4440" s="22" t="s">
        <v>10</v>
      </c>
      <c r="E4440" s="22"/>
      <c r="F4440" s="22">
        <f>(0)</f>
      </c>
      <c r="G4440" s="22">
        <f>(C4440 * E4440 + C4440 * E4440 * F4440)</f>
      </c>
    </row>
    <row r="4441">
      <c r="A4441" s="5" t="s">
        <v>838</v>
      </c>
      <c r="B4441" s="13" t="s">
        <v>839</v>
      </c>
      <c r="C4441" s="22"/>
      <c r="D4441" s="22" t="s">
        <v>10</v>
      </c>
      <c r="E4441" s="22"/>
      <c r="F4441" s="22">
        <f>(0)</f>
      </c>
      <c r="G4441" s="22">
        <f>(C4441 * E4441 + C4441 * E4441 * F4441)</f>
      </c>
    </row>
    <row r="4442">
      <c r="A4442" s="5" t="s">
        <v>840</v>
      </c>
      <c r="B4442" s="13" t="s">
        <v>841</v>
      </c>
      <c r="C4442" s="22"/>
      <c r="D4442" s="22" t="s">
        <v>10</v>
      </c>
      <c r="E4442" s="22"/>
      <c r="F4442" s="22">
        <f>(0)</f>
      </c>
      <c r="G4442" s="22">
        <f>(C4442 * E4442 + C4442 * E4442 * F4442)</f>
      </c>
    </row>
    <row r="4443">
      <c r="A4443" s="5" t="s">
        <v>842</v>
      </c>
      <c r="B4443" s="13" t="s">
        <v>843</v>
      </c>
      <c r="C4443" s="22"/>
      <c r="D4443" s="22" t="s">
        <v>10</v>
      </c>
      <c r="E4443" s="22"/>
      <c r="F4443" s="22">
        <f>(0)</f>
      </c>
      <c r="G4443" s="22">
        <f>(C4443 * E4443 + C4443 * E4443 * F4443)</f>
      </c>
    </row>
    <row r="4444">
      <c r="A4444" s="5" t="s">
        <v>844</v>
      </c>
      <c r="B4444" s="13" t="s">
        <v>845</v>
      </c>
      <c r="C4444" s="22"/>
      <c r="D4444" s="22" t="s">
        <v>10</v>
      </c>
      <c r="E4444" s="22"/>
      <c r="F4444" s="22">
        <f>(0)</f>
      </c>
      <c r="G4444" s="22">
        <f>(C4444 * E4444 + C4444 * E4444 * F4444)</f>
      </c>
    </row>
    <row r="4445">
      <c r="A4445" s="5" t="s">
        <v>846</v>
      </c>
      <c r="B4445" s="13" t="s">
        <v>847</v>
      </c>
      <c r="C4445" s="22"/>
      <c r="D4445" s="22" t="s">
        <v>10</v>
      </c>
      <c r="E4445" s="22"/>
      <c r="F4445" s="22">
        <f>(0)</f>
      </c>
      <c r="G4445" s="22">
        <f>(C4445 * E4445 + C4445 * E4445 * F4445)</f>
      </c>
    </row>
    <row r="4446">
      <c r="A4446" s="5" t="s">
        <v>848</v>
      </c>
      <c r="B4446" s="13" t="s">
        <v>849</v>
      </c>
      <c r="C4446" s="22"/>
      <c r="D4446" s="22" t="s">
        <v>10</v>
      </c>
      <c r="E4446" s="22"/>
      <c r="F4446" s="22">
        <f>(0)</f>
      </c>
      <c r="G4446" s="22">
        <f>(C4446 * E4446 + C4446 * E4446 * F4446)</f>
      </c>
    </row>
    <row r="4447">
      <c r="A4447" s="5" t="s">
        <v>850</v>
      </c>
      <c r="B4447" s="13" t="s">
        <v>851</v>
      </c>
      <c r="C4447" s="22"/>
      <c r="D4447" s="22" t="s">
        <v>10</v>
      </c>
      <c r="E4447" s="22"/>
      <c r="F4447" s="22">
        <f>(0)</f>
      </c>
      <c r="G4447" s="22">
        <f>(C4447 * E4447 + C4447 * E4447 * F4447)</f>
      </c>
    </row>
    <row r="4448">
      <c r="A4448" s="5" t="s">
        <v>852</v>
      </c>
      <c r="B4448" s="13" t="s">
        <v>853</v>
      </c>
      <c r="C4448" s="22"/>
      <c r="D4448" s="22" t="s">
        <v>10</v>
      </c>
      <c r="E4448" s="22"/>
      <c r="F4448" s="22">
        <f>(0)</f>
      </c>
      <c r="G4448" s="22">
        <f>(C4448 * E4448 + C4448 * E4448 * F4448)</f>
      </c>
    </row>
    <row r="4449">
      <c r="A4449" s="5" t="s">
        <v>854</v>
      </c>
      <c r="B4449" s="13" t="s">
        <v>123</v>
      </c>
      <c r="C4449" s="22"/>
      <c r="D4449" s="22" t="s">
        <v>10</v>
      </c>
      <c r="E4449" s="22"/>
      <c r="F4449" s="22">
        <f>(0)</f>
      </c>
      <c r="G4449" s="22">
        <f>(C4449 * E4449 + C4449 * E4449 * F4449)</f>
      </c>
    </row>
    <row r="4450">
      <c r="A4450" s="3"/>
      <c r="B4450" s="11" t="s">
        <v>68</v>
      </c>
      <c r="C4450" s="20"/>
      <c r="D4450" s="20"/>
      <c r="E4450" s="20"/>
      <c r="F4450" s="20"/>
      <c r="G4450" s="20"/>
    </row>
    <row r="4451">
      <c r="A4451" s="5" t="s">
        <v>857</v>
      </c>
      <c r="B4451" s="14" t="s">
        <v>858</v>
      </c>
      <c r="C4451" s="22">
        <f>(1)*(1)*(1)*(1)*(1 + (0))</f>
      </c>
      <c r="D4451" s="22" t="s">
        <v>71</v>
      </c>
      <c r="E4451" s="22"/>
      <c r="F4451" s="22">
        <f>(0)</f>
      </c>
      <c r="G4451" s="22">
        <f>(C4451 * E4451 + C4451 * E4451 * F4451)</f>
      </c>
    </row>
    <row r="4452">
      <c r="A4452" s="5" t="s">
        <v>859</v>
      </c>
      <c r="B4452" s="14" t="s">
        <v>136</v>
      </c>
      <c r="C4452" s="22">
        <f>(1)*(1)*(1)*(1)*(1 + (0))</f>
      </c>
      <c r="D4452" s="22" t="s">
        <v>71</v>
      </c>
      <c r="E4452" s="22"/>
      <c r="F4452" s="22">
        <f>(0)</f>
      </c>
      <c r="G4452" s="22">
        <f>(C4452 * E4452 + C4452 * E4452 * F4452)</f>
      </c>
    </row>
    <row r="4453">
      <c r="A4453" s="5" t="s">
        <v>860</v>
      </c>
      <c r="B4453" s="14" t="s">
        <v>77</v>
      </c>
      <c r="C4453" s="22">
        <f>(1)*(1)*(1)*(1)*(1 + (0))</f>
      </c>
      <c r="D4453" s="22" t="s">
        <v>71</v>
      </c>
      <c r="E4453" s="22"/>
      <c r="F4453" s="22">
        <f>(0)</f>
      </c>
      <c r="G4453" s="22">
        <f>(C4453 * E4453 + C4453 * E4453 * F4453)</f>
      </c>
    </row>
    <row r="4454">
      <c r="A4454" s="5" t="s">
        <v>861</v>
      </c>
      <c r="B4454" s="14" t="s">
        <v>70</v>
      </c>
      <c r="C4454" s="22">
        <f>(1)*(1)*(1)*(1)*(1 + (0))</f>
      </c>
      <c r="D4454" s="22" t="s">
        <v>71</v>
      </c>
      <c r="E4454" s="22"/>
      <c r="F4454" s="22">
        <f>(0)</f>
      </c>
      <c r="G4454" s="22">
        <f>(C4454 * E4454 + C4454 * E4454 * F4454)</f>
      </c>
    </row>
    <row r="4455">
      <c r="A4455" s="5" t="s">
        <v>862</v>
      </c>
      <c r="B4455" s="14" t="s">
        <v>863</v>
      </c>
      <c r="C4455" s="22">
        <f>(1)*(1)*(1)*(1)*(1 + (0))</f>
      </c>
      <c r="D4455" s="22" t="s">
        <v>71</v>
      </c>
      <c r="E4455" s="22"/>
      <c r="F4455" s="22">
        <f>(0)</f>
      </c>
      <c r="G4455" s="22">
        <f>(C4455 * E4455 + C4455 * E4455 * F4455)</f>
      </c>
    </row>
    <row r="4456">
      <c r="A4456" s="5" t="s">
        <v>864</v>
      </c>
      <c r="B4456" s="14" t="s">
        <v>816</v>
      </c>
      <c r="C4456" s="22">
        <f>(1)*(1)*(1)*(1)*(1 + (0))</f>
      </c>
      <c r="D4456" s="22" t="s">
        <v>71</v>
      </c>
      <c r="E4456" s="22"/>
      <c r="F4456" s="22">
        <f>(0)</f>
      </c>
      <c r="G4456" s="22">
        <f>(C4456 * E4456 + C4456 * E4456 * F4456)</f>
      </c>
    </row>
    <row r="4457">
      <c r="A4457" s="5" t="s">
        <v>865</v>
      </c>
      <c r="B4457" s="14" t="s">
        <v>798</v>
      </c>
      <c r="C4457" s="22">
        <f>(1)*(1)*(1)*(1)*(1 + (0))</f>
      </c>
      <c r="D4457" s="22" t="s">
        <v>71</v>
      </c>
      <c r="E4457" s="22"/>
      <c r="F4457" s="22">
        <f>(0)</f>
      </c>
      <c r="G4457" s="22">
        <f>(C4457 * E4457 + C4457 * E4457 * F4457)</f>
      </c>
    </row>
    <row r="4458">
      <c r="A4458" s="5" t="s">
        <v>866</v>
      </c>
      <c r="B4458" s="14" t="s">
        <v>230</v>
      </c>
      <c r="C4458" s="22">
        <f>(1)*(1)*(1)*(1)*(1 + (0))</f>
      </c>
      <c r="D4458" s="22" t="s">
        <v>71</v>
      </c>
      <c r="E4458" s="22"/>
      <c r="F4458" s="22">
        <f>(0)</f>
      </c>
      <c r="G4458" s="22">
        <f>(C4458 * E4458 + C4458 * E4458 * F4458)</f>
      </c>
    </row>
    <row r="4459">
      <c r="A4459" s="5" t="s">
        <v>867</v>
      </c>
      <c r="B4459" s="14" t="s">
        <v>665</v>
      </c>
      <c r="C4459" s="22">
        <f>(1)*(1)*(1)*(1)*(1 + (0))</f>
      </c>
      <c r="D4459" s="22" t="s">
        <v>71</v>
      </c>
      <c r="E4459" s="22"/>
      <c r="F4459" s="22">
        <f>(0)</f>
      </c>
      <c r="G4459" s="22">
        <f>(C4459 * E4459 + C4459 * E4459 * F4459)</f>
      </c>
    </row>
    <row r="4460">
      <c r="A4460" s="3"/>
      <c r="B4460" s="11" t="s">
        <v>869</v>
      </c>
      <c r="C4460" s="20"/>
      <c r="D4460" s="20"/>
      <c r="E4460" s="20"/>
      <c r="F4460" s="20"/>
      <c r="G4460" s="20"/>
    </row>
    <row r="4461">
      <c r="A4461" s="4"/>
      <c r="B4461" s="12" t="s">
        <v>1710</v>
      </c>
      <c r="C4461" s="21"/>
      <c r="D4461" s="21"/>
      <c r="E4461" s="21"/>
      <c r="F4461" s="21"/>
      <c r="G4461" s="21"/>
    </row>
    <row r="4462">
      <c r="A4462" s="6"/>
      <c r="B4462" s="15" t="s">
        <v>871</v>
      </c>
      <c r="C4462" s="23"/>
      <c r="D4462" s="23"/>
      <c r="E4462" s="23"/>
      <c r="F4462" s="23"/>
      <c r="G4462" s="23"/>
    </row>
    <row r="4463">
      <c r="A4463" s="5"/>
      <c r="B4463" s="16" t="s">
        <v>2000</v>
      </c>
      <c r="C4463" s="22">
        <f>(1)*(1)*(1)*(1)*(1 + (0))</f>
      </c>
      <c r="D4463" s="22" t="s">
        <v>162</v>
      </c>
      <c r="E4463" s="22"/>
      <c r="F4463" s="22">
        <f>(0)</f>
      </c>
      <c r="G4463" s="22">
        <f>(C4463 * E4463 + C4463 * E4463 * F4463)</f>
      </c>
    </row>
    <row r="4464">
      <c r="A4464" s="5"/>
      <c r="B4464" s="16" t="s">
        <v>2001</v>
      </c>
      <c r="C4464" s="22">
        <f>(2)*(1)*(1)*(1)*(1 + (0))</f>
      </c>
      <c r="D4464" s="22" t="s">
        <v>162</v>
      </c>
      <c r="E4464" s="22"/>
      <c r="F4464" s="22">
        <f>(0)</f>
      </c>
      <c r="G4464" s="22">
        <f>(C4464 * E4464 + C4464 * E4464 * F4464)</f>
      </c>
    </row>
    <row r="4465">
      <c r="A4465" s="6"/>
      <c r="B4465" s="15" t="s">
        <v>874</v>
      </c>
      <c r="C4465" s="23"/>
      <c r="D4465" s="23"/>
      <c r="E4465" s="23"/>
      <c r="F4465" s="23"/>
      <c r="G4465" s="23"/>
    </row>
    <row r="4466">
      <c r="A4466" s="5"/>
      <c r="B4466" s="16" t="s">
        <v>2002</v>
      </c>
      <c r="C4466" s="22">
        <f>(1)*(1)*(1)*(1)*(1 + (0))</f>
      </c>
      <c r="D4466" s="22" t="s">
        <v>162</v>
      </c>
      <c r="E4466" s="22"/>
      <c r="F4466" s="22">
        <f>(0)</f>
      </c>
      <c r="G4466" s="22">
        <f>(C4466 * E4466 + C4466 * E4466 * F4466)</f>
      </c>
    </row>
    <row r="4467">
      <c r="A4467" s="3"/>
      <c r="B4467" s="11" t="s">
        <v>879</v>
      </c>
      <c r="C4467" s="20"/>
      <c r="D4467" s="20"/>
      <c r="E4467" s="20"/>
      <c r="F4467" s="20"/>
      <c r="G4467" s="20"/>
    </row>
    <row r="4468">
      <c r="A4468" s="4"/>
      <c r="B4468" s="12" t="s">
        <v>1710</v>
      </c>
      <c r="C4468" s="21"/>
      <c r="D4468" s="21"/>
      <c r="E4468" s="21"/>
      <c r="F4468" s="21"/>
      <c r="G4468" s="21"/>
    </row>
    <row r="4469">
      <c r="A4469" s="6"/>
      <c r="B4469" s="15" t="s">
        <v>871</v>
      </c>
      <c r="C4469" s="23"/>
      <c r="D4469" s="23"/>
      <c r="E4469" s="23"/>
      <c r="F4469" s="23"/>
      <c r="G4469" s="23"/>
    </row>
    <row r="4470">
      <c r="A4470" s="5"/>
      <c r="B4470" s="16" t="s">
        <v>2003</v>
      </c>
      <c r="C4470" s="22">
        <f>(2)*(1)*(1)*(1)*(1 + (0))</f>
      </c>
      <c r="D4470" s="22" t="s">
        <v>162</v>
      </c>
      <c r="E4470" s="22"/>
      <c r="F4470" s="22">
        <f>(0)</f>
      </c>
      <c r="G4470" s="22">
        <f>(C4470 * E4470 + C4470 * E4470 * F4470)</f>
      </c>
    </row>
    <row r="4471">
      <c r="A4471" s="3"/>
      <c r="B4471" s="11" t="s">
        <v>884</v>
      </c>
      <c r="C4471" s="20"/>
      <c r="D4471" s="20"/>
      <c r="E4471" s="20"/>
      <c r="F4471" s="20"/>
      <c r="G4471" s="20"/>
    </row>
    <row r="4472">
      <c r="A4472" s="4"/>
      <c r="B4472" s="12" t="s">
        <v>1710</v>
      </c>
      <c r="C4472" s="21"/>
      <c r="D4472" s="21"/>
      <c r="E4472" s="21"/>
      <c r="F4472" s="21"/>
      <c r="G4472" s="21"/>
    </row>
    <row r="4473">
      <c r="A4473" s="6"/>
      <c r="B4473" s="15" t="s">
        <v>1725</v>
      </c>
      <c r="C4473" s="23"/>
      <c r="D4473" s="23"/>
      <c r="E4473" s="23"/>
      <c r="F4473" s="23"/>
      <c r="G4473" s="23"/>
    </row>
    <row r="4474">
      <c r="A4474" s="5"/>
      <c r="B4474" s="16" t="s">
        <v>2004</v>
      </c>
      <c r="C4474" s="22">
        <f>(2)*(1)*(1)*(1)*(1 + (0))</f>
      </c>
      <c r="D4474" s="22" t="s">
        <v>162</v>
      </c>
      <c r="E4474" s="22"/>
      <c r="F4474" s="22">
        <f>(0)</f>
      </c>
      <c r="G4474" s="22">
        <f>(C4474 * E4474 + C4474 * E4474 * F4474)</f>
      </c>
    </row>
    <row r="4475">
      <c r="A4475" s="5"/>
      <c r="B4475" s="16" t="s">
        <v>2005</v>
      </c>
      <c r="C4475" s="22">
        <f>(1)*(1)*(1)*(1)*(1 + (0))</f>
      </c>
      <c r="D4475" s="22" t="s">
        <v>162</v>
      </c>
      <c r="E4475" s="22"/>
      <c r="F4475" s="22">
        <f>(0)</f>
      </c>
      <c r="G4475" s="22">
        <f>(C4475 * E4475 + C4475 * E4475 * F4475)</f>
      </c>
    </row>
    <row r="4476">
      <c r="A4476" s="2"/>
      <c r="B4476" s="10" t="s">
        <v>897</v>
      </c>
      <c r="C4476" s="19"/>
      <c r="D4476" s="19"/>
      <c r="E4476" s="19"/>
      <c r="F4476" s="19"/>
      <c r="G4476" s="19"/>
    </row>
    <row r="4477">
      <c r="A4477" s="3"/>
      <c r="B4477" s="11" t="s">
        <v>37</v>
      </c>
      <c r="C4477" s="20"/>
      <c r="D4477" s="20"/>
      <c r="E4477" s="20"/>
      <c r="F4477" s="20"/>
      <c r="G4477" s="20"/>
    </row>
    <row r="4478">
      <c r="A4478" s="5" t="s">
        <v>758</v>
      </c>
      <c r="B4478" s="14" t="s">
        <v>39</v>
      </c>
      <c r="C4478" s="22"/>
      <c r="D4478" s="22" t="s">
        <v>10</v>
      </c>
      <c r="E4478" s="22"/>
      <c r="F4478" s="22">
        <f>(0)</f>
      </c>
      <c r="G4478" s="22">
        <f>(C4478 * E4478 + C4478 * E4478 * F4478)</f>
      </c>
    </row>
    <row r="4479">
      <c r="A4479" s="5" t="s">
        <v>760</v>
      </c>
      <c r="B4479" s="14" t="s">
        <v>41</v>
      </c>
      <c r="C4479" s="22"/>
      <c r="D4479" s="22" t="s">
        <v>10</v>
      </c>
      <c r="E4479" s="22"/>
      <c r="F4479" s="22">
        <f>(0)</f>
      </c>
      <c r="G4479" s="22">
        <f>(C4479 * E4479 + C4479 * E4479 * F4479)</f>
      </c>
    </row>
    <row r="4480">
      <c r="A4480" s="3"/>
      <c r="B4480" s="11" t="s">
        <v>44</v>
      </c>
      <c r="C4480" s="20"/>
      <c r="D4480" s="20"/>
      <c r="E4480" s="20"/>
      <c r="F4480" s="20"/>
      <c r="G4480" s="20"/>
    </row>
    <row r="4481">
      <c r="A4481" s="4"/>
      <c r="B4481" s="12" t="s">
        <v>45</v>
      </c>
      <c r="C4481" s="21"/>
      <c r="D4481" s="21"/>
      <c r="E4481" s="21"/>
      <c r="F4481" s="21"/>
      <c r="G4481" s="21"/>
    </row>
    <row r="4482">
      <c r="A4482" s="5" t="s">
        <v>765</v>
      </c>
      <c r="B4482" s="13" t="s">
        <v>898</v>
      </c>
      <c r="C4482" s="22"/>
      <c r="D4482" s="22" t="s">
        <v>10</v>
      </c>
      <c r="E4482" s="22"/>
      <c r="F4482" s="22">
        <f>(0)</f>
      </c>
      <c r="G4482" s="22">
        <f>(C4482 * E4482 + C4482 * E4482 * F4482)</f>
      </c>
    </row>
    <row r="4483">
      <c r="A4483" s="5" t="s">
        <v>766</v>
      </c>
      <c r="B4483" s="13" t="s">
        <v>899</v>
      </c>
      <c r="C4483" s="22"/>
      <c r="D4483" s="22" t="s">
        <v>10</v>
      </c>
      <c r="E4483" s="22"/>
      <c r="F4483" s="22">
        <f>(0)</f>
      </c>
      <c r="G4483" s="22">
        <f>(C4483 * E4483 + C4483 * E4483 * F4483)</f>
      </c>
    </row>
    <row r="4484">
      <c r="A4484" s="5" t="s">
        <v>768</v>
      </c>
      <c r="B4484" s="13" t="s">
        <v>767</v>
      </c>
      <c r="C4484" s="22"/>
      <c r="D4484" s="22" t="s">
        <v>10</v>
      </c>
      <c r="E4484" s="22"/>
      <c r="F4484" s="22">
        <f>(0)</f>
      </c>
      <c r="G4484" s="22">
        <f>(C4484 * E4484 + C4484 * E4484 * F4484)</f>
      </c>
    </row>
    <row r="4485">
      <c r="A4485" s="5" t="s">
        <v>770</v>
      </c>
      <c r="B4485" s="13" t="s">
        <v>900</v>
      </c>
      <c r="C4485" s="22"/>
      <c r="D4485" s="22" t="s">
        <v>10</v>
      </c>
      <c r="E4485" s="22"/>
      <c r="F4485" s="22">
        <f>(0)</f>
      </c>
      <c r="G4485" s="22">
        <f>(C4485 * E4485 + C4485 * E4485 * F4485)</f>
      </c>
    </row>
    <row r="4486">
      <c r="A4486" s="5" t="s">
        <v>794</v>
      </c>
      <c r="B4486" s="13" t="s">
        <v>901</v>
      </c>
      <c r="C4486" s="22"/>
      <c r="D4486" s="22" t="s">
        <v>10</v>
      </c>
      <c r="E4486" s="22"/>
      <c r="F4486" s="22">
        <f>(0)</f>
      </c>
      <c r="G4486" s="22">
        <f>(C4486 * E4486 + C4486 * E4486 * F4486)</f>
      </c>
    </row>
    <row r="4487">
      <c r="A4487" s="5" t="s">
        <v>795</v>
      </c>
      <c r="B4487" s="13" t="s">
        <v>123</v>
      </c>
      <c r="C4487" s="22"/>
      <c r="D4487" s="22" t="s">
        <v>10</v>
      </c>
      <c r="E4487" s="22"/>
      <c r="F4487" s="22">
        <f>(0)</f>
      </c>
      <c r="G4487" s="22">
        <f>(C4487 * E4487 + C4487 * E4487 * F4487)</f>
      </c>
    </row>
    <row r="4488">
      <c r="A4488" s="3"/>
      <c r="B4488" s="11" t="s">
        <v>42</v>
      </c>
      <c r="C4488" s="20"/>
      <c r="D4488" s="20"/>
      <c r="E4488" s="20"/>
      <c r="F4488" s="20"/>
      <c r="G4488" s="20"/>
    </row>
    <row r="4489">
      <c r="A4489" s="5"/>
      <c r="B4489" s="14" t="s">
        <v>902</v>
      </c>
      <c r="C4489" s="22"/>
      <c r="D4489" s="22" t="s">
        <v>10</v>
      </c>
      <c r="E4489" s="22"/>
      <c r="F4489" s="22">
        <f>(0)</f>
      </c>
      <c r="G4489" s="22">
        <f>(C4489 * E4489 + C4489 * E4489 * F4489)</f>
      </c>
    </row>
    <row r="4490">
      <c r="A4490" s="5"/>
      <c r="B4490" s="14" t="s">
        <v>762</v>
      </c>
      <c r="C4490" s="22"/>
      <c r="D4490" s="22" t="s">
        <v>10</v>
      </c>
      <c r="E4490" s="22"/>
      <c r="F4490" s="22">
        <f>(0)</f>
      </c>
      <c r="G4490" s="22">
        <f>(C4490 * E4490 + C4490 * E4490 * F4490)</f>
      </c>
    </row>
    <row r="4491">
      <c r="A4491" s="5"/>
      <c r="B4491" s="14" t="s">
        <v>856</v>
      </c>
      <c r="C4491" s="22"/>
      <c r="D4491" s="22" t="s">
        <v>10</v>
      </c>
      <c r="E4491" s="22"/>
      <c r="F4491" s="22">
        <f>(0)</f>
      </c>
      <c r="G4491" s="22">
        <f>(C4491 * E4491 + C4491 * E4491 * F4491)</f>
      </c>
    </row>
    <row r="4492">
      <c r="A4492" s="3"/>
      <c r="B4492" s="11" t="s">
        <v>68</v>
      </c>
      <c r="C4492" s="20"/>
      <c r="D4492" s="20"/>
      <c r="E4492" s="20"/>
      <c r="F4492" s="20"/>
      <c r="G4492" s="20"/>
    </row>
    <row r="4493">
      <c r="A4493" s="5" t="s">
        <v>797</v>
      </c>
      <c r="B4493" s="14" t="s">
        <v>903</v>
      </c>
      <c r="C4493" s="22">
        <f>(1)*(1)*(1)*(1)*(1 + (0))</f>
      </c>
      <c r="D4493" s="22" t="s">
        <v>71</v>
      </c>
      <c r="E4493" s="22"/>
      <c r="F4493" s="22">
        <f>(0)</f>
      </c>
      <c r="G4493" s="22">
        <f>(C4493 * E4493 + C4493 * E4493 * F4493)</f>
      </c>
    </row>
    <row r="4494">
      <c r="A4494" s="5" t="s">
        <v>799</v>
      </c>
      <c r="B4494" s="14" t="s">
        <v>904</v>
      </c>
      <c r="C4494" s="22">
        <f>(1)*(1)*(1)*(1)*(1 + (0))</f>
      </c>
      <c r="D4494" s="22" t="s">
        <v>71</v>
      </c>
      <c r="E4494" s="22"/>
      <c r="F4494" s="22">
        <f>(0)</f>
      </c>
      <c r="G4494" s="22">
        <f>(C4494 * E4494 + C4494 * E4494 * F4494)</f>
      </c>
    </row>
    <row r="4495">
      <c r="A4495" s="5" t="s">
        <v>801</v>
      </c>
      <c r="B4495" s="14" t="s">
        <v>77</v>
      </c>
      <c r="C4495" s="22">
        <f>(1)*(1)*(1)*(1)*(1 + (0))</f>
      </c>
      <c r="D4495" s="22" t="s">
        <v>71</v>
      </c>
      <c r="E4495" s="22"/>
      <c r="F4495" s="22">
        <f>(0)</f>
      </c>
      <c r="G4495" s="22">
        <f>(C4495 * E4495 + C4495 * E4495 * F4495)</f>
      </c>
    </row>
    <row r="4496">
      <c r="A4496" s="5" t="s">
        <v>905</v>
      </c>
      <c r="B4496" s="14" t="s">
        <v>906</v>
      </c>
      <c r="C4496" s="22">
        <f>(1)*(1)*(1)*(1)*(1 + (0))</f>
      </c>
      <c r="D4496" s="22" t="s">
        <v>71</v>
      </c>
      <c r="E4496" s="22"/>
      <c r="F4496" s="22">
        <f>(0)</f>
      </c>
      <c r="G4496" s="22">
        <f>(C4496 * E4496 + C4496 * E4496 * F4496)</f>
      </c>
    </row>
    <row r="4497">
      <c r="A4497" s="5" t="s">
        <v>907</v>
      </c>
      <c r="B4497" s="14" t="s">
        <v>447</v>
      </c>
      <c r="C4497" s="22">
        <f>(1)*(1)*(1)*(1)*(1 + (0))</f>
      </c>
      <c r="D4497" s="22" t="s">
        <v>71</v>
      </c>
      <c r="E4497" s="22"/>
      <c r="F4497" s="22">
        <f>(0)</f>
      </c>
      <c r="G4497" s="22">
        <f>(C4497 * E4497 + C4497 * E4497 * F4497)</f>
      </c>
    </row>
    <row r="4498">
      <c r="A4498" s="5" t="s">
        <v>908</v>
      </c>
      <c r="B4498" s="14" t="s">
        <v>798</v>
      </c>
      <c r="C4498" s="22">
        <f>(1)*(1)*(1)*(1)*(1 + (0))</f>
      </c>
      <c r="D4498" s="22" t="s">
        <v>71</v>
      </c>
      <c r="E4498" s="22"/>
      <c r="F4498" s="22">
        <f>(0)</f>
      </c>
      <c r="G4498" s="22">
        <f>(C4498 * E4498 + C4498 * E4498 * F4498)</f>
      </c>
    </row>
    <row r="4499">
      <c r="A4499" s="5" t="s">
        <v>909</v>
      </c>
      <c r="B4499" s="14" t="s">
        <v>910</v>
      </c>
      <c r="C4499" s="22">
        <f>(1)*(1)*(1)*(1)*(1 + (0))</f>
      </c>
      <c r="D4499" s="22" t="s">
        <v>71</v>
      </c>
      <c r="E4499" s="22"/>
      <c r="F4499" s="22">
        <f>(0)</f>
      </c>
      <c r="G4499" s="22">
        <f>(C4499 * E4499 + C4499 * E4499 * F4499)</f>
      </c>
    </row>
    <row r="4500">
      <c r="A4500" s="5" t="s">
        <v>911</v>
      </c>
      <c r="B4500" s="14" t="s">
        <v>912</v>
      </c>
      <c r="C4500" s="22">
        <f>(1)*(1)*(1)*(1)*(1 + (0))</f>
      </c>
      <c r="D4500" s="22" t="s">
        <v>71</v>
      </c>
      <c r="E4500" s="22"/>
      <c r="F4500" s="22">
        <f>(0)</f>
      </c>
      <c r="G4500" s="22">
        <f>(C4500 * E4500 + C4500 * E4500 * F4500)</f>
      </c>
    </row>
    <row r="4501">
      <c r="A4501" s="5" t="s">
        <v>913</v>
      </c>
      <c r="B4501" s="14" t="s">
        <v>665</v>
      </c>
      <c r="C4501" s="22">
        <f>(1)*(1)*(1)*(1)*(1 + (0))</f>
      </c>
      <c r="D4501" s="22" t="s">
        <v>71</v>
      </c>
      <c r="E4501" s="22"/>
      <c r="F4501" s="22">
        <f>(0)</f>
      </c>
      <c r="G4501" s="22">
        <f>(C4501 * E4501 + C4501 * E4501 * F4501)</f>
      </c>
    </row>
    <row r="4502">
      <c r="A4502" s="3"/>
      <c r="B4502" s="11" t="s">
        <v>914</v>
      </c>
      <c r="C4502" s="20"/>
      <c r="D4502" s="20"/>
      <c r="E4502" s="20"/>
      <c r="F4502" s="20"/>
      <c r="G4502" s="20"/>
    </row>
    <row r="4503">
      <c r="A4503" s="4"/>
      <c r="B4503" s="12" t="s">
        <v>1710</v>
      </c>
      <c r="C4503" s="21"/>
      <c r="D4503" s="21"/>
      <c r="E4503" s="21"/>
      <c r="F4503" s="21"/>
      <c r="G4503" s="21"/>
    </row>
    <row r="4504">
      <c r="A4504" s="6"/>
      <c r="B4504" s="15" t="s">
        <v>918</v>
      </c>
      <c r="C4504" s="23"/>
      <c r="D4504" s="23"/>
      <c r="E4504" s="23"/>
      <c r="F4504" s="23"/>
      <c r="G4504" s="23"/>
    </row>
    <row r="4505">
      <c r="A4505" s="5"/>
      <c r="B4505" s="16" t="s">
        <v>2006</v>
      </c>
      <c r="C4505" s="22">
        <f>(1)*(1)*(1)*(1)*(1 + (0))</f>
      </c>
      <c r="D4505" s="22" t="s">
        <v>162</v>
      </c>
      <c r="E4505" s="22"/>
      <c r="F4505" s="22">
        <f>(0)</f>
      </c>
      <c r="G4505" s="22">
        <f>(C4505 * E4505 + C4505 * E4505 * F4505)</f>
      </c>
    </row>
    <row r="4506">
      <c r="A4506" s="5"/>
      <c r="B4506" s="16" t="s">
        <v>2007</v>
      </c>
      <c r="C4506" s="22">
        <f>(2)*(1)*(1)*(1)*(1 + (0))</f>
      </c>
      <c r="D4506" s="22" t="s">
        <v>162</v>
      </c>
      <c r="E4506" s="22"/>
      <c r="F4506" s="22">
        <f>(0)</f>
      </c>
      <c r="G4506" s="22">
        <f>(C4506 * E4506 + C4506 * E4506 * F4506)</f>
      </c>
    </row>
    <row r="4507">
      <c r="A4507" s="3"/>
      <c r="B4507" s="11" t="s">
        <v>924</v>
      </c>
      <c r="C4507" s="20"/>
      <c r="D4507" s="20"/>
      <c r="E4507" s="20"/>
      <c r="F4507" s="20"/>
      <c r="G4507" s="20"/>
    </row>
    <row r="4508">
      <c r="A4508" s="4"/>
      <c r="B4508" s="12" t="s">
        <v>1710</v>
      </c>
      <c r="C4508" s="21"/>
      <c r="D4508" s="21"/>
      <c r="E4508" s="21"/>
      <c r="F4508" s="21"/>
      <c r="G4508" s="21"/>
    </row>
    <row r="4509">
      <c r="A4509" s="6"/>
      <c r="B4509" s="15" t="s">
        <v>915</v>
      </c>
      <c r="C4509" s="23"/>
      <c r="D4509" s="23"/>
      <c r="E4509" s="23"/>
      <c r="F4509" s="23"/>
      <c r="G4509" s="23"/>
    </row>
    <row r="4510">
      <c r="A4510" s="5"/>
      <c r="B4510" s="16" t="s">
        <v>2008</v>
      </c>
      <c r="C4510" s="22">
        <f>(1)*(1)*(1)*(1)*(1 + (0))</f>
      </c>
      <c r="D4510" s="22" t="s">
        <v>162</v>
      </c>
      <c r="E4510" s="22"/>
      <c r="F4510" s="22">
        <f>(0)</f>
      </c>
      <c r="G4510" s="22">
        <f>(C4510 * E4510 + C4510 * E4510 * F4510)</f>
      </c>
    </row>
    <row r="4511">
      <c r="A4511" s="5"/>
      <c r="B4511" s="16" t="s">
        <v>2009</v>
      </c>
      <c r="C4511" s="22">
        <f>(1)*(1)*(1)*(1)*(1 + (0))</f>
      </c>
      <c r="D4511" s="22" t="s">
        <v>162</v>
      </c>
      <c r="E4511" s="22"/>
      <c r="F4511" s="22">
        <f>(0)</f>
      </c>
      <c r="G4511" s="22">
        <f>(C4511 * E4511 + C4511 * E4511 * F4511)</f>
      </c>
    </row>
    <row r="4512">
      <c r="A4512" s="5"/>
      <c r="B4512" s="16" t="s">
        <v>2010</v>
      </c>
      <c r="C4512" s="22">
        <f>(2)*(1)*(1)*(1)*(1 + (0))</f>
      </c>
      <c r="D4512" s="22" t="s">
        <v>162</v>
      </c>
      <c r="E4512" s="22"/>
      <c r="F4512" s="22">
        <f>(0)</f>
      </c>
      <c r="G4512" s="22">
        <f>(C4512 * E4512 + C4512 * E4512 * F4512)</f>
      </c>
    </row>
    <row r="4513">
      <c r="A4513" s="5"/>
      <c r="B4513" s="16" t="s">
        <v>2011</v>
      </c>
      <c r="C4513" s="22">
        <f>(1)*(1)*(1)*(1)*(1 + (0))</f>
      </c>
      <c r="D4513" s="22" t="s">
        <v>162</v>
      </c>
      <c r="E4513" s="22"/>
      <c r="F4513" s="22">
        <f>(0)</f>
      </c>
      <c r="G4513" s="22">
        <f>(C4513 * E4513 + C4513 * E4513 * F4513)</f>
      </c>
    </row>
    <row r="4514">
      <c r="A4514" s="6"/>
      <c r="B4514" s="15" t="s">
        <v>918</v>
      </c>
      <c r="C4514" s="23"/>
      <c r="D4514" s="23"/>
      <c r="E4514" s="23"/>
      <c r="F4514" s="23"/>
      <c r="G4514" s="23"/>
    </row>
    <row r="4515">
      <c r="A4515" s="5"/>
      <c r="B4515" s="16" t="s">
        <v>2012</v>
      </c>
      <c r="C4515" s="22">
        <f>(12)*(1)*(1)*(1)*(1 + (0))</f>
      </c>
      <c r="D4515" s="22" t="s">
        <v>162</v>
      </c>
      <c r="E4515" s="22"/>
      <c r="F4515" s="22">
        <f>(0)</f>
      </c>
      <c r="G4515" s="22">
        <f>(C4515 * E4515 + C4515 * E4515 * F4515)</f>
      </c>
    </row>
    <row r="4516">
      <c r="A4516" s="5"/>
      <c r="B4516" s="16" t="s">
        <v>2013</v>
      </c>
      <c r="C4516" s="22">
        <f>(1)*(1)*(1)*(1)*(1 + (0))</f>
      </c>
      <c r="D4516" s="22" t="s">
        <v>162</v>
      </c>
      <c r="E4516" s="22"/>
      <c r="F4516" s="22">
        <f>(0)</f>
      </c>
      <c r="G4516" s="22">
        <f>(C4516 * E4516 + C4516 * E4516 * F4516)</f>
      </c>
    </row>
    <row r="4517">
      <c r="A4517" s="5"/>
      <c r="B4517" s="16" t="s">
        <v>927</v>
      </c>
      <c r="C4517" s="22">
        <f>(1)*(1)*(1)*(1)*(1 + (0))</f>
      </c>
      <c r="D4517" s="22" t="s">
        <v>162</v>
      </c>
      <c r="E4517" s="22"/>
      <c r="F4517" s="22">
        <f>(0)</f>
      </c>
      <c r="G4517" s="22">
        <f>(C4517 * E4517 + C4517 * E4517 * F4517)</f>
      </c>
    </row>
    <row r="4518">
      <c r="A4518" s="5"/>
      <c r="B4518" s="16" t="s">
        <v>2014</v>
      </c>
      <c r="C4518" s="22">
        <f>(1)*(1)*(1)*(1)*(1 + (0))</f>
      </c>
      <c r="D4518" s="22" t="s">
        <v>162</v>
      </c>
      <c r="E4518" s="22"/>
      <c r="F4518" s="22">
        <f>(0)</f>
      </c>
      <c r="G4518" s="22">
        <f>(C4518 * E4518 + C4518 * E4518 * F4518)</f>
      </c>
    </row>
    <row r="4519">
      <c r="A4519" s="5"/>
      <c r="B4519" s="16" t="s">
        <v>2015</v>
      </c>
      <c r="C4519" s="22">
        <f>(1)*(1)*(1)*(1)*(1 + (0))</f>
      </c>
      <c r="D4519" s="22" t="s">
        <v>162</v>
      </c>
      <c r="E4519" s="22"/>
      <c r="F4519" s="22">
        <f>(0)</f>
      </c>
      <c r="G4519" s="22">
        <f>(C4519 * E4519 + C4519 * E4519 * F4519)</f>
      </c>
    </row>
    <row r="4520">
      <c r="A4520" s="3"/>
      <c r="B4520" s="11" t="s">
        <v>931</v>
      </c>
      <c r="C4520" s="20"/>
      <c r="D4520" s="20"/>
      <c r="E4520" s="20"/>
      <c r="F4520" s="20"/>
      <c r="G4520" s="20"/>
    </row>
    <row r="4521">
      <c r="A4521" s="4"/>
      <c r="B4521" s="12" t="s">
        <v>1710</v>
      </c>
      <c r="C4521" s="21"/>
      <c r="D4521" s="21"/>
      <c r="E4521" s="21"/>
      <c r="F4521" s="21"/>
      <c r="G4521" s="21"/>
    </row>
    <row r="4522">
      <c r="A4522" s="5"/>
      <c r="B4522" s="13" t="s">
        <v>933</v>
      </c>
      <c r="C4522" s="22">
        <f>(3)*(1)*(1)*(1)*(1 + (0))</f>
      </c>
      <c r="D4522" s="22" t="s">
        <v>162</v>
      </c>
      <c r="E4522" s="22"/>
      <c r="F4522" s="22">
        <f>(0)</f>
      </c>
      <c r="G4522" s="22">
        <f>(C4522 * E4522 + C4522 * E4522 * F4522)</f>
      </c>
    </row>
    <row r="4523">
      <c r="A4523" s="3"/>
      <c r="B4523" s="11" t="s">
        <v>934</v>
      </c>
      <c r="C4523" s="20"/>
      <c r="D4523" s="20"/>
      <c r="E4523" s="20"/>
      <c r="F4523" s="20"/>
      <c r="G4523" s="20"/>
    </row>
    <row r="4524">
      <c r="A4524" s="4"/>
      <c r="B4524" s="12" t="s">
        <v>1710</v>
      </c>
      <c r="C4524" s="21"/>
      <c r="D4524" s="21"/>
      <c r="E4524" s="21"/>
      <c r="F4524" s="21"/>
      <c r="G4524" s="21"/>
    </row>
    <row r="4525">
      <c r="A4525" s="5"/>
      <c r="B4525" s="13" t="s">
        <v>932</v>
      </c>
      <c r="C4525" s="22">
        <f>(5)*(1)*(1)*(1)*(1 + (0))</f>
      </c>
      <c r="D4525" s="22" t="s">
        <v>162</v>
      </c>
      <c r="E4525" s="22"/>
      <c r="F4525" s="22">
        <f>(0)</f>
      </c>
      <c r="G4525" s="22">
        <f>(C4525 * E4525 + C4525 * E4525 * F4525)</f>
      </c>
    </row>
    <row r="4526">
      <c r="A4526" s="5"/>
      <c r="B4526" s="13" t="s">
        <v>933</v>
      </c>
      <c r="C4526" s="22">
        <f>(16)*(1)*(1)*(1)*(1 + (0))</f>
      </c>
      <c r="D4526" s="22" t="s">
        <v>162</v>
      </c>
      <c r="E4526" s="22"/>
      <c r="F4526" s="22">
        <f>(0)</f>
      </c>
      <c r="G4526" s="22">
        <f>(C4526 * E4526 + C4526 * E4526 * F4526)</f>
      </c>
    </row>
    <row r="4527">
      <c r="A4527" s="2"/>
      <c r="B4527" s="10" t="s">
        <v>935</v>
      </c>
      <c r="C4527" s="19"/>
      <c r="D4527" s="19"/>
      <c r="E4527" s="19"/>
      <c r="F4527" s="19"/>
      <c r="G4527" s="19"/>
    </row>
    <row r="4528">
      <c r="A4528" s="3"/>
      <c r="B4528" s="11" t="s">
        <v>37</v>
      </c>
      <c r="C4528" s="20"/>
      <c r="D4528" s="20"/>
      <c r="E4528" s="20"/>
      <c r="F4528" s="20"/>
      <c r="G4528" s="20"/>
    </row>
    <row r="4529">
      <c r="A4529" s="5" t="s">
        <v>936</v>
      </c>
      <c r="B4529" s="14" t="s">
        <v>39</v>
      </c>
      <c r="C4529" s="22"/>
      <c r="D4529" s="22" t="s">
        <v>10</v>
      </c>
      <c r="E4529" s="22"/>
      <c r="F4529" s="22">
        <f>(0)</f>
      </c>
      <c r="G4529" s="22">
        <f>(C4529 * E4529 + C4529 * E4529 * F4529)</f>
      </c>
    </row>
    <row r="4530">
      <c r="A4530" s="5" t="s">
        <v>937</v>
      </c>
      <c r="B4530" s="14" t="s">
        <v>41</v>
      </c>
      <c r="C4530" s="22"/>
      <c r="D4530" s="22" t="s">
        <v>10</v>
      </c>
      <c r="E4530" s="22"/>
      <c r="F4530" s="22">
        <f>(0)</f>
      </c>
      <c r="G4530" s="22">
        <f>(C4530 * E4530 + C4530 * E4530 * F4530)</f>
      </c>
    </row>
    <row r="4531">
      <c r="A4531" s="3"/>
      <c r="B4531" s="11" t="s">
        <v>42</v>
      </c>
      <c r="C4531" s="20"/>
      <c r="D4531" s="20"/>
      <c r="E4531" s="20"/>
      <c r="F4531" s="20"/>
      <c r="G4531" s="20"/>
    </row>
    <row r="4532">
      <c r="A4532" s="5"/>
      <c r="B4532" s="14" t="s">
        <v>938</v>
      </c>
      <c r="C4532" s="22"/>
      <c r="D4532" s="22" t="s">
        <v>10</v>
      </c>
      <c r="E4532" s="22"/>
      <c r="F4532" s="22">
        <f>(0)</f>
      </c>
      <c r="G4532" s="22">
        <f>(C4532 * E4532 + C4532 * E4532 * F4532)</f>
      </c>
    </row>
    <row r="4533">
      <c r="A4533" s="5"/>
      <c r="B4533" s="14" t="s">
        <v>762</v>
      </c>
      <c r="C4533" s="22"/>
      <c r="D4533" s="22" t="s">
        <v>10</v>
      </c>
      <c r="E4533" s="22"/>
      <c r="F4533" s="22">
        <f>(0)</f>
      </c>
      <c r="G4533" s="22">
        <f>(C4533 * E4533 + C4533 * E4533 * F4533)</f>
      </c>
    </row>
    <row r="4534">
      <c r="A4534" s="5"/>
      <c r="B4534" s="14" t="s">
        <v>763</v>
      </c>
      <c r="C4534" s="22"/>
      <c r="D4534" s="22" t="s">
        <v>10</v>
      </c>
      <c r="E4534" s="22"/>
      <c r="F4534" s="22">
        <f>(0)</f>
      </c>
      <c r="G4534" s="22">
        <f>(C4534 * E4534 + C4534 * E4534 * F4534)</f>
      </c>
    </row>
    <row r="4535">
      <c r="A4535" s="5"/>
      <c r="B4535" s="14" t="s">
        <v>939</v>
      </c>
      <c r="C4535" s="22"/>
      <c r="D4535" s="22" t="s">
        <v>10</v>
      </c>
      <c r="E4535" s="22"/>
      <c r="F4535" s="22">
        <f>(0)</f>
      </c>
      <c r="G4535" s="22">
        <f>(C4535 * E4535 + C4535 * E4535 * F4535)</f>
      </c>
    </row>
    <row r="4536">
      <c r="A4536" s="3"/>
      <c r="B4536" s="11" t="s">
        <v>44</v>
      </c>
      <c r="C4536" s="20"/>
      <c r="D4536" s="20"/>
      <c r="E4536" s="20"/>
      <c r="F4536" s="20"/>
      <c r="G4536" s="20"/>
    </row>
    <row r="4537">
      <c r="A4537" s="4"/>
      <c r="B4537" s="12" t="s">
        <v>45</v>
      </c>
      <c r="C4537" s="21"/>
      <c r="D4537" s="21"/>
      <c r="E4537" s="21"/>
      <c r="F4537" s="21"/>
      <c r="G4537" s="21"/>
    </row>
    <row r="4538">
      <c r="A4538" s="5" t="s">
        <v>940</v>
      </c>
      <c r="B4538" s="13" t="s">
        <v>123</v>
      </c>
      <c r="C4538" s="22"/>
      <c r="D4538" s="22" t="s">
        <v>10</v>
      </c>
      <c r="E4538" s="22"/>
      <c r="F4538" s="22">
        <f>(0)</f>
      </c>
      <c r="G4538" s="22">
        <f>(C4538 * E4538 + C4538 * E4538 * F4538)</f>
      </c>
    </row>
    <row r="4539">
      <c r="A4539" s="6"/>
      <c r="B4539" s="15" t="s">
        <v>771</v>
      </c>
      <c r="C4539" s="23"/>
      <c r="D4539" s="23"/>
      <c r="E4539" s="23"/>
      <c r="F4539" s="23"/>
      <c r="G4539" s="23"/>
    </row>
    <row r="4540">
      <c r="A4540" s="5" t="s">
        <v>772</v>
      </c>
      <c r="B4540" s="16" t="s">
        <v>528</v>
      </c>
      <c r="C4540" s="22"/>
      <c r="D4540" s="22" t="s">
        <v>10</v>
      </c>
      <c r="E4540" s="22"/>
      <c r="F4540" s="22">
        <f>(0)</f>
      </c>
      <c r="G4540" s="22">
        <f>(C4540 * E4540 + C4540 * E4540 * F4540)</f>
      </c>
    </row>
    <row r="4541">
      <c r="A4541" s="5" t="s">
        <v>773</v>
      </c>
      <c r="B4541" s="16" t="s">
        <v>530</v>
      </c>
      <c r="C4541" s="22"/>
      <c r="D4541" s="22" t="s">
        <v>10</v>
      </c>
      <c r="E4541" s="22"/>
      <c r="F4541" s="22">
        <f>(0)</f>
      </c>
      <c r="G4541" s="22">
        <f>(C4541 * E4541 + C4541 * E4541 * F4541)</f>
      </c>
    </row>
    <row r="4542">
      <c r="A4542" s="5" t="s">
        <v>774</v>
      </c>
      <c r="B4542" s="16" t="s">
        <v>532</v>
      </c>
      <c r="C4542" s="22"/>
      <c r="D4542" s="22" t="s">
        <v>10</v>
      </c>
      <c r="E4542" s="22"/>
      <c r="F4542" s="22">
        <f>(0)</f>
      </c>
      <c r="G4542" s="22">
        <f>(C4542 * E4542 + C4542 * E4542 * F4542)</f>
      </c>
    </row>
    <row r="4543">
      <c r="A4543" s="5" t="s">
        <v>775</v>
      </c>
      <c r="B4543" s="16" t="s">
        <v>536</v>
      </c>
      <c r="C4543" s="22"/>
      <c r="D4543" s="22" t="s">
        <v>10</v>
      </c>
      <c r="E4543" s="22"/>
      <c r="F4543" s="22">
        <f>(0)</f>
      </c>
      <c r="G4543" s="22">
        <f>(C4543 * E4543 + C4543 * E4543 * F4543)</f>
      </c>
    </row>
    <row r="4544">
      <c r="A4544" s="5" t="s">
        <v>776</v>
      </c>
      <c r="B4544" s="16" t="s">
        <v>777</v>
      </c>
      <c r="C4544" s="22"/>
      <c r="D4544" s="22" t="s">
        <v>10</v>
      </c>
      <c r="E4544" s="22"/>
      <c r="F4544" s="22">
        <f>(0)</f>
      </c>
      <c r="G4544" s="22">
        <f>(C4544 * E4544 + C4544 * E4544 * F4544)</f>
      </c>
    </row>
    <row r="4545">
      <c r="A4545" s="6"/>
      <c r="B4545" s="15" t="s">
        <v>778</v>
      </c>
      <c r="C4545" s="23"/>
      <c r="D4545" s="23"/>
      <c r="E4545" s="23"/>
      <c r="F4545" s="23"/>
      <c r="G4545" s="23"/>
    </row>
    <row r="4546">
      <c r="A4546" s="5" t="s">
        <v>779</v>
      </c>
      <c r="B4546" s="16" t="s">
        <v>780</v>
      </c>
      <c r="C4546" s="22"/>
      <c r="D4546" s="22" t="s">
        <v>10</v>
      </c>
      <c r="E4546" s="22"/>
      <c r="F4546" s="22">
        <f>(0)</f>
      </c>
      <c r="G4546" s="22">
        <f>(C4546 * E4546 + C4546 * E4546 * F4546)</f>
      </c>
    </row>
    <row r="4547">
      <c r="A4547" s="5" t="s">
        <v>781</v>
      </c>
      <c r="B4547" s="16" t="s">
        <v>782</v>
      </c>
      <c r="C4547" s="22"/>
      <c r="D4547" s="22" t="s">
        <v>10</v>
      </c>
      <c r="E4547" s="22"/>
      <c r="F4547" s="22">
        <f>(0)</f>
      </c>
      <c r="G4547" s="22">
        <f>(C4547 * E4547 + C4547 * E4547 * F4547)</f>
      </c>
    </row>
    <row r="4548">
      <c r="A4548" s="5" t="s">
        <v>783</v>
      </c>
      <c r="B4548" s="16" t="s">
        <v>784</v>
      </c>
      <c r="C4548" s="22"/>
      <c r="D4548" s="22" t="s">
        <v>10</v>
      </c>
      <c r="E4548" s="22"/>
      <c r="F4548" s="22">
        <f>(0)</f>
      </c>
      <c r="G4548" s="22">
        <f>(C4548 * E4548 + C4548 * E4548 * F4548)</f>
      </c>
    </row>
    <row r="4549">
      <c r="A4549" s="5" t="s">
        <v>785</v>
      </c>
      <c r="B4549" s="16" t="s">
        <v>786</v>
      </c>
      <c r="C4549" s="22"/>
      <c r="D4549" s="22" t="s">
        <v>10</v>
      </c>
      <c r="E4549" s="22"/>
      <c r="F4549" s="22">
        <f>(0)</f>
      </c>
      <c r="G4549" s="22">
        <f>(C4549 * E4549 + C4549 * E4549 * F4549)</f>
      </c>
    </row>
    <row r="4550">
      <c r="A4550" s="5" t="s">
        <v>787</v>
      </c>
      <c r="B4550" s="16" t="s">
        <v>788</v>
      </c>
      <c r="C4550" s="22"/>
      <c r="D4550" s="22" t="s">
        <v>10</v>
      </c>
      <c r="E4550" s="22"/>
      <c r="F4550" s="22">
        <f>(0)</f>
      </c>
      <c r="G4550" s="22">
        <f>(C4550 * E4550 + C4550 * E4550 * F4550)</f>
      </c>
    </row>
    <row r="4551">
      <c r="A4551" s="5" t="s">
        <v>789</v>
      </c>
      <c r="B4551" s="16" t="s">
        <v>769</v>
      </c>
      <c r="C4551" s="22"/>
      <c r="D4551" s="22" t="s">
        <v>10</v>
      </c>
      <c r="E4551" s="22"/>
      <c r="F4551" s="22">
        <f>(0)</f>
      </c>
      <c r="G4551" s="22">
        <f>(C4551 * E4551 + C4551 * E4551 * F4551)</f>
      </c>
    </row>
    <row r="4552">
      <c r="A4552" s="6"/>
      <c r="B4552" s="15" t="s">
        <v>790</v>
      </c>
      <c r="C4552" s="23"/>
      <c r="D4552" s="23"/>
      <c r="E4552" s="23"/>
      <c r="F4552" s="23"/>
      <c r="G4552" s="23"/>
    </row>
    <row r="4553">
      <c r="A4553" s="5" t="s">
        <v>791</v>
      </c>
      <c r="B4553" s="16" t="s">
        <v>652</v>
      </c>
      <c r="C4553" s="22"/>
      <c r="D4553" s="22" t="s">
        <v>10</v>
      </c>
      <c r="E4553" s="22"/>
      <c r="F4553" s="22">
        <f>(0)</f>
      </c>
      <c r="G4553" s="22">
        <f>(C4553 * E4553 + C4553 * E4553 * F4553)</f>
      </c>
    </row>
    <row r="4554">
      <c r="A4554" s="5" t="s">
        <v>792</v>
      </c>
      <c r="B4554" s="16" t="s">
        <v>700</v>
      </c>
      <c r="C4554" s="22"/>
      <c r="D4554" s="22" t="s">
        <v>10</v>
      </c>
      <c r="E4554" s="22"/>
      <c r="F4554" s="22">
        <f>(0)</f>
      </c>
      <c r="G4554" s="22">
        <f>(C4554 * E4554 + C4554 * E4554 * F4554)</f>
      </c>
    </row>
    <row r="4555">
      <c r="A4555" s="5" t="s">
        <v>793</v>
      </c>
      <c r="B4555" s="16" t="s">
        <v>650</v>
      </c>
      <c r="C4555" s="22"/>
      <c r="D4555" s="22" t="s">
        <v>10</v>
      </c>
      <c r="E4555" s="22"/>
      <c r="F4555" s="22">
        <f>(0)</f>
      </c>
      <c r="G4555" s="22">
        <f>(C4555 * E4555 + C4555 * E4555 * F4555)</f>
      </c>
    </row>
    <row r="4556">
      <c r="A4556" s="3"/>
      <c r="B4556" s="11" t="s">
        <v>68</v>
      </c>
      <c r="C4556" s="20"/>
      <c r="D4556" s="20"/>
      <c r="E4556" s="20"/>
      <c r="F4556" s="20"/>
      <c r="G4556" s="20"/>
    </row>
    <row r="4557">
      <c r="A4557" s="5" t="s">
        <v>807</v>
      </c>
      <c r="B4557" s="14" t="s">
        <v>808</v>
      </c>
      <c r="C4557" s="22">
        <f>(1)*(1)*(1)*(1)*(1 + (0))</f>
      </c>
      <c r="D4557" s="22" t="s">
        <v>71</v>
      </c>
      <c r="E4557" s="22"/>
      <c r="F4557" s="22">
        <f>(0)</f>
      </c>
      <c r="G4557" s="22">
        <f>(C4557 * E4557 + C4557 * E4557 * F4557)</f>
      </c>
    </row>
    <row r="4558">
      <c r="A4558" s="5" t="s">
        <v>809</v>
      </c>
      <c r="B4558" s="14" t="s">
        <v>810</v>
      </c>
      <c r="C4558" s="22">
        <f>(1)*(1)*(1)*(1)*(1 + (0))</f>
      </c>
      <c r="D4558" s="22" t="s">
        <v>71</v>
      </c>
      <c r="E4558" s="22"/>
      <c r="F4558" s="22">
        <f>(0)</f>
      </c>
      <c r="G4558" s="22">
        <f>(C4558 * E4558 + C4558 * E4558 * F4558)</f>
      </c>
    </row>
    <row r="4559">
      <c r="A4559" s="5" t="s">
        <v>811</v>
      </c>
      <c r="B4559" s="14" t="s">
        <v>812</v>
      </c>
      <c r="C4559" s="22">
        <f>(1)*(1)*(1)*(1)*(1 + (0))</f>
      </c>
      <c r="D4559" s="22" t="s">
        <v>71</v>
      </c>
      <c r="E4559" s="22"/>
      <c r="F4559" s="22">
        <f>(0)</f>
      </c>
      <c r="G4559" s="22">
        <f>(C4559 * E4559 + C4559 * E4559 * F4559)</f>
      </c>
    </row>
    <row r="4560">
      <c r="A4560" s="5" t="s">
        <v>941</v>
      </c>
      <c r="B4560" s="14" t="s">
        <v>447</v>
      </c>
      <c r="C4560" s="22">
        <f>(1)*(1)*(1)*(1)*(1 + (0))</f>
      </c>
      <c r="D4560" s="22" t="s">
        <v>71</v>
      </c>
      <c r="E4560" s="22"/>
      <c r="F4560" s="22">
        <f>(0)</f>
      </c>
      <c r="G4560" s="22">
        <f>(C4560 * E4560 + C4560 * E4560 * F4560)</f>
      </c>
    </row>
    <row r="4561">
      <c r="A4561" s="5" t="s">
        <v>942</v>
      </c>
      <c r="B4561" s="14" t="s">
        <v>70</v>
      </c>
      <c r="C4561" s="22">
        <f>(1)*(1)*(1)*(1)*(1 + (0))</f>
      </c>
      <c r="D4561" s="22" t="s">
        <v>71</v>
      </c>
      <c r="E4561" s="22"/>
      <c r="F4561" s="22">
        <f>(0)</f>
      </c>
      <c r="G4561" s="22">
        <f>(C4561 * E4561 + C4561 * E4561 * F4561)</f>
      </c>
    </row>
    <row r="4562">
      <c r="A4562" s="5" t="s">
        <v>813</v>
      </c>
      <c r="B4562" s="14" t="s">
        <v>814</v>
      </c>
      <c r="C4562" s="22">
        <f>(1)*(1)*(1)*(1)*(1 + (0))</f>
      </c>
      <c r="D4562" s="22" t="s">
        <v>71</v>
      </c>
      <c r="E4562" s="22"/>
      <c r="F4562" s="22">
        <f>(0)</f>
      </c>
      <c r="G4562" s="22">
        <f>(C4562 * E4562 + C4562 * E4562 * F4562)</f>
      </c>
    </row>
    <row r="4563">
      <c r="A4563" s="5" t="s">
        <v>815</v>
      </c>
      <c r="B4563" s="14" t="s">
        <v>816</v>
      </c>
      <c r="C4563" s="22">
        <f>(1)*(1)*(1)*(1)*(1 + (0))</f>
      </c>
      <c r="D4563" s="22" t="s">
        <v>71</v>
      </c>
      <c r="E4563" s="22"/>
      <c r="F4563" s="22">
        <f>(0)</f>
      </c>
      <c r="G4563" s="22">
        <f>(C4563 * E4563 + C4563 * E4563 * F4563)</f>
      </c>
    </row>
    <row r="4564">
      <c r="A4564" s="5" t="s">
        <v>943</v>
      </c>
      <c r="B4564" s="14" t="s">
        <v>798</v>
      </c>
      <c r="C4564" s="22">
        <f>(1)*(1)*(1)*(1)*(1 + (0))</f>
      </c>
      <c r="D4564" s="22" t="s">
        <v>71</v>
      </c>
      <c r="E4564" s="22"/>
      <c r="F4564" s="22">
        <f>(0)</f>
      </c>
      <c r="G4564" s="22">
        <f>(C4564 * E4564 + C4564 * E4564 * F4564)</f>
      </c>
    </row>
    <row r="4565">
      <c r="A4565" s="5" t="s">
        <v>944</v>
      </c>
      <c r="B4565" s="14" t="s">
        <v>800</v>
      </c>
      <c r="C4565" s="22">
        <f>(1)*(1)*(1)*(1)*(1 + (0))</f>
      </c>
      <c r="D4565" s="22" t="s">
        <v>71</v>
      </c>
      <c r="E4565" s="22"/>
      <c r="F4565" s="22">
        <f>(0)</f>
      </c>
      <c r="G4565" s="22">
        <f>(C4565 * E4565 + C4565 * E4565 * F4565)</f>
      </c>
    </row>
    <row r="4566">
      <c r="A4566" s="5" t="s">
        <v>817</v>
      </c>
      <c r="B4566" s="14" t="s">
        <v>667</v>
      </c>
      <c r="C4566" s="22">
        <f>(1)*(1)*(1)*(1)*(1 + (0))</f>
      </c>
      <c r="D4566" s="22" t="s">
        <v>71</v>
      </c>
      <c r="E4566" s="22"/>
      <c r="F4566" s="22">
        <f>(0)</f>
      </c>
      <c r="G4566" s="22">
        <f>(C4566 * E4566 + C4566 * E4566 * F4566)</f>
      </c>
    </row>
    <row r="4567">
      <c r="A4567" s="5" t="s">
        <v>945</v>
      </c>
      <c r="B4567" s="14" t="s">
        <v>665</v>
      </c>
      <c r="C4567" s="22">
        <f>(1)*(1)*(1)*(1)*(1 + (0))</f>
      </c>
      <c r="D4567" s="22" t="s">
        <v>71</v>
      </c>
      <c r="E4567" s="22"/>
      <c r="F4567" s="22">
        <f>(0)</f>
      </c>
      <c r="G4567" s="22">
        <f>(C4567 * E4567 + C4567 * E4567 * F4567)</f>
      </c>
    </row>
    <row r="4568">
      <c r="A4568" s="3"/>
      <c r="B4568" s="11" t="s">
        <v>106</v>
      </c>
      <c r="C4568" s="20"/>
      <c r="D4568" s="20"/>
      <c r="E4568" s="20"/>
      <c r="F4568" s="20"/>
      <c r="G4568" s="20"/>
    </row>
    <row r="4569">
      <c r="A4569" s="5"/>
      <c r="B4569" s="14" t="s">
        <v>946</v>
      </c>
      <c r="C4569" s="22"/>
      <c r="D4569" s="22" t="s">
        <v>10</v>
      </c>
      <c r="E4569" s="22"/>
      <c r="F4569" s="22">
        <f>(0)</f>
      </c>
      <c r="G4569" s="22">
        <f>(C4569 * E4569 + C4569 * E4569 * F4569)</f>
      </c>
    </row>
    <row r="4570">
      <c r="A4570" s="3"/>
      <c r="B4570" s="11" t="s">
        <v>947</v>
      </c>
      <c r="C4570" s="20"/>
      <c r="D4570" s="20"/>
      <c r="E4570" s="20"/>
      <c r="F4570" s="20"/>
      <c r="G4570" s="20"/>
    </row>
    <row r="4571">
      <c r="A4571" s="4"/>
      <c r="B4571" s="12" t="s">
        <v>955</v>
      </c>
      <c r="C4571" s="21"/>
      <c r="D4571" s="21"/>
      <c r="E4571" s="21"/>
      <c r="F4571" s="21"/>
      <c r="G4571" s="21"/>
    </row>
    <row r="4572">
      <c r="A4572" s="6"/>
      <c r="B4572" s="15" t="s">
        <v>2016</v>
      </c>
      <c r="C4572" s="23"/>
      <c r="D4572" s="23"/>
      <c r="E4572" s="23"/>
      <c r="F4572" s="23"/>
      <c r="G4572" s="23"/>
    </row>
    <row r="4573">
      <c r="A4573" s="5"/>
      <c r="B4573" s="16" t="s">
        <v>1898</v>
      </c>
      <c r="C4573" s="22">
        <f>(395)*(1)*(1)*(1)*(1 + (0))</f>
      </c>
      <c r="D4573" s="22" t="s">
        <v>24</v>
      </c>
      <c r="E4573" s="22"/>
      <c r="F4573" s="22">
        <f>(0)</f>
      </c>
      <c r="G4573" s="22">
        <f>(C4573 * E4573 + C4573 * E4573 * F4573)</f>
      </c>
    </row>
    <row r="4574">
      <c r="A4574" s="6"/>
      <c r="B4574" s="15" t="s">
        <v>2017</v>
      </c>
      <c r="C4574" s="23"/>
      <c r="D4574" s="23"/>
      <c r="E4574" s="23"/>
      <c r="F4574" s="23"/>
      <c r="G4574" s="23"/>
    </row>
    <row r="4575">
      <c r="A4575" s="5"/>
      <c r="B4575" s="16" t="s">
        <v>1898</v>
      </c>
      <c r="C4575" s="22">
        <f>(110)*(1)*(1)*(1)*(1 + (0))</f>
      </c>
      <c r="D4575" s="22" t="s">
        <v>24</v>
      </c>
      <c r="E4575" s="22"/>
      <c r="F4575" s="22">
        <f>(0)</f>
      </c>
      <c r="G4575" s="22">
        <f>(C4575 * E4575 + C4575 * E4575 * F4575)</f>
      </c>
    </row>
    <row r="4576">
      <c r="A4576" s="3"/>
      <c r="B4576" s="11" t="s">
        <v>960</v>
      </c>
      <c r="C4576" s="20"/>
      <c r="D4576" s="20"/>
      <c r="E4576" s="20"/>
      <c r="F4576" s="20"/>
      <c r="G4576" s="20"/>
    </row>
    <row r="4577">
      <c r="A4577" s="4"/>
      <c r="B4577" s="12" t="s">
        <v>948</v>
      </c>
      <c r="C4577" s="21"/>
      <c r="D4577" s="21"/>
      <c r="E4577" s="21"/>
      <c r="F4577" s="21"/>
      <c r="G4577" s="21"/>
    </row>
    <row r="4578">
      <c r="A4578" s="6"/>
      <c r="B4578" s="15" t="s">
        <v>967</v>
      </c>
      <c r="C4578" s="23"/>
      <c r="D4578" s="23"/>
      <c r="E4578" s="23"/>
      <c r="F4578" s="23"/>
      <c r="G4578" s="23"/>
    </row>
    <row r="4579">
      <c r="A4579" s="5"/>
      <c r="B4579" s="16" t="s">
        <v>1898</v>
      </c>
      <c r="C4579" s="22">
        <f>(7)*(1)*(1)*(1)*(1 + (0))</f>
      </c>
      <c r="D4579" s="22" t="s">
        <v>24</v>
      </c>
      <c r="E4579" s="22"/>
      <c r="F4579" s="22">
        <f>(0)</f>
      </c>
      <c r="G4579" s="22">
        <f>(C4579 * E4579 + C4579 * E4579 * F4579)</f>
      </c>
    </row>
    <row r="4580">
      <c r="A4580" s="6"/>
      <c r="B4580" s="15" t="s">
        <v>2018</v>
      </c>
      <c r="C4580" s="23"/>
      <c r="D4580" s="23"/>
      <c r="E4580" s="23"/>
      <c r="F4580" s="23"/>
      <c r="G4580" s="23"/>
    </row>
    <row r="4581">
      <c r="A4581" s="5"/>
      <c r="B4581" s="16" t="s">
        <v>1898</v>
      </c>
      <c r="C4581" s="22">
        <f>(105)*(1)*(1)*(1)*(1 + (0))</f>
      </c>
      <c r="D4581" s="22" t="s">
        <v>24</v>
      </c>
      <c r="E4581" s="22"/>
      <c r="F4581" s="22">
        <f>(0)</f>
      </c>
      <c r="G4581" s="22">
        <f>(C4581 * E4581 + C4581 * E4581 * F4581)</f>
      </c>
    </row>
    <row r="4582">
      <c r="A4582" s="6"/>
      <c r="B4582" s="15" t="s">
        <v>2019</v>
      </c>
      <c r="C4582" s="23"/>
      <c r="D4582" s="23"/>
      <c r="E4582" s="23"/>
      <c r="F4582" s="23"/>
      <c r="G4582" s="23"/>
    </row>
    <row r="4583">
      <c r="A4583" s="5"/>
      <c r="B4583" s="16" t="s">
        <v>1898</v>
      </c>
      <c r="C4583" s="22">
        <f>(14)*(1)*(1)*(1)*(1 + (0))</f>
      </c>
      <c r="D4583" s="22" t="s">
        <v>24</v>
      </c>
      <c r="E4583" s="22"/>
      <c r="F4583" s="22">
        <f>(0)</f>
      </c>
      <c r="G4583" s="22">
        <f>(C4583 * E4583 + C4583 * E4583 * F4583)</f>
      </c>
    </row>
    <row r="4584">
      <c r="A4584" s="4"/>
      <c r="B4584" s="12" t="s">
        <v>953</v>
      </c>
      <c r="C4584" s="21"/>
      <c r="D4584" s="21"/>
      <c r="E4584" s="21"/>
      <c r="F4584" s="21"/>
      <c r="G4584" s="21"/>
    </row>
    <row r="4585">
      <c r="A4585" s="6"/>
      <c r="B4585" s="15" t="s">
        <v>1737</v>
      </c>
      <c r="C4585" s="23"/>
      <c r="D4585" s="23"/>
      <c r="E4585" s="23"/>
      <c r="F4585" s="23"/>
      <c r="G4585" s="23"/>
    </row>
    <row r="4586">
      <c r="A4586" s="5"/>
      <c r="B4586" s="16" t="s">
        <v>1898</v>
      </c>
      <c r="C4586" s="22">
        <f>(30)*(1)*(1)*(1)*(1 + (0))</f>
      </c>
      <c r="D4586" s="22" t="s">
        <v>24</v>
      </c>
      <c r="E4586" s="22"/>
      <c r="F4586" s="22">
        <f>(0)</f>
      </c>
      <c r="G4586" s="22">
        <f>(C4586 * E4586 + C4586 * E4586 * F4586)</f>
      </c>
    </row>
    <row r="4587">
      <c r="A4587" s="6"/>
      <c r="B4587" s="15" t="s">
        <v>974</v>
      </c>
      <c r="C4587" s="23"/>
      <c r="D4587" s="23"/>
      <c r="E4587" s="23"/>
      <c r="F4587" s="23"/>
      <c r="G4587" s="23"/>
    </row>
    <row r="4588">
      <c r="A4588" s="5"/>
      <c r="B4588" s="16" t="s">
        <v>1898</v>
      </c>
      <c r="C4588" s="22">
        <f>(90)*(1)*(1)*(1)*(1 + (0))</f>
      </c>
      <c r="D4588" s="22" t="s">
        <v>24</v>
      </c>
      <c r="E4588" s="22"/>
      <c r="F4588" s="22">
        <f>(0)</f>
      </c>
      <c r="G4588" s="22">
        <f>(C4588 * E4588 + C4588 * E4588 * F4588)</f>
      </c>
    </row>
    <row r="4589">
      <c r="A4589" s="6"/>
      <c r="B4589" s="15" t="s">
        <v>973</v>
      </c>
      <c r="C4589" s="23"/>
      <c r="D4589" s="23"/>
      <c r="E4589" s="23"/>
      <c r="F4589" s="23"/>
      <c r="G4589" s="23"/>
    </row>
    <row r="4590">
      <c r="A4590" s="5"/>
      <c r="B4590" s="16" t="s">
        <v>1898</v>
      </c>
      <c r="C4590" s="22">
        <f>(20)*(1)*(1)*(1)*(1 + (0))</f>
      </c>
      <c r="D4590" s="22" t="s">
        <v>24</v>
      </c>
      <c r="E4590" s="22"/>
      <c r="F4590" s="22">
        <f>(0)</f>
      </c>
      <c r="G4590" s="22">
        <f>(C4590 * E4590 + C4590 * E4590 * F4590)</f>
      </c>
    </row>
    <row r="4591">
      <c r="A4591" s="6"/>
      <c r="B4591" s="15" t="s">
        <v>980</v>
      </c>
      <c r="C4591" s="23"/>
      <c r="D4591" s="23"/>
      <c r="E4591" s="23"/>
      <c r="F4591" s="23"/>
      <c r="G4591" s="23"/>
    </row>
    <row r="4592">
      <c r="A4592" s="5"/>
      <c r="B4592" s="16" t="s">
        <v>1898</v>
      </c>
      <c r="C4592" s="22">
        <f>(11)*(1)*(1)*(1)*(1 + (0))</f>
      </c>
      <c r="D4592" s="22" t="s">
        <v>24</v>
      </c>
      <c r="E4592" s="22"/>
      <c r="F4592" s="22">
        <f>(0)</f>
      </c>
      <c r="G4592" s="22">
        <f>(C4592 * E4592 + C4592 * E4592 * F4592)</f>
      </c>
    </row>
    <row r="4593">
      <c r="A4593" s="6"/>
      <c r="B4593" s="15" t="s">
        <v>1739</v>
      </c>
      <c r="C4593" s="23"/>
      <c r="D4593" s="23"/>
      <c r="E4593" s="23"/>
      <c r="F4593" s="23"/>
      <c r="G4593" s="23"/>
    </row>
    <row r="4594">
      <c r="A4594" s="5"/>
      <c r="B4594" s="16" t="s">
        <v>1898</v>
      </c>
      <c r="C4594" s="22">
        <f>(53)*(1)*(1)*(1)*(1 + (0))</f>
      </c>
      <c r="D4594" s="22" t="s">
        <v>24</v>
      </c>
      <c r="E4594" s="22"/>
      <c r="F4594" s="22">
        <f>(0)</f>
      </c>
      <c r="G4594" s="22">
        <f>(C4594 * E4594 + C4594 * E4594 * F4594)</f>
      </c>
    </row>
    <row r="4595">
      <c r="A4595" s="6"/>
      <c r="B4595" s="15" t="s">
        <v>1740</v>
      </c>
      <c r="C4595" s="23"/>
      <c r="D4595" s="23"/>
      <c r="E4595" s="23"/>
      <c r="F4595" s="23"/>
      <c r="G4595" s="23"/>
    </row>
    <row r="4596">
      <c r="A4596" s="5"/>
      <c r="B4596" s="16" t="s">
        <v>1898</v>
      </c>
      <c r="C4596" s="22">
        <f>(16)*(1)*(1)*(1)*(1 + (0))</f>
      </c>
      <c r="D4596" s="22" t="s">
        <v>24</v>
      </c>
      <c r="E4596" s="22"/>
      <c r="F4596" s="22">
        <f>(0)</f>
      </c>
      <c r="G4596" s="22">
        <f>(C4596 * E4596 + C4596 * E4596 * F4596)</f>
      </c>
    </row>
    <row r="4597">
      <c r="A4597" s="6"/>
      <c r="B4597" s="15" t="s">
        <v>983</v>
      </c>
      <c r="C4597" s="23"/>
      <c r="D4597" s="23"/>
      <c r="E4597" s="23"/>
      <c r="F4597" s="23"/>
      <c r="G4597" s="23"/>
    </row>
    <row r="4598">
      <c r="A4598" s="5"/>
      <c r="B4598" s="16" t="s">
        <v>1898</v>
      </c>
      <c r="C4598" s="22">
        <f>(51)*(1)*(1)*(1)*(1 + (0))</f>
      </c>
      <c r="D4598" s="22" t="s">
        <v>24</v>
      </c>
      <c r="E4598" s="22"/>
      <c r="F4598" s="22">
        <f>(0)</f>
      </c>
      <c r="G4598" s="22">
        <f>(C4598 * E4598 + C4598 * E4598 * F4598)</f>
      </c>
    </row>
    <row r="4599">
      <c r="A4599" s="6"/>
      <c r="B4599" s="15" t="s">
        <v>2020</v>
      </c>
      <c r="C4599" s="23"/>
      <c r="D4599" s="23"/>
      <c r="E4599" s="23"/>
      <c r="F4599" s="23"/>
      <c r="G4599" s="23"/>
    </row>
    <row r="4600">
      <c r="A4600" s="5"/>
      <c r="B4600" s="16" t="s">
        <v>1898</v>
      </c>
      <c r="C4600" s="22">
        <f>(113)*(1)*(1)*(1)*(1 + (0))</f>
      </c>
      <c r="D4600" s="22" t="s">
        <v>24</v>
      </c>
      <c r="E4600" s="22"/>
      <c r="F4600" s="22">
        <f>(0)</f>
      </c>
      <c r="G4600" s="22">
        <f>(C4600 * E4600 + C4600 * E4600 * F4600)</f>
      </c>
    </row>
    <row r="4601">
      <c r="A4601" s="6"/>
      <c r="B4601" s="15" t="s">
        <v>2021</v>
      </c>
      <c r="C4601" s="23"/>
      <c r="D4601" s="23"/>
      <c r="E4601" s="23"/>
      <c r="F4601" s="23"/>
      <c r="G4601" s="23"/>
    </row>
    <row r="4602">
      <c r="A4602" s="5"/>
      <c r="B4602" s="16" t="s">
        <v>1898</v>
      </c>
      <c r="C4602" s="22">
        <f>(16)*(1)*(1)*(1)*(1 + (0))</f>
      </c>
      <c r="D4602" s="22" t="s">
        <v>24</v>
      </c>
      <c r="E4602" s="22"/>
      <c r="F4602" s="22">
        <f>(0)</f>
      </c>
      <c r="G4602" s="22">
        <f>(C4602 * E4602 + C4602 * E4602 * F4602)</f>
      </c>
    </row>
    <row r="4603">
      <c r="A4603" s="6"/>
      <c r="B4603" s="15" t="s">
        <v>2022</v>
      </c>
      <c r="C4603" s="23"/>
      <c r="D4603" s="23"/>
      <c r="E4603" s="23"/>
      <c r="F4603" s="23"/>
      <c r="G4603" s="23"/>
    </row>
    <row r="4604">
      <c r="A4604" s="5"/>
      <c r="B4604" s="16" t="s">
        <v>1898</v>
      </c>
      <c r="C4604" s="22">
        <f>(16)*(1)*(1)*(1)*(1 + (0))</f>
      </c>
      <c r="D4604" s="22" t="s">
        <v>24</v>
      </c>
      <c r="E4604" s="22"/>
      <c r="F4604" s="22">
        <f>(0)</f>
      </c>
      <c r="G4604" s="22">
        <f>(C4604 * E4604 + C4604 * E4604 * F4604)</f>
      </c>
    </row>
    <row r="4605">
      <c r="A4605" s="4"/>
      <c r="B4605" s="12" t="s">
        <v>955</v>
      </c>
      <c r="C4605" s="21"/>
      <c r="D4605" s="21"/>
      <c r="E4605" s="21"/>
      <c r="F4605" s="21"/>
      <c r="G4605" s="21"/>
    </row>
    <row r="4606">
      <c r="A4606" s="6"/>
      <c r="B4606" s="15" t="s">
        <v>987</v>
      </c>
      <c r="C4606" s="23"/>
      <c r="D4606" s="23"/>
      <c r="E4606" s="23"/>
      <c r="F4606" s="23"/>
      <c r="G4606" s="23"/>
    </row>
    <row r="4607">
      <c r="A4607" s="5"/>
      <c r="B4607" s="16" t="s">
        <v>1898</v>
      </c>
      <c r="C4607" s="22">
        <f>(3)*(1)*(1)*(1)*(1 + (0))</f>
      </c>
      <c r="D4607" s="22" t="s">
        <v>24</v>
      </c>
      <c r="E4607" s="22"/>
      <c r="F4607" s="22">
        <f>(0)</f>
      </c>
      <c r="G4607" s="22">
        <f>(C4607 * E4607 + C4607 * E4607 * F4607)</f>
      </c>
    </row>
    <row r="4608">
      <c r="A4608" s="6"/>
      <c r="B4608" s="15" t="s">
        <v>2023</v>
      </c>
      <c r="C4608" s="23"/>
      <c r="D4608" s="23"/>
      <c r="E4608" s="23"/>
      <c r="F4608" s="23"/>
      <c r="G4608" s="23"/>
    </row>
    <row r="4609">
      <c r="A4609" s="5"/>
      <c r="B4609" s="16" t="s">
        <v>1898</v>
      </c>
      <c r="C4609" s="22">
        <f>(10)*(1)*(1)*(1)*(1 + (0))</f>
      </c>
      <c r="D4609" s="22" t="s">
        <v>24</v>
      </c>
      <c r="E4609" s="22"/>
      <c r="F4609" s="22">
        <f>(0)</f>
      </c>
      <c r="G4609" s="22">
        <f>(C4609 * E4609 + C4609 * E4609 * F4609)</f>
      </c>
    </row>
    <row r="4610">
      <c r="A4610" s="3"/>
      <c r="B4610" s="11" t="s">
        <v>996</v>
      </c>
      <c r="C4610" s="20"/>
      <c r="D4610" s="20"/>
      <c r="E4610" s="20"/>
      <c r="F4610" s="20"/>
      <c r="G4610" s="20"/>
    </row>
    <row r="4611">
      <c r="A4611" s="4"/>
      <c r="B4611" s="12" t="s">
        <v>2024</v>
      </c>
      <c r="C4611" s="21"/>
      <c r="D4611" s="21"/>
      <c r="E4611" s="21"/>
      <c r="F4611" s="21"/>
      <c r="G4611" s="21"/>
    </row>
    <row r="4612">
      <c r="A4612" s="5"/>
      <c r="B4612" s="13" t="s">
        <v>1942</v>
      </c>
      <c r="C4612" s="22">
        <f>(3)*(1)*(1)*(1)*(1 + (0))</f>
      </c>
      <c r="D4612" s="22" t="s">
        <v>24</v>
      </c>
      <c r="E4612" s="22"/>
      <c r="F4612" s="22">
        <f>(0)</f>
      </c>
      <c r="G4612" s="22">
        <f>(C4612 * E4612 + C4612 * E4612 * F4612)</f>
      </c>
    </row>
    <row r="4613">
      <c r="A4613" s="3"/>
      <c r="B4613" s="11" t="s">
        <v>989</v>
      </c>
      <c r="C4613" s="20"/>
      <c r="D4613" s="20"/>
      <c r="E4613" s="20"/>
      <c r="F4613" s="20"/>
      <c r="G4613" s="20"/>
    </row>
    <row r="4614">
      <c r="A4614" s="4"/>
      <c r="B4614" s="12" t="s">
        <v>2025</v>
      </c>
      <c r="C4614" s="21"/>
      <c r="D4614" s="21"/>
      <c r="E4614" s="21"/>
      <c r="F4614" s="21"/>
      <c r="G4614" s="21"/>
    </row>
    <row r="4615">
      <c r="A4615" s="5"/>
      <c r="B4615" s="13" t="s">
        <v>1942</v>
      </c>
      <c r="C4615" s="22">
        <f>(8)*(1)*(1)*(1)*(1 + (0))</f>
      </c>
      <c r="D4615" s="22" t="s">
        <v>24</v>
      </c>
      <c r="E4615" s="22"/>
      <c r="F4615" s="22">
        <f>(0)</f>
      </c>
      <c r="G4615" s="22">
        <f>(C4615 * E4615 + C4615 * E4615 * F4615)</f>
      </c>
    </row>
    <row r="4616">
      <c r="A4616" s="3"/>
      <c r="B4616" s="11" t="s">
        <v>2026</v>
      </c>
      <c r="C4616" s="20"/>
      <c r="D4616" s="20"/>
      <c r="E4616" s="20"/>
      <c r="F4616" s="20"/>
      <c r="G4616" s="20"/>
    </row>
    <row r="4617">
      <c r="A4617" s="4"/>
      <c r="B4617" s="12" t="s">
        <v>2027</v>
      </c>
      <c r="C4617" s="21"/>
      <c r="D4617" s="21"/>
      <c r="E4617" s="21"/>
      <c r="F4617" s="21"/>
      <c r="G4617" s="21"/>
    </row>
    <row r="4618">
      <c r="A4618" s="5"/>
      <c r="B4618" s="13" t="s">
        <v>1942</v>
      </c>
      <c r="C4618" s="22">
        <f>(101)*(1)*(1)*(1)*(1 + (0))</f>
      </c>
      <c r="D4618" s="22" t="s">
        <v>24</v>
      </c>
      <c r="E4618" s="22"/>
      <c r="F4618" s="22">
        <f>(0)</f>
      </c>
      <c r="G4618" s="22">
        <f>(C4618 * E4618 + C4618 * E4618 * F4618)</f>
      </c>
    </row>
    <row r="4619">
      <c r="A4619" s="4"/>
      <c r="B4619" s="12" t="s">
        <v>2028</v>
      </c>
      <c r="C4619" s="21"/>
      <c r="D4619" s="21"/>
      <c r="E4619" s="21"/>
      <c r="F4619" s="21"/>
      <c r="G4619" s="21"/>
    </row>
    <row r="4620">
      <c r="A4620" s="5"/>
      <c r="B4620" s="13" t="s">
        <v>1942</v>
      </c>
      <c r="C4620" s="22">
        <f>(114)*(1)*(1)*(1)*(1 + (0))</f>
      </c>
      <c r="D4620" s="22" t="s">
        <v>24</v>
      </c>
      <c r="E4620" s="22"/>
      <c r="F4620" s="22">
        <f>(0)</f>
      </c>
      <c r="G4620" s="22">
        <f>(C4620 * E4620 + C4620 * E4620 * F4620)</f>
      </c>
    </row>
    <row r="4621">
      <c r="A4621" s="4"/>
      <c r="B4621" s="12" t="s">
        <v>999</v>
      </c>
      <c r="C4621" s="21"/>
      <c r="D4621" s="21"/>
      <c r="E4621" s="21"/>
      <c r="F4621" s="21"/>
      <c r="G4621" s="21"/>
    </row>
    <row r="4622">
      <c r="A4622" s="5"/>
      <c r="B4622" s="13" t="s">
        <v>30</v>
      </c>
      <c r="C4622" s="22">
        <f>(164)*(1)*(1)*(1)*(1 + (0))</f>
      </c>
      <c r="D4622" s="22" t="s">
        <v>24</v>
      </c>
      <c r="E4622" s="22"/>
      <c r="F4622" s="22">
        <f>(0)</f>
      </c>
      <c r="G4622" s="22">
        <f>(C4622 * E4622 + C4622 * E4622 * F4622)</f>
      </c>
    </row>
    <row r="4623">
      <c r="A4623" s="3"/>
      <c r="B4623" s="11" t="s">
        <v>2029</v>
      </c>
      <c r="C4623" s="20"/>
      <c r="D4623" s="20"/>
      <c r="E4623" s="20"/>
      <c r="F4623" s="20"/>
      <c r="G4623" s="20"/>
    </row>
    <row r="4624">
      <c r="A4624" s="4"/>
      <c r="B4624" s="12" t="s">
        <v>2030</v>
      </c>
      <c r="C4624" s="21"/>
      <c r="D4624" s="21"/>
      <c r="E4624" s="21"/>
      <c r="F4624" s="21"/>
      <c r="G4624" s="21"/>
    </row>
    <row r="4625">
      <c r="A4625" s="5"/>
      <c r="B4625" s="13" t="s">
        <v>1942</v>
      </c>
      <c r="C4625" s="22">
        <f>(190)*(1)*(1)*(1)*(1 + (0))</f>
      </c>
      <c r="D4625" s="22" t="s">
        <v>24</v>
      </c>
      <c r="E4625" s="22"/>
      <c r="F4625" s="22">
        <f>(0)</f>
      </c>
      <c r="G4625" s="22">
        <f>(C4625 * E4625 + C4625 * E4625 * F4625)</f>
      </c>
    </row>
    <row r="4626">
      <c r="A4626" s="3"/>
      <c r="B4626" s="11" t="s">
        <v>1749</v>
      </c>
      <c r="C4626" s="20"/>
      <c r="D4626" s="20"/>
      <c r="E4626" s="20"/>
      <c r="F4626" s="20"/>
      <c r="G4626" s="20"/>
    </row>
    <row r="4627">
      <c r="A4627" s="4"/>
      <c r="B4627" s="12" t="s">
        <v>1750</v>
      </c>
      <c r="C4627" s="21"/>
      <c r="D4627" s="21"/>
      <c r="E4627" s="21"/>
      <c r="F4627" s="21"/>
      <c r="G4627" s="21"/>
    </row>
    <row r="4628">
      <c r="A4628" s="5"/>
      <c r="B4628" s="13" t="s">
        <v>1942</v>
      </c>
      <c r="C4628" s="22">
        <f>(92)*(1)*(1)*(1)*(1 + (0))</f>
      </c>
      <c r="D4628" s="22" t="s">
        <v>153</v>
      </c>
      <c r="E4628" s="22"/>
      <c r="F4628" s="22">
        <f>(0)</f>
      </c>
      <c r="G4628" s="22">
        <f>(C4628 * E4628 + C4628 * E4628 * F4628)</f>
      </c>
    </row>
    <row r="4629">
      <c r="A4629" s="2"/>
      <c r="B4629" s="10" t="s">
        <v>1003</v>
      </c>
      <c r="C4629" s="19"/>
      <c r="D4629" s="19"/>
      <c r="E4629" s="19"/>
      <c r="F4629" s="19"/>
      <c r="G4629" s="19"/>
    </row>
    <row r="4630">
      <c r="A4630" s="3"/>
      <c r="B4630" s="11" t="s">
        <v>37</v>
      </c>
      <c r="C4630" s="20"/>
      <c r="D4630" s="20"/>
      <c r="E4630" s="20"/>
      <c r="F4630" s="20"/>
      <c r="G4630" s="20"/>
    </row>
    <row r="4631">
      <c r="A4631" s="5" t="s">
        <v>758</v>
      </c>
      <c r="B4631" s="14" t="s">
        <v>39</v>
      </c>
      <c r="C4631" s="22"/>
      <c r="D4631" s="22" t="s">
        <v>10</v>
      </c>
      <c r="E4631" s="22"/>
      <c r="F4631" s="22">
        <f>(0)</f>
      </c>
      <c r="G4631" s="22">
        <f>(C4631 * E4631 + C4631 * E4631 * F4631)</f>
      </c>
    </row>
    <row r="4632">
      <c r="A4632" s="5" t="s">
        <v>760</v>
      </c>
      <c r="B4632" s="14" t="s">
        <v>41</v>
      </c>
      <c r="C4632" s="22"/>
      <c r="D4632" s="22" t="s">
        <v>10</v>
      </c>
      <c r="E4632" s="22"/>
      <c r="F4632" s="22">
        <f>(0)</f>
      </c>
      <c r="G4632" s="22">
        <f>(C4632 * E4632 + C4632 * E4632 * F4632)</f>
      </c>
    </row>
    <row r="4633">
      <c r="A4633" s="3"/>
      <c r="B4633" s="11" t="s">
        <v>44</v>
      </c>
      <c r="C4633" s="20"/>
      <c r="D4633" s="20"/>
      <c r="E4633" s="20"/>
      <c r="F4633" s="20"/>
      <c r="G4633" s="20"/>
    </row>
    <row r="4634">
      <c r="A4634" s="4"/>
      <c r="B4634" s="12" t="s">
        <v>45</v>
      </c>
      <c r="C4634" s="21"/>
      <c r="D4634" s="21"/>
      <c r="E4634" s="21"/>
      <c r="F4634" s="21"/>
      <c r="G4634" s="21"/>
    </row>
    <row r="4635">
      <c r="A4635" s="5" t="s">
        <v>765</v>
      </c>
      <c r="B4635" s="13" t="s">
        <v>898</v>
      </c>
      <c r="C4635" s="22"/>
      <c r="D4635" s="22" t="s">
        <v>10</v>
      </c>
      <c r="E4635" s="22"/>
      <c r="F4635" s="22">
        <f>(0)</f>
      </c>
      <c r="G4635" s="22">
        <f>(C4635 * E4635 + C4635 * E4635 * F4635)</f>
      </c>
    </row>
    <row r="4636">
      <c r="A4636" s="5" t="s">
        <v>766</v>
      </c>
      <c r="B4636" s="13" t="s">
        <v>899</v>
      </c>
      <c r="C4636" s="22"/>
      <c r="D4636" s="22" t="s">
        <v>10</v>
      </c>
      <c r="E4636" s="22"/>
      <c r="F4636" s="22">
        <f>(0)</f>
      </c>
      <c r="G4636" s="22">
        <f>(C4636 * E4636 + C4636 * E4636 * F4636)</f>
      </c>
    </row>
    <row r="4637">
      <c r="A4637" s="5" t="s">
        <v>768</v>
      </c>
      <c r="B4637" s="13" t="s">
        <v>767</v>
      </c>
      <c r="C4637" s="22"/>
      <c r="D4637" s="22" t="s">
        <v>10</v>
      </c>
      <c r="E4637" s="22"/>
      <c r="F4637" s="22">
        <f>(0)</f>
      </c>
      <c r="G4637" s="22">
        <f>(C4637 * E4637 + C4637 * E4637 * F4637)</f>
      </c>
    </row>
    <row r="4638">
      <c r="A4638" s="5" t="s">
        <v>770</v>
      </c>
      <c r="B4638" s="13" t="s">
        <v>900</v>
      </c>
      <c r="C4638" s="22"/>
      <c r="D4638" s="22" t="s">
        <v>10</v>
      </c>
      <c r="E4638" s="22"/>
      <c r="F4638" s="22">
        <f>(0)</f>
      </c>
      <c r="G4638" s="22">
        <f>(C4638 * E4638 + C4638 * E4638 * F4638)</f>
      </c>
    </row>
    <row r="4639">
      <c r="A4639" s="5" t="s">
        <v>794</v>
      </c>
      <c r="B4639" s="13" t="s">
        <v>901</v>
      </c>
      <c r="C4639" s="22"/>
      <c r="D4639" s="22" t="s">
        <v>10</v>
      </c>
      <c r="E4639" s="22"/>
      <c r="F4639" s="22">
        <f>(0)</f>
      </c>
      <c r="G4639" s="22">
        <f>(C4639 * E4639 + C4639 * E4639 * F4639)</f>
      </c>
    </row>
    <row r="4640">
      <c r="A4640" s="5" t="s">
        <v>795</v>
      </c>
      <c r="B4640" s="13" t="s">
        <v>123</v>
      </c>
      <c r="C4640" s="22"/>
      <c r="D4640" s="22" t="s">
        <v>10</v>
      </c>
      <c r="E4640" s="22"/>
      <c r="F4640" s="22">
        <f>(0)</f>
      </c>
      <c r="G4640" s="22">
        <f>(C4640 * E4640 + C4640 * E4640 * F4640)</f>
      </c>
    </row>
    <row r="4641">
      <c r="A4641" s="3"/>
      <c r="B4641" s="11" t="s">
        <v>42</v>
      </c>
      <c r="C4641" s="20"/>
      <c r="D4641" s="20"/>
      <c r="E4641" s="20"/>
      <c r="F4641" s="20"/>
      <c r="G4641" s="20"/>
    </row>
    <row r="4642">
      <c r="A4642" s="5"/>
      <c r="B4642" s="14" t="s">
        <v>902</v>
      </c>
      <c r="C4642" s="22"/>
      <c r="D4642" s="22" t="s">
        <v>10</v>
      </c>
      <c r="E4642" s="22"/>
      <c r="F4642" s="22">
        <f>(0)</f>
      </c>
      <c r="G4642" s="22">
        <f>(C4642 * E4642 + C4642 * E4642 * F4642)</f>
      </c>
    </row>
    <row r="4643">
      <c r="A4643" s="5"/>
      <c r="B4643" s="14" t="s">
        <v>762</v>
      </c>
      <c r="C4643" s="22"/>
      <c r="D4643" s="22" t="s">
        <v>10</v>
      </c>
      <c r="E4643" s="22"/>
      <c r="F4643" s="22">
        <f>(0)</f>
      </c>
      <c r="G4643" s="22">
        <f>(C4643 * E4643 + C4643 * E4643 * F4643)</f>
      </c>
    </row>
    <row r="4644">
      <c r="A4644" s="5"/>
      <c r="B4644" s="14" t="s">
        <v>856</v>
      </c>
      <c r="C4644" s="22"/>
      <c r="D4644" s="22" t="s">
        <v>10</v>
      </c>
      <c r="E4644" s="22"/>
      <c r="F4644" s="22">
        <f>(0)</f>
      </c>
      <c r="G4644" s="22">
        <f>(C4644 * E4644 + C4644 * E4644 * F4644)</f>
      </c>
    </row>
    <row r="4645">
      <c r="A4645" s="3"/>
      <c r="B4645" s="11" t="s">
        <v>68</v>
      </c>
      <c r="C4645" s="20"/>
      <c r="D4645" s="20"/>
      <c r="E4645" s="20"/>
      <c r="F4645" s="20"/>
      <c r="G4645" s="20"/>
    </row>
    <row r="4646">
      <c r="A4646" s="5" t="s">
        <v>797</v>
      </c>
      <c r="B4646" s="14" t="s">
        <v>903</v>
      </c>
      <c r="C4646" s="22">
        <f>(1)*(1)*(1)*(1)*(1 + (0))</f>
      </c>
      <c r="D4646" s="22" t="s">
        <v>71</v>
      </c>
      <c r="E4646" s="22"/>
      <c r="F4646" s="22">
        <f>(0)</f>
      </c>
      <c r="G4646" s="22">
        <f>(C4646 * E4646 + C4646 * E4646 * F4646)</f>
      </c>
    </row>
    <row r="4647">
      <c r="A4647" s="5" t="s">
        <v>799</v>
      </c>
      <c r="B4647" s="14" t="s">
        <v>904</v>
      </c>
      <c r="C4647" s="22">
        <f>(1)*(1)*(1)*(1)*(1 + (0))</f>
      </c>
      <c r="D4647" s="22" t="s">
        <v>71</v>
      </c>
      <c r="E4647" s="22"/>
      <c r="F4647" s="22">
        <f>(0)</f>
      </c>
      <c r="G4647" s="22">
        <f>(C4647 * E4647 + C4647 * E4647 * F4647)</f>
      </c>
    </row>
    <row r="4648">
      <c r="A4648" s="5" t="s">
        <v>801</v>
      </c>
      <c r="B4648" s="14" t="s">
        <v>77</v>
      </c>
      <c r="C4648" s="22">
        <f>(1)*(1)*(1)*(1)*(1 + (0))</f>
      </c>
      <c r="D4648" s="22" t="s">
        <v>71</v>
      </c>
      <c r="E4648" s="22"/>
      <c r="F4648" s="22">
        <f>(0)</f>
      </c>
      <c r="G4648" s="22">
        <f>(C4648 * E4648 + C4648 * E4648 * F4648)</f>
      </c>
    </row>
    <row r="4649">
      <c r="A4649" s="5" t="s">
        <v>905</v>
      </c>
      <c r="B4649" s="14" t="s">
        <v>906</v>
      </c>
      <c r="C4649" s="22">
        <f>(1)*(1)*(1)*(1)*(1 + (0))</f>
      </c>
      <c r="D4649" s="22" t="s">
        <v>71</v>
      </c>
      <c r="E4649" s="22"/>
      <c r="F4649" s="22">
        <f>(0)</f>
      </c>
      <c r="G4649" s="22">
        <f>(C4649 * E4649 + C4649 * E4649 * F4649)</f>
      </c>
    </row>
    <row r="4650">
      <c r="A4650" s="5" t="s">
        <v>907</v>
      </c>
      <c r="B4650" s="14" t="s">
        <v>447</v>
      </c>
      <c r="C4650" s="22">
        <f>(1)*(1)*(1)*(1)*(1 + (0))</f>
      </c>
      <c r="D4650" s="22" t="s">
        <v>71</v>
      </c>
      <c r="E4650" s="22"/>
      <c r="F4650" s="22">
        <f>(0)</f>
      </c>
      <c r="G4650" s="22">
        <f>(C4650 * E4650 + C4650 * E4650 * F4650)</f>
      </c>
    </row>
    <row r="4651">
      <c r="A4651" s="5" t="s">
        <v>908</v>
      </c>
      <c r="B4651" s="14" t="s">
        <v>798</v>
      </c>
      <c r="C4651" s="22">
        <f>(1)*(1)*(1)*(1)*(1 + (0))</f>
      </c>
      <c r="D4651" s="22" t="s">
        <v>71</v>
      </c>
      <c r="E4651" s="22"/>
      <c r="F4651" s="22">
        <f>(0)</f>
      </c>
      <c r="G4651" s="22">
        <f>(C4651 * E4651 + C4651 * E4651 * F4651)</f>
      </c>
    </row>
    <row r="4652">
      <c r="A4652" s="5" t="s">
        <v>909</v>
      </c>
      <c r="B4652" s="14" t="s">
        <v>910</v>
      </c>
      <c r="C4652" s="22">
        <f>(1)*(1)*(1)*(1)*(1 + (0))</f>
      </c>
      <c r="D4652" s="22" t="s">
        <v>71</v>
      </c>
      <c r="E4652" s="22"/>
      <c r="F4652" s="22">
        <f>(0)</f>
      </c>
      <c r="G4652" s="22">
        <f>(C4652 * E4652 + C4652 * E4652 * F4652)</f>
      </c>
    </row>
    <row r="4653">
      <c r="A4653" s="5" t="s">
        <v>911</v>
      </c>
      <c r="B4653" s="14" t="s">
        <v>912</v>
      </c>
      <c r="C4653" s="22">
        <f>(1)*(1)*(1)*(1)*(1 + (0))</f>
      </c>
      <c r="D4653" s="22" t="s">
        <v>71</v>
      </c>
      <c r="E4653" s="22"/>
      <c r="F4653" s="22">
        <f>(0)</f>
      </c>
      <c r="G4653" s="22">
        <f>(C4653 * E4653 + C4653 * E4653 * F4653)</f>
      </c>
    </row>
    <row r="4654">
      <c r="A4654" s="5" t="s">
        <v>913</v>
      </c>
      <c r="B4654" s="14" t="s">
        <v>665</v>
      </c>
      <c r="C4654" s="22">
        <f>(1)*(1)*(1)*(1)*(1 + (0))</f>
      </c>
      <c r="D4654" s="22" t="s">
        <v>71</v>
      </c>
      <c r="E4654" s="22"/>
      <c r="F4654" s="22">
        <f>(0)</f>
      </c>
      <c r="G4654" s="22">
        <f>(C4654 * E4654 + C4654 * E4654 * F4654)</f>
      </c>
    </row>
    <row r="4655">
      <c r="A4655" s="3"/>
      <c r="B4655" s="11" t="s">
        <v>924</v>
      </c>
      <c r="C4655" s="20"/>
      <c r="D4655" s="20"/>
      <c r="E4655" s="20"/>
      <c r="F4655" s="20"/>
      <c r="G4655" s="20"/>
    </row>
    <row r="4656">
      <c r="A4656" s="4"/>
      <c r="B4656" s="12" t="s">
        <v>1710</v>
      </c>
      <c r="C4656" s="21"/>
      <c r="D4656" s="21"/>
      <c r="E4656" s="21"/>
      <c r="F4656" s="21"/>
      <c r="G4656" s="21"/>
    </row>
    <row r="4657">
      <c r="A4657" s="6"/>
      <c r="B4657" s="15" t="s">
        <v>2031</v>
      </c>
      <c r="C4657" s="23"/>
      <c r="D4657" s="23"/>
      <c r="E4657" s="23"/>
      <c r="F4657" s="23"/>
      <c r="G4657" s="23"/>
    </row>
    <row r="4658">
      <c r="A4658" s="5"/>
      <c r="B4658" s="16" t="s">
        <v>2032</v>
      </c>
      <c r="C4658" s="22">
        <f>(1)*(1)*(1)*(1)*(1 + (0))</f>
      </c>
      <c r="D4658" s="22" t="s">
        <v>162</v>
      </c>
      <c r="E4658" s="22"/>
      <c r="F4658" s="22">
        <f>(0)</f>
      </c>
      <c r="G4658" s="22">
        <f>(C4658 * E4658 + C4658 * E4658 * F4658)</f>
      </c>
    </row>
    <row r="4659">
      <c r="A4659" s="2"/>
      <c r="B4659" s="10" t="s">
        <v>1006</v>
      </c>
      <c r="C4659" s="19"/>
      <c r="D4659" s="19"/>
      <c r="E4659" s="19"/>
      <c r="F4659" s="19"/>
      <c r="G4659" s="19"/>
    </row>
    <row r="4660">
      <c r="A4660" s="3"/>
      <c r="B4660" s="11" t="s">
        <v>37</v>
      </c>
      <c r="C4660" s="20"/>
      <c r="D4660" s="20"/>
      <c r="E4660" s="20"/>
      <c r="F4660" s="20"/>
      <c r="G4660" s="20"/>
    </row>
    <row r="4661">
      <c r="A4661" s="5" t="s">
        <v>1007</v>
      </c>
      <c r="B4661" s="14" t="s">
        <v>39</v>
      </c>
      <c r="C4661" s="22"/>
      <c r="D4661" s="22" t="s">
        <v>10</v>
      </c>
      <c r="E4661" s="22"/>
      <c r="F4661" s="22">
        <f>(0)</f>
      </c>
      <c r="G4661" s="22">
        <f>(C4661 * E4661 + C4661 * E4661 * F4661)</f>
      </c>
    </row>
    <row r="4662">
      <c r="A4662" s="5" t="s">
        <v>1008</v>
      </c>
      <c r="B4662" s="14" t="s">
        <v>41</v>
      </c>
      <c r="C4662" s="22"/>
      <c r="D4662" s="22" t="s">
        <v>10</v>
      </c>
      <c r="E4662" s="22"/>
      <c r="F4662" s="22">
        <f>(0)</f>
      </c>
      <c r="G4662" s="22">
        <f>(C4662 * E4662 + C4662 * E4662 * F4662)</f>
      </c>
    </row>
    <row r="4663">
      <c r="A4663" s="3"/>
      <c r="B4663" s="11" t="s">
        <v>42</v>
      </c>
      <c r="C4663" s="20"/>
      <c r="D4663" s="20"/>
      <c r="E4663" s="20"/>
      <c r="F4663" s="20"/>
      <c r="G4663" s="20"/>
    </row>
    <row r="4664">
      <c r="A4664" s="5"/>
      <c r="B4664" s="14" t="s">
        <v>1009</v>
      </c>
      <c r="C4664" s="22"/>
      <c r="D4664" s="22" t="s">
        <v>10</v>
      </c>
      <c r="E4664" s="22"/>
      <c r="F4664" s="22">
        <f>(0)</f>
      </c>
      <c r="G4664" s="22">
        <f>(C4664 * E4664 + C4664 * E4664 * F4664)</f>
      </c>
    </row>
    <row r="4665">
      <c r="A4665" s="5"/>
      <c r="B4665" s="14" t="s">
        <v>1010</v>
      </c>
      <c r="C4665" s="22"/>
      <c r="D4665" s="22" t="s">
        <v>10</v>
      </c>
      <c r="E4665" s="22"/>
      <c r="F4665" s="22">
        <f>(0)</f>
      </c>
      <c r="G4665" s="22">
        <f>(C4665 * E4665 + C4665 * E4665 * F4665)</f>
      </c>
    </row>
    <row r="4666">
      <c r="A4666" s="5"/>
      <c r="B4666" s="14" t="s">
        <v>1011</v>
      </c>
      <c r="C4666" s="22"/>
      <c r="D4666" s="22" t="s">
        <v>10</v>
      </c>
      <c r="E4666" s="22"/>
      <c r="F4666" s="22">
        <f>(0)</f>
      </c>
      <c r="G4666" s="22">
        <f>(C4666 * E4666 + C4666 * E4666 * F4666)</f>
      </c>
    </row>
    <row r="4667">
      <c r="A4667" s="3"/>
      <c r="B4667" s="11" t="s">
        <v>44</v>
      </c>
      <c r="C4667" s="20"/>
      <c r="D4667" s="20"/>
      <c r="E4667" s="20"/>
      <c r="F4667" s="20"/>
      <c r="G4667" s="20"/>
    </row>
    <row r="4668">
      <c r="A4668" s="4"/>
      <c r="B4668" s="12" t="s">
        <v>45</v>
      </c>
      <c r="C4668" s="21"/>
      <c r="D4668" s="21"/>
      <c r="E4668" s="21"/>
      <c r="F4668" s="21"/>
      <c r="G4668" s="21"/>
    </row>
    <row r="4669">
      <c r="A4669" s="5" t="s">
        <v>1012</v>
      </c>
      <c r="B4669" s="13" t="s">
        <v>1013</v>
      </c>
      <c r="C4669" s="22"/>
      <c r="D4669" s="22" t="s">
        <v>10</v>
      </c>
      <c r="E4669" s="22"/>
      <c r="F4669" s="22">
        <f>(0)</f>
      </c>
      <c r="G4669" s="22">
        <f>(C4669 * E4669 + C4669 * E4669 * F4669)</f>
      </c>
    </row>
    <row r="4670">
      <c r="A4670" s="5" t="s">
        <v>1014</v>
      </c>
      <c r="B4670" s="13" t="s">
        <v>1015</v>
      </c>
      <c r="C4670" s="22"/>
      <c r="D4670" s="22" t="s">
        <v>10</v>
      </c>
      <c r="E4670" s="22"/>
      <c r="F4670" s="22">
        <f>(0)</f>
      </c>
      <c r="G4670" s="22">
        <f>(C4670 * E4670 + C4670 * E4670 * F4670)</f>
      </c>
    </row>
    <row r="4671">
      <c r="A4671" s="5" t="s">
        <v>1016</v>
      </c>
      <c r="B4671" s="13" t="s">
        <v>1017</v>
      </c>
      <c r="C4671" s="22"/>
      <c r="D4671" s="22" t="s">
        <v>10</v>
      </c>
      <c r="E4671" s="22"/>
      <c r="F4671" s="22">
        <f>(0)</f>
      </c>
      <c r="G4671" s="22">
        <f>(C4671 * E4671 + C4671 * E4671 * F4671)</f>
      </c>
    </row>
    <row r="4672">
      <c r="A4672" s="5" t="s">
        <v>1018</v>
      </c>
      <c r="B4672" s="13" t="s">
        <v>784</v>
      </c>
      <c r="C4672" s="22"/>
      <c r="D4672" s="22" t="s">
        <v>10</v>
      </c>
      <c r="E4672" s="22"/>
      <c r="F4672" s="22">
        <f>(0)</f>
      </c>
      <c r="G4672" s="22">
        <f>(C4672 * E4672 + C4672 * E4672 * F4672)</f>
      </c>
    </row>
    <row r="4673">
      <c r="A4673" s="5" t="s">
        <v>1019</v>
      </c>
      <c r="B4673" s="13" t="s">
        <v>123</v>
      </c>
      <c r="C4673" s="22"/>
      <c r="D4673" s="22" t="s">
        <v>10</v>
      </c>
      <c r="E4673" s="22"/>
      <c r="F4673" s="22">
        <f>(0)</f>
      </c>
      <c r="G4673" s="22">
        <f>(C4673 * E4673 + C4673 * E4673 * F4673)</f>
      </c>
    </row>
    <row r="4674">
      <c r="A4674" s="3"/>
      <c r="B4674" s="11" t="s">
        <v>68</v>
      </c>
      <c r="C4674" s="20"/>
      <c r="D4674" s="20"/>
      <c r="E4674" s="20"/>
      <c r="F4674" s="20"/>
      <c r="G4674" s="20"/>
    </row>
    <row r="4675">
      <c r="A4675" s="5" t="s">
        <v>1020</v>
      </c>
      <c r="B4675" s="14" t="s">
        <v>230</v>
      </c>
      <c r="C4675" s="22">
        <f>(1)*(1)*(1)*(1)*(1 + (0))</f>
      </c>
      <c r="D4675" s="22" t="s">
        <v>71</v>
      </c>
      <c r="E4675" s="22"/>
      <c r="F4675" s="22">
        <f>(0)</f>
      </c>
      <c r="G4675" s="22">
        <f>(C4675 * E4675 + C4675 * E4675 * F4675)</f>
      </c>
    </row>
    <row r="4676">
      <c r="A4676" s="5" t="s">
        <v>1021</v>
      </c>
      <c r="B4676" s="14" t="s">
        <v>1022</v>
      </c>
      <c r="C4676" s="22">
        <f>(1)*(1)*(1)*(1)*(1 + (0))</f>
      </c>
      <c r="D4676" s="22" t="s">
        <v>71</v>
      </c>
      <c r="E4676" s="22"/>
      <c r="F4676" s="22">
        <f>(0)</f>
      </c>
      <c r="G4676" s="22">
        <f>(C4676 * E4676 + C4676 * E4676 * F4676)</f>
      </c>
    </row>
    <row r="4677">
      <c r="A4677" s="5" t="s">
        <v>1023</v>
      </c>
      <c r="B4677" s="14" t="s">
        <v>812</v>
      </c>
      <c r="C4677" s="22">
        <f>(1)*(1)*(1)*(1)*(1 + (0))</f>
      </c>
      <c r="D4677" s="22" t="s">
        <v>71</v>
      </c>
      <c r="E4677" s="22"/>
      <c r="F4677" s="22">
        <f>(0)</f>
      </c>
      <c r="G4677" s="22">
        <f>(C4677 * E4677 + C4677 * E4677 * F4677)</f>
      </c>
    </row>
    <row r="4678">
      <c r="A4678" s="5" t="s">
        <v>1024</v>
      </c>
      <c r="B4678" s="14" t="s">
        <v>814</v>
      </c>
      <c r="C4678" s="22">
        <f>(1)*(1)*(1)*(1)*(1 + (0))</f>
      </c>
      <c r="D4678" s="22" t="s">
        <v>71</v>
      </c>
      <c r="E4678" s="22"/>
      <c r="F4678" s="22">
        <f>(0)</f>
      </c>
      <c r="G4678" s="22">
        <f>(C4678 * E4678 + C4678 * E4678 * F4678)</f>
      </c>
    </row>
    <row r="4679">
      <c r="A4679" s="5" t="s">
        <v>1025</v>
      </c>
      <c r="B4679" s="14" t="s">
        <v>798</v>
      </c>
      <c r="C4679" s="22">
        <f>(1)*(1)*(1)*(1)*(1 + (0))</f>
      </c>
      <c r="D4679" s="22" t="s">
        <v>71</v>
      </c>
      <c r="E4679" s="22"/>
      <c r="F4679" s="22">
        <f>(0)</f>
      </c>
      <c r="G4679" s="22">
        <f>(C4679 * E4679 + C4679 * E4679 * F4679)</f>
      </c>
    </row>
    <row r="4680">
      <c r="A4680" s="5" t="s">
        <v>1026</v>
      </c>
      <c r="B4680" s="14" t="s">
        <v>805</v>
      </c>
      <c r="C4680" s="22">
        <f>(1)*(1)*(1)*(1)*(1 + (0))</f>
      </c>
      <c r="D4680" s="22" t="s">
        <v>71</v>
      </c>
      <c r="E4680" s="22"/>
      <c r="F4680" s="22">
        <f>(0)</f>
      </c>
      <c r="G4680" s="22">
        <f>(C4680 * E4680 + C4680 * E4680 * F4680)</f>
      </c>
    </row>
    <row r="4681">
      <c r="A4681" s="5" t="s">
        <v>1027</v>
      </c>
      <c r="B4681" s="14" t="s">
        <v>800</v>
      </c>
      <c r="C4681" s="22">
        <f>(1)*(1)*(1)*(1)*(1 + (0))</f>
      </c>
      <c r="D4681" s="22" t="s">
        <v>71</v>
      </c>
      <c r="E4681" s="22"/>
      <c r="F4681" s="22">
        <f>(0)</f>
      </c>
      <c r="G4681" s="22">
        <f>(C4681 * E4681 + C4681 * E4681 * F4681)</f>
      </c>
    </row>
    <row r="4682">
      <c r="A4682" s="5" t="s">
        <v>1028</v>
      </c>
      <c r="B4682" s="14" t="s">
        <v>1029</v>
      </c>
      <c r="C4682" s="22">
        <f>(1)*(1)*(1)*(1)*(1 + (0))</f>
      </c>
      <c r="D4682" s="22" t="s">
        <v>71</v>
      </c>
      <c r="E4682" s="22"/>
      <c r="F4682" s="22">
        <f>(0)</f>
      </c>
      <c r="G4682" s="22">
        <f>(C4682 * E4682 + C4682 * E4682 * F4682)</f>
      </c>
    </row>
    <row r="4683">
      <c r="A4683" s="5" t="s">
        <v>1030</v>
      </c>
      <c r="B4683" s="14" t="s">
        <v>1031</v>
      </c>
      <c r="C4683" s="22">
        <f>(1)*(1)*(1)*(1)*(1 + (0))</f>
      </c>
      <c r="D4683" s="22" t="s">
        <v>71</v>
      </c>
      <c r="E4683" s="22"/>
      <c r="F4683" s="22">
        <f>(0)</f>
      </c>
      <c r="G4683" s="22">
        <f>(C4683 * E4683 + C4683 * E4683 * F4683)</f>
      </c>
    </row>
    <row r="4684">
      <c r="A4684" s="3"/>
      <c r="B4684" s="11" t="s">
        <v>106</v>
      </c>
      <c r="C4684" s="20"/>
      <c r="D4684" s="20"/>
      <c r="E4684" s="20"/>
      <c r="F4684" s="20"/>
      <c r="G4684" s="20"/>
    </row>
    <row r="4685">
      <c r="A4685" s="5"/>
      <c r="B4685" s="14" t="s">
        <v>1751</v>
      </c>
      <c r="C4685" s="22"/>
      <c r="D4685" s="22" t="s">
        <v>10</v>
      </c>
      <c r="E4685" s="22"/>
      <c r="F4685" s="22">
        <f>(0)</f>
      </c>
      <c r="G4685" s="22">
        <f>(C4685 * E4685 + C4685 * E4685 * F4685)</f>
      </c>
    </row>
    <row r="4686">
      <c r="A4686" s="3"/>
      <c r="B4686" s="11" t="s">
        <v>1033</v>
      </c>
      <c r="C4686" s="20"/>
      <c r="D4686" s="20"/>
      <c r="E4686" s="20"/>
      <c r="F4686" s="20"/>
      <c r="G4686" s="20"/>
    </row>
    <row r="4687">
      <c r="A4687" s="4"/>
      <c r="B4687" s="12" t="s">
        <v>1034</v>
      </c>
      <c r="C4687" s="21"/>
      <c r="D4687" s="21"/>
      <c r="E4687" s="21"/>
      <c r="F4687" s="21"/>
      <c r="G4687" s="21"/>
    </row>
    <row r="4688">
      <c r="A4688" s="6"/>
      <c r="B4688" s="15" t="s">
        <v>1035</v>
      </c>
      <c r="C4688" s="23"/>
      <c r="D4688" s="23"/>
      <c r="E4688" s="23"/>
      <c r="F4688" s="23"/>
      <c r="G4688" s="23"/>
    </row>
    <row r="4689">
      <c r="A4689" s="5"/>
      <c r="B4689" s="16" t="s">
        <v>30</v>
      </c>
      <c r="C4689" s="22">
        <f>(87)*(1)*(1)*(1)*(1 + (0))</f>
      </c>
      <c r="D4689" s="22" t="s">
        <v>24</v>
      </c>
      <c r="E4689" s="22"/>
      <c r="F4689" s="22">
        <f>(0)</f>
      </c>
      <c r="G4689" s="22">
        <f>(C4689 * E4689 + C4689 * E4689 * F4689)</f>
      </c>
    </row>
    <row r="4690">
      <c r="A4690" s="6"/>
      <c r="B4690" s="15" t="s">
        <v>1036</v>
      </c>
      <c r="C4690" s="23"/>
      <c r="D4690" s="23"/>
      <c r="E4690" s="23"/>
      <c r="F4690" s="23"/>
      <c r="G4690" s="23"/>
    </row>
    <row r="4691">
      <c r="A4691" s="5"/>
      <c r="B4691" s="16" t="s">
        <v>30</v>
      </c>
      <c r="C4691" s="22">
        <f>(53)*(1)*(1)*(1)*(1 + (0))</f>
      </c>
      <c r="D4691" s="22" t="s">
        <v>24</v>
      </c>
      <c r="E4691" s="22"/>
      <c r="F4691" s="22">
        <f>(0)</f>
      </c>
      <c r="G4691" s="22">
        <f>(C4691 * E4691 + C4691 * E4691 * F4691)</f>
      </c>
    </row>
    <row r="4692">
      <c r="A4692" s="6"/>
      <c r="B4692" s="15" t="s">
        <v>2033</v>
      </c>
      <c r="C4692" s="23"/>
      <c r="D4692" s="23"/>
      <c r="E4692" s="23"/>
      <c r="F4692" s="23"/>
      <c r="G4692" s="23"/>
    </row>
    <row r="4693">
      <c r="A4693" s="5"/>
      <c r="B4693" s="16" t="s">
        <v>30</v>
      </c>
      <c r="C4693" s="22">
        <f>(62)*(1)*(1)*(1)*(1 + (0))</f>
      </c>
      <c r="D4693" s="22" t="s">
        <v>24</v>
      </c>
      <c r="E4693" s="22"/>
      <c r="F4693" s="22">
        <f>(0)</f>
      </c>
      <c r="G4693" s="22">
        <f>(C4693 * E4693 + C4693 * E4693 * F4693)</f>
      </c>
    </row>
    <row r="4694">
      <c r="A4694" s="6"/>
      <c r="B4694" s="15" t="s">
        <v>1037</v>
      </c>
      <c r="C4694" s="23"/>
      <c r="D4694" s="23"/>
      <c r="E4694" s="23"/>
      <c r="F4694" s="23"/>
      <c r="G4694" s="23"/>
    </row>
    <row r="4695">
      <c r="A4695" s="5"/>
      <c r="B4695" s="16" t="s">
        <v>30</v>
      </c>
      <c r="C4695" s="22">
        <f>(9)*(1)*(1)*(1)*(1 + (0))</f>
      </c>
      <c r="D4695" s="22" t="s">
        <v>24</v>
      </c>
      <c r="E4695" s="22"/>
      <c r="F4695" s="22">
        <f>(0)</f>
      </c>
      <c r="G4695" s="22">
        <f>(C4695 * E4695 + C4695 * E4695 * F4695)</f>
      </c>
    </row>
    <row r="4696">
      <c r="A4696" s="6"/>
      <c r="B4696" s="15" t="s">
        <v>1039</v>
      </c>
      <c r="C4696" s="23"/>
      <c r="D4696" s="23"/>
      <c r="E4696" s="23"/>
      <c r="F4696" s="23"/>
      <c r="G4696" s="23"/>
    </row>
    <row r="4697">
      <c r="A4697" s="5"/>
      <c r="B4697" s="16" t="s">
        <v>30</v>
      </c>
      <c r="C4697" s="22">
        <f>(81)*(1)*(1)*(1)*(1 + (0))</f>
      </c>
      <c r="D4697" s="22" t="s">
        <v>24</v>
      </c>
      <c r="E4697" s="22"/>
      <c r="F4697" s="22">
        <f>(0)</f>
      </c>
      <c r="G4697" s="22">
        <f>(C4697 * E4697 + C4697 * E4697 * F4697)</f>
      </c>
    </row>
    <row r="4698">
      <c r="A4698" s="6"/>
      <c r="B4698" s="15" t="s">
        <v>1041</v>
      </c>
      <c r="C4698" s="23"/>
      <c r="D4698" s="23"/>
      <c r="E4698" s="23"/>
      <c r="F4698" s="23"/>
      <c r="G4698" s="23"/>
    </row>
    <row r="4699">
      <c r="A4699" s="5"/>
      <c r="B4699" s="16" t="s">
        <v>30</v>
      </c>
      <c r="C4699" s="22">
        <f>(104)*(1)*(1)*(1)*(1 + (0))</f>
      </c>
      <c r="D4699" s="22" t="s">
        <v>24</v>
      </c>
      <c r="E4699" s="22"/>
      <c r="F4699" s="22">
        <f>(0)</f>
      </c>
      <c r="G4699" s="22">
        <f>(C4699 * E4699 + C4699 * E4699 * F4699)</f>
      </c>
    </row>
    <row r="4700">
      <c r="A4700" s="4"/>
      <c r="B4700" s="12" t="s">
        <v>1042</v>
      </c>
      <c r="C4700" s="21"/>
      <c r="D4700" s="21"/>
      <c r="E4700" s="21"/>
      <c r="F4700" s="21"/>
      <c r="G4700" s="21"/>
    </row>
    <row r="4701">
      <c r="A4701" s="6"/>
      <c r="B4701" s="15" t="s">
        <v>1035</v>
      </c>
      <c r="C4701" s="23"/>
      <c r="D4701" s="23"/>
      <c r="E4701" s="23"/>
      <c r="F4701" s="23"/>
      <c r="G4701" s="23"/>
    </row>
    <row r="4702">
      <c r="A4702" s="5"/>
      <c r="B4702" s="16" t="s">
        <v>30</v>
      </c>
      <c r="C4702" s="22">
        <f>(61)*(1)*(1)*(1)*(1 + (0))</f>
      </c>
      <c r="D4702" s="22" t="s">
        <v>24</v>
      </c>
      <c r="E4702" s="22"/>
      <c r="F4702" s="22">
        <f>(0)</f>
      </c>
      <c r="G4702" s="22">
        <f>(C4702 * E4702 + C4702 * E4702 * F4702)</f>
      </c>
    </row>
    <row r="4703">
      <c r="A4703" s="6"/>
      <c r="B4703" s="15" t="s">
        <v>2034</v>
      </c>
      <c r="C4703" s="23"/>
      <c r="D4703" s="23"/>
      <c r="E4703" s="23"/>
      <c r="F4703" s="23"/>
      <c r="G4703" s="23"/>
    </row>
    <row r="4704">
      <c r="A4704" s="5"/>
      <c r="B4704" s="16" t="s">
        <v>30</v>
      </c>
      <c r="C4704" s="22">
        <f>(159)*(1)*(1)*(1)*(1 + (0))</f>
      </c>
      <c r="D4704" s="22" t="s">
        <v>24</v>
      </c>
      <c r="E4704" s="22"/>
      <c r="F4704" s="22">
        <f>(0)</f>
      </c>
      <c r="G4704" s="22">
        <f>(C4704 * E4704 + C4704 * E4704 * F4704)</f>
      </c>
    </row>
    <row r="4705">
      <c r="A4705" s="6"/>
      <c r="B4705" s="15" t="s">
        <v>2035</v>
      </c>
      <c r="C4705" s="23"/>
      <c r="D4705" s="23"/>
      <c r="E4705" s="23"/>
      <c r="F4705" s="23"/>
      <c r="G4705" s="23"/>
    </row>
    <row r="4706">
      <c r="A4706" s="5"/>
      <c r="B4706" s="16" t="s">
        <v>30</v>
      </c>
      <c r="C4706" s="22">
        <f>(150)*(1)*(1)*(1)*(1 + (0))</f>
      </c>
      <c r="D4706" s="22" t="s">
        <v>24</v>
      </c>
      <c r="E4706" s="22"/>
      <c r="F4706" s="22">
        <f>(0)</f>
      </c>
      <c r="G4706" s="22">
        <f>(C4706 * E4706 + C4706 * E4706 * F4706)</f>
      </c>
    </row>
    <row r="4707">
      <c r="A4707" s="3"/>
      <c r="B4707" s="11" t="s">
        <v>1044</v>
      </c>
      <c r="C4707" s="20"/>
      <c r="D4707" s="20"/>
      <c r="E4707" s="20"/>
      <c r="F4707" s="20"/>
      <c r="G4707" s="20"/>
    </row>
    <row r="4708">
      <c r="A4708" s="4"/>
      <c r="B4708" s="12" t="s">
        <v>1047</v>
      </c>
      <c r="C4708" s="21"/>
      <c r="D4708" s="21"/>
      <c r="E4708" s="21"/>
      <c r="F4708" s="21"/>
      <c r="G4708" s="21"/>
    </row>
    <row r="4709">
      <c r="A4709" s="6"/>
      <c r="B4709" s="15" t="s">
        <v>1048</v>
      </c>
      <c r="C4709" s="23"/>
      <c r="D4709" s="23"/>
      <c r="E4709" s="23"/>
      <c r="F4709" s="23"/>
      <c r="G4709" s="23"/>
    </row>
    <row r="4710">
      <c r="A4710" s="5"/>
      <c r="B4710" s="16" t="s">
        <v>30</v>
      </c>
      <c r="C4710" s="22">
        <f>(16)*(1)*(1)*(1)*(1 + (0))</f>
      </c>
      <c r="D4710" s="22" t="s">
        <v>153</v>
      </c>
      <c r="E4710" s="22"/>
      <c r="F4710" s="22">
        <f>(0)</f>
      </c>
      <c r="G4710" s="22">
        <f>(C4710 * E4710 + C4710 * E4710 * F4710)</f>
      </c>
    </row>
    <row r="4711">
      <c r="A4711" s="6"/>
      <c r="B4711" s="15" t="s">
        <v>1049</v>
      </c>
      <c r="C4711" s="23"/>
      <c r="D4711" s="23"/>
      <c r="E4711" s="23"/>
      <c r="F4711" s="23"/>
      <c r="G4711" s="23"/>
    </row>
    <row r="4712">
      <c r="A4712" s="5"/>
      <c r="B4712" s="16" t="s">
        <v>30</v>
      </c>
      <c r="C4712" s="22">
        <f>(411)*(1)*(1)*(1)*(1 + (0))</f>
      </c>
      <c r="D4712" s="22" t="s">
        <v>153</v>
      </c>
      <c r="E4712" s="22"/>
      <c r="F4712" s="22">
        <f>(0)</f>
      </c>
      <c r="G4712" s="22">
        <f>(C4712 * E4712 + C4712 * E4712 * F4712)</f>
      </c>
    </row>
    <row r="4713">
      <c r="A4713" s="4"/>
      <c r="B4713" s="12" t="s">
        <v>1050</v>
      </c>
      <c r="C4713" s="21"/>
      <c r="D4713" s="21"/>
      <c r="E4713" s="21"/>
      <c r="F4713" s="21"/>
      <c r="G4713" s="21"/>
    </row>
    <row r="4714">
      <c r="A4714" s="6"/>
      <c r="B4714" s="15" t="s">
        <v>1051</v>
      </c>
      <c r="C4714" s="23"/>
      <c r="D4714" s="23"/>
      <c r="E4714" s="23"/>
      <c r="F4714" s="23"/>
      <c r="G4714" s="23"/>
    </row>
    <row r="4715">
      <c r="A4715" s="5"/>
      <c r="B4715" s="16" t="s">
        <v>30</v>
      </c>
      <c r="C4715" s="22">
        <f>(2)*(1)*(1)*(1)*(1 + (0))</f>
      </c>
      <c r="D4715" s="22" t="s">
        <v>162</v>
      </c>
      <c r="E4715" s="22"/>
      <c r="F4715" s="22">
        <f>(0)</f>
      </c>
      <c r="G4715" s="22">
        <f>(C4715 * E4715 + C4715 * E4715 * F4715)</f>
      </c>
    </row>
    <row r="4716">
      <c r="A4716" s="6"/>
      <c r="B4716" s="15" t="s">
        <v>1052</v>
      </c>
      <c r="C4716" s="23"/>
      <c r="D4716" s="23"/>
      <c r="E4716" s="23"/>
      <c r="F4716" s="23"/>
      <c r="G4716" s="23"/>
    </row>
    <row r="4717">
      <c r="A4717" s="5"/>
      <c r="B4717" s="16" t="s">
        <v>30</v>
      </c>
      <c r="C4717" s="22">
        <f>(5)*(1)*(1)*(1)*(1 + (0))</f>
      </c>
      <c r="D4717" s="22" t="s">
        <v>162</v>
      </c>
      <c r="E4717" s="22"/>
      <c r="F4717" s="22">
        <f>(0)</f>
      </c>
      <c r="G4717" s="22">
        <f>(C4717 * E4717 + C4717 * E4717 * F4717)</f>
      </c>
    </row>
    <row r="4718">
      <c r="A4718" s="6"/>
      <c r="B4718" s="15" t="s">
        <v>1053</v>
      </c>
      <c r="C4718" s="23"/>
      <c r="D4718" s="23"/>
      <c r="E4718" s="23"/>
      <c r="F4718" s="23"/>
      <c r="G4718" s="23"/>
    </row>
    <row r="4719">
      <c r="A4719" s="5"/>
      <c r="B4719" s="16" t="s">
        <v>30</v>
      </c>
      <c r="C4719" s="22">
        <f>(2)*(1)*(1)*(1)*(1 + (0))</f>
      </c>
      <c r="D4719" s="22" t="s">
        <v>162</v>
      </c>
      <c r="E4719" s="22"/>
      <c r="F4719" s="22">
        <f>(0)</f>
      </c>
      <c r="G4719" s="22">
        <f>(C4719 * E4719 + C4719 * E4719 * F4719)</f>
      </c>
    </row>
    <row r="4720">
      <c r="A4720" s="2"/>
      <c r="B4720" s="10" t="s">
        <v>1054</v>
      </c>
      <c r="C4720" s="19"/>
      <c r="D4720" s="19"/>
      <c r="E4720" s="19"/>
      <c r="F4720" s="19"/>
      <c r="G4720" s="19"/>
    </row>
    <row r="4721">
      <c r="A4721" s="3"/>
      <c r="B4721" s="11" t="s">
        <v>37</v>
      </c>
      <c r="C4721" s="20"/>
      <c r="D4721" s="20"/>
      <c r="E4721" s="20"/>
      <c r="F4721" s="20"/>
      <c r="G4721" s="20"/>
    </row>
    <row r="4722">
      <c r="A4722" s="5" t="s">
        <v>1055</v>
      </c>
      <c r="B4722" s="14" t="s">
        <v>39</v>
      </c>
      <c r="C4722" s="22"/>
      <c r="D4722" s="22" t="s">
        <v>10</v>
      </c>
      <c r="E4722" s="22"/>
      <c r="F4722" s="22">
        <f>(0)</f>
      </c>
      <c r="G4722" s="22">
        <f>(C4722 * E4722 + C4722 * E4722 * F4722)</f>
      </c>
    </row>
    <row r="4723">
      <c r="A4723" s="5" t="s">
        <v>1056</v>
      </c>
      <c r="B4723" s="14" t="s">
        <v>41</v>
      </c>
      <c r="C4723" s="22"/>
      <c r="D4723" s="22" t="s">
        <v>10</v>
      </c>
      <c r="E4723" s="22"/>
      <c r="F4723" s="22">
        <f>(0)</f>
      </c>
      <c r="G4723" s="22">
        <f>(C4723 * E4723 + C4723 * E4723 * F4723)</f>
      </c>
    </row>
    <row r="4724">
      <c r="A4724" s="3"/>
      <c r="B4724" s="11" t="s">
        <v>523</v>
      </c>
      <c r="C4724" s="20"/>
      <c r="D4724" s="20"/>
      <c r="E4724" s="20"/>
      <c r="F4724" s="20"/>
      <c r="G4724" s="20"/>
    </row>
    <row r="4725">
      <c r="A4725" s="5"/>
      <c r="B4725" s="14" t="s">
        <v>1057</v>
      </c>
      <c r="C4725" s="22"/>
      <c r="D4725" s="22" t="s">
        <v>10</v>
      </c>
      <c r="E4725" s="22"/>
      <c r="F4725" s="22">
        <f>(0)</f>
      </c>
      <c r="G4725" s="22">
        <f>(C4725 * E4725 + C4725 * E4725 * F4725)</f>
      </c>
    </row>
    <row r="4726">
      <c r="A4726" s="5"/>
      <c r="B4726" s="14" t="s">
        <v>1058</v>
      </c>
      <c r="C4726" s="22"/>
      <c r="D4726" s="22" t="s">
        <v>10</v>
      </c>
      <c r="E4726" s="22"/>
      <c r="F4726" s="22">
        <f>(0)</f>
      </c>
      <c r="G4726" s="22">
        <f>(C4726 * E4726 + C4726 * E4726 * F4726)</f>
      </c>
    </row>
    <row r="4727">
      <c r="A4727" s="5"/>
      <c r="B4727" s="14" t="s">
        <v>635</v>
      </c>
      <c r="C4727" s="22"/>
      <c r="D4727" s="22" t="s">
        <v>10</v>
      </c>
      <c r="E4727" s="22"/>
      <c r="F4727" s="22">
        <f>(0)</f>
      </c>
      <c r="G4727" s="22">
        <f>(C4727 * E4727 + C4727 * E4727 * F4727)</f>
      </c>
    </row>
    <row r="4728">
      <c r="A4728" s="3"/>
      <c r="B4728" s="11" t="s">
        <v>44</v>
      </c>
      <c r="C4728" s="20"/>
      <c r="D4728" s="20"/>
      <c r="E4728" s="20"/>
      <c r="F4728" s="20"/>
      <c r="G4728" s="20"/>
    </row>
    <row r="4729">
      <c r="A4729" s="4"/>
      <c r="B4729" s="12" t="s">
        <v>45</v>
      </c>
      <c r="C4729" s="21"/>
      <c r="D4729" s="21"/>
      <c r="E4729" s="21"/>
      <c r="F4729" s="21"/>
      <c r="G4729" s="21"/>
    </row>
    <row r="4730">
      <c r="A4730" s="5" t="s">
        <v>1059</v>
      </c>
      <c r="B4730" s="13" t="s">
        <v>1060</v>
      </c>
      <c r="C4730" s="22"/>
      <c r="D4730" s="22" t="s">
        <v>10</v>
      </c>
      <c r="E4730" s="22"/>
      <c r="F4730" s="22">
        <f>(0)</f>
      </c>
      <c r="G4730" s="22">
        <f>(C4730 * E4730 + C4730 * E4730 * F4730)</f>
      </c>
    </row>
    <row r="4731">
      <c r="A4731" s="5" t="s">
        <v>1061</v>
      </c>
      <c r="B4731" s="13" t="s">
        <v>1062</v>
      </c>
      <c r="C4731" s="22"/>
      <c r="D4731" s="22" t="s">
        <v>10</v>
      </c>
      <c r="E4731" s="22"/>
      <c r="F4731" s="22">
        <f>(0)</f>
      </c>
      <c r="G4731" s="22">
        <f>(C4731 * E4731 + C4731 * E4731 * F4731)</f>
      </c>
    </row>
    <row r="4732">
      <c r="A4732" s="5" t="s">
        <v>1063</v>
      </c>
      <c r="B4732" s="13" t="s">
        <v>1064</v>
      </c>
      <c r="C4732" s="22"/>
      <c r="D4732" s="22" t="s">
        <v>10</v>
      </c>
      <c r="E4732" s="22"/>
      <c r="F4732" s="22">
        <f>(0)</f>
      </c>
      <c r="G4732" s="22">
        <f>(C4732 * E4732 + C4732 * E4732 * F4732)</f>
      </c>
    </row>
    <row r="4733">
      <c r="A4733" s="5" t="s">
        <v>1065</v>
      </c>
      <c r="B4733" s="13" t="s">
        <v>1066</v>
      </c>
      <c r="C4733" s="22"/>
      <c r="D4733" s="22" t="s">
        <v>10</v>
      </c>
      <c r="E4733" s="22"/>
      <c r="F4733" s="22">
        <f>(0)</f>
      </c>
      <c r="G4733" s="22">
        <f>(C4733 * E4733 + C4733 * E4733 * F4733)</f>
      </c>
    </row>
    <row r="4734">
      <c r="A4734" s="5" t="s">
        <v>1067</v>
      </c>
      <c r="B4734" s="13" t="s">
        <v>1068</v>
      </c>
      <c r="C4734" s="22"/>
      <c r="D4734" s="22" t="s">
        <v>10</v>
      </c>
      <c r="E4734" s="22"/>
      <c r="F4734" s="22">
        <f>(0)</f>
      </c>
      <c r="G4734" s="22">
        <f>(C4734 * E4734 + C4734 * E4734 * F4734)</f>
      </c>
    </row>
    <row r="4735">
      <c r="A4735" s="5" t="s">
        <v>1069</v>
      </c>
      <c r="B4735" s="13" t="s">
        <v>123</v>
      </c>
      <c r="C4735" s="22"/>
      <c r="D4735" s="22" t="s">
        <v>10</v>
      </c>
      <c r="E4735" s="22"/>
      <c r="F4735" s="22">
        <f>(0)</f>
      </c>
      <c r="G4735" s="22">
        <f>(C4735 * E4735 + C4735 * E4735 * F4735)</f>
      </c>
    </row>
    <row r="4736">
      <c r="A4736" s="3"/>
      <c r="B4736" s="11" t="s">
        <v>68</v>
      </c>
      <c r="C4736" s="20"/>
      <c r="D4736" s="20"/>
      <c r="E4736" s="20"/>
      <c r="F4736" s="20"/>
      <c r="G4736" s="20"/>
    </row>
    <row r="4737">
      <c r="A4737" s="5" t="s">
        <v>1070</v>
      </c>
      <c r="B4737" s="14" t="s">
        <v>1071</v>
      </c>
      <c r="C4737" s="22">
        <f>(1)*(1)*(1)*(1)*(1 + (0))</f>
      </c>
      <c r="D4737" s="22" t="s">
        <v>71</v>
      </c>
      <c r="E4737" s="22"/>
      <c r="F4737" s="22">
        <f>(0)</f>
      </c>
      <c r="G4737" s="22">
        <f>(C4737 * E4737 + C4737 * E4737 * F4737)</f>
      </c>
    </row>
    <row r="4738">
      <c r="A4738" s="5" t="s">
        <v>1072</v>
      </c>
      <c r="B4738" s="14" t="s">
        <v>798</v>
      </c>
      <c r="C4738" s="22">
        <f>(1)*(1)*(1)*(1)*(1 + (0))</f>
      </c>
      <c r="D4738" s="22" t="s">
        <v>71</v>
      </c>
      <c r="E4738" s="22"/>
      <c r="F4738" s="22">
        <f>(0)</f>
      </c>
      <c r="G4738" s="22">
        <f>(C4738 * E4738 + C4738 * E4738 * F4738)</f>
      </c>
    </row>
    <row r="4739">
      <c r="A4739" s="5" t="s">
        <v>1073</v>
      </c>
      <c r="B4739" s="14" t="s">
        <v>230</v>
      </c>
      <c r="C4739" s="22">
        <f>(1)*(1)*(1)*(1)*(1 + (0))</f>
      </c>
      <c r="D4739" s="22" t="s">
        <v>71</v>
      </c>
      <c r="E4739" s="22"/>
      <c r="F4739" s="22">
        <f>(0)</f>
      </c>
      <c r="G4739" s="22">
        <f>(C4739 * E4739 + C4739 * E4739 * F4739)</f>
      </c>
    </row>
    <row r="4740">
      <c r="A4740" s="5" t="s">
        <v>1074</v>
      </c>
      <c r="B4740" s="14" t="s">
        <v>1075</v>
      </c>
      <c r="C4740" s="22">
        <f>(1)*(1)*(1)*(1)*(1 + (0))</f>
      </c>
      <c r="D4740" s="22" t="s">
        <v>71</v>
      </c>
      <c r="E4740" s="22"/>
      <c r="F4740" s="22">
        <f>(0)</f>
      </c>
      <c r="G4740" s="22">
        <f>(C4740 * E4740 + C4740 * E4740 * F4740)</f>
      </c>
    </row>
    <row r="4741">
      <c r="A4741" s="5" t="s">
        <v>1076</v>
      </c>
      <c r="B4741" s="14" t="s">
        <v>904</v>
      </c>
      <c r="C4741" s="22">
        <f>(1)*(1)*(1)*(1)*(1 + (0))</f>
      </c>
      <c r="D4741" s="22" t="s">
        <v>71</v>
      </c>
      <c r="E4741" s="22"/>
      <c r="F4741" s="22">
        <f>(0)</f>
      </c>
      <c r="G4741" s="22">
        <f>(C4741 * E4741 + C4741 * E4741 * F4741)</f>
      </c>
    </row>
    <row r="4742">
      <c r="A4742" s="5" t="s">
        <v>1077</v>
      </c>
      <c r="B4742" s="14" t="s">
        <v>1078</v>
      </c>
      <c r="C4742" s="22">
        <f>(1)*(1)*(1)*(1)*(1 + (0))</f>
      </c>
      <c r="D4742" s="22" t="s">
        <v>71</v>
      </c>
      <c r="E4742" s="22"/>
      <c r="F4742" s="22">
        <f>(0)</f>
      </c>
      <c r="G4742" s="22">
        <f>(C4742 * E4742 + C4742 * E4742 * F4742)</f>
      </c>
    </row>
    <row r="4743">
      <c r="A4743" s="5" t="s">
        <v>1079</v>
      </c>
      <c r="B4743" s="14" t="s">
        <v>1080</v>
      </c>
      <c r="C4743" s="22">
        <f>(1)*(1)*(1)*(1)*(1 + (0))</f>
      </c>
      <c r="D4743" s="22" t="s">
        <v>71</v>
      </c>
      <c r="E4743" s="22"/>
      <c r="F4743" s="22">
        <f>(0)</f>
      </c>
      <c r="G4743" s="22">
        <f>(C4743 * E4743 + C4743 * E4743 * F4743)</f>
      </c>
    </row>
    <row r="4744">
      <c r="A4744" s="5" t="s">
        <v>1081</v>
      </c>
      <c r="B4744" s="14" t="s">
        <v>1082</v>
      </c>
      <c r="C4744" s="22">
        <f>(1)*(1)*(1)*(1)*(1 + (0))</f>
      </c>
      <c r="D4744" s="22" t="s">
        <v>71</v>
      </c>
      <c r="E4744" s="22"/>
      <c r="F4744" s="22">
        <f>(0)</f>
      </c>
      <c r="G4744" s="22">
        <f>(C4744 * E4744 + C4744 * E4744 * F4744)</f>
      </c>
    </row>
    <row r="4745">
      <c r="A4745" s="5" t="s">
        <v>1083</v>
      </c>
      <c r="B4745" s="14" t="s">
        <v>1084</v>
      </c>
      <c r="C4745" s="22">
        <f>(1)*(1)*(1)*(1)*(1 + (0))</f>
      </c>
      <c r="D4745" s="22" t="s">
        <v>71</v>
      </c>
      <c r="E4745" s="22"/>
      <c r="F4745" s="22">
        <f>(0)</f>
      </c>
      <c r="G4745" s="22">
        <f>(C4745 * E4745 + C4745 * E4745 * F4745)</f>
      </c>
    </row>
    <row r="4746">
      <c r="A4746" s="5" t="s">
        <v>1085</v>
      </c>
      <c r="B4746" s="14" t="s">
        <v>665</v>
      </c>
      <c r="C4746" s="22">
        <f>(1)*(1)*(1)*(1)*(1 + (0))</f>
      </c>
      <c r="D4746" s="22" t="s">
        <v>71</v>
      </c>
      <c r="E4746" s="22"/>
      <c r="F4746" s="22">
        <f>(0)</f>
      </c>
      <c r="G4746" s="22">
        <f>(C4746 * E4746 + C4746 * E4746 * F4746)</f>
      </c>
    </row>
    <row r="4747">
      <c r="A4747" s="3"/>
      <c r="B4747" s="11" t="s">
        <v>106</v>
      </c>
      <c r="C4747" s="20"/>
      <c r="D4747" s="20"/>
      <c r="E4747" s="20"/>
      <c r="F4747" s="20"/>
      <c r="G4747" s="20"/>
    </row>
    <row r="4748">
      <c r="A4748" s="5"/>
      <c r="B4748" s="14" t="s">
        <v>1086</v>
      </c>
      <c r="C4748" s="22"/>
      <c r="D4748" s="22" t="s">
        <v>10</v>
      </c>
      <c r="E4748" s="22"/>
      <c r="F4748" s="22">
        <f>(0)</f>
      </c>
      <c r="G4748" s="22">
        <f>(C4748 * E4748 + C4748 * E4748 * F4748)</f>
      </c>
    </row>
    <row r="4749">
      <c r="A4749" s="3"/>
      <c r="B4749" s="11" t="s">
        <v>1087</v>
      </c>
      <c r="C4749" s="20"/>
      <c r="D4749" s="20"/>
      <c r="E4749" s="20"/>
      <c r="F4749" s="20"/>
      <c r="G4749" s="20"/>
    </row>
    <row r="4750">
      <c r="A4750" s="4"/>
      <c r="B4750" s="12" t="s">
        <v>1088</v>
      </c>
      <c r="C4750" s="21"/>
      <c r="D4750" s="21"/>
      <c r="E4750" s="21"/>
      <c r="F4750" s="21"/>
      <c r="G4750" s="21"/>
    </row>
    <row r="4751">
      <c r="A4751" s="5"/>
      <c r="B4751" s="13" t="s">
        <v>1710</v>
      </c>
      <c r="C4751" s="22">
        <f>(46)*(1)*(1)*(1)*(1 + (0))</f>
      </c>
      <c r="D4751" s="22" t="s">
        <v>24</v>
      </c>
      <c r="E4751" s="22"/>
      <c r="F4751" s="22">
        <f>(0)</f>
      </c>
      <c r="G4751" s="22">
        <f>(C4751 * E4751 + C4751 * E4751 * F4751)</f>
      </c>
    </row>
    <row r="4752">
      <c r="A4752" s="3"/>
      <c r="B4752" s="11" t="s">
        <v>1089</v>
      </c>
      <c r="C4752" s="20"/>
      <c r="D4752" s="20"/>
      <c r="E4752" s="20"/>
      <c r="F4752" s="20"/>
      <c r="G4752" s="20"/>
    </row>
    <row r="4753">
      <c r="A4753" s="4"/>
      <c r="B4753" s="12" t="s">
        <v>1090</v>
      </c>
      <c r="C4753" s="21"/>
      <c r="D4753" s="21"/>
      <c r="E4753" s="21"/>
      <c r="F4753" s="21"/>
      <c r="G4753" s="21"/>
    </row>
    <row r="4754">
      <c r="A4754" s="5"/>
      <c r="B4754" s="13" t="s">
        <v>1710</v>
      </c>
      <c r="C4754" s="22">
        <f>(46)*(1)*(1)*(1)*(1 + (0))</f>
      </c>
      <c r="D4754" s="22" t="s">
        <v>24</v>
      </c>
      <c r="E4754" s="22"/>
      <c r="F4754" s="22">
        <f>(0)</f>
      </c>
      <c r="G4754" s="22">
        <f>(C4754 * E4754 + C4754 * E4754 * F4754)</f>
      </c>
    </row>
    <row r="4755">
      <c r="A4755" s="3"/>
      <c r="B4755" s="11" t="s">
        <v>1091</v>
      </c>
      <c r="C4755" s="20"/>
      <c r="D4755" s="20"/>
      <c r="E4755" s="20"/>
      <c r="F4755" s="20"/>
      <c r="G4755" s="20"/>
    </row>
    <row r="4756">
      <c r="A4756" s="4"/>
      <c r="B4756" s="12" t="s">
        <v>1092</v>
      </c>
      <c r="C4756" s="21"/>
      <c r="D4756" s="21"/>
      <c r="E4756" s="21"/>
      <c r="F4756" s="21"/>
      <c r="G4756" s="21"/>
    </row>
    <row r="4757">
      <c r="A4757" s="5"/>
      <c r="B4757" s="13" t="s">
        <v>1942</v>
      </c>
      <c r="C4757" s="22">
        <f>(175)*(1)*(1)*(1)*(1 + (0))</f>
      </c>
      <c r="D4757" s="22" t="s">
        <v>24</v>
      </c>
      <c r="E4757" s="22"/>
      <c r="F4757" s="22">
        <f>(0)</f>
      </c>
      <c r="G4757" s="22">
        <f>(C4757 * E4757 + C4757 * E4757 * F4757)</f>
      </c>
    </row>
    <row r="4758">
      <c r="A4758" s="3"/>
      <c r="B4758" s="11" t="s">
        <v>1093</v>
      </c>
      <c r="C4758" s="20"/>
      <c r="D4758" s="20"/>
      <c r="E4758" s="20"/>
      <c r="F4758" s="20"/>
      <c r="G4758" s="20"/>
    </row>
    <row r="4759">
      <c r="A4759" s="4"/>
      <c r="B4759" s="12" t="s">
        <v>1094</v>
      </c>
      <c r="C4759" s="21"/>
      <c r="D4759" s="21"/>
      <c r="E4759" s="21"/>
      <c r="F4759" s="21"/>
      <c r="G4759" s="21"/>
    </row>
    <row r="4760">
      <c r="A4760" s="5"/>
      <c r="B4760" s="13" t="s">
        <v>1942</v>
      </c>
      <c r="C4760" s="22">
        <f>(68)*(1)*(1)*(1)*(1 + (0))</f>
      </c>
      <c r="D4760" s="22" t="s">
        <v>153</v>
      </c>
      <c r="E4760" s="22"/>
      <c r="F4760" s="22">
        <f>(0)</f>
      </c>
      <c r="G4760" s="22">
        <f>(C4760 * E4760 + C4760 * E4760 * F4760)</f>
      </c>
    </row>
    <row r="4761">
      <c r="A4761" s="2"/>
      <c r="B4761" s="10" t="s">
        <v>1095</v>
      </c>
      <c r="C4761" s="19"/>
      <c r="D4761" s="19"/>
      <c r="E4761" s="19"/>
      <c r="F4761" s="19"/>
      <c r="G4761" s="19"/>
    </row>
    <row r="4762">
      <c r="A4762" s="3"/>
      <c r="B4762" s="11" t="s">
        <v>37</v>
      </c>
      <c r="C4762" s="20"/>
      <c r="D4762" s="20"/>
      <c r="E4762" s="20"/>
      <c r="F4762" s="20"/>
      <c r="G4762" s="20"/>
    </row>
    <row r="4763">
      <c r="A4763" s="5" t="s">
        <v>1055</v>
      </c>
      <c r="B4763" s="14" t="s">
        <v>39</v>
      </c>
      <c r="C4763" s="22"/>
      <c r="D4763" s="22" t="s">
        <v>10</v>
      </c>
      <c r="E4763" s="22"/>
      <c r="F4763" s="22">
        <f>(0)</f>
      </c>
      <c r="G4763" s="22">
        <f>(C4763 * E4763 + C4763 * E4763 * F4763)</f>
      </c>
    </row>
    <row r="4764">
      <c r="A4764" s="5" t="s">
        <v>1056</v>
      </c>
      <c r="B4764" s="14" t="s">
        <v>41</v>
      </c>
      <c r="C4764" s="22"/>
      <c r="D4764" s="22" t="s">
        <v>10</v>
      </c>
      <c r="E4764" s="22"/>
      <c r="F4764" s="22">
        <f>(0)</f>
      </c>
      <c r="G4764" s="22">
        <f>(C4764 * E4764 + C4764 * E4764 * F4764)</f>
      </c>
    </row>
    <row r="4765">
      <c r="A4765" s="3"/>
      <c r="B4765" s="11" t="s">
        <v>523</v>
      </c>
      <c r="C4765" s="20"/>
      <c r="D4765" s="20"/>
      <c r="E4765" s="20"/>
      <c r="F4765" s="20"/>
      <c r="G4765" s="20"/>
    </row>
    <row r="4766">
      <c r="A4766" s="5"/>
      <c r="B4766" s="14" t="s">
        <v>1096</v>
      </c>
      <c r="C4766" s="22"/>
      <c r="D4766" s="22" t="s">
        <v>10</v>
      </c>
      <c r="E4766" s="22"/>
      <c r="F4766" s="22">
        <f>(0)</f>
      </c>
      <c r="G4766" s="22">
        <f>(C4766 * E4766 + C4766 * E4766 * F4766)</f>
      </c>
    </row>
    <row r="4767">
      <c r="A4767" s="5"/>
      <c r="B4767" s="14" t="s">
        <v>1058</v>
      </c>
      <c r="C4767" s="22"/>
      <c r="D4767" s="22" t="s">
        <v>10</v>
      </c>
      <c r="E4767" s="22"/>
      <c r="F4767" s="22">
        <f>(0)</f>
      </c>
      <c r="G4767" s="22">
        <f>(C4767 * E4767 + C4767 * E4767 * F4767)</f>
      </c>
    </row>
    <row r="4768">
      <c r="A4768" s="5"/>
      <c r="B4768" s="14" t="s">
        <v>635</v>
      </c>
      <c r="C4768" s="22"/>
      <c r="D4768" s="22" t="s">
        <v>10</v>
      </c>
      <c r="E4768" s="22"/>
      <c r="F4768" s="22">
        <f>(0)</f>
      </c>
      <c r="G4768" s="22">
        <f>(C4768 * E4768 + C4768 * E4768 * F4768)</f>
      </c>
    </row>
    <row r="4769">
      <c r="A4769" s="3"/>
      <c r="B4769" s="11" t="s">
        <v>44</v>
      </c>
      <c r="C4769" s="20"/>
      <c r="D4769" s="20"/>
      <c r="E4769" s="20"/>
      <c r="F4769" s="20"/>
      <c r="G4769" s="20"/>
    </row>
    <row r="4770">
      <c r="A4770" s="4"/>
      <c r="B4770" s="12" t="s">
        <v>45</v>
      </c>
      <c r="C4770" s="21"/>
      <c r="D4770" s="21"/>
      <c r="E4770" s="21"/>
      <c r="F4770" s="21"/>
      <c r="G4770" s="21"/>
    </row>
    <row r="4771">
      <c r="A4771" s="5" t="s">
        <v>1097</v>
      </c>
      <c r="B4771" s="13" t="s">
        <v>1098</v>
      </c>
      <c r="C4771" s="22"/>
      <c r="D4771" s="22" t="s">
        <v>10</v>
      </c>
      <c r="E4771" s="22"/>
      <c r="F4771" s="22">
        <f>(0)</f>
      </c>
      <c r="G4771" s="22">
        <f>(C4771 * E4771 + C4771 * E4771 * F4771)</f>
      </c>
    </row>
    <row r="4772">
      <c r="A4772" s="5" t="s">
        <v>1099</v>
      </c>
      <c r="B4772" s="13" t="s">
        <v>1100</v>
      </c>
      <c r="C4772" s="22"/>
      <c r="D4772" s="22" t="s">
        <v>10</v>
      </c>
      <c r="E4772" s="22"/>
      <c r="F4772" s="22">
        <f>(0)</f>
      </c>
      <c r="G4772" s="22">
        <f>(C4772 * E4772 + C4772 * E4772 * F4772)</f>
      </c>
    </row>
    <row r="4773">
      <c r="A4773" s="5" t="s">
        <v>1101</v>
      </c>
      <c r="B4773" s="13" t="s">
        <v>123</v>
      </c>
      <c r="C4773" s="22"/>
      <c r="D4773" s="22" t="s">
        <v>10</v>
      </c>
      <c r="E4773" s="22"/>
      <c r="F4773" s="22">
        <f>(0)</f>
      </c>
      <c r="G4773" s="22">
        <f>(C4773 * E4773 + C4773 * E4773 * F4773)</f>
      </c>
    </row>
    <row r="4774">
      <c r="A4774" s="3"/>
      <c r="B4774" s="11" t="s">
        <v>68</v>
      </c>
      <c r="C4774" s="20"/>
      <c r="D4774" s="20"/>
      <c r="E4774" s="20"/>
      <c r="F4774" s="20"/>
      <c r="G4774" s="20"/>
    </row>
    <row r="4775">
      <c r="A4775" s="5" t="s">
        <v>1102</v>
      </c>
      <c r="B4775" s="14" t="s">
        <v>1103</v>
      </c>
      <c r="C4775" s="22">
        <f>(1)*(1)*(1)*(1)*(1 + (0))</f>
      </c>
      <c r="D4775" s="22" t="s">
        <v>71</v>
      </c>
      <c r="E4775" s="22"/>
      <c r="F4775" s="22">
        <f>(0)</f>
      </c>
      <c r="G4775" s="22">
        <f>(C4775 * E4775 + C4775 * E4775 * F4775)</f>
      </c>
    </row>
    <row r="4776">
      <c r="A4776" s="5" t="s">
        <v>1104</v>
      </c>
      <c r="B4776" s="14" t="s">
        <v>543</v>
      </c>
      <c r="C4776" s="22">
        <f>(1)*(1)*(1)*(1)*(1 + (0))</f>
      </c>
      <c r="D4776" s="22" t="s">
        <v>71</v>
      </c>
      <c r="E4776" s="22"/>
      <c r="F4776" s="22">
        <f>(0)</f>
      </c>
      <c r="G4776" s="22">
        <f>(C4776 * E4776 + C4776 * E4776 * F4776)</f>
      </c>
    </row>
    <row r="4777">
      <c r="A4777" s="5" t="s">
        <v>1105</v>
      </c>
      <c r="B4777" s="14" t="s">
        <v>810</v>
      </c>
      <c r="C4777" s="22">
        <f>(1)*(1)*(1)*(1)*(1 + (0))</f>
      </c>
      <c r="D4777" s="22" t="s">
        <v>71</v>
      </c>
      <c r="E4777" s="22"/>
      <c r="F4777" s="22">
        <f>(0)</f>
      </c>
      <c r="G4777" s="22">
        <f>(C4777 * E4777 + C4777 * E4777 * F4777)</f>
      </c>
    </row>
    <row r="4778">
      <c r="A4778" s="5" t="s">
        <v>1106</v>
      </c>
      <c r="B4778" s="14" t="s">
        <v>665</v>
      </c>
      <c r="C4778" s="22">
        <f>(1)*(1)*(1)*(1)*(1 + (0))</f>
      </c>
      <c r="D4778" s="22" t="s">
        <v>71</v>
      </c>
      <c r="E4778" s="22"/>
      <c r="F4778" s="22">
        <f>(0)</f>
      </c>
      <c r="G4778" s="22">
        <f>(C4778 * E4778 + C4778 * E4778 * F4778)</f>
      </c>
    </row>
    <row r="4779">
      <c r="A4779" s="3"/>
      <c r="B4779" s="11" t="s">
        <v>106</v>
      </c>
      <c r="C4779" s="20"/>
      <c r="D4779" s="20"/>
      <c r="E4779" s="20"/>
      <c r="F4779" s="20"/>
      <c r="G4779" s="20"/>
    </row>
    <row r="4780">
      <c r="A4780" s="5"/>
      <c r="B4780" s="14" t="s">
        <v>1107</v>
      </c>
      <c r="C4780" s="22"/>
      <c r="D4780" s="22" t="s">
        <v>10</v>
      </c>
      <c r="E4780" s="22"/>
      <c r="F4780" s="22">
        <f>(0)</f>
      </c>
      <c r="G4780" s="22">
        <f>(C4780 * E4780 + C4780 * E4780 * F4780)</f>
      </c>
    </row>
    <row r="4781">
      <c r="A4781" s="3"/>
      <c r="B4781" s="11" t="s">
        <v>1108</v>
      </c>
      <c r="C4781" s="20"/>
      <c r="D4781" s="20"/>
      <c r="E4781" s="20"/>
      <c r="F4781" s="20"/>
      <c r="G4781" s="20"/>
    </row>
    <row r="4782">
      <c r="A4782" s="4"/>
      <c r="B4782" s="12" t="s">
        <v>1109</v>
      </c>
      <c r="C4782" s="21"/>
      <c r="D4782" s="21"/>
      <c r="E4782" s="21"/>
      <c r="F4782" s="21"/>
      <c r="G4782" s="21"/>
    </row>
    <row r="4783">
      <c r="A4783" s="5"/>
      <c r="B4783" s="13" t="s">
        <v>1710</v>
      </c>
      <c r="C4783" s="22">
        <f>(13)*(1)*(1)*(1)*(1 + (0))</f>
      </c>
      <c r="D4783" s="22" t="s">
        <v>24</v>
      </c>
      <c r="E4783" s="22"/>
      <c r="F4783" s="22">
        <f>(0)</f>
      </c>
      <c r="G4783" s="22">
        <f>(C4783 * E4783 + C4783 * E4783 * F4783)</f>
      </c>
    </row>
    <row r="4784">
      <c r="A4784" s="3"/>
      <c r="B4784" s="11" t="s">
        <v>1116</v>
      </c>
      <c r="C4784" s="20"/>
      <c r="D4784" s="20"/>
      <c r="E4784" s="20"/>
      <c r="F4784" s="20"/>
      <c r="G4784" s="20"/>
    </row>
    <row r="4785">
      <c r="A4785" s="4"/>
      <c r="B4785" s="12" t="s">
        <v>1118</v>
      </c>
      <c r="C4785" s="21"/>
      <c r="D4785" s="21"/>
      <c r="E4785" s="21"/>
      <c r="F4785" s="21"/>
      <c r="G4785" s="21"/>
    </row>
    <row r="4786">
      <c r="A4786" s="5"/>
      <c r="B4786" s="13" t="s">
        <v>1710</v>
      </c>
      <c r="C4786" s="22">
        <f>(3)*(1)*(1)*(1)*(1 + (0))</f>
      </c>
      <c r="D4786" s="22" t="s">
        <v>153</v>
      </c>
      <c r="E4786" s="22"/>
      <c r="F4786" s="22">
        <f>(0)</f>
      </c>
      <c r="G4786" s="22">
        <f>(C4786 * E4786 + C4786 * E4786 * F4786)</f>
      </c>
    </row>
    <row r="4787">
      <c r="A4787" s="3"/>
      <c r="B4787" s="11" t="s">
        <v>1119</v>
      </c>
      <c r="C4787" s="20"/>
      <c r="D4787" s="20"/>
      <c r="E4787" s="20"/>
      <c r="F4787" s="20"/>
      <c r="G4787" s="20"/>
    </row>
    <row r="4788">
      <c r="A4788" s="5"/>
      <c r="B4788" s="14" t="s">
        <v>1122</v>
      </c>
      <c r="C4788" s="22">
        <f>(13)*(1)*(1)*(1)*(1 + (0))</f>
      </c>
      <c r="D4788" s="22" t="s">
        <v>24</v>
      </c>
      <c r="E4788" s="22"/>
      <c r="F4788" s="22">
        <f>(0)</f>
      </c>
      <c r="G4788" s="22">
        <f>(C4788 * E4788 + C4788 * E4788 * F4788)</f>
      </c>
    </row>
    <row r="4789">
      <c r="A4789" s="2"/>
      <c r="B4789" s="10" t="s">
        <v>1123</v>
      </c>
      <c r="C4789" s="19"/>
      <c r="D4789" s="19"/>
      <c r="E4789" s="19"/>
      <c r="F4789" s="19"/>
      <c r="G4789" s="19"/>
    </row>
    <row r="4790">
      <c r="A4790" s="3"/>
      <c r="B4790" s="11" t="s">
        <v>37</v>
      </c>
      <c r="C4790" s="20"/>
      <c r="D4790" s="20"/>
      <c r="E4790" s="20"/>
      <c r="F4790" s="20"/>
      <c r="G4790" s="20"/>
    </row>
    <row r="4791">
      <c r="A4791" s="5" t="s">
        <v>1124</v>
      </c>
      <c r="B4791" s="14" t="s">
        <v>39</v>
      </c>
      <c r="C4791" s="22"/>
      <c r="D4791" s="22" t="s">
        <v>10</v>
      </c>
      <c r="E4791" s="22"/>
      <c r="F4791" s="22">
        <f>(0)</f>
      </c>
      <c r="G4791" s="22">
        <f>(C4791 * E4791 + C4791 * E4791 * F4791)</f>
      </c>
    </row>
    <row r="4792">
      <c r="A4792" s="5" t="s">
        <v>1125</v>
      </c>
      <c r="B4792" s="14" t="s">
        <v>41</v>
      </c>
      <c r="C4792" s="22"/>
      <c r="D4792" s="22" t="s">
        <v>10</v>
      </c>
      <c r="E4792" s="22"/>
      <c r="F4792" s="22">
        <f>(0)</f>
      </c>
      <c r="G4792" s="22">
        <f>(C4792 * E4792 + C4792 * E4792 * F4792)</f>
      </c>
    </row>
    <row r="4793">
      <c r="A4793" s="3"/>
      <c r="B4793" s="11" t="s">
        <v>523</v>
      </c>
      <c r="C4793" s="20"/>
      <c r="D4793" s="20"/>
      <c r="E4793" s="20"/>
      <c r="F4793" s="20"/>
      <c r="G4793" s="20"/>
    </row>
    <row r="4794">
      <c r="A4794" s="5"/>
      <c r="B4794" s="14" t="s">
        <v>1126</v>
      </c>
      <c r="C4794" s="22"/>
      <c r="D4794" s="22" t="s">
        <v>10</v>
      </c>
      <c r="E4794" s="22"/>
      <c r="F4794" s="22">
        <f>(0)</f>
      </c>
      <c r="G4794" s="22">
        <f>(C4794 * E4794 + C4794 * E4794 * F4794)</f>
      </c>
    </row>
    <row r="4795">
      <c r="A4795" s="5"/>
      <c r="B4795" s="14" t="s">
        <v>1058</v>
      </c>
      <c r="C4795" s="22"/>
      <c r="D4795" s="22" t="s">
        <v>10</v>
      </c>
      <c r="E4795" s="22"/>
      <c r="F4795" s="22">
        <f>(0)</f>
      </c>
      <c r="G4795" s="22">
        <f>(C4795 * E4795 + C4795 * E4795 * F4795)</f>
      </c>
    </row>
    <row r="4796">
      <c r="A4796" s="5"/>
      <c r="B4796" s="14" t="s">
        <v>635</v>
      </c>
      <c r="C4796" s="22"/>
      <c r="D4796" s="22" t="s">
        <v>10</v>
      </c>
      <c r="E4796" s="22"/>
      <c r="F4796" s="22">
        <f>(0)</f>
      </c>
      <c r="G4796" s="22">
        <f>(C4796 * E4796 + C4796 * E4796 * F4796)</f>
      </c>
    </row>
    <row r="4797">
      <c r="A4797" s="3"/>
      <c r="B4797" s="11" t="s">
        <v>44</v>
      </c>
      <c r="C4797" s="20"/>
      <c r="D4797" s="20"/>
      <c r="E4797" s="20"/>
      <c r="F4797" s="20"/>
      <c r="G4797" s="20"/>
    </row>
    <row r="4798">
      <c r="A4798" s="4"/>
      <c r="B4798" s="12" t="s">
        <v>45</v>
      </c>
      <c r="C4798" s="21"/>
      <c r="D4798" s="21"/>
      <c r="E4798" s="21"/>
      <c r="F4798" s="21"/>
      <c r="G4798" s="21"/>
    </row>
    <row r="4799">
      <c r="A4799" s="5" t="s">
        <v>1097</v>
      </c>
      <c r="B4799" s="13" t="s">
        <v>1098</v>
      </c>
      <c r="C4799" s="22"/>
      <c r="D4799" s="22" t="s">
        <v>10</v>
      </c>
      <c r="E4799" s="22"/>
      <c r="F4799" s="22">
        <f>(0)</f>
      </c>
      <c r="G4799" s="22">
        <f>(C4799 * E4799 + C4799 * E4799 * F4799)</f>
      </c>
    </row>
    <row r="4800">
      <c r="A4800" s="5" t="s">
        <v>1099</v>
      </c>
      <c r="B4800" s="13" t="s">
        <v>1100</v>
      </c>
      <c r="C4800" s="22"/>
      <c r="D4800" s="22" t="s">
        <v>10</v>
      </c>
      <c r="E4800" s="22"/>
      <c r="F4800" s="22">
        <f>(0)</f>
      </c>
      <c r="G4800" s="22">
        <f>(C4800 * E4800 + C4800 * E4800 * F4800)</f>
      </c>
    </row>
    <row r="4801">
      <c r="A4801" s="5" t="s">
        <v>1101</v>
      </c>
      <c r="B4801" s="13" t="s">
        <v>123</v>
      </c>
      <c r="C4801" s="22"/>
      <c r="D4801" s="22" t="s">
        <v>10</v>
      </c>
      <c r="E4801" s="22"/>
      <c r="F4801" s="22">
        <f>(0)</f>
      </c>
      <c r="G4801" s="22">
        <f>(C4801 * E4801 + C4801 * E4801 * F4801)</f>
      </c>
    </row>
    <row r="4802">
      <c r="A4802" s="3"/>
      <c r="B4802" s="11" t="s">
        <v>68</v>
      </c>
      <c r="C4802" s="20"/>
      <c r="D4802" s="20"/>
      <c r="E4802" s="20"/>
      <c r="F4802" s="20"/>
      <c r="G4802" s="20"/>
    </row>
    <row r="4803">
      <c r="A4803" s="5" t="s">
        <v>1127</v>
      </c>
      <c r="B4803" s="14" t="s">
        <v>1071</v>
      </c>
      <c r="C4803" s="22">
        <f>(1)*(1)*(1)*(1)*(1 + (0))</f>
      </c>
      <c r="D4803" s="22" t="s">
        <v>71</v>
      </c>
      <c r="E4803" s="22"/>
      <c r="F4803" s="22">
        <f>(0)</f>
      </c>
      <c r="G4803" s="22">
        <f>(C4803 * E4803 + C4803 * E4803 * F4803)</f>
      </c>
    </row>
    <row r="4804">
      <c r="A4804" s="5" t="s">
        <v>1128</v>
      </c>
      <c r="B4804" s="14" t="s">
        <v>798</v>
      </c>
      <c r="C4804" s="22">
        <f>(1)*(1)*(1)*(1)*(1 + (0))</f>
      </c>
      <c r="D4804" s="22" t="s">
        <v>71</v>
      </c>
      <c r="E4804" s="22"/>
      <c r="F4804" s="22">
        <f>(0)</f>
      </c>
      <c r="G4804" s="22">
        <f>(C4804 * E4804 + C4804 * E4804 * F4804)</f>
      </c>
    </row>
    <row r="4805">
      <c r="A4805" s="5" t="s">
        <v>1129</v>
      </c>
      <c r="B4805" s="14" t="s">
        <v>812</v>
      </c>
      <c r="C4805" s="22">
        <f>(1)*(1)*(1)*(1)*(1 + (0))</f>
      </c>
      <c r="D4805" s="22" t="s">
        <v>71</v>
      </c>
      <c r="E4805" s="22"/>
      <c r="F4805" s="22">
        <f>(0)</f>
      </c>
      <c r="G4805" s="22">
        <f>(C4805 * E4805 + C4805 * E4805 * F4805)</f>
      </c>
    </row>
    <row r="4806">
      <c r="A4806" s="5" t="s">
        <v>1130</v>
      </c>
      <c r="B4806" s="14" t="s">
        <v>810</v>
      </c>
      <c r="C4806" s="22">
        <f>(1)*(1)*(1)*(1)*(1 + (0))</f>
      </c>
      <c r="D4806" s="22" t="s">
        <v>71</v>
      </c>
      <c r="E4806" s="22"/>
      <c r="F4806" s="22">
        <f>(0)</f>
      </c>
      <c r="G4806" s="22">
        <f>(C4806 * E4806 + C4806 * E4806 * F4806)</f>
      </c>
    </row>
    <row r="4807">
      <c r="A4807" s="5" t="s">
        <v>1131</v>
      </c>
      <c r="B4807" s="14" t="s">
        <v>230</v>
      </c>
      <c r="C4807" s="22">
        <f>(1)*(1)*(1)*(1)*(1 + (0))</f>
      </c>
      <c r="D4807" s="22" t="s">
        <v>71</v>
      </c>
      <c r="E4807" s="22"/>
      <c r="F4807" s="22">
        <f>(0)</f>
      </c>
      <c r="G4807" s="22">
        <f>(C4807 * E4807 + C4807 * E4807 * F4807)</f>
      </c>
    </row>
    <row r="4808">
      <c r="A4808" s="5" t="s">
        <v>1132</v>
      </c>
      <c r="B4808" s="14" t="s">
        <v>800</v>
      </c>
      <c r="C4808" s="22">
        <f>(1)*(1)*(1)*(1)*(1 + (0))</f>
      </c>
      <c r="D4808" s="22" t="s">
        <v>71</v>
      </c>
      <c r="E4808" s="22"/>
      <c r="F4808" s="22">
        <f>(0)</f>
      </c>
      <c r="G4808" s="22">
        <f>(C4808 * E4808 + C4808 * E4808 * F4808)</f>
      </c>
    </row>
    <row r="4809">
      <c r="A4809" s="5" t="s">
        <v>1133</v>
      </c>
      <c r="B4809" s="14" t="s">
        <v>70</v>
      </c>
      <c r="C4809" s="22">
        <f>(1)*(1)*(1)*(1)*(1 + (0))</f>
      </c>
      <c r="D4809" s="22" t="s">
        <v>71</v>
      </c>
      <c r="E4809" s="22"/>
      <c r="F4809" s="22">
        <f>(0)</f>
      </c>
      <c r="G4809" s="22">
        <f>(C4809 * E4809 + C4809 * E4809 * F4809)</f>
      </c>
    </row>
    <row r="4810">
      <c r="A4810" s="5" t="s">
        <v>1134</v>
      </c>
      <c r="B4810" s="14" t="s">
        <v>1135</v>
      </c>
      <c r="C4810" s="22">
        <f>(1)*(1)*(1)*(1)*(1 + (0))</f>
      </c>
      <c r="D4810" s="22" t="s">
        <v>71</v>
      </c>
      <c r="E4810" s="22"/>
      <c r="F4810" s="22">
        <f>(0)</f>
      </c>
      <c r="G4810" s="22">
        <f>(C4810 * E4810 + C4810 * E4810 * F4810)</f>
      </c>
    </row>
    <row r="4811">
      <c r="A4811" s="5" t="s">
        <v>1136</v>
      </c>
      <c r="B4811" s="14" t="s">
        <v>667</v>
      </c>
      <c r="C4811" s="22">
        <f>(1)*(1)*(1)*(1)*(1 + (0))</f>
      </c>
      <c r="D4811" s="22" t="s">
        <v>71</v>
      </c>
      <c r="E4811" s="22"/>
      <c r="F4811" s="22">
        <f>(0)</f>
      </c>
      <c r="G4811" s="22">
        <f>(C4811 * E4811 + C4811 * E4811 * F4811)</f>
      </c>
    </row>
    <row r="4812">
      <c r="A4812" s="5" t="s">
        <v>1137</v>
      </c>
      <c r="B4812" s="14" t="s">
        <v>665</v>
      </c>
      <c r="C4812" s="22">
        <f>(1)*(1)*(1)*(1)*(1 + (0))</f>
      </c>
      <c r="D4812" s="22" t="s">
        <v>71</v>
      </c>
      <c r="E4812" s="22"/>
      <c r="F4812" s="22">
        <f>(0)</f>
      </c>
      <c r="G4812" s="22">
        <f>(C4812 * E4812 + C4812 * E4812 * F4812)</f>
      </c>
    </row>
    <row r="4813">
      <c r="A4813" s="3"/>
      <c r="B4813" s="11" t="s">
        <v>106</v>
      </c>
      <c r="C4813" s="20"/>
      <c r="D4813" s="20"/>
      <c r="E4813" s="20"/>
      <c r="F4813" s="20"/>
      <c r="G4813" s="20"/>
    </row>
    <row r="4814">
      <c r="A4814" s="5"/>
      <c r="B4814" s="14" t="s">
        <v>1107</v>
      </c>
      <c r="C4814" s="22"/>
      <c r="D4814" s="22" t="s">
        <v>10</v>
      </c>
      <c r="E4814" s="22"/>
      <c r="F4814" s="22">
        <f>(0)</f>
      </c>
      <c r="G4814" s="22">
        <f>(C4814 * E4814 + C4814 * E4814 * F4814)</f>
      </c>
    </row>
    <row r="4815">
      <c r="A4815" s="3"/>
      <c r="B4815" s="11" t="s">
        <v>1139</v>
      </c>
      <c r="C4815" s="20"/>
      <c r="D4815" s="20"/>
      <c r="E4815" s="20"/>
      <c r="F4815" s="20"/>
      <c r="G4815" s="20"/>
    </row>
    <row r="4816">
      <c r="A4816" s="4"/>
      <c r="B4816" s="12" t="s">
        <v>1140</v>
      </c>
      <c r="C4816" s="21"/>
      <c r="D4816" s="21"/>
      <c r="E4816" s="21"/>
      <c r="F4816" s="21"/>
      <c r="G4816" s="21"/>
    </row>
    <row r="4817">
      <c r="A4817" s="5"/>
      <c r="B4817" s="13" t="s">
        <v>1710</v>
      </c>
      <c r="C4817" s="22">
        <f>(127)*(1)*(1)*(1)*(1 + (0))</f>
      </c>
      <c r="D4817" s="22" t="s">
        <v>24</v>
      </c>
      <c r="E4817" s="22"/>
      <c r="F4817" s="22">
        <f>(0)</f>
      </c>
      <c r="G4817" s="22">
        <f>(C4817 * E4817 + C4817 * E4817 * F4817)</f>
      </c>
    </row>
    <row r="4818">
      <c r="A4818" s="4"/>
      <c r="B4818" s="12" t="s">
        <v>1142</v>
      </c>
      <c r="C4818" s="21"/>
      <c r="D4818" s="21"/>
      <c r="E4818" s="21"/>
      <c r="F4818" s="21"/>
      <c r="G4818" s="21"/>
    </row>
    <row r="4819">
      <c r="A4819" s="5"/>
      <c r="B4819" s="13" t="s">
        <v>1710</v>
      </c>
      <c r="C4819" s="22">
        <f>(31)*(1)*(1)*(1)*(1 + (0))</f>
      </c>
      <c r="D4819" s="22" t="s">
        <v>24</v>
      </c>
      <c r="E4819" s="22"/>
      <c r="F4819" s="22">
        <f>(0)</f>
      </c>
      <c r="G4819" s="22">
        <f>(C4819 * E4819 + C4819 * E4819 * F4819)</f>
      </c>
    </row>
    <row r="4820">
      <c r="A4820" s="4"/>
      <c r="B4820" s="12" t="s">
        <v>1143</v>
      </c>
      <c r="C4820" s="21"/>
      <c r="D4820" s="21"/>
      <c r="E4820" s="21"/>
      <c r="F4820" s="21"/>
      <c r="G4820" s="21"/>
    </row>
    <row r="4821">
      <c r="A4821" s="5"/>
      <c r="B4821" s="13" t="s">
        <v>1710</v>
      </c>
      <c r="C4821" s="22">
        <f>(14)*(1)*(1)*(1)*(1 + (0))</f>
      </c>
      <c r="D4821" s="22" t="s">
        <v>24</v>
      </c>
      <c r="E4821" s="22"/>
      <c r="F4821" s="22">
        <f>(0)</f>
      </c>
      <c r="G4821" s="22">
        <f>(C4821 * E4821 + C4821 * E4821 * F4821)</f>
      </c>
    </row>
    <row r="4822">
      <c r="A4822" s="4"/>
      <c r="B4822" s="12" t="s">
        <v>2036</v>
      </c>
      <c r="C4822" s="21"/>
      <c r="D4822" s="21"/>
      <c r="E4822" s="21"/>
      <c r="F4822" s="21"/>
      <c r="G4822" s="21"/>
    </row>
    <row r="4823">
      <c r="A4823" s="5"/>
      <c r="B4823" s="13" t="s">
        <v>1710</v>
      </c>
      <c r="C4823" s="22">
        <f>(64)*(1)*(1)*(1)*(1 + (0))</f>
      </c>
      <c r="D4823" s="22" t="s">
        <v>24</v>
      </c>
      <c r="E4823" s="22"/>
      <c r="F4823" s="22">
        <f>(0)</f>
      </c>
      <c r="G4823" s="22">
        <f>(C4823 * E4823 + C4823 * E4823 * F4823)</f>
      </c>
    </row>
    <row r="4824">
      <c r="A4824" s="3"/>
      <c r="B4824" s="11" t="s">
        <v>1116</v>
      </c>
      <c r="C4824" s="20"/>
      <c r="D4824" s="20"/>
      <c r="E4824" s="20"/>
      <c r="F4824" s="20"/>
      <c r="G4824" s="20"/>
    </row>
    <row r="4825">
      <c r="A4825" s="4"/>
      <c r="B4825" s="12" t="s">
        <v>1146</v>
      </c>
      <c r="C4825" s="21"/>
      <c r="D4825" s="21"/>
      <c r="E4825" s="21"/>
      <c r="F4825" s="21"/>
      <c r="G4825" s="21"/>
    </row>
    <row r="4826">
      <c r="A4826" s="5"/>
      <c r="B4826" s="13" t="s">
        <v>1710</v>
      </c>
      <c r="C4826" s="22">
        <f>(5)*(1)*(1)*(1)*(1 + (0))</f>
      </c>
      <c r="D4826" s="22" t="s">
        <v>153</v>
      </c>
      <c r="E4826" s="22"/>
      <c r="F4826" s="22">
        <f>(0)</f>
      </c>
      <c r="G4826" s="22">
        <f>(C4826 * E4826 + C4826 * E4826 * F4826)</f>
      </c>
    </row>
    <row r="4827">
      <c r="A4827" s="3"/>
      <c r="B4827" s="11" t="s">
        <v>1119</v>
      </c>
      <c r="C4827" s="20"/>
      <c r="D4827" s="20"/>
      <c r="E4827" s="20"/>
      <c r="F4827" s="20"/>
      <c r="G4827" s="20"/>
    </row>
    <row r="4828">
      <c r="A4828" s="5"/>
      <c r="B4828" s="14" t="s">
        <v>1148</v>
      </c>
      <c r="C4828" s="22">
        <f>(235)*(1)*(1)*(1)*(1 + (0))</f>
      </c>
      <c r="D4828" s="22" t="s">
        <v>24</v>
      </c>
      <c r="E4828" s="22"/>
      <c r="F4828" s="22">
        <f>(0)</f>
      </c>
      <c r="G4828" s="22">
        <f>(C4828 * E4828 + C4828 * E4828 * F4828)</f>
      </c>
    </row>
    <row r="4829">
      <c r="A4829" s="5"/>
      <c r="B4829" s="14" t="s">
        <v>1149</v>
      </c>
      <c r="C4829" s="22">
        <f>(235)*(1)*(1)*(1)*(1 + (0))</f>
      </c>
      <c r="D4829" s="22" t="s">
        <v>24</v>
      </c>
      <c r="E4829" s="22"/>
      <c r="F4829" s="22">
        <f>(0)</f>
      </c>
      <c r="G4829" s="22">
        <f>(C4829 * E4829 + C4829 * E4829 * F4829)</f>
      </c>
    </row>
    <row r="4830">
      <c r="A4830" s="2"/>
      <c r="B4830" s="10" t="s">
        <v>1150</v>
      </c>
      <c r="C4830" s="19"/>
      <c r="D4830" s="19"/>
      <c r="E4830" s="19"/>
      <c r="F4830" s="19"/>
      <c r="G4830" s="19"/>
    </row>
    <row r="4831">
      <c r="A4831" s="3"/>
      <c r="B4831" s="11" t="s">
        <v>37</v>
      </c>
      <c r="C4831" s="20"/>
      <c r="D4831" s="20"/>
      <c r="E4831" s="20"/>
      <c r="F4831" s="20"/>
      <c r="G4831" s="20"/>
    </row>
    <row r="4832">
      <c r="A4832" s="5" t="s">
        <v>1153</v>
      </c>
      <c r="B4832" s="14" t="s">
        <v>39</v>
      </c>
      <c r="C4832" s="22"/>
      <c r="D4832" s="22" t="s">
        <v>10</v>
      </c>
      <c r="E4832" s="22"/>
      <c r="F4832" s="22">
        <f>(0)</f>
      </c>
      <c r="G4832" s="22">
        <f>(C4832 * E4832 + C4832 * E4832 * F4832)</f>
      </c>
    </row>
    <row r="4833">
      <c r="A4833" s="5" t="s">
        <v>1154</v>
      </c>
      <c r="B4833" s="14" t="s">
        <v>41</v>
      </c>
      <c r="C4833" s="22"/>
      <c r="D4833" s="22" t="s">
        <v>10</v>
      </c>
      <c r="E4833" s="22"/>
      <c r="F4833" s="22">
        <f>(0)</f>
      </c>
      <c r="G4833" s="22">
        <f>(C4833 * E4833 + C4833 * E4833 * F4833)</f>
      </c>
    </row>
    <row r="4834">
      <c r="A4834" s="3"/>
      <c r="B4834" s="11" t="s">
        <v>523</v>
      </c>
      <c r="C4834" s="20"/>
      <c r="D4834" s="20"/>
      <c r="E4834" s="20"/>
      <c r="F4834" s="20"/>
      <c r="G4834" s="20"/>
    </row>
    <row r="4835">
      <c r="A4835" s="5"/>
      <c r="B4835" s="14" t="s">
        <v>2037</v>
      </c>
      <c r="C4835" s="22"/>
      <c r="D4835" s="22" t="s">
        <v>10</v>
      </c>
      <c r="E4835" s="22"/>
      <c r="F4835" s="22">
        <f>(0)</f>
      </c>
      <c r="G4835" s="22">
        <f>(C4835 * E4835 + C4835 * E4835 * F4835)</f>
      </c>
    </row>
    <row r="4836">
      <c r="A4836" s="5"/>
      <c r="B4836" s="14" t="s">
        <v>1058</v>
      </c>
      <c r="C4836" s="22"/>
      <c r="D4836" s="22" t="s">
        <v>10</v>
      </c>
      <c r="E4836" s="22"/>
      <c r="F4836" s="22">
        <f>(0)</f>
      </c>
      <c r="G4836" s="22">
        <f>(C4836 * E4836 + C4836 * E4836 * F4836)</f>
      </c>
    </row>
    <row r="4837">
      <c r="A4837" s="5"/>
      <c r="B4837" s="14" t="s">
        <v>635</v>
      </c>
      <c r="C4837" s="22"/>
      <c r="D4837" s="22" t="s">
        <v>10</v>
      </c>
      <c r="E4837" s="22"/>
      <c r="F4837" s="22">
        <f>(0)</f>
      </c>
      <c r="G4837" s="22">
        <f>(C4837 * E4837 + C4837 * E4837 * F4837)</f>
      </c>
    </row>
    <row r="4838">
      <c r="A4838" s="3"/>
      <c r="B4838" s="11" t="s">
        <v>44</v>
      </c>
      <c r="C4838" s="20"/>
      <c r="D4838" s="20"/>
      <c r="E4838" s="20"/>
      <c r="F4838" s="20"/>
      <c r="G4838" s="20"/>
    </row>
    <row r="4839">
      <c r="A4839" s="4"/>
      <c r="B4839" s="12" t="s">
        <v>45</v>
      </c>
      <c r="C4839" s="21"/>
      <c r="D4839" s="21"/>
      <c r="E4839" s="21"/>
      <c r="F4839" s="21"/>
      <c r="G4839" s="21"/>
    </row>
    <row r="4840">
      <c r="A4840" s="5" t="s">
        <v>1158</v>
      </c>
      <c r="B4840" s="13" t="s">
        <v>898</v>
      </c>
      <c r="C4840" s="22"/>
      <c r="D4840" s="22" t="s">
        <v>10</v>
      </c>
      <c r="E4840" s="22"/>
      <c r="F4840" s="22">
        <f>(0)</f>
      </c>
      <c r="G4840" s="22">
        <f>(C4840 * E4840 + C4840 * E4840 * F4840)</f>
      </c>
    </row>
    <row r="4841">
      <c r="A4841" s="5" t="s">
        <v>1159</v>
      </c>
      <c r="B4841" s="13" t="s">
        <v>899</v>
      </c>
      <c r="C4841" s="22"/>
      <c r="D4841" s="22" t="s">
        <v>10</v>
      </c>
      <c r="E4841" s="22"/>
      <c r="F4841" s="22">
        <f>(0)</f>
      </c>
      <c r="G4841" s="22">
        <f>(C4841 * E4841 + C4841 * E4841 * F4841)</f>
      </c>
    </row>
    <row r="4842">
      <c r="A4842" s="5" t="s">
        <v>1160</v>
      </c>
      <c r="B4842" s="13" t="s">
        <v>767</v>
      </c>
      <c r="C4842" s="22"/>
      <c r="D4842" s="22" t="s">
        <v>10</v>
      </c>
      <c r="E4842" s="22"/>
      <c r="F4842" s="22">
        <f>(0)</f>
      </c>
      <c r="G4842" s="22">
        <f>(C4842 * E4842 + C4842 * E4842 * F4842)</f>
      </c>
    </row>
    <row r="4843">
      <c r="A4843" s="5" t="s">
        <v>1161</v>
      </c>
      <c r="B4843" s="13" t="s">
        <v>1162</v>
      </c>
      <c r="C4843" s="22"/>
      <c r="D4843" s="22" t="s">
        <v>10</v>
      </c>
      <c r="E4843" s="22"/>
      <c r="F4843" s="22">
        <f>(0)</f>
      </c>
      <c r="G4843" s="22">
        <f>(C4843 * E4843 + C4843 * E4843 * F4843)</f>
      </c>
    </row>
    <row r="4844">
      <c r="A4844" s="5" t="s">
        <v>1163</v>
      </c>
      <c r="B4844" s="13" t="s">
        <v>1164</v>
      </c>
      <c r="C4844" s="22"/>
      <c r="D4844" s="22" t="s">
        <v>10</v>
      </c>
      <c r="E4844" s="22"/>
      <c r="F4844" s="22">
        <f>(0)</f>
      </c>
      <c r="G4844" s="22">
        <f>(C4844 * E4844 + C4844 * E4844 * F4844)</f>
      </c>
    </row>
    <row r="4845">
      <c r="A4845" s="5" t="s">
        <v>1165</v>
      </c>
      <c r="B4845" s="13" t="s">
        <v>123</v>
      </c>
      <c r="C4845" s="22"/>
      <c r="D4845" s="22" t="s">
        <v>10</v>
      </c>
      <c r="E4845" s="22"/>
      <c r="F4845" s="22">
        <f>(0)</f>
      </c>
      <c r="G4845" s="22">
        <f>(C4845 * E4845 + C4845 * E4845 * F4845)</f>
      </c>
    </row>
    <row r="4846">
      <c r="A4846" s="3"/>
      <c r="B4846" s="11" t="s">
        <v>68</v>
      </c>
      <c r="C4846" s="20"/>
      <c r="D4846" s="20"/>
      <c r="E4846" s="20"/>
      <c r="F4846" s="20"/>
      <c r="G4846" s="20"/>
    </row>
    <row r="4847">
      <c r="A4847" s="5" t="s">
        <v>1166</v>
      </c>
      <c r="B4847" s="14" t="s">
        <v>70</v>
      </c>
      <c r="C4847" s="22">
        <f>(1)*(1)*(1)*(1)*(1 + (0))</f>
      </c>
      <c r="D4847" s="22" t="s">
        <v>71</v>
      </c>
      <c r="E4847" s="22"/>
      <c r="F4847" s="22">
        <f>(0)</f>
      </c>
      <c r="G4847" s="22">
        <f>(C4847 * E4847 + C4847 * E4847 * F4847)</f>
      </c>
    </row>
    <row r="4848">
      <c r="A4848" s="5" t="s">
        <v>1167</v>
      </c>
      <c r="B4848" s="14" t="s">
        <v>1022</v>
      </c>
      <c r="C4848" s="22">
        <f>(1)*(1)*(1)*(1)*(1 + (0))</f>
      </c>
      <c r="D4848" s="22" t="s">
        <v>71</v>
      </c>
      <c r="E4848" s="22"/>
      <c r="F4848" s="22">
        <f>(0)</f>
      </c>
      <c r="G4848" s="22">
        <f>(C4848 * E4848 + C4848 * E4848 * F4848)</f>
      </c>
    </row>
    <row r="4849">
      <c r="A4849" s="5" t="s">
        <v>1168</v>
      </c>
      <c r="B4849" s="14" t="s">
        <v>1169</v>
      </c>
      <c r="C4849" s="22">
        <f>(1)*(1)*(1)*(1)*(1 + (0))</f>
      </c>
      <c r="D4849" s="22" t="s">
        <v>71</v>
      </c>
      <c r="E4849" s="22"/>
      <c r="F4849" s="22">
        <f>(0)</f>
      </c>
      <c r="G4849" s="22">
        <f>(C4849 * E4849 + C4849 * E4849 * F4849)</f>
      </c>
    </row>
    <row r="4850">
      <c r="A4850" s="5" t="s">
        <v>1170</v>
      </c>
      <c r="B4850" s="14" t="s">
        <v>1071</v>
      </c>
      <c r="C4850" s="22">
        <f>(1)*(1)*(1)*(1)*(1 + (0))</f>
      </c>
      <c r="D4850" s="22" t="s">
        <v>71</v>
      </c>
      <c r="E4850" s="22"/>
      <c r="F4850" s="22">
        <f>(0)</f>
      </c>
      <c r="G4850" s="22">
        <f>(C4850 * E4850 + C4850 * E4850 * F4850)</f>
      </c>
    </row>
    <row r="4851">
      <c r="A4851" s="5" t="s">
        <v>1171</v>
      </c>
      <c r="B4851" s="14" t="s">
        <v>798</v>
      </c>
      <c r="C4851" s="22">
        <f>(1)*(1)*(1)*(1)*(1 + (0))</f>
      </c>
      <c r="D4851" s="22" t="s">
        <v>71</v>
      </c>
      <c r="E4851" s="22"/>
      <c r="F4851" s="22">
        <f>(0)</f>
      </c>
      <c r="G4851" s="22">
        <f>(C4851 * E4851 + C4851 * E4851 * F4851)</f>
      </c>
    </row>
    <row r="4852">
      <c r="A4852" s="5" t="s">
        <v>1172</v>
      </c>
      <c r="B4852" s="14" t="s">
        <v>665</v>
      </c>
      <c r="C4852" s="22">
        <f>(1)*(1)*(1)*(1)*(1 + (0))</f>
      </c>
      <c r="D4852" s="22" t="s">
        <v>71</v>
      </c>
      <c r="E4852" s="22"/>
      <c r="F4852" s="22">
        <f>(0)</f>
      </c>
      <c r="G4852" s="22">
        <f>(C4852 * E4852 + C4852 * E4852 * F4852)</f>
      </c>
    </row>
    <row r="4853">
      <c r="A4853" s="3"/>
      <c r="B4853" s="11" t="s">
        <v>106</v>
      </c>
      <c r="C4853" s="20"/>
      <c r="D4853" s="20"/>
      <c r="E4853" s="20"/>
      <c r="F4853" s="20"/>
      <c r="G4853" s="20"/>
    </row>
    <row r="4854">
      <c r="A4854" s="5"/>
      <c r="B4854" s="14" t="s">
        <v>2038</v>
      </c>
      <c r="C4854" s="22"/>
      <c r="D4854" s="22" t="s">
        <v>10</v>
      </c>
      <c r="E4854" s="22"/>
      <c r="F4854" s="22">
        <f>(0)</f>
      </c>
      <c r="G4854" s="22">
        <f>(C4854 * E4854 + C4854 * E4854 * F4854)</f>
      </c>
    </row>
    <row r="4855">
      <c r="A4855" s="3"/>
      <c r="B4855" s="11" t="s">
        <v>2039</v>
      </c>
      <c r="C4855" s="20"/>
      <c r="D4855" s="20"/>
      <c r="E4855" s="20"/>
      <c r="F4855" s="20"/>
      <c r="G4855" s="20"/>
    </row>
    <row r="4856">
      <c r="A4856" s="4"/>
      <c r="B4856" s="12" t="s">
        <v>2040</v>
      </c>
      <c r="C4856" s="21"/>
      <c r="D4856" s="21"/>
      <c r="E4856" s="21"/>
      <c r="F4856" s="21"/>
      <c r="G4856" s="21"/>
    </row>
    <row r="4857">
      <c r="A4857" s="5"/>
      <c r="B4857" s="13" t="s">
        <v>1710</v>
      </c>
      <c r="C4857" s="22">
        <f>(10)*(1)*(1)*(1)*(1 + (0))</f>
      </c>
      <c r="D4857" s="22" t="s">
        <v>24</v>
      </c>
      <c r="E4857" s="22"/>
      <c r="F4857" s="22">
        <f>(0)</f>
      </c>
      <c r="G4857" s="22">
        <f>(C4857 * E4857 + C4857 * E4857 * F4857)</f>
      </c>
    </row>
    <row r="4858">
      <c r="A4858" s="4"/>
      <c r="B4858" s="12" t="s">
        <v>2041</v>
      </c>
      <c r="C4858" s="21"/>
      <c r="D4858" s="21"/>
      <c r="E4858" s="21"/>
      <c r="F4858" s="21"/>
      <c r="G4858" s="21"/>
    </row>
    <row r="4859">
      <c r="A4859" s="5"/>
      <c r="B4859" s="13" t="s">
        <v>1710</v>
      </c>
      <c r="C4859" s="22">
        <f>(52)*(1)*(1)*(1)*(1 + (0))</f>
      </c>
      <c r="D4859" s="22" t="s">
        <v>24</v>
      </c>
      <c r="E4859" s="22"/>
      <c r="F4859" s="22">
        <f>(0)</f>
      </c>
      <c r="G4859" s="22">
        <f>(C4859 * E4859 + C4859 * E4859 * F4859)</f>
      </c>
    </row>
    <row r="4860">
      <c r="A4860" s="4"/>
      <c r="B4860" s="12" t="s">
        <v>2042</v>
      </c>
      <c r="C4860" s="21"/>
      <c r="D4860" s="21"/>
      <c r="E4860" s="21"/>
      <c r="F4860" s="21"/>
      <c r="G4860" s="21"/>
    </row>
    <row r="4861">
      <c r="A4861" s="5"/>
      <c r="B4861" s="13" t="s">
        <v>1710</v>
      </c>
      <c r="C4861" s="22">
        <f>(308)*(1)*(1)*(1)*(1 + (0))</f>
      </c>
      <c r="D4861" s="22" t="s">
        <v>24</v>
      </c>
      <c r="E4861" s="22"/>
      <c r="F4861" s="22">
        <f>(0)</f>
      </c>
      <c r="G4861" s="22">
        <f>(C4861 * E4861 + C4861 * E4861 * F4861)</f>
      </c>
    </row>
    <row r="4862">
      <c r="A4862" s="3"/>
      <c r="B4862" s="11" t="s">
        <v>1116</v>
      </c>
      <c r="C4862" s="20"/>
      <c r="D4862" s="20"/>
      <c r="E4862" s="20"/>
      <c r="F4862" s="20"/>
      <c r="G4862" s="20"/>
    </row>
    <row r="4863">
      <c r="A4863" s="4"/>
      <c r="B4863" s="12" t="s">
        <v>2043</v>
      </c>
      <c r="C4863" s="21"/>
      <c r="D4863" s="21"/>
      <c r="E4863" s="21"/>
      <c r="F4863" s="21"/>
      <c r="G4863" s="21"/>
    </row>
    <row r="4864">
      <c r="A4864" s="5"/>
      <c r="B4864" s="13" t="s">
        <v>1710</v>
      </c>
      <c r="C4864" s="22">
        <f>(7)*(1)*(1)*(1)*(1 + (0))</f>
      </c>
      <c r="D4864" s="22" t="s">
        <v>153</v>
      </c>
      <c r="E4864" s="22"/>
      <c r="F4864" s="22">
        <f>(0)</f>
      </c>
      <c r="G4864" s="22">
        <f>(C4864 * E4864 + C4864 * E4864 * F4864)</f>
      </c>
    </row>
    <row r="4865">
      <c r="A4865" s="2"/>
      <c r="B4865" s="10" t="s">
        <v>1151</v>
      </c>
      <c r="C4865" s="19"/>
      <c r="D4865" s="19"/>
      <c r="E4865" s="19"/>
      <c r="F4865" s="19"/>
      <c r="G4865" s="19"/>
    </row>
    <row r="4866">
      <c r="A4866" s="3"/>
      <c r="B4866" s="11" t="s">
        <v>37</v>
      </c>
      <c r="C4866" s="20"/>
      <c r="D4866" s="20"/>
      <c r="E4866" s="20"/>
      <c r="F4866" s="20"/>
      <c r="G4866" s="20"/>
    </row>
    <row r="4867">
      <c r="A4867" s="5" t="s">
        <v>1753</v>
      </c>
      <c r="B4867" s="14" t="s">
        <v>39</v>
      </c>
      <c r="C4867" s="22"/>
      <c r="D4867" s="22" t="s">
        <v>10</v>
      </c>
      <c r="E4867" s="22"/>
      <c r="F4867" s="22">
        <f>(0)</f>
      </c>
      <c r="G4867" s="22">
        <f>(C4867 * E4867 + C4867 * E4867 * F4867)</f>
      </c>
    </row>
    <row r="4868">
      <c r="A4868" s="5" t="s">
        <v>1754</v>
      </c>
      <c r="B4868" s="14" t="s">
        <v>41</v>
      </c>
      <c r="C4868" s="22"/>
      <c r="D4868" s="22" t="s">
        <v>10</v>
      </c>
      <c r="E4868" s="22"/>
      <c r="F4868" s="22">
        <f>(0)</f>
      </c>
      <c r="G4868" s="22">
        <f>(C4868 * E4868 + C4868 * E4868 * F4868)</f>
      </c>
    </row>
    <row r="4869">
      <c r="A4869" s="3"/>
      <c r="B4869" s="11" t="s">
        <v>44</v>
      </c>
      <c r="C4869" s="20"/>
      <c r="D4869" s="20"/>
      <c r="E4869" s="20"/>
      <c r="F4869" s="20"/>
      <c r="G4869" s="20"/>
    </row>
    <row r="4870">
      <c r="A4870" s="4"/>
      <c r="B4870" s="12" t="s">
        <v>45</v>
      </c>
      <c r="C4870" s="21"/>
      <c r="D4870" s="21"/>
      <c r="E4870" s="21"/>
      <c r="F4870" s="21"/>
      <c r="G4870" s="21"/>
    </row>
    <row r="4871">
      <c r="A4871" s="5" t="s">
        <v>1755</v>
      </c>
      <c r="B4871" s="13" t="s">
        <v>898</v>
      </c>
      <c r="C4871" s="22"/>
      <c r="D4871" s="22" t="s">
        <v>10</v>
      </c>
      <c r="E4871" s="22"/>
      <c r="F4871" s="22">
        <f>(0)</f>
      </c>
      <c r="G4871" s="22">
        <f>(C4871 * E4871 + C4871 * E4871 * F4871)</f>
      </c>
    </row>
    <row r="4872">
      <c r="A4872" s="5" t="s">
        <v>1756</v>
      </c>
      <c r="B4872" s="13" t="s">
        <v>899</v>
      </c>
      <c r="C4872" s="22"/>
      <c r="D4872" s="22" t="s">
        <v>10</v>
      </c>
      <c r="E4872" s="22"/>
      <c r="F4872" s="22">
        <f>(0)</f>
      </c>
      <c r="G4872" s="22">
        <f>(C4872 * E4872 + C4872 * E4872 * F4872)</f>
      </c>
    </row>
    <row r="4873">
      <c r="A4873" s="5" t="s">
        <v>1757</v>
      </c>
      <c r="B4873" s="13" t="s">
        <v>767</v>
      </c>
      <c r="C4873" s="22"/>
      <c r="D4873" s="22" t="s">
        <v>10</v>
      </c>
      <c r="E4873" s="22"/>
      <c r="F4873" s="22">
        <f>(0)</f>
      </c>
      <c r="G4873" s="22">
        <f>(C4873 * E4873 + C4873 * E4873 * F4873)</f>
      </c>
    </row>
    <row r="4874">
      <c r="A4874" s="5" t="s">
        <v>1758</v>
      </c>
      <c r="B4874" s="13" t="s">
        <v>1162</v>
      </c>
      <c r="C4874" s="22"/>
      <c r="D4874" s="22" t="s">
        <v>10</v>
      </c>
      <c r="E4874" s="22"/>
      <c r="F4874" s="22">
        <f>(0)</f>
      </c>
      <c r="G4874" s="22">
        <f>(C4874 * E4874 + C4874 * E4874 * F4874)</f>
      </c>
    </row>
    <row r="4875">
      <c r="A4875" s="5" t="s">
        <v>1759</v>
      </c>
      <c r="B4875" s="13" t="s">
        <v>1164</v>
      </c>
      <c r="C4875" s="22"/>
      <c r="D4875" s="22" t="s">
        <v>10</v>
      </c>
      <c r="E4875" s="22"/>
      <c r="F4875" s="22">
        <f>(0)</f>
      </c>
      <c r="G4875" s="22">
        <f>(C4875 * E4875 + C4875 * E4875 * F4875)</f>
      </c>
    </row>
    <row r="4876">
      <c r="A4876" s="5" t="s">
        <v>1760</v>
      </c>
      <c r="B4876" s="13" t="s">
        <v>123</v>
      </c>
      <c r="C4876" s="22"/>
      <c r="D4876" s="22" t="s">
        <v>10</v>
      </c>
      <c r="E4876" s="22"/>
      <c r="F4876" s="22">
        <f>(0)</f>
      </c>
      <c r="G4876" s="22">
        <f>(C4876 * E4876 + C4876 * E4876 * F4876)</f>
      </c>
    </row>
    <row r="4877">
      <c r="A4877" s="3"/>
      <c r="B4877" s="11" t="s">
        <v>68</v>
      </c>
      <c r="C4877" s="20"/>
      <c r="D4877" s="20"/>
      <c r="E4877" s="20"/>
      <c r="F4877" s="20"/>
      <c r="G4877" s="20"/>
    </row>
    <row r="4878">
      <c r="A4878" s="5" t="s">
        <v>1761</v>
      </c>
      <c r="B4878" s="14" t="s">
        <v>70</v>
      </c>
      <c r="C4878" s="22">
        <f>(1)*(1)*(1)*(1)*(1 + (0))</f>
      </c>
      <c r="D4878" s="22" t="s">
        <v>71</v>
      </c>
      <c r="E4878" s="22"/>
      <c r="F4878" s="22">
        <f>(0)</f>
      </c>
      <c r="G4878" s="22">
        <f>(C4878 * E4878 + C4878 * E4878 * F4878)</f>
      </c>
    </row>
    <row r="4879">
      <c r="A4879" s="5" t="s">
        <v>1762</v>
      </c>
      <c r="B4879" s="14" t="s">
        <v>1022</v>
      </c>
      <c r="C4879" s="22">
        <f>(1)*(1)*(1)*(1)*(1 + (0))</f>
      </c>
      <c r="D4879" s="22" t="s">
        <v>71</v>
      </c>
      <c r="E4879" s="22"/>
      <c r="F4879" s="22">
        <f>(0)</f>
      </c>
      <c r="G4879" s="22">
        <f>(C4879 * E4879 + C4879 * E4879 * F4879)</f>
      </c>
    </row>
    <row r="4880">
      <c r="A4880" s="5" t="s">
        <v>1763</v>
      </c>
      <c r="B4880" s="14" t="s">
        <v>1169</v>
      </c>
      <c r="C4880" s="22">
        <f>(1)*(1)*(1)*(1)*(1 + (0))</f>
      </c>
      <c r="D4880" s="22" t="s">
        <v>71</v>
      </c>
      <c r="E4880" s="22"/>
      <c r="F4880" s="22">
        <f>(0)</f>
      </c>
      <c r="G4880" s="22">
        <f>(C4880 * E4880 + C4880 * E4880 * F4880)</f>
      </c>
    </row>
    <row r="4881">
      <c r="A4881" s="5" t="s">
        <v>1764</v>
      </c>
      <c r="B4881" s="14" t="s">
        <v>1071</v>
      </c>
      <c r="C4881" s="22">
        <f>(1)*(1)*(1)*(1)*(1 + (0))</f>
      </c>
      <c r="D4881" s="22" t="s">
        <v>71</v>
      </c>
      <c r="E4881" s="22"/>
      <c r="F4881" s="22">
        <f>(0)</f>
      </c>
      <c r="G4881" s="22">
        <f>(C4881 * E4881 + C4881 * E4881 * F4881)</f>
      </c>
    </row>
    <row r="4882">
      <c r="A4882" s="5" t="s">
        <v>1765</v>
      </c>
      <c r="B4882" s="14" t="s">
        <v>798</v>
      </c>
      <c r="C4882" s="22">
        <f>(1)*(1)*(1)*(1)*(1 + (0))</f>
      </c>
      <c r="D4882" s="22" t="s">
        <v>71</v>
      </c>
      <c r="E4882" s="22"/>
      <c r="F4882" s="22">
        <f>(0)</f>
      </c>
      <c r="G4882" s="22">
        <f>(C4882 * E4882 + C4882 * E4882 * F4882)</f>
      </c>
    </row>
    <row r="4883">
      <c r="A4883" s="5" t="s">
        <v>1766</v>
      </c>
      <c r="B4883" s="14" t="s">
        <v>665</v>
      </c>
      <c r="C4883" s="22">
        <f>(1)*(1)*(1)*(1)*(1 + (0))</f>
      </c>
      <c r="D4883" s="22" t="s">
        <v>71</v>
      </c>
      <c r="E4883" s="22"/>
      <c r="F4883" s="22">
        <f>(0)</f>
      </c>
      <c r="G4883" s="22">
        <f>(C4883 * E4883 + C4883 * E4883 * F4883)</f>
      </c>
    </row>
    <row r="4884">
      <c r="A4884" s="3"/>
      <c r="B4884" s="11" t="s">
        <v>1767</v>
      </c>
      <c r="C4884" s="20"/>
      <c r="D4884" s="20"/>
      <c r="E4884" s="20"/>
      <c r="F4884" s="20"/>
      <c r="G4884" s="20"/>
    </row>
    <row r="4885">
      <c r="A4885" s="4"/>
      <c r="B4885" s="12" t="s">
        <v>1768</v>
      </c>
      <c r="C4885" s="21"/>
      <c r="D4885" s="21"/>
      <c r="E4885" s="21"/>
      <c r="F4885" s="21"/>
      <c r="G4885" s="21"/>
    </row>
    <row r="4886">
      <c r="A4886" s="5"/>
      <c r="B4886" s="13" t="s">
        <v>1942</v>
      </c>
      <c r="C4886" s="22">
        <f>(47)*(1)*(1)*(1)*(1 + (0))</f>
      </c>
      <c r="D4886" s="22" t="s">
        <v>153</v>
      </c>
      <c r="E4886" s="22"/>
      <c r="F4886" s="22">
        <f>(0)</f>
      </c>
      <c r="G4886" s="22">
        <f>(C4886 * E4886 + C4886 * E4886 * F4886)</f>
      </c>
    </row>
    <row r="4887">
      <c r="A4887" s="2"/>
      <c r="B4887" s="10" t="s">
        <v>1152</v>
      </c>
      <c r="C4887" s="19"/>
      <c r="D4887" s="19"/>
      <c r="E4887" s="19"/>
      <c r="F4887" s="19"/>
      <c r="G4887" s="19"/>
    </row>
    <row r="4888">
      <c r="A4888" s="3"/>
      <c r="B4888" s="11" t="s">
        <v>37</v>
      </c>
      <c r="C4888" s="20"/>
      <c r="D4888" s="20"/>
      <c r="E4888" s="20"/>
      <c r="F4888" s="20"/>
      <c r="G4888" s="20"/>
    </row>
    <row r="4889">
      <c r="A4889" s="5" t="s">
        <v>1153</v>
      </c>
      <c r="B4889" s="14" t="s">
        <v>39</v>
      </c>
      <c r="C4889" s="22"/>
      <c r="D4889" s="22" t="s">
        <v>10</v>
      </c>
      <c r="E4889" s="22"/>
      <c r="F4889" s="22">
        <f>(0)</f>
      </c>
      <c r="G4889" s="22">
        <f>(C4889 * E4889 + C4889 * E4889 * F4889)</f>
      </c>
    </row>
    <row r="4890">
      <c r="A4890" s="5" t="s">
        <v>1154</v>
      </c>
      <c r="B4890" s="14" t="s">
        <v>41</v>
      </c>
      <c r="C4890" s="22"/>
      <c r="D4890" s="22" t="s">
        <v>10</v>
      </c>
      <c r="E4890" s="22"/>
      <c r="F4890" s="22">
        <f>(0)</f>
      </c>
      <c r="G4890" s="22">
        <f>(C4890 * E4890 + C4890 * E4890 * F4890)</f>
      </c>
    </row>
    <row r="4891">
      <c r="A4891" s="3"/>
      <c r="B4891" s="11" t="s">
        <v>44</v>
      </c>
      <c r="C4891" s="20"/>
      <c r="D4891" s="20"/>
      <c r="E4891" s="20"/>
      <c r="F4891" s="20"/>
      <c r="G4891" s="20"/>
    </row>
    <row r="4892">
      <c r="A4892" s="4"/>
      <c r="B4892" s="12" t="s">
        <v>45</v>
      </c>
      <c r="C4892" s="21"/>
      <c r="D4892" s="21"/>
      <c r="E4892" s="21"/>
      <c r="F4892" s="21"/>
      <c r="G4892" s="21"/>
    </row>
    <row r="4893">
      <c r="A4893" s="5" t="s">
        <v>1158</v>
      </c>
      <c r="B4893" s="13" t="s">
        <v>898</v>
      </c>
      <c r="C4893" s="22"/>
      <c r="D4893" s="22" t="s">
        <v>10</v>
      </c>
      <c r="E4893" s="22"/>
      <c r="F4893" s="22">
        <f>(0)</f>
      </c>
      <c r="G4893" s="22">
        <f>(C4893 * E4893 + C4893 * E4893 * F4893)</f>
      </c>
    </row>
    <row r="4894">
      <c r="A4894" s="5" t="s">
        <v>1159</v>
      </c>
      <c r="B4894" s="13" t="s">
        <v>899</v>
      </c>
      <c r="C4894" s="22"/>
      <c r="D4894" s="22" t="s">
        <v>10</v>
      </c>
      <c r="E4894" s="22"/>
      <c r="F4894" s="22">
        <f>(0)</f>
      </c>
      <c r="G4894" s="22">
        <f>(C4894 * E4894 + C4894 * E4894 * F4894)</f>
      </c>
    </row>
    <row r="4895">
      <c r="A4895" s="5" t="s">
        <v>1160</v>
      </c>
      <c r="B4895" s="13" t="s">
        <v>767</v>
      </c>
      <c r="C4895" s="22"/>
      <c r="D4895" s="22" t="s">
        <v>10</v>
      </c>
      <c r="E4895" s="22"/>
      <c r="F4895" s="22">
        <f>(0)</f>
      </c>
      <c r="G4895" s="22">
        <f>(C4895 * E4895 + C4895 * E4895 * F4895)</f>
      </c>
    </row>
    <row r="4896">
      <c r="A4896" s="5" t="s">
        <v>1161</v>
      </c>
      <c r="B4896" s="13" t="s">
        <v>1162</v>
      </c>
      <c r="C4896" s="22"/>
      <c r="D4896" s="22" t="s">
        <v>10</v>
      </c>
      <c r="E4896" s="22"/>
      <c r="F4896" s="22">
        <f>(0)</f>
      </c>
      <c r="G4896" s="22">
        <f>(C4896 * E4896 + C4896 * E4896 * F4896)</f>
      </c>
    </row>
    <row r="4897">
      <c r="A4897" s="5" t="s">
        <v>1163</v>
      </c>
      <c r="B4897" s="13" t="s">
        <v>1164</v>
      </c>
      <c r="C4897" s="22"/>
      <c r="D4897" s="22" t="s">
        <v>10</v>
      </c>
      <c r="E4897" s="22"/>
      <c r="F4897" s="22">
        <f>(0)</f>
      </c>
      <c r="G4897" s="22">
        <f>(C4897 * E4897 + C4897 * E4897 * F4897)</f>
      </c>
    </row>
    <row r="4898">
      <c r="A4898" s="5" t="s">
        <v>1165</v>
      </c>
      <c r="B4898" s="13" t="s">
        <v>123</v>
      </c>
      <c r="C4898" s="22"/>
      <c r="D4898" s="22" t="s">
        <v>10</v>
      </c>
      <c r="E4898" s="22"/>
      <c r="F4898" s="22">
        <f>(0)</f>
      </c>
      <c r="G4898" s="22">
        <f>(C4898 * E4898 + C4898 * E4898 * F4898)</f>
      </c>
    </row>
    <row r="4899">
      <c r="A4899" s="3"/>
      <c r="B4899" s="11" t="s">
        <v>42</v>
      </c>
      <c r="C4899" s="20"/>
      <c r="D4899" s="20"/>
      <c r="E4899" s="20"/>
      <c r="F4899" s="20"/>
      <c r="G4899" s="20"/>
    </row>
    <row r="4900">
      <c r="A4900" s="5"/>
      <c r="B4900" s="14" t="s">
        <v>1155</v>
      </c>
      <c r="C4900" s="22"/>
      <c r="D4900" s="22" t="s">
        <v>10</v>
      </c>
      <c r="E4900" s="22"/>
      <c r="F4900" s="22">
        <f>(0)</f>
      </c>
      <c r="G4900" s="22">
        <f>(C4900 * E4900 + C4900 * E4900 * F4900)</f>
      </c>
    </row>
    <row r="4901">
      <c r="A4901" s="5"/>
      <c r="B4901" s="14" t="s">
        <v>1156</v>
      </c>
      <c r="C4901" s="22"/>
      <c r="D4901" s="22" t="s">
        <v>10</v>
      </c>
      <c r="E4901" s="22"/>
      <c r="F4901" s="22">
        <f>(0)</f>
      </c>
      <c r="G4901" s="22">
        <f>(C4901 * E4901 + C4901 * E4901 * F4901)</f>
      </c>
    </row>
    <row r="4902">
      <c r="A4902" s="5"/>
      <c r="B4902" s="14" t="s">
        <v>1157</v>
      </c>
      <c r="C4902" s="22"/>
      <c r="D4902" s="22" t="s">
        <v>10</v>
      </c>
      <c r="E4902" s="22"/>
      <c r="F4902" s="22">
        <f>(0)</f>
      </c>
      <c r="G4902" s="22">
        <f>(C4902 * E4902 + C4902 * E4902 * F4902)</f>
      </c>
    </row>
    <row r="4903">
      <c r="A4903" s="3"/>
      <c r="B4903" s="11" t="s">
        <v>68</v>
      </c>
      <c r="C4903" s="20"/>
      <c r="D4903" s="20"/>
      <c r="E4903" s="20"/>
      <c r="F4903" s="20"/>
      <c r="G4903" s="20"/>
    </row>
    <row r="4904">
      <c r="A4904" s="5" t="s">
        <v>1166</v>
      </c>
      <c r="B4904" s="14" t="s">
        <v>70</v>
      </c>
      <c r="C4904" s="22">
        <f>(1)*(1)*(1)*(1)*(1 + (0))</f>
      </c>
      <c r="D4904" s="22" t="s">
        <v>71</v>
      </c>
      <c r="E4904" s="22"/>
      <c r="F4904" s="22">
        <f>(0)</f>
      </c>
      <c r="G4904" s="22">
        <f>(C4904 * E4904 + C4904 * E4904 * F4904)</f>
      </c>
    </row>
    <row r="4905">
      <c r="A4905" s="5" t="s">
        <v>1167</v>
      </c>
      <c r="B4905" s="14" t="s">
        <v>1022</v>
      </c>
      <c r="C4905" s="22">
        <f>(1)*(1)*(1)*(1)*(1 + (0))</f>
      </c>
      <c r="D4905" s="22" t="s">
        <v>71</v>
      </c>
      <c r="E4905" s="22"/>
      <c r="F4905" s="22">
        <f>(0)</f>
      </c>
      <c r="G4905" s="22">
        <f>(C4905 * E4905 + C4905 * E4905 * F4905)</f>
      </c>
    </row>
    <row r="4906">
      <c r="A4906" s="5" t="s">
        <v>1168</v>
      </c>
      <c r="B4906" s="14" t="s">
        <v>1169</v>
      </c>
      <c r="C4906" s="22">
        <f>(1)*(1)*(1)*(1)*(1 + (0))</f>
      </c>
      <c r="D4906" s="22" t="s">
        <v>71</v>
      </c>
      <c r="E4906" s="22"/>
      <c r="F4906" s="22">
        <f>(0)</f>
      </c>
      <c r="G4906" s="22">
        <f>(C4906 * E4906 + C4906 * E4906 * F4906)</f>
      </c>
    </row>
    <row r="4907">
      <c r="A4907" s="5" t="s">
        <v>1170</v>
      </c>
      <c r="B4907" s="14" t="s">
        <v>1071</v>
      </c>
      <c r="C4907" s="22">
        <f>(1)*(1)*(1)*(1)*(1 + (0))</f>
      </c>
      <c r="D4907" s="22" t="s">
        <v>71</v>
      </c>
      <c r="E4907" s="22"/>
      <c r="F4907" s="22">
        <f>(0)</f>
      </c>
      <c r="G4907" s="22">
        <f>(C4907 * E4907 + C4907 * E4907 * F4907)</f>
      </c>
    </row>
    <row r="4908">
      <c r="A4908" s="5" t="s">
        <v>1171</v>
      </c>
      <c r="B4908" s="14" t="s">
        <v>798</v>
      </c>
      <c r="C4908" s="22">
        <f>(1)*(1)*(1)*(1)*(1 + (0))</f>
      </c>
      <c r="D4908" s="22" t="s">
        <v>71</v>
      </c>
      <c r="E4908" s="22"/>
      <c r="F4908" s="22">
        <f>(0)</f>
      </c>
      <c r="G4908" s="22">
        <f>(C4908 * E4908 + C4908 * E4908 * F4908)</f>
      </c>
    </row>
    <row r="4909">
      <c r="A4909" s="5" t="s">
        <v>1172</v>
      </c>
      <c r="B4909" s="14" t="s">
        <v>665</v>
      </c>
      <c r="C4909" s="22">
        <f>(1)*(1)*(1)*(1)*(1 + (0))</f>
      </c>
      <c r="D4909" s="22" t="s">
        <v>71</v>
      </c>
      <c r="E4909" s="22"/>
      <c r="F4909" s="22">
        <f>(0)</f>
      </c>
      <c r="G4909" s="22">
        <f>(C4909 * E4909 + C4909 * E4909 * F4909)</f>
      </c>
    </row>
    <row r="4910">
      <c r="A4910" s="3"/>
      <c r="B4910" s="11" t="s">
        <v>106</v>
      </c>
      <c r="C4910" s="20"/>
      <c r="D4910" s="20"/>
      <c r="E4910" s="20"/>
      <c r="F4910" s="20"/>
      <c r="G4910" s="20"/>
    </row>
    <row r="4911">
      <c r="A4911" s="5"/>
      <c r="B4911" s="14" t="s">
        <v>1173</v>
      </c>
      <c r="C4911" s="22"/>
      <c r="D4911" s="22" t="s">
        <v>10</v>
      </c>
      <c r="E4911" s="22"/>
      <c r="F4911" s="22">
        <f>(0)</f>
      </c>
      <c r="G4911" s="22">
        <f>(C4911 * E4911 + C4911 * E4911 * F4911)</f>
      </c>
    </row>
    <row r="4912">
      <c r="A4912" s="5"/>
      <c r="B4912" s="14" t="s">
        <v>1174</v>
      </c>
      <c r="C4912" s="22"/>
      <c r="D4912" s="22" t="s">
        <v>10</v>
      </c>
      <c r="E4912" s="22"/>
      <c r="F4912" s="22">
        <f>(0)</f>
      </c>
      <c r="G4912" s="22">
        <f>(C4912 * E4912 + C4912 * E4912 * F4912)</f>
      </c>
    </row>
    <row r="4913">
      <c r="A4913" s="5"/>
      <c r="B4913" s="14" t="s">
        <v>1175</v>
      </c>
      <c r="C4913" s="22"/>
      <c r="D4913" s="22" t="s">
        <v>10</v>
      </c>
      <c r="E4913" s="22"/>
      <c r="F4913" s="22">
        <f>(0)</f>
      </c>
      <c r="G4913" s="22">
        <f>(C4913 * E4913 + C4913 * E4913 * F4913)</f>
      </c>
    </row>
    <row r="4914">
      <c r="A4914" s="5"/>
      <c r="B4914" s="14" t="s">
        <v>1176</v>
      </c>
      <c r="C4914" s="22"/>
      <c r="D4914" s="22" t="s">
        <v>10</v>
      </c>
      <c r="E4914" s="22"/>
      <c r="F4914" s="22">
        <f>(0)</f>
      </c>
      <c r="G4914" s="22">
        <f>(C4914 * E4914 + C4914 * E4914 * F4914)</f>
      </c>
    </row>
    <row r="4915">
      <c r="A4915" s="5"/>
      <c r="B4915" s="14" t="s">
        <v>1177</v>
      </c>
      <c r="C4915" s="22"/>
      <c r="D4915" s="22" t="s">
        <v>10</v>
      </c>
      <c r="E4915" s="22"/>
      <c r="F4915" s="22">
        <f>(0)</f>
      </c>
      <c r="G4915" s="22">
        <f>(C4915 * E4915 + C4915 * E4915 * F4915)</f>
      </c>
    </row>
    <row r="4916">
      <c r="A4916" s="5"/>
      <c r="B4916" s="14" t="s">
        <v>1178</v>
      </c>
      <c r="C4916" s="22"/>
      <c r="D4916" s="22" t="s">
        <v>10</v>
      </c>
      <c r="E4916" s="22"/>
      <c r="F4916" s="22">
        <f>(0)</f>
      </c>
      <c r="G4916" s="22">
        <f>(C4916 * E4916 + C4916 * E4916 * F4916)</f>
      </c>
    </row>
    <row r="4917">
      <c r="A4917" s="5"/>
      <c r="B4917" s="14" t="s">
        <v>1179</v>
      </c>
      <c r="C4917" s="22"/>
      <c r="D4917" s="22" t="s">
        <v>10</v>
      </c>
      <c r="E4917" s="22"/>
      <c r="F4917" s="22">
        <f>(0)</f>
      </c>
      <c r="G4917" s="22">
        <f>(C4917 * E4917 + C4917 * E4917 * F4917)</f>
      </c>
    </row>
    <row r="4918">
      <c r="A4918" s="5"/>
      <c r="B4918" s="14" t="s">
        <v>1180</v>
      </c>
      <c r="C4918" s="22"/>
      <c r="D4918" s="22" t="s">
        <v>10</v>
      </c>
      <c r="E4918" s="22"/>
      <c r="F4918" s="22">
        <f>(0)</f>
      </c>
      <c r="G4918" s="22">
        <f>(C4918 * E4918 + C4918 * E4918 * F4918)</f>
      </c>
    </row>
    <row r="4919">
      <c r="A4919" s="5"/>
      <c r="B4919" s="14" t="s">
        <v>1181</v>
      </c>
      <c r="C4919" s="22"/>
      <c r="D4919" s="22" t="s">
        <v>10</v>
      </c>
      <c r="E4919" s="22"/>
      <c r="F4919" s="22">
        <f>(0)</f>
      </c>
      <c r="G4919" s="22">
        <f>(C4919 * E4919 + C4919 * E4919 * F4919)</f>
      </c>
    </row>
    <row r="4920">
      <c r="A4920" s="5"/>
      <c r="B4920" s="14" t="s">
        <v>1182</v>
      </c>
      <c r="C4920" s="22"/>
      <c r="D4920" s="22" t="s">
        <v>10</v>
      </c>
      <c r="E4920" s="22"/>
      <c r="F4920" s="22">
        <f>(0)</f>
      </c>
      <c r="G4920" s="22">
        <f>(C4920 * E4920 + C4920 * E4920 * F4920)</f>
      </c>
    </row>
    <row r="4921">
      <c r="A4921" s="5"/>
      <c r="B4921" s="14" t="s">
        <v>1183</v>
      </c>
      <c r="C4921" s="22"/>
      <c r="D4921" s="22" t="s">
        <v>10</v>
      </c>
      <c r="E4921" s="22"/>
      <c r="F4921" s="22">
        <f>(0)</f>
      </c>
      <c r="G4921" s="22">
        <f>(C4921 * E4921 + C4921 * E4921 * F4921)</f>
      </c>
    </row>
    <row r="4922">
      <c r="A4922" s="5"/>
      <c r="B4922" s="14" t="s">
        <v>1184</v>
      </c>
      <c r="C4922" s="22"/>
      <c r="D4922" s="22" t="s">
        <v>10</v>
      </c>
      <c r="E4922" s="22"/>
      <c r="F4922" s="22">
        <f>(0)</f>
      </c>
      <c r="G4922" s="22">
        <f>(C4922 * E4922 + C4922 * E4922 * F4922)</f>
      </c>
    </row>
    <row r="4923">
      <c r="A4923" s="5"/>
      <c r="B4923" s="14" t="s">
        <v>1185</v>
      </c>
      <c r="C4923" s="22"/>
      <c r="D4923" s="22" t="s">
        <v>10</v>
      </c>
      <c r="E4923" s="22"/>
      <c r="F4923" s="22">
        <f>(0)</f>
      </c>
      <c r="G4923" s="22">
        <f>(C4923 * E4923 + C4923 * E4923 * F4923)</f>
      </c>
    </row>
    <row r="4924">
      <c r="A4924" s="5"/>
      <c r="B4924" s="14" t="s">
        <v>1186</v>
      </c>
      <c r="C4924" s="22"/>
      <c r="D4924" s="22" t="s">
        <v>10</v>
      </c>
      <c r="E4924" s="22"/>
      <c r="F4924" s="22">
        <f>(0)</f>
      </c>
      <c r="G4924" s="22">
        <f>(C4924 * E4924 + C4924 * E4924 * F4924)</f>
      </c>
    </row>
    <row r="4925">
      <c r="A4925" s="5"/>
      <c r="B4925" s="14" t="s">
        <v>1187</v>
      </c>
      <c r="C4925" s="22"/>
      <c r="D4925" s="22" t="s">
        <v>10</v>
      </c>
      <c r="E4925" s="22"/>
      <c r="F4925" s="22">
        <f>(0)</f>
      </c>
      <c r="G4925" s="22">
        <f>(C4925 * E4925 + C4925 * E4925 * F4925)</f>
      </c>
    </row>
    <row r="4926">
      <c r="A4926" s="5"/>
      <c r="B4926" s="14" t="s">
        <v>1188</v>
      </c>
      <c r="C4926" s="22"/>
      <c r="D4926" s="22" t="s">
        <v>10</v>
      </c>
      <c r="E4926" s="22"/>
      <c r="F4926" s="22">
        <f>(0)</f>
      </c>
      <c r="G4926" s="22">
        <f>(C4926 * E4926 + C4926 * E4926 * F4926)</f>
      </c>
    </row>
    <row r="4927">
      <c r="A4927" s="5"/>
      <c r="B4927" s="14" t="s">
        <v>1189</v>
      </c>
      <c r="C4927" s="22"/>
      <c r="D4927" s="22" t="s">
        <v>10</v>
      </c>
      <c r="E4927" s="22"/>
      <c r="F4927" s="22">
        <f>(0)</f>
      </c>
      <c r="G4927" s="22">
        <f>(C4927 * E4927 + C4927 * E4927 * F4927)</f>
      </c>
    </row>
    <row r="4928">
      <c r="A4928" s="5"/>
      <c r="B4928" s="14" t="s">
        <v>1190</v>
      </c>
      <c r="C4928" s="22"/>
      <c r="D4928" s="22" t="s">
        <v>10</v>
      </c>
      <c r="E4928" s="22"/>
      <c r="F4928" s="22">
        <f>(0)</f>
      </c>
      <c r="G4928" s="22">
        <f>(C4928 * E4928 + C4928 * E4928 * F4928)</f>
      </c>
    </row>
    <row r="4929">
      <c r="A4929" s="5"/>
      <c r="B4929" s="14" t="s">
        <v>1191</v>
      </c>
      <c r="C4929" s="22"/>
      <c r="D4929" s="22" t="s">
        <v>10</v>
      </c>
      <c r="E4929" s="22"/>
      <c r="F4929" s="22">
        <f>(0)</f>
      </c>
      <c r="G4929" s="22">
        <f>(C4929 * E4929 + C4929 * E4929 * F4929)</f>
      </c>
    </row>
    <row r="4930">
      <c r="A4930" s="5"/>
      <c r="B4930" s="14" t="s">
        <v>1192</v>
      </c>
      <c r="C4930" s="22"/>
      <c r="D4930" s="22" t="s">
        <v>10</v>
      </c>
      <c r="E4930" s="22"/>
      <c r="F4930" s="22">
        <f>(0)</f>
      </c>
      <c r="G4930" s="22">
        <f>(C4930 * E4930 + C4930 * E4930 * F4930)</f>
      </c>
    </row>
    <row r="4931">
      <c r="A4931" s="5"/>
      <c r="B4931" s="14" t="s">
        <v>1193</v>
      </c>
      <c r="C4931" s="22"/>
      <c r="D4931" s="22" t="s">
        <v>10</v>
      </c>
      <c r="E4931" s="22"/>
      <c r="F4931" s="22">
        <f>(0)</f>
      </c>
      <c r="G4931" s="22">
        <f>(C4931 * E4931 + C4931 * E4931 * F4931)</f>
      </c>
    </row>
    <row r="4932">
      <c r="A4932" s="5"/>
      <c r="B4932" s="14" t="s">
        <v>1194</v>
      </c>
      <c r="C4932" s="22"/>
      <c r="D4932" s="22" t="s">
        <v>10</v>
      </c>
      <c r="E4932" s="22"/>
      <c r="F4932" s="22">
        <f>(0)</f>
      </c>
      <c r="G4932" s="22">
        <f>(C4932 * E4932 + C4932 * E4932 * F4932)</f>
      </c>
    </row>
    <row r="4933">
      <c r="A4933" s="5"/>
      <c r="B4933" s="14" t="s">
        <v>1195</v>
      </c>
      <c r="C4933" s="22"/>
      <c r="D4933" s="22" t="s">
        <v>10</v>
      </c>
      <c r="E4933" s="22"/>
      <c r="F4933" s="22">
        <f>(0)</f>
      </c>
      <c r="G4933" s="22">
        <f>(C4933 * E4933 + C4933 * E4933 * F4933)</f>
      </c>
    </row>
    <row r="4934">
      <c r="A4934" s="5"/>
      <c r="B4934" s="14" t="s">
        <v>1196</v>
      </c>
      <c r="C4934" s="22"/>
      <c r="D4934" s="22" t="s">
        <v>10</v>
      </c>
      <c r="E4934" s="22"/>
      <c r="F4934" s="22">
        <f>(0)</f>
      </c>
      <c r="G4934" s="22">
        <f>(C4934 * E4934 + C4934 * E4934 * F4934)</f>
      </c>
    </row>
    <row r="4935">
      <c r="A4935" s="5"/>
      <c r="B4935" s="14" t="s">
        <v>1197</v>
      </c>
      <c r="C4935" s="22"/>
      <c r="D4935" s="22" t="s">
        <v>10</v>
      </c>
      <c r="E4935" s="22"/>
      <c r="F4935" s="22">
        <f>(0)</f>
      </c>
      <c r="G4935" s="22">
        <f>(C4935 * E4935 + C4935 * E4935 * F4935)</f>
      </c>
    </row>
    <row r="4936">
      <c r="A4936" s="5"/>
      <c r="B4936" s="14" t="s">
        <v>1198</v>
      </c>
      <c r="C4936" s="22"/>
      <c r="D4936" s="22" t="s">
        <v>10</v>
      </c>
      <c r="E4936" s="22"/>
      <c r="F4936" s="22">
        <f>(0)</f>
      </c>
      <c r="G4936" s="22">
        <f>(C4936 * E4936 + C4936 * E4936 * F4936)</f>
      </c>
    </row>
    <row r="4937">
      <c r="A4937" s="3"/>
      <c r="B4937" s="11" t="s">
        <v>1769</v>
      </c>
      <c r="C4937" s="20"/>
      <c r="D4937" s="20"/>
      <c r="E4937" s="20"/>
      <c r="F4937" s="20"/>
      <c r="G4937" s="20"/>
    </row>
    <row r="4938">
      <c r="A4938" s="5"/>
      <c r="B4938" s="14" t="s">
        <v>2044</v>
      </c>
      <c r="C4938" s="22">
        <f>(1)*(1)*(1)*(1)*(1 + (0))</f>
      </c>
      <c r="D4938" s="22" t="s">
        <v>1217</v>
      </c>
      <c r="E4938" s="22"/>
      <c r="F4938" s="22">
        <f>(0)</f>
      </c>
      <c r="G4938" s="22">
        <f>(C4938 * E4938 + C4938 * E4938 * F4938)</f>
      </c>
    </row>
    <row r="4939">
      <c r="A4939" s="5"/>
      <c r="B4939" s="14" t="s">
        <v>2045</v>
      </c>
      <c r="C4939" s="22">
        <f>(1)*(1)*(1)*(1)*(1 + (0))</f>
      </c>
      <c r="D4939" s="22" t="s">
        <v>1217</v>
      </c>
      <c r="E4939" s="22"/>
      <c r="F4939" s="22">
        <f>(0)</f>
      </c>
      <c r="G4939" s="22">
        <f>(C4939 * E4939 + C4939 * E4939 * F4939)</f>
      </c>
    </row>
    <row r="4940">
      <c r="A4940" s="5"/>
      <c r="B4940" s="14" t="s">
        <v>2046</v>
      </c>
      <c r="C4940" s="22">
        <f>(1)*(1)*(1)*(1)*(1 + (0))</f>
      </c>
      <c r="D4940" s="22" t="s">
        <v>162</v>
      </c>
      <c r="E4940" s="22"/>
      <c r="F4940" s="22">
        <f>(0)</f>
      </c>
      <c r="G4940" s="22">
        <f>(C4940 * E4940 + C4940 * E4940 * F4940)</f>
      </c>
    </row>
    <row r="4941">
      <c r="A4941" s="5"/>
      <c r="B4941" s="14" t="s">
        <v>2047</v>
      </c>
      <c r="C4941" s="22">
        <f>(1)*(1)*(1)*(1)*(1 + (0))</f>
      </c>
      <c r="D4941" s="22" t="s">
        <v>162</v>
      </c>
      <c r="E4941" s="22"/>
      <c r="F4941" s="22">
        <f>(0)</f>
      </c>
      <c r="G4941" s="22">
        <f>(C4941 * E4941 + C4941 * E4941 * F4941)</f>
      </c>
    </row>
    <row r="4942">
      <c r="A4942" s="5"/>
      <c r="B4942" s="14" t="s">
        <v>2048</v>
      </c>
      <c r="C4942" s="22">
        <f>(1)*(1)*(1)*(1)*(1 + (0))</f>
      </c>
      <c r="D4942" s="22" t="s">
        <v>162</v>
      </c>
      <c r="E4942" s="22"/>
      <c r="F4942" s="22">
        <f>(0)</f>
      </c>
      <c r="G4942" s="22">
        <f>(C4942 * E4942 + C4942 * E4942 * F4942)</f>
      </c>
    </row>
    <row r="4943">
      <c r="A4943" s="2"/>
      <c r="B4943" s="10" t="s">
        <v>1224</v>
      </c>
      <c r="C4943" s="19"/>
      <c r="D4943" s="19"/>
      <c r="E4943" s="19"/>
      <c r="F4943" s="19"/>
      <c r="G4943" s="19"/>
    </row>
    <row r="4944">
      <c r="A4944" s="3"/>
      <c r="B4944" s="11" t="s">
        <v>37</v>
      </c>
      <c r="C4944" s="20"/>
      <c r="D4944" s="20"/>
      <c r="E4944" s="20"/>
      <c r="F4944" s="20"/>
      <c r="G4944" s="20"/>
    </row>
    <row r="4945">
      <c r="A4945" s="5" t="s">
        <v>1225</v>
      </c>
      <c r="B4945" s="14" t="s">
        <v>39</v>
      </c>
      <c r="C4945" s="22"/>
      <c r="D4945" s="22" t="s">
        <v>10</v>
      </c>
      <c r="E4945" s="22"/>
      <c r="F4945" s="22">
        <f>(0)</f>
      </c>
      <c r="G4945" s="22">
        <f>(C4945 * E4945 + C4945 * E4945 * F4945)</f>
      </c>
    </row>
    <row r="4946">
      <c r="A4946" s="5" t="s">
        <v>1226</v>
      </c>
      <c r="B4946" s="14" t="s">
        <v>41</v>
      </c>
      <c r="C4946" s="22"/>
      <c r="D4946" s="22" t="s">
        <v>10</v>
      </c>
      <c r="E4946" s="22"/>
      <c r="F4946" s="22">
        <f>(0)</f>
      </c>
      <c r="G4946" s="22">
        <f>(C4946 * E4946 + C4946 * E4946 * F4946)</f>
      </c>
    </row>
    <row r="4947">
      <c r="A4947" s="3"/>
      <c r="B4947" s="11" t="s">
        <v>42</v>
      </c>
      <c r="C4947" s="20"/>
      <c r="D4947" s="20"/>
      <c r="E4947" s="20"/>
      <c r="F4947" s="20"/>
      <c r="G4947" s="20"/>
    </row>
    <row r="4948">
      <c r="A4948" s="5"/>
      <c r="B4948" s="14" t="s">
        <v>1280</v>
      </c>
      <c r="C4948" s="22"/>
      <c r="D4948" s="22" t="s">
        <v>10</v>
      </c>
      <c r="E4948" s="22"/>
      <c r="F4948" s="22">
        <f>(0)</f>
      </c>
      <c r="G4948" s="22">
        <f>(C4948 * E4948 + C4948 * E4948 * F4948)</f>
      </c>
    </row>
    <row r="4949">
      <c r="A4949" s="5"/>
      <c r="B4949" s="14" t="s">
        <v>1228</v>
      </c>
      <c r="C4949" s="22"/>
      <c r="D4949" s="22" t="s">
        <v>10</v>
      </c>
      <c r="E4949" s="22"/>
      <c r="F4949" s="22">
        <f>(0)</f>
      </c>
      <c r="G4949" s="22">
        <f>(C4949 * E4949 + C4949 * E4949 * F4949)</f>
      </c>
    </row>
    <row r="4950">
      <c r="A4950" s="5"/>
      <c r="B4950" s="14" t="s">
        <v>694</v>
      </c>
      <c r="C4950" s="22"/>
      <c r="D4950" s="22" t="s">
        <v>10</v>
      </c>
      <c r="E4950" s="22"/>
      <c r="F4950" s="22">
        <f>(0)</f>
      </c>
      <c r="G4950" s="22">
        <f>(C4950 * E4950 + C4950 * E4950 * F4950)</f>
      </c>
    </row>
    <row r="4951">
      <c r="A4951" s="3"/>
      <c r="B4951" s="11" t="s">
        <v>44</v>
      </c>
      <c r="C4951" s="20"/>
      <c r="D4951" s="20"/>
      <c r="E4951" s="20"/>
      <c r="F4951" s="20"/>
      <c r="G4951" s="20"/>
    </row>
    <row r="4952">
      <c r="A4952" s="4"/>
      <c r="B4952" s="12" t="s">
        <v>45</v>
      </c>
      <c r="C4952" s="21"/>
      <c r="D4952" s="21"/>
      <c r="E4952" s="21"/>
      <c r="F4952" s="21"/>
      <c r="G4952" s="21"/>
    </row>
    <row r="4953">
      <c r="A4953" s="5" t="s">
        <v>1229</v>
      </c>
      <c r="B4953" s="13" t="s">
        <v>528</v>
      </c>
      <c r="C4953" s="22"/>
      <c r="D4953" s="22" t="s">
        <v>10</v>
      </c>
      <c r="E4953" s="22"/>
      <c r="F4953" s="22">
        <f>(0)</f>
      </c>
      <c r="G4953" s="22">
        <f>(C4953 * E4953 + C4953 * E4953 * F4953)</f>
      </c>
    </row>
    <row r="4954">
      <c r="A4954" s="5" t="s">
        <v>1230</v>
      </c>
      <c r="B4954" s="13" t="s">
        <v>530</v>
      </c>
      <c r="C4954" s="22"/>
      <c r="D4954" s="22" t="s">
        <v>10</v>
      </c>
      <c r="E4954" s="22"/>
      <c r="F4954" s="22">
        <f>(0)</f>
      </c>
      <c r="G4954" s="22">
        <f>(C4954 * E4954 + C4954 * E4954 * F4954)</f>
      </c>
    </row>
    <row r="4955">
      <c r="A4955" s="5" t="s">
        <v>1231</v>
      </c>
      <c r="B4955" s="13" t="s">
        <v>1232</v>
      </c>
      <c r="C4955" s="22"/>
      <c r="D4955" s="22" t="s">
        <v>10</v>
      </c>
      <c r="E4955" s="22"/>
      <c r="F4955" s="22">
        <f>(0)</f>
      </c>
      <c r="G4955" s="22">
        <f>(C4955 * E4955 + C4955 * E4955 * F4955)</f>
      </c>
    </row>
    <row r="4956">
      <c r="A4956" s="5" t="s">
        <v>1233</v>
      </c>
      <c r="B4956" s="13" t="s">
        <v>853</v>
      </c>
      <c r="C4956" s="22"/>
      <c r="D4956" s="22" t="s">
        <v>10</v>
      </c>
      <c r="E4956" s="22"/>
      <c r="F4956" s="22">
        <f>(0)</f>
      </c>
      <c r="G4956" s="22">
        <f>(C4956 * E4956 + C4956 * E4956 * F4956)</f>
      </c>
    </row>
    <row r="4957">
      <c r="A4957" s="5" t="s">
        <v>1234</v>
      </c>
      <c r="B4957" s="13" t="s">
        <v>538</v>
      </c>
      <c r="C4957" s="22"/>
      <c r="D4957" s="22" t="s">
        <v>10</v>
      </c>
      <c r="E4957" s="22"/>
      <c r="F4957" s="22">
        <f>(0)</f>
      </c>
      <c r="G4957" s="22">
        <f>(C4957 * E4957 + C4957 * E4957 * F4957)</f>
      </c>
    </row>
    <row r="4958">
      <c r="A4958" s="5" t="s">
        <v>1235</v>
      </c>
      <c r="B4958" s="13" t="s">
        <v>123</v>
      </c>
      <c r="C4958" s="22"/>
      <c r="D4958" s="22" t="s">
        <v>10</v>
      </c>
      <c r="E4958" s="22"/>
      <c r="F4958" s="22">
        <f>(0)</f>
      </c>
      <c r="G4958" s="22">
        <f>(C4958 * E4958 + C4958 * E4958 * F4958)</f>
      </c>
    </row>
    <row r="4959">
      <c r="A4959" s="3"/>
      <c r="B4959" s="11" t="s">
        <v>68</v>
      </c>
      <c r="C4959" s="20"/>
      <c r="D4959" s="20"/>
      <c r="E4959" s="20"/>
      <c r="F4959" s="20"/>
      <c r="G4959" s="20"/>
    </row>
    <row r="4960">
      <c r="A4960" s="5" t="s">
        <v>1236</v>
      </c>
      <c r="B4960" s="14" t="s">
        <v>543</v>
      </c>
      <c r="C4960" s="22">
        <f>(1)*(1)*(1)*(1)*(1 + (0))</f>
      </c>
      <c r="D4960" s="22" t="s">
        <v>71</v>
      </c>
      <c r="E4960" s="22"/>
      <c r="F4960" s="22">
        <f>(0)</f>
      </c>
      <c r="G4960" s="22">
        <f>(C4960 * E4960 + C4960 * E4960 * F4960)</f>
      </c>
    </row>
    <row r="4961">
      <c r="A4961" s="5" t="s">
        <v>1237</v>
      </c>
      <c r="B4961" s="14" t="s">
        <v>136</v>
      </c>
      <c r="C4961" s="22">
        <f>(1)*(1)*(1)*(1)*(1 + (0))</f>
      </c>
      <c r="D4961" s="22" t="s">
        <v>71</v>
      </c>
      <c r="E4961" s="22"/>
      <c r="F4961" s="22">
        <f>(0)</f>
      </c>
      <c r="G4961" s="22">
        <f>(C4961 * E4961 + C4961 * E4961 * F4961)</f>
      </c>
    </row>
    <row r="4962">
      <c r="A4962" s="5" t="s">
        <v>1238</v>
      </c>
      <c r="B4962" s="14" t="s">
        <v>1239</v>
      </c>
      <c r="C4962" s="22">
        <f>(1)*(1)*(1)*(1)*(1 + (0))</f>
      </c>
      <c r="D4962" s="22" t="s">
        <v>71</v>
      </c>
      <c r="E4962" s="22"/>
      <c r="F4962" s="22">
        <f>(0)</f>
      </c>
      <c r="G4962" s="22">
        <f>(C4962 * E4962 + C4962 * E4962 * F4962)</f>
      </c>
    </row>
    <row r="4963">
      <c r="A4963" s="5" t="s">
        <v>1240</v>
      </c>
      <c r="B4963" s="14" t="s">
        <v>798</v>
      </c>
      <c r="C4963" s="22">
        <f>(1)*(1)*(1)*(1)*(1 + (0))</f>
      </c>
      <c r="D4963" s="22" t="s">
        <v>71</v>
      </c>
      <c r="E4963" s="22"/>
      <c r="F4963" s="22">
        <f>(0)</f>
      </c>
      <c r="G4963" s="22">
        <f>(C4963 * E4963 + C4963 * E4963 * F4963)</f>
      </c>
    </row>
    <row r="4964">
      <c r="A4964" s="5" t="s">
        <v>1241</v>
      </c>
      <c r="B4964" s="14" t="s">
        <v>70</v>
      </c>
      <c r="C4964" s="22">
        <f>(1)*(1)*(1)*(1)*(1 + (0))</f>
      </c>
      <c r="D4964" s="22" t="s">
        <v>71</v>
      </c>
      <c r="E4964" s="22"/>
      <c r="F4964" s="22">
        <f>(0)</f>
      </c>
      <c r="G4964" s="22">
        <f>(C4964 * E4964 + C4964 * E4964 * F4964)</f>
      </c>
    </row>
    <row r="4965">
      <c r="A4965" s="5" t="s">
        <v>1242</v>
      </c>
      <c r="B4965" s="14" t="s">
        <v>665</v>
      </c>
      <c r="C4965" s="22">
        <f>(1)*(1)*(1)*(1)*(1 + (0))</f>
      </c>
      <c r="D4965" s="22" t="s">
        <v>71</v>
      </c>
      <c r="E4965" s="22"/>
      <c r="F4965" s="22">
        <f>(0)</f>
      </c>
      <c r="G4965" s="22">
        <f>(C4965 * E4965 + C4965 * E4965 * F4965)</f>
      </c>
    </row>
    <row r="4966">
      <c r="A4966" s="3"/>
      <c r="B4966" s="11" t="s">
        <v>1243</v>
      </c>
      <c r="C4966" s="20"/>
      <c r="D4966" s="20"/>
      <c r="E4966" s="20"/>
      <c r="F4966" s="20"/>
      <c r="G4966" s="20"/>
    </row>
    <row r="4967">
      <c r="A4967" s="4"/>
      <c r="B4967" s="12" t="s">
        <v>2049</v>
      </c>
      <c r="C4967" s="21"/>
      <c r="D4967" s="21"/>
      <c r="E4967" s="21"/>
      <c r="F4967" s="21"/>
      <c r="G4967" s="21"/>
    </row>
    <row r="4968">
      <c r="A4968" s="5"/>
      <c r="B4968" s="13" t="s">
        <v>1246</v>
      </c>
      <c r="C4968" s="22">
        <f>(18)*(1)*(1)*(1)*(1 + (0))</f>
      </c>
      <c r="D4968" s="22" t="s">
        <v>153</v>
      </c>
      <c r="E4968" s="22"/>
      <c r="F4968" s="22">
        <f>(0)</f>
      </c>
      <c r="G4968" s="22">
        <f>(C4968 * E4968 + C4968 * E4968 * F4968)</f>
      </c>
    </row>
    <row r="4969">
      <c r="A4969" s="3"/>
      <c r="B4969" s="11" t="s">
        <v>1249</v>
      </c>
      <c r="C4969" s="20"/>
      <c r="D4969" s="20"/>
      <c r="E4969" s="20"/>
      <c r="F4969" s="20"/>
      <c r="G4969" s="20"/>
    </row>
    <row r="4970">
      <c r="A4970" s="4"/>
      <c r="B4970" s="12" t="s">
        <v>2049</v>
      </c>
      <c r="C4970" s="21"/>
      <c r="D4970" s="21"/>
      <c r="E4970" s="21"/>
      <c r="F4970" s="21"/>
      <c r="G4970" s="21"/>
    </row>
    <row r="4971">
      <c r="A4971" s="5"/>
      <c r="B4971" s="13" t="s">
        <v>2050</v>
      </c>
      <c r="C4971" s="22">
        <f>(13)*(1)*(1)*(1)*(1 + (0))</f>
      </c>
      <c r="D4971" s="22" t="s">
        <v>24</v>
      </c>
      <c r="E4971" s="22"/>
      <c r="F4971" s="22">
        <f>(0)</f>
      </c>
      <c r="G4971" s="22">
        <f>(C4971 * E4971 + C4971 * E4971 * F4971)</f>
      </c>
    </row>
    <row r="4972">
      <c r="A4972" s="3"/>
      <c r="B4972" s="11" t="s">
        <v>1251</v>
      </c>
      <c r="C4972" s="20"/>
      <c r="D4972" s="20"/>
      <c r="E4972" s="20"/>
      <c r="F4972" s="20"/>
      <c r="G4972" s="20"/>
    </row>
    <row r="4973">
      <c r="A4973" s="4"/>
      <c r="B4973" s="12" t="s">
        <v>2049</v>
      </c>
      <c r="C4973" s="21"/>
      <c r="D4973" s="21"/>
      <c r="E4973" s="21"/>
      <c r="F4973" s="21"/>
      <c r="G4973" s="21"/>
    </row>
    <row r="4974">
      <c r="A4974" s="5"/>
      <c r="B4974" s="13" t="s">
        <v>1252</v>
      </c>
      <c r="C4974" s="22">
        <f>(22)*(1)*(1)*(1)*(1 + (0))</f>
      </c>
      <c r="D4974" s="22" t="s">
        <v>153</v>
      </c>
      <c r="E4974" s="22"/>
      <c r="F4974" s="22">
        <f>(0)</f>
      </c>
      <c r="G4974" s="22">
        <f>(C4974 * E4974 + C4974 * E4974 * F4974)</f>
      </c>
    </row>
    <row r="4975">
      <c r="A4975" s="3"/>
      <c r="B4975" s="11" t="s">
        <v>1269</v>
      </c>
      <c r="C4975" s="20"/>
      <c r="D4975" s="20"/>
      <c r="E4975" s="20"/>
      <c r="F4975" s="20"/>
      <c r="G4975" s="20"/>
    </row>
    <row r="4976">
      <c r="A4976" s="4"/>
      <c r="B4976" s="12" t="s">
        <v>1270</v>
      </c>
      <c r="C4976" s="21"/>
      <c r="D4976" s="21"/>
      <c r="E4976" s="21"/>
      <c r="F4976" s="21"/>
      <c r="G4976" s="21"/>
    </row>
    <row r="4977">
      <c r="A4977" s="5"/>
      <c r="B4977" s="13" t="s">
        <v>1942</v>
      </c>
      <c r="C4977" s="22">
        <f>(147)*(1)*(1)*(1)*(1 + (0))</f>
      </c>
      <c r="D4977" s="22" t="s">
        <v>153</v>
      </c>
      <c r="E4977" s="22"/>
      <c r="F4977" s="22">
        <f>(0)</f>
      </c>
      <c r="G4977" s="22">
        <f>(C4977 * E4977 + C4977 * E4977 * F4977)</f>
      </c>
    </row>
    <row r="4978">
      <c r="A4978" s="3"/>
      <c r="B4978" s="11" t="s">
        <v>1255</v>
      </c>
      <c r="C4978" s="20"/>
      <c r="D4978" s="20"/>
      <c r="E4978" s="20"/>
      <c r="F4978" s="20"/>
      <c r="G4978" s="20"/>
    </row>
    <row r="4979">
      <c r="A4979" s="4"/>
      <c r="B4979" s="12" t="s">
        <v>2051</v>
      </c>
      <c r="C4979" s="21"/>
      <c r="D4979" s="21"/>
      <c r="E4979" s="21"/>
      <c r="F4979" s="21"/>
      <c r="G4979" s="21"/>
    </row>
    <row r="4980">
      <c r="A4980" s="6"/>
      <c r="B4980" s="15" t="s">
        <v>1260</v>
      </c>
      <c r="C4980" s="23"/>
      <c r="D4980" s="23"/>
      <c r="E4980" s="23"/>
      <c r="F4980" s="23"/>
      <c r="G4980" s="23"/>
    </row>
    <row r="4981">
      <c r="A4981" s="5"/>
      <c r="B4981" s="16" t="s">
        <v>2052</v>
      </c>
      <c r="C4981" s="22">
        <f>(1)*(1)*(1)*(1)*(1 + (0))</f>
      </c>
      <c r="D4981" s="22" t="s">
        <v>162</v>
      </c>
      <c r="E4981" s="22"/>
      <c r="F4981" s="22">
        <f>(0)</f>
      </c>
      <c r="G4981" s="22">
        <f>(C4981 * E4981 + C4981 * E4981 * F4981)</f>
      </c>
    </row>
    <row r="4982">
      <c r="A4982" s="5"/>
      <c r="B4982" s="16" t="s">
        <v>2053</v>
      </c>
      <c r="C4982" s="22">
        <f>(1)*(1)*(1)*(1)*(1 + (0))</f>
      </c>
      <c r="D4982" s="22" t="s">
        <v>162</v>
      </c>
      <c r="E4982" s="22"/>
      <c r="F4982" s="22">
        <f>(0)</f>
      </c>
      <c r="G4982" s="22">
        <f>(C4982 * E4982 + C4982 * E4982 * F4982)</f>
      </c>
    </row>
    <row r="4983">
      <c r="A4983" s="5"/>
      <c r="B4983" s="7" t="s">
        <v>1784</v>
      </c>
      <c r="C4983" s="22"/>
      <c r="D4983" s="22"/>
      <c r="E4983" s="22"/>
      <c r="F4983" s="22">
        <f>(0)</f>
      </c>
      <c r="G4983" s="22">
        <f>(C4983 * E4983 + C4983 * E4983 * F4983)</f>
      </c>
    </row>
    <row r="4984">
      <c r="A4984" s="2"/>
      <c r="B4984" s="10" t="s">
        <v>1284</v>
      </c>
      <c r="C4984" s="19"/>
      <c r="D4984" s="19"/>
      <c r="E4984" s="19"/>
      <c r="F4984" s="19"/>
      <c r="G4984" s="19"/>
    </row>
    <row r="4985">
      <c r="A4985" s="3"/>
      <c r="B4985" s="11" t="s">
        <v>37</v>
      </c>
      <c r="C4985" s="20"/>
      <c r="D4985" s="20"/>
      <c r="E4985" s="20"/>
      <c r="F4985" s="20"/>
      <c r="G4985" s="20"/>
    </row>
    <row r="4986">
      <c r="A4986" s="5" t="s">
        <v>1285</v>
      </c>
      <c r="B4986" s="14" t="s">
        <v>39</v>
      </c>
      <c r="C4986" s="22"/>
      <c r="D4986" s="22" t="s">
        <v>10</v>
      </c>
      <c r="E4986" s="22"/>
      <c r="F4986" s="22">
        <f>(0)</f>
      </c>
      <c r="G4986" s="22">
        <f>(C4986 * E4986 + C4986 * E4986 * F4986)</f>
      </c>
    </row>
    <row r="4987">
      <c r="A4987" s="5" t="s">
        <v>1286</v>
      </c>
      <c r="B4987" s="14" t="s">
        <v>41</v>
      </c>
      <c r="C4987" s="22"/>
      <c r="D4987" s="22" t="s">
        <v>10</v>
      </c>
      <c r="E4987" s="22"/>
      <c r="F4987" s="22">
        <f>(0)</f>
      </c>
      <c r="G4987" s="22">
        <f>(C4987 * E4987 + C4987 * E4987 * F4987)</f>
      </c>
    </row>
    <row r="4988">
      <c r="A4988" s="3"/>
      <c r="B4988" s="11" t="s">
        <v>42</v>
      </c>
      <c r="C4988" s="20"/>
      <c r="D4988" s="20"/>
      <c r="E4988" s="20"/>
      <c r="F4988" s="20"/>
      <c r="G4988" s="20"/>
    </row>
    <row r="4989">
      <c r="A4989" s="5"/>
      <c r="B4989" s="14" t="s">
        <v>1287</v>
      </c>
      <c r="C4989" s="22"/>
      <c r="D4989" s="22" t="s">
        <v>10</v>
      </c>
      <c r="E4989" s="22"/>
      <c r="F4989" s="22">
        <f>(0)</f>
      </c>
      <c r="G4989" s="22">
        <f>(C4989 * E4989 + C4989 * E4989 * F4989)</f>
      </c>
    </row>
    <row r="4990">
      <c r="A4990" s="5"/>
      <c r="B4990" s="14" t="s">
        <v>1288</v>
      </c>
      <c r="C4990" s="22"/>
      <c r="D4990" s="22" t="s">
        <v>10</v>
      </c>
      <c r="E4990" s="22"/>
      <c r="F4990" s="22">
        <f>(0)</f>
      </c>
      <c r="G4990" s="22">
        <f>(C4990 * E4990 + C4990 * E4990 * F4990)</f>
      </c>
    </row>
    <row r="4991">
      <c r="A4991" s="5"/>
      <c r="B4991" s="14" t="s">
        <v>1289</v>
      </c>
      <c r="C4991" s="22"/>
      <c r="D4991" s="22" t="s">
        <v>10</v>
      </c>
      <c r="E4991" s="22"/>
      <c r="F4991" s="22">
        <f>(0)</f>
      </c>
      <c r="G4991" s="22">
        <f>(C4991 * E4991 + C4991 * E4991 * F4991)</f>
      </c>
    </row>
    <row r="4992">
      <c r="A4992" s="5"/>
      <c r="B4992" s="14" t="s">
        <v>1290</v>
      </c>
      <c r="C4992" s="22"/>
      <c r="D4992" s="22" t="s">
        <v>10</v>
      </c>
      <c r="E4992" s="22"/>
      <c r="F4992" s="22">
        <f>(0)</f>
      </c>
      <c r="G4992" s="22">
        <f>(C4992 * E4992 + C4992 * E4992 * F4992)</f>
      </c>
    </row>
    <row r="4993">
      <c r="A4993" s="3"/>
      <c r="B4993" s="11" t="s">
        <v>44</v>
      </c>
      <c r="C4993" s="20"/>
      <c r="D4993" s="20"/>
      <c r="E4993" s="20"/>
      <c r="F4993" s="20"/>
      <c r="G4993" s="20"/>
    </row>
    <row r="4994">
      <c r="A4994" s="4"/>
      <c r="B4994" s="12" t="s">
        <v>45</v>
      </c>
      <c r="C4994" s="21"/>
      <c r="D4994" s="21"/>
      <c r="E4994" s="21"/>
      <c r="F4994" s="21"/>
      <c r="G4994" s="21"/>
    </row>
    <row r="4995">
      <c r="A4995" s="5" t="s">
        <v>1291</v>
      </c>
      <c r="B4995" s="13" t="s">
        <v>767</v>
      </c>
      <c r="C4995" s="22"/>
      <c r="D4995" s="22" t="s">
        <v>10</v>
      </c>
      <c r="E4995" s="22"/>
      <c r="F4995" s="22">
        <f>(0)</f>
      </c>
      <c r="G4995" s="22">
        <f>(C4995 * E4995 + C4995 * E4995 * F4995)</f>
      </c>
    </row>
    <row r="4996">
      <c r="A4996" s="5" t="s">
        <v>1292</v>
      </c>
      <c r="B4996" s="13" t="s">
        <v>123</v>
      </c>
      <c r="C4996" s="22"/>
      <c r="D4996" s="22" t="s">
        <v>10</v>
      </c>
      <c r="E4996" s="22"/>
      <c r="F4996" s="22">
        <f>(0)</f>
      </c>
      <c r="G4996" s="22">
        <f>(C4996 * E4996 + C4996 * E4996 * F4996)</f>
      </c>
    </row>
    <row r="4997">
      <c r="A4997" s="3"/>
      <c r="B4997" s="11" t="s">
        <v>68</v>
      </c>
      <c r="C4997" s="20"/>
      <c r="D4997" s="20"/>
      <c r="E4997" s="20"/>
      <c r="F4997" s="20"/>
      <c r="G4997" s="20"/>
    </row>
    <row r="4998">
      <c r="A4998" s="5" t="s">
        <v>1293</v>
      </c>
      <c r="B4998" s="14" t="s">
        <v>230</v>
      </c>
      <c r="C4998" s="22">
        <f>(1)*(1)*(1)*(1)*(1 + (0))</f>
      </c>
      <c r="D4998" s="22" t="s">
        <v>71</v>
      </c>
      <c r="E4998" s="22"/>
      <c r="F4998" s="22">
        <f>(0)</f>
      </c>
      <c r="G4998" s="22">
        <f>(C4998 * E4998 + C4998 * E4998 * F4998)</f>
      </c>
    </row>
    <row r="4999">
      <c r="A4999" s="5" t="s">
        <v>1294</v>
      </c>
      <c r="B4999" s="14" t="s">
        <v>70</v>
      </c>
      <c r="C4999" s="22">
        <f>(1)*(1)*(1)*(1)*(1 + (0))</f>
      </c>
      <c r="D4999" s="22" t="s">
        <v>71</v>
      </c>
      <c r="E4999" s="22"/>
      <c r="F4999" s="22">
        <f>(0)</f>
      </c>
      <c r="G4999" s="22">
        <f>(C4999 * E4999 + C4999 * E4999 * F4999)</f>
      </c>
    </row>
    <row r="5000">
      <c r="A5000" s="5" t="s">
        <v>1295</v>
      </c>
      <c r="B5000" s="14" t="s">
        <v>906</v>
      </c>
      <c r="C5000" s="22">
        <f>(1)*(1)*(1)*(1)*(1 + (0))</f>
      </c>
      <c r="D5000" s="22" t="s">
        <v>71</v>
      </c>
      <c r="E5000" s="22"/>
      <c r="F5000" s="22">
        <f>(0)</f>
      </c>
      <c r="G5000" s="22">
        <f>(C5000 * E5000 + C5000 * E5000 * F5000)</f>
      </c>
    </row>
    <row r="5001">
      <c r="A5001" s="5" t="s">
        <v>1296</v>
      </c>
      <c r="B5001" s="14" t="s">
        <v>665</v>
      </c>
      <c r="C5001" s="22">
        <f>(1)*(1)*(1)*(1)*(1 + (0))</f>
      </c>
      <c r="D5001" s="22" t="s">
        <v>71</v>
      </c>
      <c r="E5001" s="22"/>
      <c r="F5001" s="22">
        <f>(0)</f>
      </c>
      <c r="G5001" s="22">
        <f>(C5001 * E5001 + C5001 * E5001 * F5001)</f>
      </c>
    </row>
    <row r="5002">
      <c r="A5002" s="3"/>
      <c r="B5002" s="11" t="s">
        <v>1297</v>
      </c>
      <c r="C5002" s="20"/>
      <c r="D5002" s="20"/>
      <c r="E5002" s="20"/>
      <c r="F5002" s="20"/>
      <c r="G5002" s="20"/>
    </row>
    <row r="5003">
      <c r="A5003" s="4"/>
      <c r="B5003" s="12" t="s">
        <v>1298</v>
      </c>
      <c r="C5003" s="21"/>
      <c r="D5003" s="21"/>
      <c r="E5003" s="21"/>
      <c r="F5003" s="21"/>
      <c r="G5003" s="21"/>
    </row>
    <row r="5004">
      <c r="A5004" s="5"/>
      <c r="B5004" s="13" t="s">
        <v>1300</v>
      </c>
      <c r="C5004" s="22">
        <f>(21)*(1)*(1)*(1)*(1 + (0))</f>
      </c>
      <c r="D5004" s="22" t="s">
        <v>153</v>
      </c>
      <c r="E5004" s="22"/>
      <c r="F5004" s="22">
        <f>(0)</f>
      </c>
      <c r="G5004" s="22">
        <f>(C5004 * E5004 + C5004 * E5004 * F5004)</f>
      </c>
    </row>
    <row r="5005">
      <c r="A5005" s="2"/>
      <c r="B5005" s="10" t="s">
        <v>1301</v>
      </c>
      <c r="C5005" s="19"/>
      <c r="D5005" s="19"/>
      <c r="E5005" s="19"/>
      <c r="F5005" s="19"/>
      <c r="G5005" s="19"/>
    </row>
    <row r="5006">
      <c r="A5006" s="3"/>
      <c r="B5006" s="11" t="s">
        <v>37</v>
      </c>
      <c r="C5006" s="20"/>
      <c r="D5006" s="20"/>
      <c r="E5006" s="20"/>
      <c r="F5006" s="20"/>
      <c r="G5006" s="20"/>
    </row>
    <row r="5007">
      <c r="A5007" s="5" t="s">
        <v>1302</v>
      </c>
      <c r="B5007" s="14" t="s">
        <v>39</v>
      </c>
      <c r="C5007" s="22"/>
      <c r="D5007" s="22" t="s">
        <v>10</v>
      </c>
      <c r="E5007" s="22"/>
      <c r="F5007" s="22">
        <f>(0)</f>
      </c>
      <c r="G5007" s="22">
        <f>(C5007 * E5007 + C5007 * E5007 * F5007)</f>
      </c>
    </row>
    <row r="5008">
      <c r="A5008" s="5" t="s">
        <v>1303</v>
      </c>
      <c r="B5008" s="14" t="s">
        <v>41</v>
      </c>
      <c r="C5008" s="22"/>
      <c r="D5008" s="22" t="s">
        <v>10</v>
      </c>
      <c r="E5008" s="22"/>
      <c r="F5008" s="22">
        <f>(0)</f>
      </c>
      <c r="G5008" s="22">
        <f>(C5008 * E5008 + C5008 * E5008 * F5008)</f>
      </c>
    </row>
    <row r="5009">
      <c r="A5009" s="3"/>
      <c r="B5009" s="11" t="s">
        <v>42</v>
      </c>
      <c r="C5009" s="20"/>
      <c r="D5009" s="20"/>
      <c r="E5009" s="20"/>
      <c r="F5009" s="20"/>
      <c r="G5009" s="20"/>
    </row>
    <row r="5010">
      <c r="A5010" s="5"/>
      <c r="B5010" s="14" t="s">
        <v>1009</v>
      </c>
      <c r="C5010" s="22"/>
      <c r="D5010" s="22" t="s">
        <v>10</v>
      </c>
      <c r="E5010" s="22"/>
      <c r="F5010" s="22">
        <f>(0)</f>
      </c>
      <c r="G5010" s="22">
        <f>(C5010 * E5010 + C5010 * E5010 * F5010)</f>
      </c>
    </row>
    <row r="5011">
      <c r="A5011" s="5"/>
      <c r="B5011" s="14" t="s">
        <v>1010</v>
      </c>
      <c r="C5011" s="22"/>
      <c r="D5011" s="22" t="s">
        <v>10</v>
      </c>
      <c r="E5011" s="22"/>
      <c r="F5011" s="22">
        <f>(0)</f>
      </c>
      <c r="G5011" s="22">
        <f>(C5011 * E5011 + C5011 * E5011 * F5011)</f>
      </c>
    </row>
    <row r="5012">
      <c r="A5012" s="5"/>
      <c r="B5012" s="14" t="s">
        <v>1011</v>
      </c>
      <c r="C5012" s="22"/>
      <c r="D5012" s="22" t="s">
        <v>10</v>
      </c>
      <c r="E5012" s="22"/>
      <c r="F5012" s="22">
        <f>(0)</f>
      </c>
      <c r="G5012" s="22">
        <f>(C5012 * E5012 + C5012 * E5012 * F5012)</f>
      </c>
    </row>
    <row r="5013">
      <c r="A5013" s="3"/>
      <c r="B5013" s="11" t="s">
        <v>44</v>
      </c>
      <c r="C5013" s="20"/>
      <c r="D5013" s="20"/>
      <c r="E5013" s="20"/>
      <c r="F5013" s="20"/>
      <c r="G5013" s="20"/>
    </row>
    <row r="5014">
      <c r="A5014" s="4"/>
      <c r="B5014" s="12" t="s">
        <v>45</v>
      </c>
      <c r="C5014" s="21"/>
      <c r="D5014" s="21"/>
      <c r="E5014" s="21"/>
      <c r="F5014" s="21"/>
      <c r="G5014" s="21"/>
    </row>
    <row r="5015">
      <c r="A5015" s="5" t="s">
        <v>1305</v>
      </c>
      <c r="B5015" s="13" t="s">
        <v>1306</v>
      </c>
      <c r="C5015" s="22"/>
      <c r="D5015" s="22" t="s">
        <v>10</v>
      </c>
      <c r="E5015" s="22"/>
      <c r="F5015" s="22">
        <f>(0)</f>
      </c>
      <c r="G5015" s="22">
        <f>(C5015 * E5015 + C5015 * E5015 * F5015)</f>
      </c>
    </row>
    <row r="5016">
      <c r="A5016" s="5" t="s">
        <v>1307</v>
      </c>
      <c r="B5016" s="13" t="s">
        <v>1308</v>
      </c>
      <c r="C5016" s="22"/>
      <c r="D5016" s="22" t="s">
        <v>10</v>
      </c>
      <c r="E5016" s="22"/>
      <c r="F5016" s="22">
        <f>(0)</f>
      </c>
      <c r="G5016" s="22">
        <f>(C5016 * E5016 + C5016 * E5016 * F5016)</f>
      </c>
    </row>
    <row r="5017">
      <c r="A5017" s="5" t="s">
        <v>1309</v>
      </c>
      <c r="B5017" s="13" t="s">
        <v>1310</v>
      </c>
      <c r="C5017" s="22"/>
      <c r="D5017" s="22" t="s">
        <v>10</v>
      </c>
      <c r="E5017" s="22"/>
      <c r="F5017" s="22">
        <f>(0)</f>
      </c>
      <c r="G5017" s="22">
        <f>(C5017 * E5017 + C5017 * E5017 * F5017)</f>
      </c>
    </row>
    <row r="5018">
      <c r="A5018" s="5" t="s">
        <v>1311</v>
      </c>
      <c r="B5018" s="13" t="s">
        <v>1312</v>
      </c>
      <c r="C5018" s="22"/>
      <c r="D5018" s="22" t="s">
        <v>10</v>
      </c>
      <c r="E5018" s="22"/>
      <c r="F5018" s="22">
        <f>(0)</f>
      </c>
      <c r="G5018" s="22">
        <f>(C5018 * E5018 + C5018 * E5018 * F5018)</f>
      </c>
    </row>
    <row r="5019">
      <c r="A5019" s="5" t="s">
        <v>1313</v>
      </c>
      <c r="B5019" s="13" t="s">
        <v>1314</v>
      </c>
      <c r="C5019" s="22"/>
      <c r="D5019" s="22" t="s">
        <v>10</v>
      </c>
      <c r="E5019" s="22"/>
      <c r="F5019" s="22">
        <f>(0)</f>
      </c>
      <c r="G5019" s="22">
        <f>(C5019 * E5019 + C5019 * E5019 * F5019)</f>
      </c>
    </row>
    <row r="5020">
      <c r="A5020" s="5" t="s">
        <v>1315</v>
      </c>
      <c r="B5020" s="13" t="s">
        <v>1316</v>
      </c>
      <c r="C5020" s="22"/>
      <c r="D5020" s="22" t="s">
        <v>10</v>
      </c>
      <c r="E5020" s="22"/>
      <c r="F5020" s="22">
        <f>(0)</f>
      </c>
      <c r="G5020" s="22">
        <f>(C5020 * E5020 + C5020 * E5020 * F5020)</f>
      </c>
    </row>
    <row r="5021">
      <c r="A5021" s="5" t="s">
        <v>1317</v>
      </c>
      <c r="B5021" s="13" t="s">
        <v>1318</v>
      </c>
      <c r="C5021" s="22"/>
      <c r="D5021" s="22" t="s">
        <v>10</v>
      </c>
      <c r="E5021" s="22"/>
      <c r="F5021" s="22">
        <f>(0)</f>
      </c>
      <c r="G5021" s="22">
        <f>(C5021 * E5021 + C5021 * E5021 * F5021)</f>
      </c>
    </row>
    <row r="5022">
      <c r="A5022" s="5" t="s">
        <v>1319</v>
      </c>
      <c r="B5022" s="13" t="s">
        <v>123</v>
      </c>
      <c r="C5022" s="22"/>
      <c r="D5022" s="22" t="s">
        <v>10</v>
      </c>
      <c r="E5022" s="22"/>
      <c r="F5022" s="22">
        <f>(0)</f>
      </c>
      <c r="G5022" s="22">
        <f>(C5022 * E5022 + C5022 * E5022 * F5022)</f>
      </c>
    </row>
    <row r="5023">
      <c r="A5023" s="3"/>
      <c r="B5023" s="11" t="s">
        <v>68</v>
      </c>
      <c r="C5023" s="20"/>
      <c r="D5023" s="20"/>
      <c r="E5023" s="20"/>
      <c r="F5023" s="20"/>
      <c r="G5023" s="20"/>
    </row>
    <row r="5024">
      <c r="A5024" s="5" t="s">
        <v>1320</v>
      </c>
      <c r="B5024" s="14" t="s">
        <v>75</v>
      </c>
      <c r="C5024" s="22">
        <f>(1)*(1)*(1)*(1)*(1 + (0))</f>
      </c>
      <c r="D5024" s="22" t="s">
        <v>71</v>
      </c>
      <c r="E5024" s="22"/>
      <c r="F5024" s="22">
        <f>(0)</f>
      </c>
      <c r="G5024" s="22">
        <f>(C5024 * E5024 + C5024 * E5024 * F5024)</f>
      </c>
    </row>
    <row r="5025">
      <c r="A5025" s="5" t="s">
        <v>1321</v>
      </c>
      <c r="B5025" s="14" t="s">
        <v>1322</v>
      </c>
      <c r="C5025" s="22">
        <f>(1)*(1)*(1)*(1)*(1 + (0))</f>
      </c>
      <c r="D5025" s="22" t="s">
        <v>71</v>
      </c>
      <c r="E5025" s="22"/>
      <c r="F5025" s="22">
        <f>(0)</f>
      </c>
      <c r="G5025" s="22">
        <f>(C5025 * E5025 + C5025 * E5025 * F5025)</f>
      </c>
    </row>
    <row r="5026">
      <c r="A5026" s="5" t="s">
        <v>1323</v>
      </c>
      <c r="B5026" s="14" t="s">
        <v>1324</v>
      </c>
      <c r="C5026" s="22">
        <f>(1)*(1)*(1)*(1)*(1 + (0))</f>
      </c>
      <c r="D5026" s="22" t="s">
        <v>71</v>
      </c>
      <c r="E5026" s="22"/>
      <c r="F5026" s="22">
        <f>(0)</f>
      </c>
      <c r="G5026" s="22">
        <f>(C5026 * E5026 + C5026 * E5026 * F5026)</f>
      </c>
    </row>
    <row r="5027">
      <c r="A5027" s="5" t="s">
        <v>1325</v>
      </c>
      <c r="B5027" s="14" t="s">
        <v>230</v>
      </c>
      <c r="C5027" s="22">
        <f>(1)*(1)*(1)*(1)*(1 + (0))</f>
      </c>
      <c r="D5027" s="22" t="s">
        <v>71</v>
      </c>
      <c r="E5027" s="22"/>
      <c r="F5027" s="22">
        <f>(0)</f>
      </c>
      <c r="G5027" s="22">
        <f>(C5027 * E5027 + C5027 * E5027 * F5027)</f>
      </c>
    </row>
    <row r="5028">
      <c r="A5028" s="5" t="s">
        <v>1326</v>
      </c>
      <c r="B5028" s="14" t="s">
        <v>800</v>
      </c>
      <c r="C5028" s="22">
        <f>(1)*(1)*(1)*(1)*(1 + (0))</f>
      </c>
      <c r="D5028" s="22" t="s">
        <v>71</v>
      </c>
      <c r="E5028" s="22"/>
      <c r="F5028" s="22">
        <f>(0)</f>
      </c>
      <c r="G5028" s="22">
        <f>(C5028 * E5028 + C5028 * E5028 * F5028)</f>
      </c>
    </row>
    <row r="5029">
      <c r="A5029" s="5" t="s">
        <v>1327</v>
      </c>
      <c r="B5029" s="14" t="s">
        <v>73</v>
      </c>
      <c r="C5029" s="22">
        <f>(1)*(1)*(1)*(1)*(1 + (0))</f>
      </c>
      <c r="D5029" s="22" t="s">
        <v>71</v>
      </c>
      <c r="E5029" s="22"/>
      <c r="F5029" s="22">
        <f>(0)</f>
      </c>
      <c r="G5029" s="22">
        <f>(C5029 * E5029 + C5029 * E5029 * F5029)</f>
      </c>
    </row>
    <row r="5030">
      <c r="A5030" s="5" t="s">
        <v>1328</v>
      </c>
      <c r="B5030" s="14" t="s">
        <v>70</v>
      </c>
      <c r="C5030" s="22">
        <f>(1)*(1)*(1)*(1)*(1 + (0))</f>
      </c>
      <c r="D5030" s="22" t="s">
        <v>71</v>
      </c>
      <c r="E5030" s="22"/>
      <c r="F5030" s="22">
        <f>(0)</f>
      </c>
      <c r="G5030" s="22">
        <f>(C5030 * E5030 + C5030 * E5030 * F5030)</f>
      </c>
    </row>
    <row r="5031">
      <c r="A5031" s="5" t="s">
        <v>1329</v>
      </c>
      <c r="B5031" s="14" t="s">
        <v>1330</v>
      </c>
      <c r="C5031" s="22">
        <f>(1)*(1)*(1)*(1)*(1 + (0))</f>
      </c>
      <c r="D5031" s="22" t="s">
        <v>71</v>
      </c>
      <c r="E5031" s="22"/>
      <c r="F5031" s="22">
        <f>(0)</f>
      </c>
      <c r="G5031" s="22">
        <f>(C5031 * E5031 + C5031 * E5031 * F5031)</f>
      </c>
    </row>
    <row r="5032">
      <c r="A5032" s="5" t="s">
        <v>1331</v>
      </c>
      <c r="B5032" s="14" t="s">
        <v>665</v>
      </c>
      <c r="C5032" s="22">
        <f>(1)*(1)*(1)*(1)*(1 + (0))</f>
      </c>
      <c r="D5032" s="22" t="s">
        <v>71</v>
      </c>
      <c r="E5032" s="22"/>
      <c r="F5032" s="22">
        <f>(0)</f>
      </c>
      <c r="G5032" s="22">
        <f>(C5032 * E5032 + C5032 * E5032 * F5032)</f>
      </c>
    </row>
    <row r="5033">
      <c r="A5033" s="3"/>
      <c r="B5033" s="11" t="s">
        <v>106</v>
      </c>
      <c r="C5033" s="20"/>
      <c r="D5033" s="20"/>
      <c r="E5033" s="20"/>
      <c r="F5033" s="20"/>
      <c r="G5033" s="20"/>
    </row>
    <row r="5034">
      <c r="A5034" s="5"/>
      <c r="B5034" s="14" t="s">
        <v>1751</v>
      </c>
      <c r="C5034" s="22"/>
      <c r="D5034" s="22" t="s">
        <v>1333</v>
      </c>
      <c r="E5034" s="22"/>
      <c r="F5034" s="22">
        <f>(0)</f>
      </c>
      <c r="G5034" s="22">
        <f>(C5034 * E5034 + C5034 * E5034 * F5034)</f>
      </c>
    </row>
    <row r="5035">
      <c r="A5035" s="5"/>
      <c r="B5035" s="14" t="s">
        <v>1334</v>
      </c>
      <c r="C5035" s="22"/>
      <c r="D5035" s="22" t="s">
        <v>1335</v>
      </c>
      <c r="E5035" s="22"/>
      <c r="F5035" s="22">
        <f>(0)</f>
      </c>
      <c r="G5035" s="22">
        <f>(C5035 * E5035 + C5035 * E5035 * F5035)</f>
      </c>
    </row>
    <row r="5036">
      <c r="A5036" s="3"/>
      <c r="B5036" s="11" t="s">
        <v>1336</v>
      </c>
      <c r="C5036" s="20"/>
      <c r="D5036" s="20"/>
      <c r="E5036" s="20"/>
      <c r="F5036" s="20"/>
      <c r="G5036" s="20"/>
    </row>
    <row r="5037">
      <c r="A5037" s="4"/>
      <c r="B5037" s="12" t="s">
        <v>1337</v>
      </c>
      <c r="C5037" s="21"/>
      <c r="D5037" s="21"/>
      <c r="E5037" s="21"/>
      <c r="F5037" s="21"/>
      <c r="G5037" s="21"/>
    </row>
    <row r="5038">
      <c r="A5038" s="6"/>
      <c r="B5038" s="15" t="s">
        <v>1338</v>
      </c>
      <c r="C5038" s="23"/>
      <c r="D5038" s="23"/>
      <c r="E5038" s="23"/>
      <c r="F5038" s="23"/>
      <c r="G5038" s="23"/>
    </row>
    <row r="5039">
      <c r="A5039" s="5"/>
      <c r="B5039" s="16" t="s">
        <v>1339</v>
      </c>
      <c r="C5039" s="22"/>
      <c r="D5039" s="22"/>
      <c r="E5039" s="22"/>
      <c r="F5039" s="22"/>
      <c r="G5039" s="22"/>
    </row>
    <row r="5040">
      <c r="A5040" s="5"/>
      <c r="B5040" s="17" t="s">
        <v>30</v>
      </c>
      <c r="C5040" s="22">
        <f>(87)*(1)*(1)*(1)*(1 + (0))</f>
      </c>
      <c r="D5040" s="22" t="s">
        <v>24</v>
      </c>
      <c r="E5040" s="22"/>
      <c r="F5040" s="22">
        <f>(0)</f>
      </c>
      <c r="G5040" s="22">
        <f>(C5040 * E5040 + C5040 * E5040 * F5040)</f>
      </c>
    </row>
    <row r="5041">
      <c r="A5041" s="5"/>
      <c r="B5041" s="16" t="s">
        <v>2054</v>
      </c>
      <c r="C5041" s="22"/>
      <c r="D5041" s="22"/>
      <c r="E5041" s="22"/>
      <c r="F5041" s="22"/>
      <c r="G5041" s="22"/>
    </row>
    <row r="5042">
      <c r="A5042" s="5"/>
      <c r="B5042" s="17" t="s">
        <v>30</v>
      </c>
      <c r="C5042" s="22">
        <f>(62)*(1)*(1)*(1)*(1 + (0))</f>
      </c>
      <c r="D5042" s="22" t="s">
        <v>24</v>
      </c>
      <c r="E5042" s="22"/>
      <c r="F5042" s="22">
        <f>(0)</f>
      </c>
      <c r="G5042" s="22">
        <f>(C5042 * E5042 + C5042 * E5042 * F5042)</f>
      </c>
    </row>
    <row r="5043">
      <c r="A5043" s="5"/>
      <c r="B5043" s="16" t="s">
        <v>1340</v>
      </c>
      <c r="C5043" s="22"/>
      <c r="D5043" s="22"/>
      <c r="E5043" s="22"/>
      <c r="F5043" s="22"/>
      <c r="G5043" s="22"/>
    </row>
    <row r="5044">
      <c r="A5044" s="5"/>
      <c r="B5044" s="17" t="s">
        <v>30</v>
      </c>
      <c r="C5044" s="22">
        <f>(9)*(1)*(1)*(1)*(1 + (0))</f>
      </c>
      <c r="D5044" s="22" t="s">
        <v>24</v>
      </c>
      <c r="E5044" s="22"/>
      <c r="F5044" s="22">
        <f>(0)</f>
      </c>
      <c r="G5044" s="22">
        <f>(C5044 * E5044 + C5044 * E5044 * F5044)</f>
      </c>
    </row>
    <row r="5045">
      <c r="A5045" s="5"/>
      <c r="B5045" s="16" t="s">
        <v>1341</v>
      </c>
      <c r="C5045" s="22"/>
      <c r="D5045" s="22"/>
      <c r="E5045" s="22"/>
      <c r="F5045" s="22"/>
      <c r="G5045" s="22"/>
    </row>
    <row r="5046">
      <c r="A5046" s="5"/>
      <c r="B5046" s="17" t="s">
        <v>30</v>
      </c>
      <c r="C5046" s="22">
        <f>(81)*(1)*(1)*(1)*(1 + (0))</f>
      </c>
      <c r="D5046" s="22" t="s">
        <v>24</v>
      </c>
      <c r="E5046" s="22"/>
      <c r="F5046" s="22">
        <f>(0)</f>
      </c>
      <c r="G5046" s="22">
        <f>(C5046 * E5046 + C5046 * E5046 * F5046)</f>
      </c>
    </row>
    <row r="5047">
      <c r="A5047" s="5"/>
      <c r="B5047" s="16" t="s">
        <v>1343</v>
      </c>
      <c r="C5047" s="22"/>
      <c r="D5047" s="22"/>
      <c r="E5047" s="22"/>
      <c r="F5047" s="22"/>
      <c r="G5047" s="22"/>
    </row>
    <row r="5048">
      <c r="A5048" s="5"/>
      <c r="B5048" s="17" t="s">
        <v>30</v>
      </c>
      <c r="C5048" s="22">
        <f>(53)*(1)*(1)*(1)*(1 + (0))</f>
      </c>
      <c r="D5048" s="22" t="s">
        <v>24</v>
      </c>
      <c r="E5048" s="22"/>
      <c r="F5048" s="22">
        <f>(0)</f>
      </c>
      <c r="G5048" s="22">
        <f>(C5048 * E5048 + C5048 * E5048 * F5048)</f>
      </c>
    </row>
    <row r="5049">
      <c r="A5049" s="6"/>
      <c r="B5049" s="15" t="s">
        <v>2055</v>
      </c>
      <c r="C5049" s="23"/>
      <c r="D5049" s="23"/>
      <c r="E5049" s="23"/>
      <c r="F5049" s="23"/>
      <c r="G5049" s="23"/>
    </row>
    <row r="5050">
      <c r="A5050" s="5"/>
      <c r="B5050" s="16" t="s">
        <v>1339</v>
      </c>
      <c r="C5050" s="22"/>
      <c r="D5050" s="22"/>
      <c r="E5050" s="22"/>
      <c r="F5050" s="22"/>
      <c r="G5050" s="22"/>
    </row>
    <row r="5051">
      <c r="A5051" s="5"/>
      <c r="B5051" s="17" t="s">
        <v>30</v>
      </c>
      <c r="C5051" s="22">
        <f>(61)*(1)*(1)*(1)*(1 + (0))</f>
      </c>
      <c r="D5051" s="22" t="s">
        <v>24</v>
      </c>
      <c r="E5051" s="22"/>
      <c r="F5051" s="22">
        <f>(0)</f>
      </c>
      <c r="G5051" s="22">
        <f>(C5051 * E5051 + C5051 * E5051 * F5051)</f>
      </c>
    </row>
    <row r="5052">
      <c r="A5052" s="5"/>
      <c r="B5052" s="16" t="s">
        <v>2056</v>
      </c>
      <c r="C5052" s="22"/>
      <c r="D5052" s="22"/>
      <c r="E5052" s="22"/>
      <c r="F5052" s="22"/>
      <c r="G5052" s="22"/>
    </row>
    <row r="5053">
      <c r="A5053" s="5"/>
      <c r="B5053" s="17" t="s">
        <v>30</v>
      </c>
      <c r="C5053" s="22">
        <f>(159)*(1)*(1)*(1)*(1 + (0))</f>
      </c>
      <c r="D5053" s="22" t="s">
        <v>24</v>
      </c>
      <c r="E5053" s="22"/>
      <c r="F5053" s="22">
        <f>(0)</f>
      </c>
      <c r="G5053" s="22">
        <f>(C5053 * E5053 + C5053 * E5053 * F5053)</f>
      </c>
    </row>
    <row r="5054">
      <c r="A5054" s="5"/>
      <c r="B5054" s="16" t="s">
        <v>1343</v>
      </c>
      <c r="C5054" s="22"/>
      <c r="D5054" s="22"/>
      <c r="E5054" s="22"/>
      <c r="F5054" s="22"/>
      <c r="G5054" s="22"/>
    </row>
    <row r="5055">
      <c r="A5055" s="5"/>
      <c r="B5055" s="17" t="s">
        <v>30</v>
      </c>
      <c r="C5055" s="22">
        <f>(150)*(1)*(1)*(1)*(1 + (0))</f>
      </c>
      <c r="D5055" s="22" t="s">
        <v>24</v>
      </c>
      <c r="E5055" s="22"/>
      <c r="F5055" s="22">
        <f>(0)</f>
      </c>
      <c r="G5055" s="22">
        <f>(C5055 * E5055 + C5055 * E5055 * F5055)</f>
      </c>
    </row>
    <row r="5056">
      <c r="A5056" s="4"/>
      <c r="B5056" s="12" t="s">
        <v>1348</v>
      </c>
      <c r="C5056" s="21"/>
      <c r="D5056" s="21"/>
      <c r="E5056" s="21"/>
      <c r="F5056" s="21"/>
      <c r="G5056" s="21"/>
    </row>
    <row r="5057">
      <c r="A5057" s="6"/>
      <c r="B5057" s="15" t="s">
        <v>1349</v>
      </c>
      <c r="C5057" s="23"/>
      <c r="D5057" s="23"/>
      <c r="E5057" s="23"/>
      <c r="F5057" s="23"/>
      <c r="G5057" s="23"/>
    </row>
    <row r="5058">
      <c r="A5058" s="5"/>
      <c r="B5058" s="16" t="s">
        <v>30</v>
      </c>
      <c r="C5058" s="22">
        <f>(16)*(1)*(1)*(1)*(1 + (0))</f>
      </c>
      <c r="D5058" s="22" t="s">
        <v>153</v>
      </c>
      <c r="E5058" s="22"/>
      <c r="F5058" s="22">
        <f>(0)</f>
      </c>
      <c r="G5058" s="22">
        <f>(C5058 * E5058 + C5058 * E5058 * F5058)</f>
      </c>
    </row>
    <row r="5059">
      <c r="A5059" s="3"/>
      <c r="B5059" s="11" t="s">
        <v>1350</v>
      </c>
      <c r="C5059" s="20"/>
      <c r="D5059" s="20"/>
      <c r="E5059" s="20"/>
      <c r="F5059" s="20"/>
      <c r="G5059" s="20"/>
    </row>
    <row r="5060">
      <c r="A5060" s="4"/>
      <c r="B5060" s="12" t="s">
        <v>1351</v>
      </c>
      <c r="C5060" s="21"/>
      <c r="D5060" s="21"/>
      <c r="E5060" s="21"/>
      <c r="F5060" s="21"/>
      <c r="G5060" s="21"/>
    </row>
    <row r="5061">
      <c r="A5061" s="5"/>
      <c r="B5061" s="13" t="s">
        <v>1746</v>
      </c>
      <c r="C5061" s="22">
        <f>(632)*(1)*(1)*(1)*(1 + (0))</f>
      </c>
      <c r="D5061" s="22" t="s">
        <v>24</v>
      </c>
      <c r="E5061" s="22"/>
      <c r="F5061" s="22">
        <f>(0)</f>
      </c>
      <c r="G5061" s="22">
        <f>(C5061 * E5061 + C5061 * E5061 * F5061)</f>
      </c>
    </row>
    <row r="5062">
      <c r="A5062" s="3"/>
      <c r="B5062" s="11" t="s">
        <v>1355</v>
      </c>
      <c r="C5062" s="20"/>
      <c r="D5062" s="20"/>
      <c r="E5062" s="20"/>
      <c r="F5062" s="20"/>
      <c r="G5062" s="20"/>
    </row>
    <row r="5063">
      <c r="A5063" s="4"/>
      <c r="B5063" s="12" t="s">
        <v>1710</v>
      </c>
      <c r="C5063" s="21"/>
      <c r="D5063" s="21"/>
      <c r="E5063" s="21"/>
      <c r="F5063" s="21"/>
      <c r="G5063" s="21"/>
    </row>
    <row r="5064">
      <c r="A5064" s="6"/>
      <c r="B5064" s="15" t="s">
        <v>1356</v>
      </c>
      <c r="C5064" s="23"/>
      <c r="D5064" s="23"/>
      <c r="E5064" s="23"/>
      <c r="F5064" s="23"/>
      <c r="G5064" s="23"/>
    </row>
    <row r="5065">
      <c r="A5065" s="5"/>
      <c r="B5065" s="16" t="s">
        <v>1358</v>
      </c>
      <c r="C5065" s="22">
        <f>(3)*(1)*(1)*(1)*(1 + (0))</f>
      </c>
      <c r="D5065" s="22" t="s">
        <v>162</v>
      </c>
      <c r="E5065" s="22"/>
      <c r="F5065" s="22">
        <f>(0)</f>
      </c>
      <c r="G5065" s="22">
        <f>(C5065 * E5065 + C5065 * E5065 * F5065)</f>
      </c>
    </row>
    <row r="5066">
      <c r="A5066" s="3"/>
      <c r="B5066" s="11" t="s">
        <v>1359</v>
      </c>
      <c r="C5066" s="20"/>
      <c r="D5066" s="20"/>
      <c r="E5066" s="20"/>
      <c r="F5066" s="20"/>
      <c r="G5066" s="20"/>
    </row>
    <row r="5067">
      <c r="A5067" s="4"/>
      <c r="B5067" s="12" t="s">
        <v>1710</v>
      </c>
      <c r="C5067" s="21"/>
      <c r="D5067" s="21"/>
      <c r="E5067" s="21"/>
      <c r="F5067" s="21"/>
      <c r="G5067" s="21"/>
    </row>
    <row r="5068">
      <c r="A5068" s="6"/>
      <c r="B5068" s="15" t="s">
        <v>1360</v>
      </c>
      <c r="C5068" s="23"/>
      <c r="D5068" s="23"/>
      <c r="E5068" s="23"/>
      <c r="F5068" s="23"/>
      <c r="G5068" s="23"/>
    </row>
    <row r="5069">
      <c r="A5069" s="5"/>
      <c r="B5069" s="16" t="s">
        <v>1357</v>
      </c>
      <c r="C5069" s="22">
        <f>(5)*(1)*(1)*(1)*(1 + (0))</f>
      </c>
      <c r="D5069" s="22" t="s">
        <v>162</v>
      </c>
      <c r="E5069" s="22"/>
      <c r="F5069" s="22">
        <f>(0)</f>
      </c>
      <c r="G5069" s="22">
        <f>(C5069 * E5069 + C5069 * E5069 * F5069)</f>
      </c>
    </row>
    <row r="5070">
      <c r="A5070" s="5"/>
      <c r="B5070" s="16" t="s">
        <v>1358</v>
      </c>
      <c r="C5070" s="22">
        <f>(16)*(1)*(1)*(1)*(1 + (0))</f>
      </c>
      <c r="D5070" s="22" t="s">
        <v>162</v>
      </c>
      <c r="E5070" s="22"/>
      <c r="F5070" s="22">
        <f>(0)</f>
      </c>
      <c r="G5070" s="22">
        <f>(C5070 * E5070 + C5070 * E5070 * F5070)</f>
      </c>
    </row>
    <row r="5071">
      <c r="A5071" s="3"/>
      <c r="B5071" s="11" t="s">
        <v>2057</v>
      </c>
      <c r="C5071" s="20"/>
      <c r="D5071" s="20"/>
      <c r="E5071" s="20"/>
      <c r="F5071" s="20"/>
      <c r="G5071" s="20"/>
    </row>
    <row r="5072">
      <c r="A5072" s="5"/>
      <c r="B5072" s="14" t="s">
        <v>2058</v>
      </c>
      <c r="C5072" s="22">
        <f>(22)*(1)*(1)*(1)*(1 + (0))</f>
      </c>
      <c r="D5072" s="22" t="s">
        <v>24</v>
      </c>
      <c r="E5072" s="22"/>
      <c r="F5072" s="22">
        <f>(0)</f>
      </c>
      <c r="G5072" s="22">
        <f>(C5072 * E5072 + C5072 * E5072 * F5072)</f>
      </c>
    </row>
    <row r="5073">
      <c r="A5073" s="2"/>
      <c r="B5073" s="10" t="s">
        <v>1361</v>
      </c>
      <c r="C5073" s="19"/>
      <c r="D5073" s="19"/>
      <c r="E5073" s="19"/>
      <c r="F5073" s="19"/>
      <c r="G5073" s="19"/>
    </row>
    <row r="5074">
      <c r="A5074" s="3"/>
      <c r="B5074" s="11" t="s">
        <v>37</v>
      </c>
      <c r="C5074" s="20"/>
      <c r="D5074" s="20"/>
      <c r="E5074" s="20"/>
      <c r="F5074" s="20"/>
      <c r="G5074" s="20"/>
    </row>
    <row r="5075">
      <c r="A5075" s="5" t="s">
        <v>1285</v>
      </c>
      <c r="B5075" s="14" t="s">
        <v>39</v>
      </c>
      <c r="C5075" s="22"/>
      <c r="D5075" s="22" t="s">
        <v>10</v>
      </c>
      <c r="E5075" s="22"/>
      <c r="F5075" s="22">
        <f>(0)</f>
      </c>
      <c r="G5075" s="22">
        <f>(C5075 * E5075 + C5075 * E5075 * F5075)</f>
      </c>
    </row>
    <row r="5076">
      <c r="A5076" s="5" t="s">
        <v>1286</v>
      </c>
      <c r="B5076" s="14" t="s">
        <v>41</v>
      </c>
      <c r="C5076" s="22"/>
      <c r="D5076" s="22" t="s">
        <v>10</v>
      </c>
      <c r="E5076" s="22"/>
      <c r="F5076" s="22">
        <f>(0)</f>
      </c>
      <c r="G5076" s="22">
        <f>(C5076 * E5076 + C5076 * E5076 * F5076)</f>
      </c>
    </row>
    <row r="5077">
      <c r="A5077" s="3"/>
      <c r="B5077" s="11" t="s">
        <v>42</v>
      </c>
      <c r="C5077" s="20"/>
      <c r="D5077" s="20"/>
      <c r="E5077" s="20"/>
      <c r="F5077" s="20"/>
      <c r="G5077" s="20"/>
    </row>
    <row r="5078">
      <c r="A5078" s="5"/>
      <c r="B5078" s="14" t="s">
        <v>1287</v>
      </c>
      <c r="C5078" s="22"/>
      <c r="D5078" s="22" t="s">
        <v>10</v>
      </c>
      <c r="E5078" s="22"/>
      <c r="F5078" s="22">
        <f>(0)</f>
      </c>
      <c r="G5078" s="22">
        <f>(C5078 * E5078 + C5078 * E5078 * F5078)</f>
      </c>
    </row>
    <row r="5079">
      <c r="A5079" s="5"/>
      <c r="B5079" s="14" t="s">
        <v>1288</v>
      </c>
      <c r="C5079" s="22"/>
      <c r="D5079" s="22" t="s">
        <v>10</v>
      </c>
      <c r="E5079" s="22"/>
      <c r="F5079" s="22">
        <f>(0)</f>
      </c>
      <c r="G5079" s="22">
        <f>(C5079 * E5079 + C5079 * E5079 * F5079)</f>
      </c>
    </row>
    <row r="5080">
      <c r="A5080" s="5"/>
      <c r="B5080" s="14" t="s">
        <v>1289</v>
      </c>
      <c r="C5080" s="22"/>
      <c r="D5080" s="22" t="s">
        <v>10</v>
      </c>
      <c r="E5080" s="22"/>
      <c r="F5080" s="22">
        <f>(0)</f>
      </c>
      <c r="G5080" s="22">
        <f>(C5080 * E5080 + C5080 * E5080 * F5080)</f>
      </c>
    </row>
    <row r="5081">
      <c r="A5081" s="5"/>
      <c r="B5081" s="14" t="s">
        <v>1290</v>
      </c>
      <c r="C5081" s="22"/>
      <c r="D5081" s="22" t="s">
        <v>10</v>
      </c>
      <c r="E5081" s="22"/>
      <c r="F5081" s="22">
        <f>(0)</f>
      </c>
      <c r="G5081" s="22">
        <f>(C5081 * E5081 + C5081 * E5081 * F5081)</f>
      </c>
    </row>
    <row r="5082">
      <c r="A5082" s="3"/>
      <c r="B5082" s="11" t="s">
        <v>44</v>
      </c>
      <c r="C5082" s="20"/>
      <c r="D5082" s="20"/>
      <c r="E5082" s="20"/>
      <c r="F5082" s="20"/>
      <c r="G5082" s="20"/>
    </row>
    <row r="5083">
      <c r="A5083" s="4"/>
      <c r="B5083" s="12" t="s">
        <v>45</v>
      </c>
      <c r="C5083" s="21"/>
      <c r="D5083" s="21"/>
      <c r="E5083" s="21"/>
      <c r="F5083" s="21"/>
      <c r="G5083" s="21"/>
    </row>
    <row r="5084">
      <c r="A5084" s="5" t="s">
        <v>1291</v>
      </c>
      <c r="B5084" s="13" t="s">
        <v>767</v>
      </c>
      <c r="C5084" s="22"/>
      <c r="D5084" s="22" t="s">
        <v>10</v>
      </c>
      <c r="E5084" s="22"/>
      <c r="F5084" s="22">
        <f>(0)</f>
      </c>
      <c r="G5084" s="22">
        <f>(C5084 * E5084 + C5084 * E5084 * F5084)</f>
      </c>
    </row>
    <row r="5085">
      <c r="A5085" s="5" t="s">
        <v>1292</v>
      </c>
      <c r="B5085" s="13" t="s">
        <v>123</v>
      </c>
      <c r="C5085" s="22"/>
      <c r="D5085" s="22" t="s">
        <v>10</v>
      </c>
      <c r="E5085" s="22"/>
      <c r="F5085" s="22">
        <f>(0)</f>
      </c>
      <c r="G5085" s="22">
        <f>(C5085 * E5085 + C5085 * E5085 * F5085)</f>
      </c>
    </row>
    <row r="5086">
      <c r="A5086" s="3"/>
      <c r="B5086" s="11" t="s">
        <v>68</v>
      </c>
      <c r="C5086" s="20"/>
      <c r="D5086" s="20"/>
      <c r="E5086" s="20"/>
      <c r="F5086" s="20"/>
      <c r="G5086" s="20"/>
    </row>
    <row r="5087">
      <c r="A5087" s="5" t="s">
        <v>1293</v>
      </c>
      <c r="B5087" s="14" t="s">
        <v>230</v>
      </c>
      <c r="C5087" s="22">
        <f>(1)*(1)*(1)*(1)*(1 + (0))</f>
      </c>
      <c r="D5087" s="22" t="s">
        <v>71</v>
      </c>
      <c r="E5087" s="22"/>
      <c r="F5087" s="22">
        <f>(0)</f>
      </c>
      <c r="G5087" s="22">
        <f>(C5087 * E5087 + C5087 * E5087 * F5087)</f>
      </c>
    </row>
    <row r="5088">
      <c r="A5088" s="5" t="s">
        <v>1294</v>
      </c>
      <c r="B5088" s="14" t="s">
        <v>70</v>
      </c>
      <c r="C5088" s="22">
        <f>(1)*(1)*(1)*(1)*(1 + (0))</f>
      </c>
      <c r="D5088" s="22" t="s">
        <v>71</v>
      </c>
      <c r="E5088" s="22"/>
      <c r="F5088" s="22">
        <f>(0)</f>
      </c>
      <c r="G5088" s="22">
        <f>(C5088 * E5088 + C5088 * E5088 * F5088)</f>
      </c>
    </row>
    <row r="5089">
      <c r="A5089" s="5" t="s">
        <v>1295</v>
      </c>
      <c r="B5089" s="14" t="s">
        <v>906</v>
      </c>
      <c r="C5089" s="22">
        <f>(1)*(1)*(1)*(1)*(1 + (0))</f>
      </c>
      <c r="D5089" s="22" t="s">
        <v>71</v>
      </c>
      <c r="E5089" s="22"/>
      <c r="F5089" s="22">
        <f>(0)</f>
      </c>
      <c r="G5089" s="22">
        <f>(C5089 * E5089 + C5089 * E5089 * F5089)</f>
      </c>
    </row>
    <row r="5090">
      <c r="A5090" s="5" t="s">
        <v>1296</v>
      </c>
      <c r="B5090" s="14" t="s">
        <v>665</v>
      </c>
      <c r="C5090" s="22">
        <f>(1)*(1)*(1)*(1)*(1 + (0))</f>
      </c>
      <c r="D5090" s="22" t="s">
        <v>71</v>
      </c>
      <c r="E5090" s="22"/>
      <c r="F5090" s="22">
        <f>(0)</f>
      </c>
      <c r="G5090" s="22">
        <f>(C5090 * E5090 + C5090 * E5090 * F5090)</f>
      </c>
    </row>
    <row r="5091">
      <c r="A5091" s="3"/>
      <c r="B5091" s="11" t="s">
        <v>1362</v>
      </c>
      <c r="C5091" s="20"/>
      <c r="D5091" s="20"/>
      <c r="E5091" s="20"/>
      <c r="F5091" s="20"/>
      <c r="G5091" s="20"/>
    </row>
    <row r="5092">
      <c r="A5092" s="4"/>
      <c r="B5092" s="12" t="s">
        <v>1361</v>
      </c>
      <c r="C5092" s="21"/>
      <c r="D5092" s="21"/>
      <c r="E5092" s="21"/>
      <c r="F5092" s="21"/>
      <c r="G5092" s="21"/>
    </row>
    <row r="5093">
      <c r="A5093" s="5"/>
      <c r="B5093" s="13" t="s">
        <v>1363</v>
      </c>
      <c r="C5093" s="22">
        <f>(19)*(1)*(1)*(1)*(1 + (0))</f>
      </c>
      <c r="D5093" s="22" t="s">
        <v>153</v>
      </c>
      <c r="E5093" s="22"/>
      <c r="F5093" s="22">
        <f>(0)</f>
      </c>
      <c r="G5093" s="22">
        <f>(C5093 * E5093 + C5093 * E5093 * F5093)</f>
      </c>
    </row>
    <row r="5094">
      <c r="A5094" s="4"/>
      <c r="B5094" s="12" t="s">
        <v>1364</v>
      </c>
      <c r="C5094" s="21"/>
      <c r="D5094" s="21"/>
      <c r="E5094" s="21"/>
      <c r="F5094" s="21"/>
      <c r="G5094" s="21"/>
    </row>
    <row r="5095">
      <c r="A5095" s="5"/>
      <c r="B5095" s="13" t="s">
        <v>1788</v>
      </c>
      <c r="C5095" s="22">
        <f>(5)*(1)*(1)*(1)*(1 + (0))</f>
      </c>
      <c r="D5095" s="22" t="s">
        <v>153</v>
      </c>
      <c r="E5095" s="22"/>
      <c r="F5095" s="22">
        <f>(0)</f>
      </c>
      <c r="G5095" s="22">
        <f>(C5095 * E5095 + C5095 * E5095 * F5095)</f>
      </c>
    </row>
    <row r="5096">
      <c r="A5096" s="2"/>
      <c r="B5096" s="10" t="s">
        <v>1366</v>
      </c>
      <c r="C5096" s="19"/>
      <c r="D5096" s="19"/>
      <c r="E5096" s="19"/>
      <c r="F5096" s="19"/>
      <c r="G5096" s="19"/>
    </row>
    <row r="5097">
      <c r="A5097" s="3"/>
      <c r="B5097" s="11" t="s">
        <v>37</v>
      </c>
      <c r="C5097" s="20"/>
      <c r="D5097" s="20"/>
      <c r="E5097" s="20"/>
      <c r="F5097" s="20"/>
      <c r="G5097" s="20"/>
    </row>
    <row r="5098">
      <c r="A5098" s="5" t="s">
        <v>1367</v>
      </c>
      <c r="B5098" s="14" t="s">
        <v>39</v>
      </c>
      <c r="C5098" s="22"/>
      <c r="D5098" s="22" t="s">
        <v>10</v>
      </c>
      <c r="E5098" s="22"/>
      <c r="F5098" s="22">
        <f>(0)</f>
      </c>
      <c r="G5098" s="22">
        <f>(C5098 * E5098 + C5098 * E5098 * F5098)</f>
      </c>
    </row>
    <row r="5099">
      <c r="A5099" s="5" t="s">
        <v>1368</v>
      </c>
      <c r="B5099" s="14" t="s">
        <v>41</v>
      </c>
      <c r="C5099" s="22"/>
      <c r="D5099" s="22" t="s">
        <v>10</v>
      </c>
      <c r="E5099" s="22"/>
      <c r="F5099" s="22">
        <f>(0)</f>
      </c>
      <c r="G5099" s="22">
        <f>(C5099 * E5099 + C5099 * E5099 * F5099)</f>
      </c>
    </row>
    <row r="5100">
      <c r="A5100" s="3"/>
      <c r="B5100" s="11" t="s">
        <v>42</v>
      </c>
      <c r="C5100" s="20"/>
      <c r="D5100" s="20"/>
      <c r="E5100" s="20"/>
      <c r="F5100" s="20"/>
      <c r="G5100" s="20"/>
    </row>
    <row r="5101">
      <c r="A5101" s="5"/>
      <c r="B5101" s="14" t="s">
        <v>1369</v>
      </c>
      <c r="C5101" s="22"/>
      <c r="D5101" s="22" t="s">
        <v>10</v>
      </c>
      <c r="E5101" s="22"/>
      <c r="F5101" s="22">
        <f>(0)</f>
      </c>
      <c r="G5101" s="22">
        <f>(C5101 * E5101 + C5101 * E5101 * F5101)</f>
      </c>
    </row>
    <row r="5102">
      <c r="A5102" s="5"/>
      <c r="B5102" s="14" t="s">
        <v>1370</v>
      </c>
      <c r="C5102" s="22"/>
      <c r="D5102" s="22" t="s">
        <v>10</v>
      </c>
      <c r="E5102" s="22"/>
      <c r="F5102" s="22">
        <f>(0)</f>
      </c>
      <c r="G5102" s="22">
        <f>(C5102 * E5102 + C5102 * E5102 * F5102)</f>
      </c>
    </row>
    <row r="5103">
      <c r="A5103" s="5"/>
      <c r="B5103" s="14" t="s">
        <v>1371</v>
      </c>
      <c r="C5103" s="22"/>
      <c r="D5103" s="22" t="s">
        <v>10</v>
      </c>
      <c r="E5103" s="22"/>
      <c r="F5103" s="22">
        <f>(0)</f>
      </c>
      <c r="G5103" s="22">
        <f>(C5103 * E5103 + C5103 * E5103 * F5103)</f>
      </c>
    </row>
    <row r="5104">
      <c r="A5104" s="5"/>
      <c r="B5104" s="14" t="s">
        <v>1372</v>
      </c>
      <c r="C5104" s="22"/>
      <c r="D5104" s="22" t="s">
        <v>10</v>
      </c>
      <c r="E5104" s="22"/>
      <c r="F5104" s="22">
        <f>(0)</f>
      </c>
      <c r="G5104" s="22">
        <f>(C5104 * E5104 + C5104 * E5104 * F5104)</f>
      </c>
    </row>
    <row r="5105">
      <c r="A5105" s="3"/>
      <c r="B5105" s="11" t="s">
        <v>44</v>
      </c>
      <c r="C5105" s="20"/>
      <c r="D5105" s="20"/>
      <c r="E5105" s="20"/>
      <c r="F5105" s="20"/>
      <c r="G5105" s="20"/>
    </row>
    <row r="5106">
      <c r="A5106" s="4"/>
      <c r="B5106" s="12" t="s">
        <v>45</v>
      </c>
      <c r="C5106" s="21"/>
      <c r="D5106" s="21"/>
      <c r="E5106" s="21"/>
      <c r="F5106" s="21"/>
      <c r="G5106" s="21"/>
    </row>
    <row r="5107">
      <c r="A5107" s="5" t="s">
        <v>1373</v>
      </c>
      <c r="B5107" s="13" t="s">
        <v>1374</v>
      </c>
      <c r="C5107" s="22"/>
      <c r="D5107" s="22" t="s">
        <v>10</v>
      </c>
      <c r="E5107" s="22"/>
      <c r="F5107" s="22">
        <f>(0)</f>
      </c>
      <c r="G5107" s="22">
        <f>(C5107 * E5107 + C5107 * E5107 * F5107)</f>
      </c>
    </row>
    <row r="5108">
      <c r="A5108" s="5" t="s">
        <v>1375</v>
      </c>
      <c r="B5108" s="13" t="s">
        <v>1376</v>
      </c>
      <c r="C5108" s="22"/>
      <c r="D5108" s="22" t="s">
        <v>10</v>
      </c>
      <c r="E5108" s="22"/>
      <c r="F5108" s="22">
        <f>(0)</f>
      </c>
      <c r="G5108" s="22">
        <f>(C5108 * E5108 + C5108 * E5108 * F5108)</f>
      </c>
    </row>
    <row r="5109">
      <c r="A5109" s="5" t="s">
        <v>1377</v>
      </c>
      <c r="B5109" s="13" t="s">
        <v>853</v>
      </c>
      <c r="C5109" s="22"/>
      <c r="D5109" s="22" t="s">
        <v>10</v>
      </c>
      <c r="E5109" s="22"/>
      <c r="F5109" s="22">
        <f>(0)</f>
      </c>
      <c r="G5109" s="22">
        <f>(C5109 * E5109 + C5109 * E5109 * F5109)</f>
      </c>
    </row>
    <row r="5110">
      <c r="A5110" s="5" t="s">
        <v>1378</v>
      </c>
      <c r="B5110" s="13" t="s">
        <v>123</v>
      </c>
      <c r="C5110" s="22"/>
      <c r="D5110" s="22" t="s">
        <v>10</v>
      </c>
      <c r="E5110" s="22"/>
      <c r="F5110" s="22">
        <f>(0)</f>
      </c>
      <c r="G5110" s="22">
        <f>(C5110 * E5110 + C5110 * E5110 * F5110)</f>
      </c>
    </row>
    <row r="5111">
      <c r="A5111" s="3"/>
      <c r="B5111" s="11" t="s">
        <v>68</v>
      </c>
      <c r="C5111" s="20"/>
      <c r="D5111" s="20"/>
      <c r="E5111" s="20"/>
      <c r="F5111" s="20"/>
      <c r="G5111" s="20"/>
    </row>
    <row r="5112">
      <c r="A5112" s="5" t="s">
        <v>1379</v>
      </c>
      <c r="B5112" s="14" t="s">
        <v>70</v>
      </c>
      <c r="C5112" s="22">
        <f>(1)*(1)*(1)*(1)*(1 + (0))</f>
      </c>
      <c r="D5112" s="22" t="s">
        <v>71</v>
      </c>
      <c r="E5112" s="22"/>
      <c r="F5112" s="22">
        <f>(0)</f>
      </c>
      <c r="G5112" s="22">
        <f>(C5112 * E5112 + C5112 * E5112 * F5112)</f>
      </c>
    </row>
    <row r="5113">
      <c r="A5113" s="5" t="s">
        <v>1380</v>
      </c>
      <c r="B5113" s="14" t="s">
        <v>230</v>
      </c>
      <c r="C5113" s="22">
        <f>(1)*(1)*(1)*(1)*(1 + (0))</f>
      </c>
      <c r="D5113" s="22" t="s">
        <v>71</v>
      </c>
      <c r="E5113" s="22"/>
      <c r="F5113" s="22">
        <f>(0)</f>
      </c>
      <c r="G5113" s="22">
        <f>(C5113 * E5113 + C5113 * E5113 * F5113)</f>
      </c>
    </row>
    <row r="5114">
      <c r="A5114" s="5" t="s">
        <v>1381</v>
      </c>
      <c r="B5114" s="14" t="s">
        <v>136</v>
      </c>
      <c r="C5114" s="22">
        <f>(1)*(1)*(1)*(1)*(1 + (0))</f>
      </c>
      <c r="D5114" s="22" t="s">
        <v>71</v>
      </c>
      <c r="E5114" s="22"/>
      <c r="F5114" s="22">
        <f>(0)</f>
      </c>
      <c r="G5114" s="22">
        <f>(C5114 * E5114 + C5114 * E5114 * F5114)</f>
      </c>
    </row>
    <row r="5115">
      <c r="A5115" s="5" t="s">
        <v>1382</v>
      </c>
      <c r="B5115" s="14" t="s">
        <v>816</v>
      </c>
      <c r="C5115" s="22">
        <f>(1)*(1)*(1)*(1)*(1 + (0))</f>
      </c>
      <c r="D5115" s="22" t="s">
        <v>71</v>
      </c>
      <c r="E5115" s="22"/>
      <c r="F5115" s="22">
        <f>(0)</f>
      </c>
      <c r="G5115" s="22">
        <f>(C5115 * E5115 + C5115 * E5115 * F5115)</f>
      </c>
    </row>
    <row r="5116">
      <c r="A5116" s="5" t="s">
        <v>1383</v>
      </c>
      <c r="B5116" s="14" t="s">
        <v>665</v>
      </c>
      <c r="C5116" s="22">
        <f>(1)*(1)*(1)*(1)*(1 + (0))</f>
      </c>
      <c r="D5116" s="22" t="s">
        <v>71</v>
      </c>
      <c r="E5116" s="22"/>
      <c r="F5116" s="22">
        <f>(0)</f>
      </c>
      <c r="G5116" s="22">
        <f>(C5116 * E5116 + C5116 * E5116 * F5116)</f>
      </c>
    </row>
    <row r="5117">
      <c r="A5117" s="5" t="s">
        <v>1384</v>
      </c>
      <c r="B5117" s="14" t="s">
        <v>1385</v>
      </c>
      <c r="C5117" s="22">
        <f>(1)*(1)*(1)*(1)*(1 + (0))</f>
      </c>
      <c r="D5117" s="22" t="s">
        <v>71</v>
      </c>
      <c r="E5117" s="22"/>
      <c r="F5117" s="22">
        <f>(0)</f>
      </c>
      <c r="G5117" s="22">
        <f>(C5117 * E5117 + C5117 * E5117 * F5117)</f>
      </c>
    </row>
    <row r="5118">
      <c r="A5118" s="3"/>
      <c r="B5118" s="11" t="s">
        <v>106</v>
      </c>
      <c r="C5118" s="20"/>
      <c r="D5118" s="20"/>
      <c r="E5118" s="20"/>
      <c r="F5118" s="20"/>
      <c r="G5118" s="20"/>
    </row>
    <row r="5119">
      <c r="A5119" s="5"/>
      <c r="B5119" s="14" t="s">
        <v>1386</v>
      </c>
      <c r="C5119" s="22"/>
      <c r="D5119" s="22" t="s">
        <v>10</v>
      </c>
      <c r="E5119" s="22"/>
      <c r="F5119" s="22">
        <f>(0)</f>
      </c>
      <c r="G5119" s="22">
        <f>(C5119 * E5119 + C5119 * E5119 * F5119)</f>
      </c>
    </row>
    <row r="5120">
      <c r="A5120" s="5"/>
      <c r="B5120" s="14" t="s">
        <v>1387</v>
      </c>
      <c r="C5120" s="22"/>
      <c r="D5120" s="22" t="s">
        <v>10</v>
      </c>
      <c r="E5120" s="22"/>
      <c r="F5120" s="22">
        <f>(0)</f>
      </c>
      <c r="G5120" s="22">
        <f>(C5120 * E5120 + C5120 * E5120 * F5120)</f>
      </c>
    </row>
    <row r="5121">
      <c r="A5121" s="3"/>
      <c r="B5121" s="11" t="s">
        <v>1388</v>
      </c>
      <c r="C5121" s="20"/>
      <c r="D5121" s="20"/>
      <c r="E5121" s="20"/>
      <c r="F5121" s="20"/>
      <c r="G5121" s="20"/>
    </row>
    <row r="5122">
      <c r="A5122" s="5"/>
      <c r="B5122" s="14" t="s">
        <v>1389</v>
      </c>
      <c r="C5122" s="22">
        <f>(1)*(1)*(1)*(1)*(1 + (0))</f>
      </c>
      <c r="D5122" s="22" t="s">
        <v>162</v>
      </c>
      <c r="E5122" s="22"/>
      <c r="F5122" s="22">
        <f>(0)</f>
      </c>
      <c r="G5122" s="22">
        <f>(C5122 * E5122 + C5122 * E5122 * F5122)</f>
      </c>
    </row>
    <row r="5123">
      <c r="A5123" s="5"/>
      <c r="B5123" s="14" t="s">
        <v>1390</v>
      </c>
      <c r="C5123" s="22">
        <f>(2)*(1)*(1)*(1)*(1 + (0))</f>
      </c>
      <c r="D5123" s="22" t="s">
        <v>162</v>
      </c>
      <c r="E5123" s="22"/>
      <c r="F5123" s="22">
        <f>(0)</f>
      </c>
      <c r="G5123" s="22">
        <f>(C5123 * E5123 + C5123 * E5123 * F5123)</f>
      </c>
    </row>
    <row r="5124">
      <c r="A5124" s="3"/>
      <c r="B5124" s="11" t="s">
        <v>1392</v>
      </c>
      <c r="C5124" s="20"/>
      <c r="D5124" s="20"/>
      <c r="E5124" s="20"/>
      <c r="F5124" s="20"/>
      <c r="G5124" s="20"/>
    </row>
    <row r="5125">
      <c r="A5125" s="5"/>
      <c r="B5125" s="14" t="s">
        <v>1393</v>
      </c>
      <c r="C5125" s="22">
        <f>(1)*(1)*(1)*(1)*(1 + (0))</f>
      </c>
      <c r="D5125" s="22" t="s">
        <v>162</v>
      </c>
      <c r="E5125" s="22"/>
      <c r="F5125" s="22">
        <f>(0)</f>
      </c>
      <c r="G5125" s="22">
        <f>(C5125 * E5125 + C5125 * E5125 * F5125)</f>
      </c>
    </row>
    <row r="5126">
      <c r="A5126" s="3"/>
      <c r="B5126" s="11" t="s">
        <v>2059</v>
      </c>
      <c r="C5126" s="20"/>
      <c r="D5126" s="20"/>
      <c r="E5126" s="20"/>
      <c r="F5126" s="20"/>
      <c r="G5126" s="20"/>
    </row>
    <row r="5127">
      <c r="A5127" s="5"/>
      <c r="B5127" s="14" t="s">
        <v>2060</v>
      </c>
      <c r="C5127" s="22">
        <f>(1)*(1)*(1)*(1)*(1 + (0))</f>
      </c>
      <c r="D5127" s="22" t="s">
        <v>162</v>
      </c>
      <c r="E5127" s="22"/>
      <c r="F5127" s="22">
        <f>(0)</f>
      </c>
      <c r="G5127" s="22">
        <f>(C5127 * E5127 + C5127 * E5127 * F5127)</f>
      </c>
    </row>
    <row r="5128">
      <c r="A5128" s="3"/>
      <c r="B5128" s="11" t="s">
        <v>1397</v>
      </c>
      <c r="C5128" s="20"/>
      <c r="D5128" s="20"/>
      <c r="E5128" s="20"/>
      <c r="F5128" s="20"/>
      <c r="G5128" s="20"/>
    </row>
    <row r="5129">
      <c r="A5129" s="4"/>
      <c r="B5129" s="12" t="s">
        <v>2061</v>
      </c>
      <c r="C5129" s="21"/>
      <c r="D5129" s="21"/>
      <c r="E5129" s="21"/>
      <c r="F5129" s="21"/>
      <c r="G5129" s="21"/>
    </row>
    <row r="5130">
      <c r="A5130" s="6"/>
      <c r="B5130" s="15" t="s">
        <v>1793</v>
      </c>
      <c r="C5130" s="23"/>
      <c r="D5130" s="23"/>
      <c r="E5130" s="23"/>
      <c r="F5130" s="23"/>
      <c r="G5130" s="23"/>
    </row>
    <row r="5131">
      <c r="A5131" s="5"/>
      <c r="B5131" s="16" t="s">
        <v>2062</v>
      </c>
      <c r="C5131" s="22">
        <f>(1)*(1)*(1)*(1)*(1 + (0))</f>
      </c>
      <c r="D5131" s="22" t="s">
        <v>162</v>
      </c>
      <c r="E5131" s="22"/>
      <c r="F5131" s="22">
        <f>(0)</f>
      </c>
      <c r="G5131" s="22">
        <f>(C5131 * E5131 + C5131 * E5131 * F5131)</f>
      </c>
    </row>
    <row r="5132">
      <c r="A5132" s="5"/>
      <c r="B5132" s="16" t="s">
        <v>1421</v>
      </c>
      <c r="C5132" s="22">
        <f>(1)*(1)*(1)*(1)*(1 + (0))</f>
      </c>
      <c r="D5132" s="22" t="s">
        <v>162</v>
      </c>
      <c r="E5132" s="22"/>
      <c r="F5132" s="22">
        <f>(0)</f>
      </c>
      <c r="G5132" s="22">
        <f>(C5132 * E5132 + C5132 * E5132 * F5132)</f>
      </c>
    </row>
    <row r="5133">
      <c r="A5133" s="6"/>
      <c r="B5133" s="15" t="s">
        <v>1422</v>
      </c>
      <c r="C5133" s="23"/>
      <c r="D5133" s="23"/>
      <c r="E5133" s="23"/>
      <c r="F5133" s="23"/>
      <c r="G5133" s="23"/>
    </row>
    <row r="5134">
      <c r="A5134" s="5"/>
      <c r="B5134" s="16" t="s">
        <v>1423</v>
      </c>
      <c r="C5134" s="22">
        <f>(1)*(1)*(1)*(1)*(1 + (0))</f>
      </c>
      <c r="D5134" s="22" t="s">
        <v>162</v>
      </c>
      <c r="E5134" s="22"/>
      <c r="F5134" s="22">
        <f>(0)</f>
      </c>
      <c r="G5134" s="22">
        <f>(C5134 * E5134 + C5134 * E5134 * F5134)</f>
      </c>
    </row>
    <row r="5135">
      <c r="A5135" s="5"/>
      <c r="B5135" s="16" t="s">
        <v>1424</v>
      </c>
      <c r="C5135" s="22">
        <f>(1)*(1)*(1)*(1)*(1 + (0))</f>
      </c>
      <c r="D5135" s="22" t="s">
        <v>162</v>
      </c>
      <c r="E5135" s="22"/>
      <c r="F5135" s="22">
        <f>(0)</f>
      </c>
      <c r="G5135" s="22">
        <f>(C5135 * E5135 + C5135 * E5135 * F5135)</f>
      </c>
    </row>
    <row r="5136">
      <c r="A5136" s="5"/>
      <c r="B5136" s="14" t="s">
        <v>1436</v>
      </c>
      <c r="C5136" s="22">
        <f>(1)*(1)*(1)*(1)*(1 + (0))</f>
      </c>
      <c r="D5136" s="22" t="s">
        <v>606</v>
      </c>
      <c r="E5136" s="22"/>
      <c r="F5136" s="22">
        <f>(0)</f>
      </c>
      <c r="G5136" s="22">
        <f>(C5136 * E5136 + C5136 * E5136 * F5136)</f>
      </c>
    </row>
    <row r="5137">
      <c r="A5137" s="5"/>
      <c r="B5137" s="7" t="s">
        <v>1437</v>
      </c>
      <c r="C5137" s="22"/>
      <c r="D5137" s="22"/>
      <c r="E5137" s="22"/>
      <c r="F5137" s="22">
        <f>(0)</f>
      </c>
      <c r="G5137" s="22">
        <f>(C5137 * E5137 + C5137 * E5137 * F5137)</f>
      </c>
    </row>
    <row r="5138">
      <c r="A5138" s="5"/>
      <c r="B5138" s="7" t="s">
        <v>1438</v>
      </c>
      <c r="C5138" s="22"/>
      <c r="D5138" s="22"/>
      <c r="E5138" s="22"/>
      <c r="F5138" s="22">
        <f>(0)</f>
      </c>
      <c r="G5138" s="22">
        <f>(C5138 * E5138 + C5138 * E5138 * F5138)</f>
      </c>
    </row>
    <row r="5139">
      <c r="A5139" s="5"/>
      <c r="B5139" s="7" t="s">
        <v>1439</v>
      </c>
      <c r="C5139" s="22"/>
      <c r="D5139" s="22"/>
      <c r="E5139" s="22"/>
      <c r="F5139" s="22">
        <f>(0)</f>
      </c>
      <c r="G5139" s="22">
        <f>(C5139 * E5139 + C5139 * E5139 * F5139)</f>
      </c>
    </row>
    <row r="5140">
      <c r="A5140" s="5"/>
      <c r="B5140" s="7" t="s">
        <v>1440</v>
      </c>
      <c r="C5140" s="22"/>
      <c r="D5140" s="22"/>
      <c r="E5140" s="22"/>
      <c r="F5140" s="22">
        <f>(0)</f>
      </c>
      <c r="G5140" s="22">
        <f>(C5140 * E5140 + C5140 * E5140 * F5140)</f>
      </c>
    </row>
    <row r="5141">
      <c r="A5141" s="5"/>
      <c r="B5141" s="7" t="s">
        <v>2063</v>
      </c>
      <c r="C5141" s="22"/>
      <c r="D5141" s="22"/>
      <c r="E5141" s="22"/>
      <c r="F5141" s="22">
        <f>(0)</f>
      </c>
      <c r="G5141" s="22">
        <f>(C5141 * E5141 + C5141 * E5141 * F5141)</f>
      </c>
    </row>
    <row r="5142">
      <c r="A5142" s="2"/>
      <c r="B5142" s="10" t="s">
        <v>1454</v>
      </c>
      <c r="C5142" s="19"/>
      <c r="D5142" s="19"/>
      <c r="E5142" s="19"/>
      <c r="F5142" s="19"/>
      <c r="G5142" s="19"/>
    </row>
    <row r="5143">
      <c r="A5143" s="3"/>
      <c r="B5143" s="11" t="s">
        <v>37</v>
      </c>
      <c r="C5143" s="20"/>
      <c r="D5143" s="20"/>
      <c r="E5143" s="20"/>
      <c r="F5143" s="20"/>
      <c r="G5143" s="20"/>
    </row>
    <row r="5144">
      <c r="A5144" s="5" t="s">
        <v>1285</v>
      </c>
      <c r="B5144" s="14" t="s">
        <v>39</v>
      </c>
      <c r="C5144" s="22"/>
      <c r="D5144" s="22" t="s">
        <v>10</v>
      </c>
      <c r="E5144" s="22"/>
      <c r="F5144" s="22">
        <f>(0)</f>
      </c>
      <c r="G5144" s="22">
        <f>(C5144 * E5144 + C5144 * E5144 * F5144)</f>
      </c>
    </row>
    <row r="5145">
      <c r="A5145" s="5" t="s">
        <v>1286</v>
      </c>
      <c r="B5145" s="14" t="s">
        <v>41</v>
      </c>
      <c r="C5145" s="22"/>
      <c r="D5145" s="22" t="s">
        <v>10</v>
      </c>
      <c r="E5145" s="22"/>
      <c r="F5145" s="22">
        <f>(0)</f>
      </c>
      <c r="G5145" s="22">
        <f>(C5145 * E5145 + C5145 * E5145 * F5145)</f>
      </c>
    </row>
    <row r="5146">
      <c r="A5146" s="3"/>
      <c r="B5146" s="11" t="s">
        <v>42</v>
      </c>
      <c r="C5146" s="20"/>
      <c r="D5146" s="20"/>
      <c r="E5146" s="20"/>
      <c r="F5146" s="20"/>
      <c r="G5146" s="20"/>
    </row>
    <row r="5147">
      <c r="A5147" s="5"/>
      <c r="B5147" s="14" t="s">
        <v>1287</v>
      </c>
      <c r="C5147" s="22"/>
      <c r="D5147" s="22" t="s">
        <v>10</v>
      </c>
      <c r="E5147" s="22"/>
      <c r="F5147" s="22">
        <f>(0)</f>
      </c>
      <c r="G5147" s="22">
        <f>(C5147 * E5147 + C5147 * E5147 * F5147)</f>
      </c>
    </row>
    <row r="5148">
      <c r="A5148" s="5"/>
      <c r="B5148" s="14" t="s">
        <v>1288</v>
      </c>
      <c r="C5148" s="22"/>
      <c r="D5148" s="22" t="s">
        <v>10</v>
      </c>
      <c r="E5148" s="22"/>
      <c r="F5148" s="22">
        <f>(0)</f>
      </c>
      <c r="G5148" s="22">
        <f>(C5148 * E5148 + C5148 * E5148 * F5148)</f>
      </c>
    </row>
    <row r="5149">
      <c r="A5149" s="5"/>
      <c r="B5149" s="14" t="s">
        <v>1289</v>
      </c>
      <c r="C5149" s="22"/>
      <c r="D5149" s="22" t="s">
        <v>10</v>
      </c>
      <c r="E5149" s="22"/>
      <c r="F5149" s="22">
        <f>(0)</f>
      </c>
      <c r="G5149" s="22">
        <f>(C5149 * E5149 + C5149 * E5149 * F5149)</f>
      </c>
    </row>
    <row r="5150">
      <c r="A5150" s="5"/>
      <c r="B5150" s="14" t="s">
        <v>1290</v>
      </c>
      <c r="C5150" s="22"/>
      <c r="D5150" s="22" t="s">
        <v>10</v>
      </c>
      <c r="E5150" s="22"/>
      <c r="F5150" s="22">
        <f>(0)</f>
      </c>
      <c r="G5150" s="22">
        <f>(C5150 * E5150 + C5150 * E5150 * F5150)</f>
      </c>
    </row>
    <row r="5151">
      <c r="A5151" s="3"/>
      <c r="B5151" s="11" t="s">
        <v>44</v>
      </c>
      <c r="C5151" s="20"/>
      <c r="D5151" s="20"/>
      <c r="E5151" s="20"/>
      <c r="F5151" s="20"/>
      <c r="G5151" s="20"/>
    </row>
    <row r="5152">
      <c r="A5152" s="4"/>
      <c r="B5152" s="12" t="s">
        <v>45</v>
      </c>
      <c r="C5152" s="21"/>
      <c r="D5152" s="21"/>
      <c r="E5152" s="21"/>
      <c r="F5152" s="21"/>
      <c r="G5152" s="21"/>
    </row>
    <row r="5153">
      <c r="A5153" s="5" t="s">
        <v>1291</v>
      </c>
      <c r="B5153" s="13" t="s">
        <v>767</v>
      </c>
      <c r="C5153" s="22"/>
      <c r="D5153" s="22" t="s">
        <v>10</v>
      </c>
      <c r="E5153" s="22"/>
      <c r="F5153" s="22">
        <f>(0)</f>
      </c>
      <c r="G5153" s="22">
        <f>(C5153 * E5153 + C5153 * E5153 * F5153)</f>
      </c>
    </row>
    <row r="5154">
      <c r="A5154" s="5" t="s">
        <v>1292</v>
      </c>
      <c r="B5154" s="13" t="s">
        <v>123</v>
      </c>
      <c r="C5154" s="22"/>
      <c r="D5154" s="22" t="s">
        <v>10</v>
      </c>
      <c r="E5154" s="22"/>
      <c r="F5154" s="22">
        <f>(0)</f>
      </c>
      <c r="G5154" s="22">
        <f>(C5154 * E5154 + C5154 * E5154 * F5154)</f>
      </c>
    </row>
    <row r="5155">
      <c r="A5155" s="3"/>
      <c r="B5155" s="11" t="s">
        <v>68</v>
      </c>
      <c r="C5155" s="20"/>
      <c r="D5155" s="20"/>
      <c r="E5155" s="20"/>
      <c r="F5155" s="20"/>
      <c r="G5155" s="20"/>
    </row>
    <row r="5156">
      <c r="A5156" s="5" t="s">
        <v>1293</v>
      </c>
      <c r="B5156" s="14" t="s">
        <v>230</v>
      </c>
      <c r="C5156" s="22">
        <f>(1)*(1)*(1)*(1)*(1 + (0))</f>
      </c>
      <c r="D5156" s="22" t="s">
        <v>71</v>
      </c>
      <c r="E5156" s="22"/>
      <c r="F5156" s="22">
        <f>(0)</f>
      </c>
      <c r="G5156" s="22">
        <f>(C5156 * E5156 + C5156 * E5156 * F5156)</f>
      </c>
    </row>
    <row r="5157">
      <c r="A5157" s="5" t="s">
        <v>1294</v>
      </c>
      <c r="B5157" s="14" t="s">
        <v>70</v>
      </c>
      <c r="C5157" s="22">
        <f>(1)*(1)*(1)*(1)*(1 + (0))</f>
      </c>
      <c r="D5157" s="22" t="s">
        <v>71</v>
      </c>
      <c r="E5157" s="22"/>
      <c r="F5157" s="22">
        <f>(0)</f>
      </c>
      <c r="G5157" s="22">
        <f>(C5157 * E5157 + C5157 * E5157 * F5157)</f>
      </c>
    </row>
    <row r="5158">
      <c r="A5158" s="5" t="s">
        <v>1295</v>
      </c>
      <c r="B5158" s="14" t="s">
        <v>906</v>
      </c>
      <c r="C5158" s="22">
        <f>(1)*(1)*(1)*(1)*(1 + (0))</f>
      </c>
      <c r="D5158" s="22" t="s">
        <v>71</v>
      </c>
      <c r="E5158" s="22"/>
      <c r="F5158" s="22">
        <f>(0)</f>
      </c>
      <c r="G5158" s="22">
        <f>(C5158 * E5158 + C5158 * E5158 * F5158)</f>
      </c>
    </row>
    <row r="5159">
      <c r="A5159" s="5" t="s">
        <v>1296</v>
      </c>
      <c r="B5159" s="14" t="s">
        <v>665</v>
      </c>
      <c r="C5159" s="22">
        <f>(1)*(1)*(1)*(1)*(1 + (0))</f>
      </c>
      <c r="D5159" s="22" t="s">
        <v>71</v>
      </c>
      <c r="E5159" s="22"/>
      <c r="F5159" s="22">
        <f>(0)</f>
      </c>
      <c r="G5159" s="22">
        <f>(C5159 * E5159 + C5159 * E5159 * F5159)</f>
      </c>
    </row>
    <row r="5160">
      <c r="A5160" s="3"/>
      <c r="B5160" s="11" t="s">
        <v>106</v>
      </c>
      <c r="C5160" s="20"/>
      <c r="D5160" s="20"/>
      <c r="E5160" s="20"/>
      <c r="F5160" s="20"/>
      <c r="G5160" s="20"/>
    </row>
    <row r="5161">
      <c r="A5161" s="5"/>
      <c r="B5161" s="14" t="s">
        <v>1456</v>
      </c>
      <c r="C5161" s="22"/>
      <c r="D5161" s="22" t="s">
        <v>1335</v>
      </c>
      <c r="E5161" s="22"/>
      <c r="F5161" s="22">
        <f>(0)</f>
      </c>
      <c r="G5161" s="22">
        <f>(C5161 * E5161 + C5161 * E5161 * F5161)</f>
      </c>
    </row>
    <row r="5162">
      <c r="A5162" s="5"/>
      <c r="B5162" s="14" t="s">
        <v>1457</v>
      </c>
      <c r="C5162" s="22"/>
      <c r="D5162" s="22" t="s">
        <v>1335</v>
      </c>
      <c r="E5162" s="22"/>
      <c r="F5162" s="22">
        <f>(0)</f>
      </c>
      <c r="G5162" s="22">
        <f>(C5162 * E5162 + C5162 * E5162 * F5162)</f>
      </c>
    </row>
    <row r="5163">
      <c r="A5163" s="5"/>
      <c r="B5163" s="14" t="s">
        <v>1458</v>
      </c>
      <c r="C5163" s="22"/>
      <c r="D5163" s="22" t="s">
        <v>1335</v>
      </c>
      <c r="E5163" s="22"/>
      <c r="F5163" s="22">
        <f>(0)</f>
      </c>
      <c r="G5163" s="22">
        <f>(C5163 * E5163 + C5163 * E5163 * F5163)</f>
      </c>
    </row>
    <row r="5164">
      <c r="A5164" s="5"/>
      <c r="B5164" s="14" t="s">
        <v>1459</v>
      </c>
      <c r="C5164" s="22"/>
      <c r="D5164" s="22" t="s">
        <v>1335</v>
      </c>
      <c r="E5164" s="22"/>
      <c r="F5164" s="22">
        <f>(0)</f>
      </c>
      <c r="G5164" s="22">
        <f>(C5164 * E5164 + C5164 * E5164 * F5164)</f>
      </c>
    </row>
    <row r="5165">
      <c r="A5165" s="3"/>
      <c r="B5165" s="11" t="s">
        <v>1460</v>
      </c>
      <c r="C5165" s="20"/>
      <c r="D5165" s="20"/>
      <c r="E5165" s="20"/>
      <c r="F5165" s="20"/>
      <c r="G5165" s="20"/>
    </row>
    <row r="5166">
      <c r="A5166" s="4"/>
      <c r="B5166" s="12" t="s">
        <v>1461</v>
      </c>
      <c r="C5166" s="21"/>
      <c r="D5166" s="21"/>
      <c r="E5166" s="21"/>
      <c r="F5166" s="21"/>
      <c r="G5166" s="21"/>
    </row>
    <row r="5167">
      <c r="A5167" s="6"/>
      <c r="B5167" s="15" t="s">
        <v>1553</v>
      </c>
      <c r="C5167" s="23"/>
      <c r="D5167" s="23"/>
      <c r="E5167" s="23"/>
      <c r="F5167" s="23"/>
      <c r="G5167" s="23"/>
    </row>
    <row r="5168">
      <c r="A5168" s="5"/>
      <c r="B5168" s="16" t="s">
        <v>2064</v>
      </c>
      <c r="C5168" s="22">
        <f>(1)*(1)*(1)*(1)*(1 + (0))</f>
      </c>
      <c r="D5168" s="22" t="s">
        <v>162</v>
      </c>
      <c r="E5168" s="22"/>
      <c r="F5168" s="22">
        <f>(0)</f>
      </c>
      <c r="G5168" s="22">
        <f>(C5168 * E5168 + C5168 * E5168 * F5168)</f>
      </c>
    </row>
    <row r="5169">
      <c r="A5169" s="6"/>
      <c r="B5169" s="15" t="s">
        <v>1462</v>
      </c>
      <c r="C5169" s="23"/>
      <c r="D5169" s="23"/>
      <c r="E5169" s="23"/>
      <c r="F5169" s="23"/>
      <c r="G5169" s="23"/>
    </row>
    <row r="5170">
      <c r="A5170" s="5"/>
      <c r="B5170" s="16" t="s">
        <v>2065</v>
      </c>
      <c r="C5170" s="22">
        <f>(1)*(1)*(1)*(1)*(1 + (0))</f>
      </c>
      <c r="D5170" s="22" t="s">
        <v>162</v>
      </c>
      <c r="E5170" s="22"/>
      <c r="F5170" s="22">
        <f>(0)</f>
      </c>
      <c r="G5170" s="22">
        <f>(C5170 * E5170 + C5170 * E5170 * F5170)</f>
      </c>
    </row>
    <row r="5171">
      <c r="A5171" s="5"/>
      <c r="B5171" s="16" t="s">
        <v>2066</v>
      </c>
      <c r="C5171" s="22">
        <f>(3)*(1)*(1)*(1)*(1 + (0))</f>
      </c>
      <c r="D5171" s="22" t="s">
        <v>162</v>
      </c>
      <c r="E5171" s="22"/>
      <c r="F5171" s="22">
        <f>(0)</f>
      </c>
      <c r="G5171" s="22">
        <f>(C5171 * E5171 + C5171 * E5171 * F5171)</f>
      </c>
    </row>
    <row r="5172">
      <c r="A5172" s="5"/>
      <c r="B5172" s="16" t="s">
        <v>2067</v>
      </c>
      <c r="C5172" s="22">
        <f>(4)*(1)*(1)*(1)*(1 + (0))</f>
      </c>
      <c r="D5172" s="22" t="s">
        <v>162</v>
      </c>
      <c r="E5172" s="22"/>
      <c r="F5172" s="22">
        <f>(0)</f>
      </c>
      <c r="G5172" s="22">
        <f>(C5172 * E5172 + C5172 * E5172 * F5172)</f>
      </c>
    </row>
    <row r="5173">
      <c r="A5173" s="5"/>
      <c r="B5173" s="16" t="s">
        <v>2068</v>
      </c>
      <c r="C5173" s="22">
        <f>(8)*(1)*(1)*(1)*(1 + (0))</f>
      </c>
      <c r="D5173" s="22" t="s">
        <v>162</v>
      </c>
      <c r="E5173" s="22"/>
      <c r="F5173" s="22">
        <f>(0)</f>
      </c>
      <c r="G5173" s="22">
        <f>(C5173 * E5173 + C5173 * E5173 * F5173)</f>
      </c>
    </row>
    <row r="5174">
      <c r="A5174" s="5"/>
      <c r="B5174" s="16" t="s">
        <v>2069</v>
      </c>
      <c r="C5174" s="22">
        <f>(16)*(1)*(1)*(1)*(1 + (0))</f>
      </c>
      <c r="D5174" s="22" t="s">
        <v>162</v>
      </c>
      <c r="E5174" s="22"/>
      <c r="F5174" s="22">
        <f>(0)</f>
      </c>
      <c r="G5174" s="22">
        <f>(C5174 * E5174 + C5174 * E5174 * F5174)</f>
      </c>
    </row>
    <row r="5175">
      <c r="A5175" s="5"/>
      <c r="B5175" s="16" t="s">
        <v>2070</v>
      </c>
      <c r="C5175" s="22">
        <f>(10)*(1)*(1)*(1)*(1 + (0))</f>
      </c>
      <c r="D5175" s="22" t="s">
        <v>162</v>
      </c>
      <c r="E5175" s="22"/>
      <c r="F5175" s="22">
        <f>(0)</f>
      </c>
      <c r="G5175" s="22">
        <f>(C5175 * E5175 + C5175 * E5175 * F5175)</f>
      </c>
    </row>
    <row r="5176">
      <c r="A5176" s="4"/>
      <c r="B5176" s="12" t="s">
        <v>1467</v>
      </c>
      <c r="C5176" s="21"/>
      <c r="D5176" s="21"/>
      <c r="E5176" s="21"/>
      <c r="F5176" s="21"/>
      <c r="G5176" s="21"/>
    </row>
    <row r="5177">
      <c r="A5177" s="6"/>
      <c r="B5177" s="15" t="s">
        <v>1468</v>
      </c>
      <c r="C5177" s="23"/>
      <c r="D5177" s="23"/>
      <c r="E5177" s="23"/>
      <c r="F5177" s="23"/>
      <c r="G5177" s="23"/>
    </row>
    <row r="5178">
      <c r="A5178" s="5"/>
      <c r="B5178" s="16" t="s">
        <v>1469</v>
      </c>
      <c r="C5178" s="22">
        <f>(2)*(1)*(1)*(1)*(1 + (0))</f>
      </c>
      <c r="D5178" s="22" t="s">
        <v>162</v>
      </c>
      <c r="E5178" s="22"/>
      <c r="F5178" s="22">
        <f>(0)</f>
      </c>
      <c r="G5178" s="22">
        <f>(C5178 * E5178 + C5178 * E5178 * F5178)</f>
      </c>
    </row>
    <row r="5179">
      <c r="A5179" s="5"/>
      <c r="B5179" s="16" t="s">
        <v>2071</v>
      </c>
      <c r="C5179" s="22">
        <f>(1)*(1)*(1)*(1)*(1 + (0))</f>
      </c>
      <c r="D5179" s="22" t="s">
        <v>162</v>
      </c>
      <c r="E5179" s="22"/>
      <c r="F5179" s="22">
        <f>(0)</f>
      </c>
      <c r="G5179" s="22">
        <f>(C5179 * E5179 + C5179 * E5179 * F5179)</f>
      </c>
    </row>
    <row r="5180">
      <c r="A5180" s="5"/>
      <c r="B5180" s="16" t="s">
        <v>2072</v>
      </c>
      <c r="C5180" s="22">
        <f>(1)*(1)*(1)*(1)*(1 + (0))</f>
      </c>
      <c r="D5180" s="22" t="s">
        <v>162</v>
      </c>
      <c r="E5180" s="22"/>
      <c r="F5180" s="22">
        <f>(0)</f>
      </c>
      <c r="G5180" s="22">
        <f>(C5180 * E5180 + C5180 * E5180 * F5180)</f>
      </c>
    </row>
    <row r="5181">
      <c r="A5181" s="5"/>
      <c r="B5181" s="16" t="s">
        <v>2073</v>
      </c>
      <c r="C5181" s="22">
        <f>(1)*(1)*(1)*(1)*(1 + (0))</f>
      </c>
      <c r="D5181" s="22" t="s">
        <v>162</v>
      </c>
      <c r="E5181" s="22"/>
      <c r="F5181" s="22">
        <f>(0)</f>
      </c>
      <c r="G5181" s="22">
        <f>(C5181 * E5181 + C5181 * E5181 * F5181)</f>
      </c>
    </row>
    <row r="5182">
      <c r="A5182" s="5"/>
      <c r="B5182" s="16" t="s">
        <v>2074</v>
      </c>
      <c r="C5182" s="22">
        <f>(2)*(1)*(1)*(1)*(1 + (0))</f>
      </c>
      <c r="D5182" s="22" t="s">
        <v>162</v>
      </c>
      <c r="E5182" s="22"/>
      <c r="F5182" s="22">
        <f>(0)</f>
      </c>
      <c r="G5182" s="22">
        <f>(C5182 * E5182 + C5182 * E5182 * F5182)</f>
      </c>
    </row>
    <row r="5183">
      <c r="A5183" s="5"/>
      <c r="B5183" s="16" t="s">
        <v>2075</v>
      </c>
      <c r="C5183" s="22">
        <f>(2)*(1)*(1)*(1)*(1 + (0))</f>
      </c>
      <c r="D5183" s="22" t="s">
        <v>162</v>
      </c>
      <c r="E5183" s="22"/>
      <c r="F5183" s="22">
        <f>(0)</f>
      </c>
      <c r="G5183" s="22">
        <f>(C5183 * E5183 + C5183 * E5183 * F5183)</f>
      </c>
    </row>
    <row r="5184">
      <c r="A5184" s="5"/>
      <c r="B5184" s="16" t="s">
        <v>1801</v>
      </c>
      <c r="C5184" s="22">
        <f>(1)*(1)*(1)*(1)*(1 + (0))</f>
      </c>
      <c r="D5184" s="22" t="s">
        <v>162</v>
      </c>
      <c r="E5184" s="22"/>
      <c r="F5184" s="22">
        <f>(0)</f>
      </c>
      <c r="G5184" s="22">
        <f>(C5184 * E5184 + C5184 * E5184 * F5184)</f>
      </c>
    </row>
    <row r="5185">
      <c r="A5185" s="5"/>
      <c r="B5185" s="16" t="s">
        <v>2076</v>
      </c>
      <c r="C5185" s="22">
        <f>(2)*(1)*(1)*(1)*(1 + (0))</f>
      </c>
      <c r="D5185" s="22" t="s">
        <v>162</v>
      </c>
      <c r="E5185" s="22"/>
      <c r="F5185" s="22">
        <f>(0)</f>
      </c>
      <c r="G5185" s="22">
        <f>(C5185 * E5185 + C5185 * E5185 * F5185)</f>
      </c>
    </row>
    <row r="5186">
      <c r="A5186" s="6"/>
      <c r="B5186" s="15" t="s">
        <v>1479</v>
      </c>
      <c r="C5186" s="23"/>
      <c r="D5186" s="23"/>
      <c r="E5186" s="23"/>
      <c r="F5186" s="23"/>
      <c r="G5186" s="23"/>
    </row>
    <row r="5187">
      <c r="A5187" s="5"/>
      <c r="B5187" s="16" t="s">
        <v>1481</v>
      </c>
      <c r="C5187" s="22">
        <f>(6)*(1)*(1)*(1)*(1 + (0))</f>
      </c>
      <c r="D5187" s="22" t="s">
        <v>162</v>
      </c>
      <c r="E5187" s="22"/>
      <c r="F5187" s="22">
        <f>(0)</f>
      </c>
      <c r="G5187" s="22">
        <f>(C5187 * E5187 + C5187 * E5187 * F5187)</f>
      </c>
    </row>
    <row r="5188">
      <c r="A5188" s="5"/>
      <c r="B5188" s="16" t="s">
        <v>2077</v>
      </c>
      <c r="C5188" s="22">
        <f>(4)*(1)*(1)*(1)*(1 + (0))</f>
      </c>
      <c r="D5188" s="22" t="s">
        <v>162</v>
      </c>
      <c r="E5188" s="22"/>
      <c r="F5188" s="22">
        <f>(0)</f>
      </c>
      <c r="G5188" s="22">
        <f>(C5188 * E5188 + C5188 * E5188 * F5188)</f>
      </c>
    </row>
    <row r="5189">
      <c r="A5189" s="5"/>
      <c r="B5189" s="16" t="s">
        <v>2078</v>
      </c>
      <c r="C5189" s="22">
        <f>(1)*(1)*(1)*(1)*(1 + (0))</f>
      </c>
      <c r="D5189" s="22" t="s">
        <v>162</v>
      </c>
      <c r="E5189" s="22"/>
      <c r="F5189" s="22">
        <f>(0)</f>
      </c>
      <c r="G5189" s="22">
        <f>(C5189 * E5189 + C5189 * E5189 * F5189)</f>
      </c>
    </row>
    <row r="5190">
      <c r="A5190" s="5"/>
      <c r="B5190" s="16" t="s">
        <v>2079</v>
      </c>
      <c r="C5190" s="22">
        <f>(1)*(1)*(1)*(1)*(1 + (0))</f>
      </c>
      <c r="D5190" s="22" t="s">
        <v>162</v>
      </c>
      <c r="E5190" s="22"/>
      <c r="F5190" s="22">
        <f>(0)</f>
      </c>
      <c r="G5190" s="22">
        <f>(C5190 * E5190 + C5190 * E5190 * F5190)</f>
      </c>
    </row>
    <row r="5191">
      <c r="A5191" s="5"/>
      <c r="B5191" s="16" t="s">
        <v>2080</v>
      </c>
      <c r="C5191" s="22">
        <f>(1)*(1)*(1)*(1)*(1 + (0))</f>
      </c>
      <c r="D5191" s="22" t="s">
        <v>162</v>
      </c>
      <c r="E5191" s="22"/>
      <c r="F5191" s="22">
        <f>(0)</f>
      </c>
      <c r="G5191" s="22">
        <f>(C5191 * E5191 + C5191 * E5191 * F5191)</f>
      </c>
    </row>
    <row r="5192">
      <c r="A5192" s="6"/>
      <c r="B5192" s="15" t="s">
        <v>1489</v>
      </c>
      <c r="C5192" s="23"/>
      <c r="D5192" s="23"/>
      <c r="E5192" s="23"/>
      <c r="F5192" s="23"/>
      <c r="G5192" s="23"/>
    </row>
    <row r="5193">
      <c r="A5193" s="5"/>
      <c r="B5193" s="16" t="s">
        <v>1810</v>
      </c>
      <c r="C5193" s="22">
        <f>(6)*(1)*(1)*(1)*(1 + (0))</f>
      </c>
      <c r="D5193" s="22" t="s">
        <v>162</v>
      </c>
      <c r="E5193" s="22"/>
      <c r="F5193" s="22">
        <f>(0)</f>
      </c>
      <c r="G5193" s="22">
        <f>(C5193 * E5193 + C5193 * E5193 * F5193)</f>
      </c>
    </row>
    <row r="5194">
      <c r="A5194" s="5"/>
      <c r="B5194" s="16" t="s">
        <v>1491</v>
      </c>
      <c r="C5194" s="22">
        <f>(2)*(1)*(1)*(1)*(1 + (0))</f>
      </c>
      <c r="D5194" s="22" t="s">
        <v>162</v>
      </c>
      <c r="E5194" s="22"/>
      <c r="F5194" s="22">
        <f>(0)</f>
      </c>
      <c r="G5194" s="22">
        <f>(C5194 * E5194 + C5194 * E5194 * F5194)</f>
      </c>
    </row>
    <row r="5195">
      <c r="A5195" s="5"/>
      <c r="B5195" s="16" t="s">
        <v>2081</v>
      </c>
      <c r="C5195" s="22">
        <f>(2)*(1)*(1)*(1)*(1 + (0))</f>
      </c>
      <c r="D5195" s="22" t="s">
        <v>162</v>
      </c>
      <c r="E5195" s="22"/>
      <c r="F5195" s="22">
        <f>(0)</f>
      </c>
      <c r="G5195" s="22">
        <f>(C5195 * E5195 + C5195 * E5195 * F5195)</f>
      </c>
    </row>
    <row r="5196">
      <c r="A5196" s="6"/>
      <c r="B5196" s="15" t="s">
        <v>1493</v>
      </c>
      <c r="C5196" s="23"/>
      <c r="D5196" s="23"/>
      <c r="E5196" s="23"/>
      <c r="F5196" s="23"/>
      <c r="G5196" s="23"/>
    </row>
    <row r="5197">
      <c r="A5197" s="5"/>
      <c r="B5197" s="16" t="s">
        <v>2082</v>
      </c>
      <c r="C5197" s="22">
        <f>(1)*(1)*(1)*(1)*(1 + (0))</f>
      </c>
      <c r="D5197" s="22" t="s">
        <v>162</v>
      </c>
      <c r="E5197" s="22"/>
      <c r="F5197" s="22">
        <f>(0)</f>
      </c>
      <c r="G5197" s="22">
        <f>(C5197 * E5197 + C5197 * E5197 * F5197)</f>
      </c>
    </row>
    <row r="5198">
      <c r="A5198" s="5"/>
      <c r="B5198" s="16" t="s">
        <v>1495</v>
      </c>
      <c r="C5198" s="22">
        <f>(1)*(1)*(1)*(1)*(1 + (0))</f>
      </c>
      <c r="D5198" s="22" t="s">
        <v>162</v>
      </c>
      <c r="E5198" s="22"/>
      <c r="F5198" s="22">
        <f>(0)</f>
      </c>
      <c r="G5198" s="22">
        <f>(C5198 * E5198 + C5198 * E5198 * F5198)</f>
      </c>
    </row>
    <row r="5199">
      <c r="A5199" s="6"/>
      <c r="B5199" s="15" t="s">
        <v>2083</v>
      </c>
      <c r="C5199" s="23"/>
      <c r="D5199" s="23"/>
      <c r="E5199" s="23"/>
      <c r="F5199" s="23"/>
      <c r="G5199" s="23"/>
    </row>
    <row r="5200">
      <c r="A5200" s="5"/>
      <c r="B5200" s="16" t="s">
        <v>1497</v>
      </c>
      <c r="C5200" s="22">
        <f>(17)*(1)*(1)*(1)*(1 + (0))</f>
      </c>
      <c r="D5200" s="22" t="s">
        <v>162</v>
      </c>
      <c r="E5200" s="22"/>
      <c r="F5200" s="22">
        <f>(0)</f>
      </c>
      <c r="G5200" s="22">
        <f>(C5200 * E5200 + C5200 * E5200 * F5200)</f>
      </c>
    </row>
    <row r="5201">
      <c r="A5201" s="4"/>
      <c r="B5201" s="12" t="s">
        <v>1499</v>
      </c>
      <c r="C5201" s="21"/>
      <c r="D5201" s="21"/>
      <c r="E5201" s="21"/>
      <c r="F5201" s="21"/>
      <c r="G5201" s="21"/>
    </row>
    <row r="5202">
      <c r="A5202" s="6"/>
      <c r="B5202" s="15" t="s">
        <v>1500</v>
      </c>
      <c r="C5202" s="23"/>
      <c r="D5202" s="23"/>
      <c r="E5202" s="23"/>
      <c r="F5202" s="23"/>
      <c r="G5202" s="23"/>
    </row>
    <row r="5203">
      <c r="A5203" s="5"/>
      <c r="B5203" s="16" t="s">
        <v>1814</v>
      </c>
      <c r="C5203" s="22">
        <f>(8)*(1)*(1)*(1)*(1 + (0))</f>
      </c>
      <c r="D5203" s="22" t="s">
        <v>162</v>
      </c>
      <c r="E5203" s="22"/>
      <c r="F5203" s="22">
        <f>(0)</f>
      </c>
      <c r="G5203" s="22">
        <f>(C5203 * E5203 + C5203 * E5203 * F5203)</f>
      </c>
    </row>
    <row r="5204">
      <c r="A5204" s="5"/>
      <c r="B5204" s="16" t="s">
        <v>1815</v>
      </c>
      <c r="C5204" s="22">
        <f>(2)*(1)*(1)*(1)*(1 + (0))</f>
      </c>
      <c r="D5204" s="22" t="s">
        <v>162</v>
      </c>
      <c r="E5204" s="22"/>
      <c r="F5204" s="22">
        <f>(0)</f>
      </c>
      <c r="G5204" s="22">
        <f>(C5204 * E5204 + C5204 * E5204 * F5204)</f>
      </c>
    </row>
    <row r="5205">
      <c r="A5205" s="5"/>
      <c r="B5205" s="16" t="s">
        <v>1503</v>
      </c>
      <c r="C5205" s="22">
        <f>(8)*(1)*(1)*(1)*(1 + (0))</f>
      </c>
      <c r="D5205" s="22" t="s">
        <v>162</v>
      </c>
      <c r="E5205" s="22"/>
      <c r="F5205" s="22">
        <f>(0)</f>
      </c>
      <c r="G5205" s="22">
        <f>(C5205 * E5205 + C5205 * E5205 * F5205)</f>
      </c>
    </row>
    <row r="5206">
      <c r="A5206" s="5"/>
      <c r="B5206" s="16" t="s">
        <v>1817</v>
      </c>
      <c r="C5206" s="22">
        <f>(9)*(1)*(1)*(1)*(1 + (0))</f>
      </c>
      <c r="D5206" s="22" t="s">
        <v>162</v>
      </c>
      <c r="E5206" s="22"/>
      <c r="F5206" s="22">
        <f>(0)</f>
      </c>
      <c r="G5206" s="22">
        <f>(C5206 * E5206 + C5206 * E5206 * F5206)</f>
      </c>
    </row>
    <row r="5207">
      <c r="A5207" s="5"/>
      <c r="B5207" s="16" t="s">
        <v>2084</v>
      </c>
      <c r="C5207" s="22">
        <f>(2)*(1)*(1)*(1)*(1 + (0))</f>
      </c>
      <c r="D5207" s="22" t="s">
        <v>162</v>
      </c>
      <c r="E5207" s="22"/>
      <c r="F5207" s="22">
        <f>(0)</f>
      </c>
      <c r="G5207" s="22">
        <f>(C5207 * E5207 + C5207 * E5207 * F5207)</f>
      </c>
    </row>
    <row r="5208">
      <c r="A5208" s="6"/>
      <c r="B5208" s="15" t="s">
        <v>1507</v>
      </c>
      <c r="C5208" s="23"/>
      <c r="D5208" s="23"/>
      <c r="E5208" s="23"/>
      <c r="F5208" s="23"/>
      <c r="G5208" s="23"/>
    </row>
    <row r="5209">
      <c r="A5209" s="5"/>
      <c r="B5209" s="16" t="s">
        <v>1818</v>
      </c>
      <c r="C5209" s="22">
        <f>(1)*(1)*(1)*(1)*(1 + (0))</f>
      </c>
      <c r="D5209" s="22" t="s">
        <v>162</v>
      </c>
      <c r="E5209" s="22"/>
      <c r="F5209" s="22">
        <f>(0)</f>
      </c>
      <c r="G5209" s="22">
        <f>(C5209 * E5209 + C5209 * E5209 * F5209)</f>
      </c>
    </row>
    <row r="5210">
      <c r="A5210" s="5"/>
      <c r="B5210" s="16" t="s">
        <v>1819</v>
      </c>
      <c r="C5210" s="22">
        <f>(1)*(1)*(1)*(1)*(1 + (0))</f>
      </c>
      <c r="D5210" s="22" t="s">
        <v>162</v>
      </c>
      <c r="E5210" s="22"/>
      <c r="F5210" s="22">
        <f>(0)</f>
      </c>
      <c r="G5210" s="22">
        <f>(C5210 * E5210 + C5210 * E5210 * F5210)</f>
      </c>
    </row>
    <row r="5211">
      <c r="A5211" s="5"/>
      <c r="B5211" s="16" t="s">
        <v>2085</v>
      </c>
      <c r="C5211" s="22">
        <f>(2)*(1)*(1)*(1)*(1 + (0))</f>
      </c>
      <c r="D5211" s="22" t="s">
        <v>162</v>
      </c>
      <c r="E5211" s="22"/>
      <c r="F5211" s="22">
        <f>(0)</f>
      </c>
      <c r="G5211" s="22">
        <f>(C5211 * E5211 + C5211 * E5211 * F5211)</f>
      </c>
    </row>
    <row r="5212">
      <c r="A5212" s="6"/>
      <c r="B5212" s="15" t="s">
        <v>1511</v>
      </c>
      <c r="C5212" s="23"/>
      <c r="D5212" s="23"/>
      <c r="E5212" s="23"/>
      <c r="F5212" s="23"/>
      <c r="G5212" s="23"/>
    </row>
    <row r="5213">
      <c r="A5213" s="5"/>
      <c r="B5213" s="16" t="s">
        <v>1512</v>
      </c>
      <c r="C5213" s="22">
        <f>(1)*(1)*(1)*(1)*(1 + (0))</f>
      </c>
      <c r="D5213" s="22" t="s">
        <v>162</v>
      </c>
      <c r="E5213" s="22"/>
      <c r="F5213" s="22">
        <f>(0)</f>
      </c>
      <c r="G5213" s="22">
        <f>(C5213 * E5213 + C5213 * E5213 * F5213)</f>
      </c>
    </row>
    <row r="5214">
      <c r="A5214" s="5"/>
      <c r="B5214" s="16" t="s">
        <v>2086</v>
      </c>
      <c r="C5214" s="22">
        <f>(2)*(1)*(1)*(1)*(1 + (0))</f>
      </c>
      <c r="D5214" s="22" t="s">
        <v>162</v>
      </c>
      <c r="E5214" s="22"/>
      <c r="F5214" s="22">
        <f>(0)</f>
      </c>
      <c r="G5214" s="22">
        <f>(C5214 * E5214 + C5214 * E5214 * F5214)</f>
      </c>
    </row>
    <row r="5215">
      <c r="A5215" s="5"/>
      <c r="B5215" s="16" t="s">
        <v>1820</v>
      </c>
      <c r="C5215" s="22">
        <f>(1)*(1)*(1)*(1)*(1 + (0))</f>
      </c>
      <c r="D5215" s="22" t="s">
        <v>162</v>
      </c>
      <c r="E5215" s="22"/>
      <c r="F5215" s="22">
        <f>(0)</f>
      </c>
      <c r="G5215" s="22">
        <f>(C5215 * E5215 + C5215 * E5215 * F5215)</f>
      </c>
    </row>
    <row r="5216">
      <c r="A5216" s="5"/>
      <c r="B5216" s="16" t="s">
        <v>2087</v>
      </c>
      <c r="C5216" s="22">
        <f>(3)*(1)*(1)*(1)*(1 + (0))</f>
      </c>
      <c r="D5216" s="22" t="s">
        <v>162</v>
      </c>
      <c r="E5216" s="22"/>
      <c r="F5216" s="22">
        <f>(0)</f>
      </c>
      <c r="G5216" s="22">
        <f>(C5216 * E5216 + C5216 * E5216 * F5216)</f>
      </c>
    </row>
    <row r="5217">
      <c r="A5217" s="6"/>
      <c r="B5217" s="15" t="s">
        <v>1516</v>
      </c>
      <c r="C5217" s="23"/>
      <c r="D5217" s="23"/>
      <c r="E5217" s="23"/>
      <c r="F5217" s="23"/>
      <c r="G5217" s="23"/>
    </row>
    <row r="5218">
      <c r="A5218" s="5"/>
      <c r="B5218" s="16" t="s">
        <v>1518</v>
      </c>
      <c r="C5218" s="22">
        <f>(10)*(1)*(1)*(1)*(1 + (0))</f>
      </c>
      <c r="D5218" s="22" t="s">
        <v>162</v>
      </c>
      <c r="E5218" s="22"/>
      <c r="F5218" s="22">
        <f>(0)</f>
      </c>
      <c r="G5218" s="22">
        <f>(C5218 * E5218 + C5218 * E5218 * F5218)</f>
      </c>
    </row>
    <row r="5219">
      <c r="A5219" s="5"/>
      <c r="B5219" s="16" t="s">
        <v>2088</v>
      </c>
      <c r="C5219" s="22">
        <f>(4)*(1)*(1)*(1)*(1 + (0))</f>
      </c>
      <c r="D5219" s="22" t="s">
        <v>162</v>
      </c>
      <c r="E5219" s="22"/>
      <c r="F5219" s="22">
        <f>(0)</f>
      </c>
      <c r="G5219" s="22">
        <f>(C5219 * E5219 + C5219 * E5219 * F5219)</f>
      </c>
    </row>
    <row r="5220">
      <c r="A5220" s="6"/>
      <c r="B5220" s="15" t="s">
        <v>1520</v>
      </c>
      <c r="C5220" s="23"/>
      <c r="D5220" s="23"/>
      <c r="E5220" s="23"/>
      <c r="F5220" s="23"/>
      <c r="G5220" s="23"/>
    </row>
    <row r="5221">
      <c r="A5221" s="5"/>
      <c r="B5221" s="16" t="s">
        <v>1521</v>
      </c>
      <c r="C5221" s="22">
        <f>(2)*(1)*(1)*(1)*(1 + (0))</f>
      </c>
      <c r="D5221" s="22" t="s">
        <v>162</v>
      </c>
      <c r="E5221" s="22"/>
      <c r="F5221" s="22">
        <f>(0)</f>
      </c>
      <c r="G5221" s="22">
        <f>(C5221 * E5221 + C5221 * E5221 * F5221)</f>
      </c>
    </row>
    <row r="5222">
      <c r="A5222" s="6"/>
      <c r="B5222" s="15" t="s">
        <v>1523</v>
      </c>
      <c r="C5222" s="23"/>
      <c r="D5222" s="23"/>
      <c r="E5222" s="23"/>
      <c r="F5222" s="23"/>
      <c r="G5222" s="23"/>
    </row>
    <row r="5223">
      <c r="A5223" s="5"/>
      <c r="B5223" s="16" t="s">
        <v>2089</v>
      </c>
      <c r="C5223" s="22">
        <f>(2)*(1)*(1)*(1)*(1 + (0))</f>
      </c>
      <c r="D5223" s="22" t="s">
        <v>162</v>
      </c>
      <c r="E5223" s="22"/>
      <c r="F5223" s="22">
        <f>(0)</f>
      </c>
      <c r="G5223" s="22">
        <f>(C5223 * E5223 + C5223 * E5223 * F5223)</f>
      </c>
    </row>
    <row r="5224">
      <c r="A5224" s="5"/>
      <c r="B5224" s="16" t="s">
        <v>2090</v>
      </c>
      <c r="C5224" s="22">
        <f>(2)*(1)*(1)*(1)*(1 + (0))</f>
      </c>
      <c r="D5224" s="22" t="s">
        <v>162</v>
      </c>
      <c r="E5224" s="22"/>
      <c r="F5224" s="22">
        <f>(0)</f>
      </c>
      <c r="G5224" s="22">
        <f>(C5224 * E5224 + C5224 * E5224 * F5224)</f>
      </c>
    </row>
    <row r="5225">
      <c r="A5225" s="4"/>
      <c r="B5225" s="12" t="s">
        <v>1527</v>
      </c>
      <c r="C5225" s="21"/>
      <c r="D5225" s="21"/>
      <c r="E5225" s="21"/>
      <c r="F5225" s="21"/>
      <c r="G5225" s="21"/>
    </row>
    <row r="5226">
      <c r="A5226" s="5"/>
      <c r="B5226" s="13" t="s">
        <v>1528</v>
      </c>
      <c r="C5226" s="22">
        <f>(2)*(1)*(1)*(1)*(1 + (0))</f>
      </c>
      <c r="D5226" s="22" t="s">
        <v>162</v>
      </c>
      <c r="E5226" s="22"/>
      <c r="F5226" s="22">
        <f>(0)</f>
      </c>
      <c r="G5226" s="22">
        <f>(C5226 * E5226 + C5226 * E5226 * F5226)</f>
      </c>
    </row>
    <row r="5227">
      <c r="A5227" s="6"/>
      <c r="B5227" s="15" t="s">
        <v>2091</v>
      </c>
      <c r="C5227" s="23"/>
      <c r="D5227" s="23"/>
      <c r="E5227" s="23"/>
      <c r="F5227" s="23"/>
      <c r="G5227" s="23"/>
    </row>
    <row r="5228">
      <c r="A5228" s="5"/>
      <c r="B5228" s="16" t="s">
        <v>2092</v>
      </c>
      <c r="C5228" s="22">
        <f>(1)*(1)*(1)*(1)*(1 + (0))</f>
      </c>
      <c r="D5228" s="22" t="s">
        <v>162</v>
      </c>
      <c r="E5228" s="22"/>
      <c r="F5228" s="22">
        <f>(0)</f>
      </c>
      <c r="G5228" s="22">
        <f>(C5228 * E5228 + C5228 * E5228 * F5228)</f>
      </c>
    </row>
    <row r="5229">
      <c r="A5229" s="5"/>
      <c r="B5229" s="16" t="s">
        <v>2093</v>
      </c>
      <c r="C5229" s="22">
        <f>(1)*(1)*(1)*(1)*(1 + (0))</f>
      </c>
      <c r="D5229" s="22" t="s">
        <v>162</v>
      </c>
      <c r="E5229" s="22"/>
      <c r="F5229" s="22">
        <f>(0)</f>
      </c>
      <c r="G5229" s="22">
        <f>(C5229 * E5229 + C5229 * E5229 * F5229)</f>
      </c>
    </row>
    <row r="5230">
      <c r="A5230" s="5"/>
      <c r="B5230" s="16" t="s">
        <v>2094</v>
      </c>
      <c r="C5230" s="22">
        <f>(1)*(1)*(1)*(1)*(1 + (0))</f>
      </c>
      <c r="D5230" s="22" t="s">
        <v>162</v>
      </c>
      <c r="E5230" s="22"/>
      <c r="F5230" s="22">
        <f>(0)</f>
      </c>
      <c r="G5230" s="22">
        <f>(C5230 * E5230 + C5230 * E5230 * F5230)</f>
      </c>
    </row>
    <row r="5231">
      <c r="A5231" s="5"/>
      <c r="B5231" s="16" t="s">
        <v>2095</v>
      </c>
      <c r="C5231" s="22">
        <f>(1)*(1)*(1)*(1)*(1 + (0))</f>
      </c>
      <c r="D5231" s="22" t="s">
        <v>162</v>
      </c>
      <c r="E5231" s="22"/>
      <c r="F5231" s="22">
        <f>(0)</f>
      </c>
      <c r="G5231" s="22">
        <f>(C5231 * E5231 + C5231 * E5231 * F5231)</f>
      </c>
    </row>
    <row r="5232">
      <c r="A5232" s="5"/>
      <c r="B5232" s="16" t="s">
        <v>2096</v>
      </c>
      <c r="C5232" s="22">
        <f>(1)*(1)*(1)*(1)*(1 + (0))</f>
      </c>
      <c r="D5232" s="22" t="s">
        <v>162</v>
      </c>
      <c r="E5232" s="22"/>
      <c r="F5232" s="22">
        <f>(0)</f>
      </c>
      <c r="G5232" s="22">
        <f>(C5232 * E5232 + C5232 * E5232 * F5232)</f>
      </c>
    </row>
    <row r="5233">
      <c r="A5233" s="5"/>
      <c r="B5233" s="16" t="s">
        <v>2097</v>
      </c>
      <c r="C5233" s="22">
        <f>(1)*(1)*(1)*(1)*(1 + (0))</f>
      </c>
      <c r="D5233" s="22" t="s">
        <v>162</v>
      </c>
      <c r="E5233" s="22"/>
      <c r="F5233" s="22">
        <f>(0)</f>
      </c>
      <c r="G5233" s="22">
        <f>(C5233 * E5233 + C5233 * E5233 * F5233)</f>
      </c>
    </row>
    <row r="5234">
      <c r="A5234" s="5"/>
      <c r="B5234" s="16" t="s">
        <v>2098</v>
      </c>
      <c r="C5234" s="22">
        <f>(1)*(1)*(1)*(1)*(1 + (0))</f>
      </c>
      <c r="D5234" s="22" t="s">
        <v>162</v>
      </c>
      <c r="E5234" s="22"/>
      <c r="F5234" s="22">
        <f>(0)</f>
      </c>
      <c r="G5234" s="22">
        <f>(C5234 * E5234 + C5234 * E5234 * F5234)</f>
      </c>
    </row>
    <row r="5235">
      <c r="A5235" s="4"/>
      <c r="B5235" s="12" t="s">
        <v>1582</v>
      </c>
      <c r="C5235" s="21"/>
      <c r="D5235" s="21"/>
      <c r="E5235" s="21"/>
      <c r="F5235" s="21"/>
      <c r="G5235" s="21"/>
    </row>
    <row r="5236">
      <c r="A5236" s="6"/>
      <c r="B5236" s="15" t="s">
        <v>2099</v>
      </c>
      <c r="C5236" s="23"/>
      <c r="D5236" s="23"/>
      <c r="E5236" s="23"/>
      <c r="F5236" s="23"/>
      <c r="G5236" s="23"/>
    </row>
    <row r="5237">
      <c r="A5237" s="5"/>
      <c r="B5237" s="16" t="s">
        <v>2100</v>
      </c>
      <c r="C5237" s="22">
        <f>(1)*(1)*(1)*(1)*(1 + (0))</f>
      </c>
      <c r="D5237" s="22" t="s">
        <v>162</v>
      </c>
      <c r="E5237" s="22"/>
      <c r="F5237" s="22">
        <f>(0)</f>
      </c>
      <c r="G5237" s="22">
        <f>(C5237 * E5237 + C5237 * E5237 * F5237)</f>
      </c>
    </row>
    <row r="5238">
      <c r="A5238" s="6"/>
      <c r="B5238" s="15" t="s">
        <v>2101</v>
      </c>
      <c r="C5238" s="23"/>
      <c r="D5238" s="23"/>
      <c r="E5238" s="23"/>
      <c r="F5238" s="23"/>
      <c r="G5238" s="23"/>
    </row>
    <row r="5239">
      <c r="A5239" s="5"/>
      <c r="B5239" s="16" t="s">
        <v>2102</v>
      </c>
      <c r="C5239" s="22">
        <f>(6)*(1)*(1)*(1)*(1 + (0))</f>
      </c>
      <c r="D5239" s="22" t="s">
        <v>162</v>
      </c>
      <c r="E5239" s="22"/>
      <c r="F5239" s="22">
        <f>(0)</f>
      </c>
      <c r="G5239" s="22">
        <f>(C5239 * E5239 + C5239 * E5239 * F5239)</f>
      </c>
    </row>
    <row r="5240">
      <c r="A5240" s="6"/>
      <c r="B5240" s="15" t="s">
        <v>2103</v>
      </c>
      <c r="C5240" s="23"/>
      <c r="D5240" s="23"/>
      <c r="E5240" s="23"/>
      <c r="F5240" s="23"/>
      <c r="G5240" s="23"/>
    </row>
    <row r="5241">
      <c r="A5241" s="5"/>
      <c r="B5241" s="16" t="s">
        <v>2104</v>
      </c>
      <c r="C5241" s="22">
        <f>(1)*(1)*(1)*(1)*(1 + (0))</f>
      </c>
      <c r="D5241" s="22" t="s">
        <v>162</v>
      </c>
      <c r="E5241" s="22"/>
      <c r="F5241" s="22">
        <f>(0)</f>
      </c>
      <c r="G5241" s="22">
        <f>(C5241 * E5241 + C5241 * E5241 * F5241)</f>
      </c>
    </row>
    <row r="5242">
      <c r="A5242" s="6"/>
      <c r="B5242" s="15" t="s">
        <v>2105</v>
      </c>
      <c r="C5242" s="23"/>
      <c r="D5242" s="23"/>
      <c r="E5242" s="23"/>
      <c r="F5242" s="23"/>
      <c r="G5242" s="23"/>
    </row>
    <row r="5243">
      <c r="A5243" s="5"/>
      <c r="B5243" s="16" t="s">
        <v>2106</v>
      </c>
      <c r="C5243" s="22">
        <f>(1)*(1)*(1)*(1)*(1 + (0))</f>
      </c>
      <c r="D5243" s="22" t="s">
        <v>162</v>
      </c>
      <c r="E5243" s="22"/>
      <c r="F5243" s="22">
        <f>(0)</f>
      </c>
      <c r="G5243" s="22">
        <f>(C5243 * E5243 + C5243 * E5243 * F5243)</f>
      </c>
    </row>
    <row r="5244">
      <c r="A5244" s="2"/>
      <c r="B5244" s="10" t="s">
        <v>1533</v>
      </c>
      <c r="C5244" s="19"/>
      <c r="D5244" s="19"/>
      <c r="E5244" s="19"/>
      <c r="F5244" s="19"/>
      <c r="G5244" s="19"/>
    </row>
    <row r="5245">
      <c r="A5245" s="3"/>
      <c r="B5245" s="11" t="s">
        <v>37</v>
      </c>
      <c r="C5245" s="20"/>
      <c r="D5245" s="20"/>
      <c r="E5245" s="20"/>
      <c r="F5245" s="20"/>
      <c r="G5245" s="20"/>
    </row>
    <row r="5246">
      <c r="A5246" s="5" t="s">
        <v>1285</v>
      </c>
      <c r="B5246" s="14" t="s">
        <v>39</v>
      </c>
      <c r="C5246" s="22"/>
      <c r="D5246" s="22" t="s">
        <v>10</v>
      </c>
      <c r="E5246" s="22"/>
      <c r="F5246" s="22">
        <f>(0)</f>
      </c>
      <c r="G5246" s="22">
        <f>(C5246 * E5246 + C5246 * E5246 * F5246)</f>
      </c>
    </row>
    <row r="5247">
      <c r="A5247" s="5" t="s">
        <v>1286</v>
      </c>
      <c r="B5247" s="14" t="s">
        <v>41</v>
      </c>
      <c r="C5247" s="22"/>
      <c r="D5247" s="22" t="s">
        <v>10</v>
      </c>
      <c r="E5247" s="22"/>
      <c r="F5247" s="22">
        <f>(0)</f>
      </c>
      <c r="G5247" s="22">
        <f>(C5247 * E5247 + C5247 * E5247 * F5247)</f>
      </c>
    </row>
    <row r="5248">
      <c r="A5248" s="3"/>
      <c r="B5248" s="11" t="s">
        <v>42</v>
      </c>
      <c r="C5248" s="20"/>
      <c r="D5248" s="20"/>
      <c r="E5248" s="20"/>
      <c r="F5248" s="20"/>
      <c r="G5248" s="20"/>
    </row>
    <row r="5249">
      <c r="A5249" s="5"/>
      <c r="B5249" s="14" t="s">
        <v>1287</v>
      </c>
      <c r="C5249" s="22"/>
      <c r="D5249" s="22" t="s">
        <v>10</v>
      </c>
      <c r="E5249" s="22"/>
      <c r="F5249" s="22">
        <f>(0)</f>
      </c>
      <c r="G5249" s="22">
        <f>(C5249 * E5249 + C5249 * E5249 * F5249)</f>
      </c>
    </row>
    <row r="5250">
      <c r="A5250" s="5"/>
      <c r="B5250" s="14" t="s">
        <v>1288</v>
      </c>
      <c r="C5250" s="22"/>
      <c r="D5250" s="22" t="s">
        <v>10</v>
      </c>
      <c r="E5250" s="22"/>
      <c r="F5250" s="22">
        <f>(0)</f>
      </c>
      <c r="G5250" s="22">
        <f>(C5250 * E5250 + C5250 * E5250 * F5250)</f>
      </c>
    </row>
    <row r="5251">
      <c r="A5251" s="5"/>
      <c r="B5251" s="14" t="s">
        <v>1289</v>
      </c>
      <c r="C5251" s="22"/>
      <c r="D5251" s="22" t="s">
        <v>10</v>
      </c>
      <c r="E5251" s="22"/>
      <c r="F5251" s="22">
        <f>(0)</f>
      </c>
      <c r="G5251" s="22">
        <f>(C5251 * E5251 + C5251 * E5251 * F5251)</f>
      </c>
    </row>
    <row r="5252">
      <c r="A5252" s="5"/>
      <c r="B5252" s="14" t="s">
        <v>1290</v>
      </c>
      <c r="C5252" s="22"/>
      <c r="D5252" s="22" t="s">
        <v>10</v>
      </c>
      <c r="E5252" s="22"/>
      <c r="F5252" s="22">
        <f>(0)</f>
      </c>
      <c r="G5252" s="22">
        <f>(C5252 * E5252 + C5252 * E5252 * F5252)</f>
      </c>
    </row>
    <row r="5253">
      <c r="A5253" s="3"/>
      <c r="B5253" s="11" t="s">
        <v>44</v>
      </c>
      <c r="C5253" s="20"/>
      <c r="D5253" s="20"/>
      <c r="E5253" s="20"/>
      <c r="F5253" s="20"/>
      <c r="G5253" s="20"/>
    </row>
    <row r="5254">
      <c r="A5254" s="4"/>
      <c r="B5254" s="12" t="s">
        <v>45</v>
      </c>
      <c r="C5254" s="21"/>
      <c r="D5254" s="21"/>
      <c r="E5254" s="21"/>
      <c r="F5254" s="21"/>
      <c r="G5254" s="21"/>
    </row>
    <row r="5255">
      <c r="A5255" s="5" t="s">
        <v>1291</v>
      </c>
      <c r="B5255" s="13" t="s">
        <v>767</v>
      </c>
      <c r="C5255" s="22"/>
      <c r="D5255" s="22" t="s">
        <v>10</v>
      </c>
      <c r="E5255" s="22"/>
      <c r="F5255" s="22">
        <f>(0)</f>
      </c>
      <c r="G5255" s="22">
        <f>(C5255 * E5255 + C5255 * E5255 * F5255)</f>
      </c>
    </row>
    <row r="5256">
      <c r="A5256" s="5" t="s">
        <v>1292</v>
      </c>
      <c r="B5256" s="13" t="s">
        <v>123</v>
      </c>
      <c r="C5256" s="22"/>
      <c r="D5256" s="22" t="s">
        <v>10</v>
      </c>
      <c r="E5256" s="22"/>
      <c r="F5256" s="22">
        <f>(0)</f>
      </c>
      <c r="G5256" s="22">
        <f>(C5256 * E5256 + C5256 * E5256 * F5256)</f>
      </c>
    </row>
    <row r="5257">
      <c r="A5257" s="3"/>
      <c r="B5257" s="11" t="s">
        <v>68</v>
      </c>
      <c r="C5257" s="20"/>
      <c r="D5257" s="20"/>
      <c r="E5257" s="20"/>
      <c r="F5257" s="20"/>
      <c r="G5257" s="20"/>
    </row>
    <row r="5258">
      <c r="A5258" s="5" t="s">
        <v>1293</v>
      </c>
      <c r="B5258" s="14" t="s">
        <v>230</v>
      </c>
      <c r="C5258" s="22">
        <f>(1)*(1)*(1)*(1)*(1 + (0))</f>
      </c>
      <c r="D5258" s="22" t="s">
        <v>71</v>
      </c>
      <c r="E5258" s="22"/>
      <c r="F5258" s="22">
        <f>(0)</f>
      </c>
      <c r="G5258" s="22">
        <f>(C5258 * E5258 + C5258 * E5258 * F5258)</f>
      </c>
    </row>
    <row r="5259">
      <c r="A5259" s="5" t="s">
        <v>1294</v>
      </c>
      <c r="B5259" s="14" t="s">
        <v>70</v>
      </c>
      <c r="C5259" s="22">
        <f>(1)*(1)*(1)*(1)*(1 + (0))</f>
      </c>
      <c r="D5259" s="22" t="s">
        <v>71</v>
      </c>
      <c r="E5259" s="22"/>
      <c r="F5259" s="22">
        <f>(0)</f>
      </c>
      <c r="G5259" s="22">
        <f>(C5259 * E5259 + C5259 * E5259 * F5259)</f>
      </c>
    </row>
    <row r="5260">
      <c r="A5260" s="5" t="s">
        <v>1295</v>
      </c>
      <c r="B5260" s="14" t="s">
        <v>906</v>
      </c>
      <c r="C5260" s="22">
        <f>(1)*(1)*(1)*(1)*(1 + (0))</f>
      </c>
      <c r="D5260" s="22" t="s">
        <v>71</v>
      </c>
      <c r="E5260" s="22"/>
      <c r="F5260" s="22">
        <f>(0)</f>
      </c>
      <c r="G5260" s="22">
        <f>(C5260 * E5260 + C5260 * E5260 * F5260)</f>
      </c>
    </row>
    <row r="5261">
      <c r="A5261" s="5" t="s">
        <v>1296</v>
      </c>
      <c r="B5261" s="14" t="s">
        <v>665</v>
      </c>
      <c r="C5261" s="22">
        <f>(1)*(1)*(1)*(1)*(1 + (0))</f>
      </c>
      <c r="D5261" s="22" t="s">
        <v>71</v>
      </c>
      <c r="E5261" s="22"/>
      <c r="F5261" s="22">
        <f>(0)</f>
      </c>
      <c r="G5261" s="22">
        <f>(C5261 * E5261 + C5261 * E5261 * F5261)</f>
      </c>
    </row>
    <row r="5262">
      <c r="A5262" s="3"/>
      <c r="B5262" s="11" t="s">
        <v>106</v>
      </c>
      <c r="C5262" s="20"/>
      <c r="D5262" s="20"/>
      <c r="E5262" s="20"/>
      <c r="F5262" s="20"/>
      <c r="G5262" s="20"/>
    </row>
    <row r="5263">
      <c r="A5263" s="5"/>
      <c r="B5263" s="14" t="s">
        <v>1455</v>
      </c>
      <c r="C5263" s="22"/>
      <c r="D5263" s="22" t="s">
        <v>1335</v>
      </c>
      <c r="E5263" s="22"/>
      <c r="F5263" s="22">
        <f>(0)</f>
      </c>
      <c r="G5263" s="22">
        <f>(C5263 * E5263 + C5263 * E5263 * F5263)</f>
      </c>
    </row>
    <row r="5264">
      <c r="A5264" s="3"/>
      <c r="B5264" s="11" t="s">
        <v>1534</v>
      </c>
      <c r="C5264" s="20"/>
      <c r="D5264" s="20"/>
      <c r="E5264" s="20"/>
      <c r="F5264" s="20"/>
      <c r="G5264" s="20"/>
    </row>
    <row r="5265">
      <c r="A5265" s="4"/>
      <c r="B5265" s="12" t="s">
        <v>1461</v>
      </c>
      <c r="C5265" s="21"/>
      <c r="D5265" s="21"/>
      <c r="E5265" s="21"/>
      <c r="F5265" s="21"/>
      <c r="G5265" s="21"/>
    </row>
    <row r="5266">
      <c r="A5266" s="6"/>
      <c r="B5266" s="15" t="s">
        <v>1535</v>
      </c>
      <c r="C5266" s="23"/>
      <c r="D5266" s="23"/>
      <c r="E5266" s="23"/>
      <c r="F5266" s="23"/>
      <c r="G5266" s="23"/>
    </row>
    <row r="5267">
      <c r="A5267" s="5"/>
      <c r="B5267" s="16" t="s">
        <v>1541</v>
      </c>
      <c r="C5267" s="22">
        <f>(2)*(1)*(1)*(1)*(1 + (0))</f>
      </c>
      <c r="D5267" s="22" t="s">
        <v>162</v>
      </c>
      <c r="E5267" s="22"/>
      <c r="F5267" s="22">
        <f>(0)</f>
      </c>
      <c r="G5267" s="22">
        <f>(C5267 * E5267 + C5267 * E5267 * F5267)</f>
      </c>
    </row>
    <row r="5268">
      <c r="A5268" s="5"/>
      <c r="B5268" s="16" t="s">
        <v>2107</v>
      </c>
      <c r="C5268" s="22">
        <f>(120)*(1)*(1)*(1)*(1 + (0))</f>
      </c>
      <c r="D5268" s="22" t="s">
        <v>162</v>
      </c>
      <c r="E5268" s="22"/>
      <c r="F5268" s="22">
        <f>(0)</f>
      </c>
      <c r="G5268" s="22">
        <f>(C5268 * E5268 + C5268 * E5268 * F5268)</f>
      </c>
    </row>
    <row r="5269">
      <c r="A5269" s="5"/>
      <c r="B5269" s="16" t="s">
        <v>2108</v>
      </c>
      <c r="C5269" s="22">
        <f>(60)*(1)*(1)*(1)*(1 + (0))</f>
      </c>
      <c r="D5269" s="22" t="s">
        <v>162</v>
      </c>
      <c r="E5269" s="22"/>
      <c r="F5269" s="22">
        <f>(0)</f>
      </c>
      <c r="G5269" s="22">
        <f>(C5269 * E5269 + C5269 * E5269 * F5269)</f>
      </c>
    </row>
    <row r="5270">
      <c r="A5270" s="6"/>
      <c r="B5270" s="15" t="s">
        <v>1553</v>
      </c>
      <c r="C5270" s="23"/>
      <c r="D5270" s="23"/>
      <c r="E5270" s="23"/>
      <c r="F5270" s="23"/>
      <c r="G5270" s="23"/>
    </row>
    <row r="5271">
      <c r="A5271" s="5"/>
      <c r="B5271" s="16" t="s">
        <v>2109</v>
      </c>
      <c r="C5271" s="22">
        <f>(2)*(1)*(1)*(1)*(1 + (0))</f>
      </c>
      <c r="D5271" s="22" t="s">
        <v>162</v>
      </c>
      <c r="E5271" s="22"/>
      <c r="F5271" s="22">
        <f>(0)</f>
      </c>
      <c r="G5271" s="22">
        <f>(C5271 * E5271 + C5271 * E5271 * F5271)</f>
      </c>
    </row>
    <row r="5272">
      <c r="A5272" s="5"/>
      <c r="B5272" s="16" t="s">
        <v>1559</v>
      </c>
      <c r="C5272" s="22">
        <f>(1)*(1)*(1)*(1)*(1 + (0))</f>
      </c>
      <c r="D5272" s="22" t="s">
        <v>162</v>
      </c>
      <c r="E5272" s="22"/>
      <c r="F5272" s="22">
        <f>(0)</f>
      </c>
      <c r="G5272" s="22">
        <f>(C5272 * E5272 + C5272 * E5272 * F5272)</f>
      </c>
    </row>
    <row r="5273">
      <c r="A5273" s="6"/>
      <c r="B5273" s="15" t="s">
        <v>1462</v>
      </c>
      <c r="C5273" s="23"/>
      <c r="D5273" s="23"/>
      <c r="E5273" s="23"/>
      <c r="F5273" s="23"/>
      <c r="G5273" s="23"/>
    </row>
    <row r="5274">
      <c r="A5274" s="5"/>
      <c r="B5274" s="16" t="s">
        <v>2110</v>
      </c>
      <c r="C5274" s="22">
        <f>(2)*(1)*(1)*(1)*(1 + (0))</f>
      </c>
      <c r="D5274" s="22" t="s">
        <v>162</v>
      </c>
      <c r="E5274" s="22"/>
      <c r="F5274" s="22">
        <f>(0)</f>
      </c>
      <c r="G5274" s="22">
        <f>(C5274 * E5274 + C5274 * E5274 * F5274)</f>
      </c>
    </row>
    <row r="5275">
      <c r="A5275" s="5"/>
      <c r="B5275" s="16" t="s">
        <v>2111</v>
      </c>
      <c r="C5275" s="22">
        <f>(2)*(1)*(1)*(1)*(1 + (0))</f>
      </c>
      <c r="D5275" s="22" t="s">
        <v>162</v>
      </c>
      <c r="E5275" s="22"/>
      <c r="F5275" s="22">
        <f>(0)</f>
      </c>
      <c r="G5275" s="22">
        <f>(C5275 * E5275 + C5275 * E5275 * F5275)</f>
      </c>
    </row>
    <row r="5276">
      <c r="A5276" s="4"/>
      <c r="B5276" s="12" t="s">
        <v>1527</v>
      </c>
      <c r="C5276" s="21"/>
      <c r="D5276" s="21"/>
      <c r="E5276" s="21"/>
      <c r="F5276" s="21"/>
      <c r="G5276" s="21"/>
    </row>
    <row r="5277">
      <c r="A5277" s="6"/>
      <c r="B5277" s="15" t="s">
        <v>2091</v>
      </c>
      <c r="C5277" s="23"/>
      <c r="D5277" s="23"/>
      <c r="E5277" s="23"/>
      <c r="F5277" s="23"/>
      <c r="G5277" s="23"/>
    </row>
    <row r="5278">
      <c r="A5278" s="5"/>
      <c r="B5278" s="16" t="s">
        <v>2112</v>
      </c>
      <c r="C5278" s="22">
        <f>(2)*(1)*(1)*(1)*(1 + (0))</f>
      </c>
      <c r="D5278" s="22" t="s">
        <v>162</v>
      </c>
      <c r="E5278" s="22"/>
      <c r="F5278" s="22">
        <f>(0)</f>
      </c>
      <c r="G5278" s="22">
        <f>(C5278 * E5278 + C5278 * E5278 * F5278)</f>
      </c>
    </row>
    <row r="5279">
      <c r="A5279" s="5"/>
      <c r="B5279" s="16" t="s">
        <v>2113</v>
      </c>
      <c r="C5279" s="22">
        <f>(1)*(1)*(1)*(1)*(1 + (0))</f>
      </c>
      <c r="D5279" s="22" t="s">
        <v>162</v>
      </c>
      <c r="E5279" s="22"/>
      <c r="F5279" s="22">
        <f>(0)</f>
      </c>
      <c r="G5279" s="22">
        <f>(C5279 * E5279 + C5279 * E5279 * F5279)</f>
      </c>
    </row>
    <row r="5280">
      <c r="A5280" s="5"/>
      <c r="B5280" s="16" t="s">
        <v>2114</v>
      </c>
      <c r="C5280" s="22">
        <f>(1)*(1)*(1)*(1)*(1 + (0))</f>
      </c>
      <c r="D5280" s="22" t="s">
        <v>162</v>
      </c>
      <c r="E5280" s="22"/>
      <c r="F5280" s="22">
        <f>(0)</f>
      </c>
      <c r="G5280" s="22">
        <f>(C5280 * E5280 + C5280 * E5280 * F5280)</f>
      </c>
    </row>
    <row r="5281">
      <c r="A5281" s="5"/>
      <c r="B5281" s="16" t="s">
        <v>2115</v>
      </c>
      <c r="C5281" s="22">
        <f>(3)*(1)*(1)*(1)*(1 + (0))</f>
      </c>
      <c r="D5281" s="22" t="s">
        <v>162</v>
      </c>
      <c r="E5281" s="22"/>
      <c r="F5281" s="22">
        <f>(0)</f>
      </c>
      <c r="G5281" s="22">
        <f>(C5281 * E5281 + C5281 * E5281 * F5281)</f>
      </c>
    </row>
    <row r="5282">
      <c r="A5282" s="5"/>
      <c r="B5282" s="16" t="s">
        <v>2116</v>
      </c>
      <c r="C5282" s="22">
        <f>(1)*(1)*(1)*(1)*(1 + (0))</f>
      </c>
      <c r="D5282" s="22" t="s">
        <v>162</v>
      </c>
      <c r="E5282" s="22"/>
      <c r="F5282" s="22">
        <f>(0)</f>
      </c>
      <c r="G5282" s="22">
        <f>(C5282 * E5282 + C5282 * E5282 * F5282)</f>
      </c>
    </row>
    <row r="5283">
      <c r="A5283" s="5"/>
      <c r="B5283" s="16" t="s">
        <v>2117</v>
      </c>
      <c r="C5283" s="22">
        <f>(3)*(1)*(1)*(1)*(1 + (0))</f>
      </c>
      <c r="D5283" s="22" t="s">
        <v>162</v>
      </c>
      <c r="E5283" s="22"/>
      <c r="F5283" s="22">
        <f>(0)</f>
      </c>
      <c r="G5283" s="22">
        <f>(C5283 * E5283 + C5283 * E5283 * F5283)</f>
      </c>
    </row>
    <row r="5284">
      <c r="A5284" s="4"/>
      <c r="B5284" s="12" t="s">
        <v>1582</v>
      </c>
      <c r="C5284" s="21"/>
      <c r="D5284" s="21"/>
      <c r="E5284" s="21"/>
      <c r="F5284" s="21"/>
      <c r="G5284" s="21"/>
    </row>
    <row r="5285">
      <c r="A5285" s="6"/>
      <c r="B5285" s="15" t="s">
        <v>2118</v>
      </c>
      <c r="C5285" s="23"/>
      <c r="D5285" s="23"/>
      <c r="E5285" s="23"/>
      <c r="F5285" s="23"/>
      <c r="G5285" s="23"/>
    </row>
    <row r="5286">
      <c r="A5286" s="5"/>
      <c r="B5286" s="16" t="s">
        <v>2119</v>
      </c>
      <c r="C5286" s="22">
        <f>(3)*(1)*(1)*(1)*(1 + (0))</f>
      </c>
      <c r="D5286" s="22" t="s">
        <v>162</v>
      </c>
      <c r="E5286" s="22"/>
      <c r="F5286" s="22">
        <f>(0)</f>
      </c>
      <c r="G5286" s="22">
        <f>(C5286 * E5286 + C5286 * E5286 * F5286)</f>
      </c>
    </row>
    <row r="5287">
      <c r="A5287" s="5"/>
      <c r="B5287" s="16" t="s">
        <v>2120</v>
      </c>
      <c r="C5287" s="22">
        <f>(1)*(1)*(1)*(1)*(1 + (0))</f>
      </c>
      <c r="D5287" s="22" t="s">
        <v>162</v>
      </c>
      <c r="E5287" s="22"/>
      <c r="F5287" s="22">
        <f>(0)</f>
      </c>
      <c r="G5287" s="22">
        <f>(C5287 * E5287 + C5287 * E5287 * F5287)</f>
      </c>
    </row>
    <row r="5288">
      <c r="A5288" s="5"/>
      <c r="B5288" s="16" t="s">
        <v>2121</v>
      </c>
      <c r="C5288" s="22">
        <f>(1)*(1)*(1)*(1)*(1 + (0))</f>
      </c>
      <c r="D5288" s="22" t="s">
        <v>162</v>
      </c>
      <c r="E5288" s="22"/>
      <c r="F5288" s="22">
        <f>(0)</f>
      </c>
      <c r="G5288" s="22">
        <f>(C5288 * E5288 + C5288 * E5288 * F5288)</f>
      </c>
    </row>
    <row r="5289">
      <c r="A5289" s="5"/>
      <c r="B5289" s="7" t="s">
        <v>1452</v>
      </c>
      <c r="C5289" s="22"/>
      <c r="D5289" s="22"/>
      <c r="E5289" s="22"/>
      <c r="F5289" s="22">
        <f>(0)</f>
      </c>
      <c r="G5289" s="22">
        <f>(C5289 * E5289 + C5289 * E5289 * F5289)</f>
      </c>
    </row>
    <row r="5290">
      <c r="A5290" s="5"/>
      <c r="B5290" s="7" t="s">
        <v>1453</v>
      </c>
      <c r="C5290" s="22"/>
      <c r="D5290" s="22"/>
      <c r="E5290" s="22"/>
      <c r="F5290" s="22">
        <f>(0)</f>
      </c>
      <c r="G5290" s="22">
        <f>(C5290 * E5290 + C5290 * E5290 * F5290)</f>
      </c>
    </row>
    <row r="5291">
      <c r="A5291" s="2"/>
      <c r="B5291" s="10" t="s">
        <v>1841</v>
      </c>
      <c r="C5291" s="19"/>
      <c r="D5291" s="19"/>
      <c r="E5291" s="19"/>
      <c r="F5291" s="19"/>
      <c r="G5291" s="19"/>
    </row>
    <row r="5292">
      <c r="A5292" s="3"/>
      <c r="B5292" s="11" t="s">
        <v>37</v>
      </c>
      <c r="C5292" s="20"/>
      <c r="D5292" s="20"/>
      <c r="E5292" s="20"/>
      <c r="F5292" s="20"/>
      <c r="G5292" s="20"/>
    </row>
    <row r="5293">
      <c r="A5293" s="5" t="s">
        <v>1285</v>
      </c>
      <c r="B5293" s="14" t="s">
        <v>39</v>
      </c>
      <c r="C5293" s="22"/>
      <c r="D5293" s="22" t="s">
        <v>10</v>
      </c>
      <c r="E5293" s="22"/>
      <c r="F5293" s="22">
        <f>(0)</f>
      </c>
      <c r="G5293" s="22">
        <f>(C5293 * E5293 + C5293 * E5293 * F5293)</f>
      </c>
    </row>
    <row r="5294">
      <c r="A5294" s="5" t="s">
        <v>1286</v>
      </c>
      <c r="B5294" s="14" t="s">
        <v>41</v>
      </c>
      <c r="C5294" s="22"/>
      <c r="D5294" s="22" t="s">
        <v>10</v>
      </c>
      <c r="E5294" s="22"/>
      <c r="F5294" s="22">
        <f>(0)</f>
      </c>
      <c r="G5294" s="22">
        <f>(C5294 * E5294 + C5294 * E5294 * F5294)</f>
      </c>
    </row>
    <row r="5295">
      <c r="A5295" s="3"/>
      <c r="B5295" s="11" t="s">
        <v>42</v>
      </c>
      <c r="C5295" s="20"/>
      <c r="D5295" s="20"/>
      <c r="E5295" s="20"/>
      <c r="F5295" s="20"/>
      <c r="G5295" s="20"/>
    </row>
    <row r="5296">
      <c r="A5296" s="5"/>
      <c r="B5296" s="14" t="s">
        <v>1287</v>
      </c>
      <c r="C5296" s="22"/>
      <c r="D5296" s="22" t="s">
        <v>10</v>
      </c>
      <c r="E5296" s="22"/>
      <c r="F5296" s="22">
        <f>(0)</f>
      </c>
      <c r="G5296" s="22">
        <f>(C5296 * E5296 + C5296 * E5296 * F5296)</f>
      </c>
    </row>
    <row r="5297">
      <c r="A5297" s="5"/>
      <c r="B5297" s="14" t="s">
        <v>1288</v>
      </c>
      <c r="C5297" s="22"/>
      <c r="D5297" s="22" t="s">
        <v>10</v>
      </c>
      <c r="E5297" s="22"/>
      <c r="F5297" s="22">
        <f>(0)</f>
      </c>
      <c r="G5297" s="22">
        <f>(C5297 * E5297 + C5297 * E5297 * F5297)</f>
      </c>
    </row>
    <row r="5298">
      <c r="A5298" s="5"/>
      <c r="B5298" s="14" t="s">
        <v>1289</v>
      </c>
      <c r="C5298" s="22"/>
      <c r="D5298" s="22" t="s">
        <v>10</v>
      </c>
      <c r="E5298" s="22"/>
      <c r="F5298" s="22">
        <f>(0)</f>
      </c>
      <c r="G5298" s="22">
        <f>(C5298 * E5298 + C5298 * E5298 * F5298)</f>
      </c>
    </row>
    <row r="5299">
      <c r="A5299" s="5"/>
      <c r="B5299" s="14" t="s">
        <v>1290</v>
      </c>
      <c r="C5299" s="22"/>
      <c r="D5299" s="22" t="s">
        <v>10</v>
      </c>
      <c r="E5299" s="22"/>
      <c r="F5299" s="22">
        <f>(0)</f>
      </c>
      <c r="G5299" s="22">
        <f>(C5299 * E5299 + C5299 * E5299 * F5299)</f>
      </c>
    </row>
    <row r="5300">
      <c r="A5300" s="3"/>
      <c r="B5300" s="11" t="s">
        <v>44</v>
      </c>
      <c r="C5300" s="20"/>
      <c r="D5300" s="20"/>
      <c r="E5300" s="20"/>
      <c r="F5300" s="20"/>
      <c r="G5300" s="20"/>
    </row>
    <row r="5301">
      <c r="A5301" s="4"/>
      <c r="B5301" s="12" t="s">
        <v>45</v>
      </c>
      <c r="C5301" s="21"/>
      <c r="D5301" s="21"/>
      <c r="E5301" s="21"/>
      <c r="F5301" s="21"/>
      <c r="G5301" s="21"/>
    </row>
    <row r="5302">
      <c r="A5302" s="5" t="s">
        <v>1291</v>
      </c>
      <c r="B5302" s="13" t="s">
        <v>767</v>
      </c>
      <c r="C5302" s="22"/>
      <c r="D5302" s="22" t="s">
        <v>10</v>
      </c>
      <c r="E5302" s="22"/>
      <c r="F5302" s="22">
        <f>(0)</f>
      </c>
      <c r="G5302" s="22">
        <f>(C5302 * E5302 + C5302 * E5302 * F5302)</f>
      </c>
    </row>
    <row r="5303">
      <c r="A5303" s="5" t="s">
        <v>1292</v>
      </c>
      <c r="B5303" s="13" t="s">
        <v>123</v>
      </c>
      <c r="C5303" s="22"/>
      <c r="D5303" s="22" t="s">
        <v>10</v>
      </c>
      <c r="E5303" s="22"/>
      <c r="F5303" s="22">
        <f>(0)</f>
      </c>
      <c r="G5303" s="22">
        <f>(C5303 * E5303 + C5303 * E5303 * F5303)</f>
      </c>
    </row>
    <row r="5304">
      <c r="A5304" s="3"/>
      <c r="B5304" s="11" t="s">
        <v>68</v>
      </c>
      <c r="C5304" s="20"/>
      <c r="D5304" s="20"/>
      <c r="E5304" s="20"/>
      <c r="F5304" s="20"/>
      <c r="G5304" s="20"/>
    </row>
    <row r="5305">
      <c r="A5305" s="5" t="s">
        <v>1293</v>
      </c>
      <c r="B5305" s="14" t="s">
        <v>230</v>
      </c>
      <c r="C5305" s="22">
        <f>(1)*(1)*(1)*(1)*(1 + (0))</f>
      </c>
      <c r="D5305" s="22" t="s">
        <v>71</v>
      </c>
      <c r="E5305" s="22"/>
      <c r="F5305" s="22">
        <f>(0)</f>
      </c>
      <c r="G5305" s="22">
        <f>(C5305 * E5305 + C5305 * E5305 * F5305)</f>
      </c>
    </row>
    <row r="5306">
      <c r="A5306" s="5" t="s">
        <v>1294</v>
      </c>
      <c r="B5306" s="14" t="s">
        <v>70</v>
      </c>
      <c r="C5306" s="22">
        <f>(1)*(1)*(1)*(1)*(1 + (0))</f>
      </c>
      <c r="D5306" s="22" t="s">
        <v>71</v>
      </c>
      <c r="E5306" s="22"/>
      <c r="F5306" s="22">
        <f>(0)</f>
      </c>
      <c r="G5306" s="22">
        <f>(C5306 * E5306 + C5306 * E5306 * F5306)</f>
      </c>
    </row>
    <row r="5307">
      <c r="A5307" s="5" t="s">
        <v>1295</v>
      </c>
      <c r="B5307" s="14" t="s">
        <v>906</v>
      </c>
      <c r="C5307" s="22">
        <f>(1)*(1)*(1)*(1)*(1 + (0))</f>
      </c>
      <c r="D5307" s="22" t="s">
        <v>71</v>
      </c>
      <c r="E5307" s="22"/>
      <c r="F5307" s="22">
        <f>(0)</f>
      </c>
      <c r="G5307" s="22">
        <f>(C5307 * E5307 + C5307 * E5307 * F5307)</f>
      </c>
    </row>
    <row r="5308">
      <c r="A5308" s="5" t="s">
        <v>1296</v>
      </c>
      <c r="B5308" s="14" t="s">
        <v>665</v>
      </c>
      <c r="C5308" s="22">
        <f>(1)*(1)*(1)*(1)*(1 + (0))</f>
      </c>
      <c r="D5308" s="22" t="s">
        <v>71</v>
      </c>
      <c r="E5308" s="22"/>
      <c r="F5308" s="22">
        <f>(0)</f>
      </c>
      <c r="G5308" s="22">
        <f>(C5308 * E5308 + C5308 * E5308 * F5308)</f>
      </c>
    </row>
    <row r="5309">
      <c r="A5309" s="3"/>
      <c r="B5309" s="11" t="s">
        <v>1587</v>
      </c>
      <c r="C5309" s="20"/>
      <c r="D5309" s="20"/>
      <c r="E5309" s="20"/>
      <c r="F5309" s="20"/>
      <c r="G5309" s="20"/>
    </row>
    <row r="5310">
      <c r="A5310" s="4"/>
      <c r="B5310" s="12" t="s">
        <v>1461</v>
      </c>
      <c r="C5310" s="21"/>
      <c r="D5310" s="21"/>
      <c r="E5310" s="21"/>
      <c r="F5310" s="21"/>
      <c r="G5310" s="21"/>
    </row>
    <row r="5311">
      <c r="A5311" s="6"/>
      <c r="B5311" s="15" t="s">
        <v>1462</v>
      </c>
      <c r="C5311" s="23"/>
      <c r="D5311" s="23"/>
      <c r="E5311" s="23"/>
      <c r="F5311" s="23"/>
      <c r="G5311" s="23"/>
    </row>
    <row r="5312">
      <c r="A5312" s="5"/>
      <c r="B5312" s="16" t="s">
        <v>2122</v>
      </c>
      <c r="C5312" s="22">
        <f>(1)*(1)*(1)*(1)*(1 + (0))</f>
      </c>
      <c r="D5312" s="22" t="s">
        <v>162</v>
      </c>
      <c r="E5312" s="22"/>
      <c r="F5312" s="22">
        <f>(0)</f>
      </c>
      <c r="G5312" s="22">
        <f>(C5312 * E5312 + C5312 * E5312 * F5312)</f>
      </c>
    </row>
    <row r="5313">
      <c r="A5313" s="5"/>
      <c r="B5313" s="16" t="s">
        <v>2123</v>
      </c>
      <c r="C5313" s="22">
        <f>(1)*(1)*(1)*(1)*(1 + (0))</f>
      </c>
      <c r="D5313" s="22" t="s">
        <v>162</v>
      </c>
      <c r="E5313" s="22"/>
      <c r="F5313" s="22">
        <f>(0)</f>
      </c>
      <c r="G5313" s="22">
        <f>(C5313 * E5313 + C5313 * E5313 * F5313)</f>
      </c>
    </row>
    <row r="5314">
      <c r="A5314" s="4"/>
      <c r="B5314" s="12" t="s">
        <v>1582</v>
      </c>
      <c r="C5314" s="21"/>
      <c r="D5314" s="21"/>
      <c r="E5314" s="21"/>
      <c r="F5314" s="21"/>
      <c r="G5314" s="21"/>
    </row>
    <row r="5315">
      <c r="A5315" s="5"/>
      <c r="B5315" s="13" t="s">
        <v>2124</v>
      </c>
      <c r="C5315" s="22">
        <f>(1)*(1)*(1)*(1)*(1 + (0))</f>
      </c>
      <c r="D5315" s="22" t="s">
        <v>162</v>
      </c>
      <c r="E5315" s="22"/>
      <c r="F5315" s="22">
        <f>(0)</f>
      </c>
      <c r="G5315" s="22">
        <f>(C5315 * E5315 + C5315 * E5315 * F5315)</f>
      </c>
    </row>
    <row r="5316">
      <c r="A5316" s="5"/>
      <c r="B5316" s="7"/>
      <c r="C5316" s="22"/>
      <c r="D5316" s="22"/>
      <c r="E5316" s="22"/>
      <c r="F5316" s="22">
        <f>(0)</f>
      </c>
      <c r="G5316" s="22">
        <f>(C5316 * E5316 + C5316 * E5316 * F5316)</f>
      </c>
    </row>
    <row r="5317">
      <c r="A5317" s="5"/>
      <c r="B5317" s="7"/>
      <c r="C5317" s="22"/>
      <c r="D5317" s="22"/>
      <c r="E5317" s="22"/>
      <c r="F5317" s="22">
        <f>(0)</f>
      </c>
      <c r="G5317" s="22">
        <f>(C5317 * E5317 + C5317 * E5317 * F5317)</f>
      </c>
    </row>
    <row r="5318">
      <c r="A5318" s="5"/>
      <c r="B5318" s="7" t="s">
        <v>31</v>
      </c>
      <c r="C5318" s="22"/>
      <c r="D5318" s="22"/>
      <c r="E5318" s="22"/>
      <c r="F5318" s="22">
        <f>(0)</f>
      </c>
      <c r="G5318" s="22">
        <f>(C5318 * E5318 + C5318 * E5318 * F5318)</f>
      </c>
    </row>
    <row r="5319">
      <c r="A5319" s="2"/>
      <c r="B5319" s="10" t="s">
        <v>36</v>
      </c>
      <c r="C5319" s="19"/>
      <c r="D5319" s="19"/>
      <c r="E5319" s="19"/>
      <c r="F5319" s="19"/>
      <c r="G5319" s="19"/>
    </row>
    <row r="5320">
      <c r="A5320" s="3"/>
      <c r="B5320" s="11" t="s">
        <v>37</v>
      </c>
      <c r="C5320" s="20"/>
      <c r="D5320" s="20"/>
      <c r="E5320" s="20"/>
      <c r="F5320" s="20"/>
      <c r="G5320" s="20"/>
    </row>
    <row r="5321">
      <c r="A5321" s="5" t="s">
        <v>38</v>
      </c>
      <c r="B5321" s="14" t="s">
        <v>39</v>
      </c>
      <c r="C5321" s="22"/>
      <c r="D5321" s="22" t="s">
        <v>10</v>
      </c>
      <c r="E5321" s="22"/>
      <c r="F5321" s="22">
        <f>(0)</f>
      </c>
      <c r="G5321" s="22">
        <f>(C5321 * E5321 + C5321 * E5321 * F5321)</f>
      </c>
    </row>
    <row r="5322">
      <c r="A5322" s="5" t="s">
        <v>40</v>
      </c>
      <c r="B5322" s="14" t="s">
        <v>41</v>
      </c>
      <c r="C5322" s="22"/>
      <c r="D5322" s="22" t="s">
        <v>10</v>
      </c>
      <c r="E5322" s="22"/>
      <c r="F5322" s="22">
        <f>(0)</f>
      </c>
      <c r="G5322" s="22">
        <f>(C5322 * E5322 + C5322 * E5322 * F5322)</f>
      </c>
    </row>
    <row r="5323">
      <c r="A5323" s="3"/>
      <c r="B5323" s="11" t="s">
        <v>42</v>
      </c>
      <c r="C5323" s="20"/>
      <c r="D5323" s="20"/>
      <c r="E5323" s="20"/>
      <c r="F5323" s="20"/>
      <c r="G5323" s="20"/>
    </row>
    <row r="5324">
      <c r="A5324" s="5"/>
      <c r="B5324" s="14" t="s">
        <v>636</v>
      </c>
      <c r="C5324" s="22"/>
      <c r="D5324" s="22" t="s">
        <v>10</v>
      </c>
      <c r="E5324" s="22"/>
      <c r="F5324" s="22">
        <f>(0)</f>
      </c>
      <c r="G5324" s="22">
        <f>(C5324 * E5324 + C5324 * E5324 * F5324)</f>
      </c>
    </row>
    <row r="5325">
      <c r="A5325" s="3"/>
      <c r="B5325" s="11" t="s">
        <v>44</v>
      </c>
      <c r="C5325" s="20"/>
      <c r="D5325" s="20"/>
      <c r="E5325" s="20"/>
      <c r="F5325" s="20"/>
      <c r="G5325" s="20"/>
    </row>
    <row r="5326">
      <c r="A5326" s="4"/>
      <c r="B5326" s="12" t="s">
        <v>45</v>
      </c>
      <c r="C5326" s="21"/>
      <c r="D5326" s="21"/>
      <c r="E5326" s="21"/>
      <c r="F5326" s="21"/>
      <c r="G5326" s="21"/>
    </row>
    <row r="5327">
      <c r="A5327" s="5" t="s">
        <v>46</v>
      </c>
      <c r="B5327" s="13" t="s">
        <v>47</v>
      </c>
      <c r="C5327" s="22"/>
      <c r="D5327" s="22" t="s">
        <v>10</v>
      </c>
      <c r="E5327" s="22"/>
      <c r="F5327" s="22">
        <f>(0)</f>
      </c>
      <c r="G5327" s="22">
        <f>(C5327 * E5327 + C5327 * E5327 * F5327)</f>
      </c>
    </row>
    <row r="5328">
      <c r="A5328" s="5" t="s">
        <v>48</v>
      </c>
      <c r="B5328" s="13" t="s">
        <v>49</v>
      </c>
      <c r="C5328" s="22"/>
      <c r="D5328" s="22" t="s">
        <v>10</v>
      </c>
      <c r="E5328" s="22"/>
      <c r="F5328" s="22">
        <f>(0)</f>
      </c>
      <c r="G5328" s="22">
        <f>(C5328 * E5328 + C5328 * E5328 * F5328)</f>
      </c>
    </row>
    <row r="5329">
      <c r="A5329" s="5" t="s">
        <v>50</v>
      </c>
      <c r="B5329" s="13" t="s">
        <v>51</v>
      </c>
      <c r="C5329" s="22"/>
      <c r="D5329" s="22" t="s">
        <v>10</v>
      </c>
      <c r="E5329" s="22"/>
      <c r="F5329" s="22">
        <f>(0)</f>
      </c>
      <c r="G5329" s="22">
        <f>(C5329 * E5329 + C5329 * E5329 * F5329)</f>
      </c>
    </row>
    <row r="5330">
      <c r="A5330" s="5" t="s">
        <v>52</v>
      </c>
      <c r="B5330" s="13" t="s">
        <v>53</v>
      </c>
      <c r="C5330" s="22"/>
      <c r="D5330" s="22" t="s">
        <v>10</v>
      </c>
      <c r="E5330" s="22"/>
      <c r="F5330" s="22">
        <f>(0)</f>
      </c>
      <c r="G5330" s="22">
        <f>(C5330 * E5330 + C5330 * E5330 * F5330)</f>
      </c>
    </row>
    <row r="5331">
      <c r="A5331" s="5" t="s">
        <v>54</v>
      </c>
      <c r="B5331" s="13" t="s">
        <v>55</v>
      </c>
      <c r="C5331" s="22"/>
      <c r="D5331" s="22" t="s">
        <v>10</v>
      </c>
      <c r="E5331" s="22"/>
      <c r="F5331" s="22">
        <f>(0)</f>
      </c>
      <c r="G5331" s="22">
        <f>(C5331 * E5331 + C5331 * E5331 * F5331)</f>
      </c>
    </row>
    <row r="5332">
      <c r="A5332" s="5" t="s">
        <v>56</v>
      </c>
      <c r="B5332" s="13" t="s">
        <v>57</v>
      </c>
      <c r="C5332" s="22"/>
      <c r="D5332" s="22" t="s">
        <v>10</v>
      </c>
      <c r="E5332" s="22"/>
      <c r="F5332" s="22">
        <f>(0)</f>
      </c>
      <c r="G5332" s="22">
        <f>(C5332 * E5332 + C5332 * E5332 * F5332)</f>
      </c>
    </row>
    <row r="5333">
      <c r="A5333" s="5" t="s">
        <v>58</v>
      </c>
      <c r="B5333" s="13" t="s">
        <v>59</v>
      </c>
      <c r="C5333" s="22"/>
      <c r="D5333" s="22" t="s">
        <v>10</v>
      </c>
      <c r="E5333" s="22"/>
      <c r="F5333" s="22">
        <f>(0)</f>
      </c>
      <c r="G5333" s="22">
        <f>(C5333 * E5333 + C5333 * E5333 * F5333)</f>
      </c>
    </row>
    <row r="5334">
      <c r="A5334" s="5" t="s">
        <v>60</v>
      </c>
      <c r="B5334" s="13" t="s">
        <v>61</v>
      </c>
      <c r="C5334" s="22"/>
      <c r="D5334" s="22" t="s">
        <v>10</v>
      </c>
      <c r="E5334" s="22"/>
      <c r="F5334" s="22">
        <f>(0)</f>
      </c>
      <c r="G5334" s="22">
        <f>(C5334 * E5334 + C5334 * E5334 * F5334)</f>
      </c>
    </row>
    <row r="5335">
      <c r="A5335" s="5" t="s">
        <v>62</v>
      </c>
      <c r="B5335" s="13" t="s">
        <v>63</v>
      </c>
      <c r="C5335" s="22"/>
      <c r="D5335" s="22" t="s">
        <v>10</v>
      </c>
      <c r="E5335" s="22"/>
      <c r="F5335" s="22">
        <f>(0)</f>
      </c>
      <c r="G5335" s="22">
        <f>(C5335 * E5335 + C5335 * E5335 * F5335)</f>
      </c>
    </row>
    <row r="5336">
      <c r="A5336" s="5" t="s">
        <v>64</v>
      </c>
      <c r="B5336" s="13" t="s">
        <v>65</v>
      </c>
      <c r="C5336" s="22"/>
      <c r="D5336" s="22" t="s">
        <v>10</v>
      </c>
      <c r="E5336" s="22"/>
      <c r="F5336" s="22">
        <f>(0)</f>
      </c>
      <c r="G5336" s="22">
        <f>(C5336 * E5336 + C5336 * E5336 * F5336)</f>
      </c>
    </row>
    <row r="5337">
      <c r="A5337" s="5" t="s">
        <v>66</v>
      </c>
      <c r="B5337" s="13" t="s">
        <v>67</v>
      </c>
      <c r="C5337" s="22"/>
      <c r="D5337" s="22" t="s">
        <v>10</v>
      </c>
      <c r="E5337" s="22"/>
      <c r="F5337" s="22">
        <f>(0)</f>
      </c>
      <c r="G5337" s="22">
        <f>(C5337 * E5337 + C5337 * E5337 * F5337)</f>
      </c>
    </row>
    <row r="5338">
      <c r="A5338" s="3"/>
      <c r="B5338" s="11" t="s">
        <v>68</v>
      </c>
      <c r="C5338" s="20"/>
      <c r="D5338" s="20"/>
      <c r="E5338" s="20"/>
      <c r="F5338" s="20"/>
      <c r="G5338" s="20"/>
    </row>
    <row r="5339">
      <c r="A5339" s="5" t="s">
        <v>69</v>
      </c>
      <c r="B5339" s="14" t="s">
        <v>70</v>
      </c>
      <c r="C5339" s="22">
        <f>(1)*(1)*(1)*(1)*(1 + (0))</f>
      </c>
      <c r="D5339" s="22" t="s">
        <v>71</v>
      </c>
      <c r="E5339" s="22"/>
      <c r="F5339" s="22">
        <f>(0)</f>
      </c>
      <c r="G5339" s="22">
        <f>(C5339 * E5339 + C5339 * E5339 * F5339)</f>
      </c>
    </row>
    <row r="5340">
      <c r="A5340" s="5" t="s">
        <v>72</v>
      </c>
      <c r="B5340" s="14" t="s">
        <v>73</v>
      </c>
      <c r="C5340" s="22">
        <f>(1)*(1)*(1)*(1)*(1 + (0))</f>
      </c>
      <c r="D5340" s="22" t="s">
        <v>71</v>
      </c>
      <c r="E5340" s="22"/>
      <c r="F5340" s="22">
        <f>(0)</f>
      </c>
      <c r="G5340" s="22">
        <f>(C5340 * E5340 + C5340 * E5340 * F5340)</f>
      </c>
    </row>
    <row r="5341">
      <c r="A5341" s="5" t="s">
        <v>74</v>
      </c>
      <c r="B5341" s="14" t="s">
        <v>75</v>
      </c>
      <c r="C5341" s="22">
        <f>(1)*(1)*(1)*(1)*(1 + (0))</f>
      </c>
      <c r="D5341" s="22" t="s">
        <v>71</v>
      </c>
      <c r="E5341" s="22"/>
      <c r="F5341" s="22">
        <f>(0)</f>
      </c>
      <c r="G5341" s="22">
        <f>(C5341 * E5341 + C5341 * E5341 * F5341)</f>
      </c>
    </row>
    <row r="5342">
      <c r="A5342" s="5" t="s">
        <v>76</v>
      </c>
      <c r="B5342" s="14" t="s">
        <v>77</v>
      </c>
      <c r="C5342" s="22">
        <f>(1)*(1)*(1)*(1)*(1 + (0))</f>
      </c>
      <c r="D5342" s="22" t="s">
        <v>71</v>
      </c>
      <c r="E5342" s="22"/>
      <c r="F5342" s="22">
        <f>(0)</f>
      </c>
      <c r="G5342" s="22">
        <f>(C5342 * E5342 + C5342 * E5342 * F5342)</f>
      </c>
    </row>
    <row r="5343">
      <c r="A5343" s="5" t="s">
        <v>78</v>
      </c>
      <c r="B5343" s="14" t="s">
        <v>79</v>
      </c>
      <c r="C5343" s="22">
        <f>(1)*(1)*(1)*(1)*(1 + (0))</f>
      </c>
      <c r="D5343" s="22" t="s">
        <v>71</v>
      </c>
      <c r="E5343" s="22"/>
      <c r="F5343" s="22">
        <f>(0)</f>
      </c>
      <c r="G5343" s="22">
        <f>(C5343 * E5343 + C5343 * E5343 * F5343)</f>
      </c>
    </row>
    <row r="5344">
      <c r="A5344" s="5" t="s">
        <v>80</v>
      </c>
      <c r="B5344" s="14" t="s">
        <v>81</v>
      </c>
      <c r="C5344" s="22">
        <f>(1)*(1)*(1)*(1)*(1 + (0))</f>
      </c>
      <c r="D5344" s="22" t="s">
        <v>71</v>
      </c>
      <c r="E5344" s="22"/>
      <c r="F5344" s="22">
        <f>(0)</f>
      </c>
      <c r="G5344" s="22">
        <f>(C5344 * E5344 + C5344 * E5344 * F5344)</f>
      </c>
    </row>
    <row r="5345">
      <c r="A5345" s="5" t="s">
        <v>82</v>
      </c>
      <c r="B5345" s="14" t="s">
        <v>83</v>
      </c>
      <c r="C5345" s="22">
        <f>(1)*(1)*(1)*(1)*(1 + (0))</f>
      </c>
      <c r="D5345" s="22" t="s">
        <v>71</v>
      </c>
      <c r="E5345" s="22"/>
      <c r="F5345" s="22">
        <f>(0)</f>
      </c>
      <c r="G5345" s="22">
        <f>(C5345 * E5345 + C5345 * E5345 * F5345)</f>
      </c>
    </row>
    <row r="5346">
      <c r="A5346" s="5" t="s">
        <v>84</v>
      </c>
      <c r="B5346" s="14" t="s">
        <v>85</v>
      </c>
      <c r="C5346" s="22">
        <f>(1)*(1)*(1)*(1)*(1 + (0))</f>
      </c>
      <c r="D5346" s="22" t="s">
        <v>71</v>
      </c>
      <c r="E5346" s="22"/>
      <c r="F5346" s="22">
        <f>(0)</f>
      </c>
      <c r="G5346" s="22">
        <f>(C5346 * E5346 + C5346 * E5346 * F5346)</f>
      </c>
    </row>
    <row r="5347">
      <c r="A5347" s="5" t="s">
        <v>86</v>
      </c>
      <c r="B5347" s="14" t="s">
        <v>87</v>
      </c>
      <c r="C5347" s="22">
        <f>(1)*(1)*(1)*(1)*(1 + (0))</f>
      </c>
      <c r="D5347" s="22" t="s">
        <v>71</v>
      </c>
      <c r="E5347" s="22"/>
      <c r="F5347" s="22">
        <f>(0)</f>
      </c>
      <c r="G5347" s="22">
        <f>(C5347 * E5347 + C5347 * E5347 * F5347)</f>
      </c>
    </row>
    <row r="5348">
      <c r="A5348" s="5" t="s">
        <v>88</v>
      </c>
      <c r="B5348" s="14" t="s">
        <v>89</v>
      </c>
      <c r="C5348" s="22">
        <f>(1)*(1)*(1)*(1)*(1 + (0))</f>
      </c>
      <c r="D5348" s="22" t="s">
        <v>71</v>
      </c>
      <c r="E5348" s="22"/>
      <c r="F5348" s="22">
        <f>(0)</f>
      </c>
      <c r="G5348" s="22">
        <f>(C5348 * E5348 + C5348 * E5348 * F5348)</f>
      </c>
    </row>
    <row r="5349">
      <c r="A5349" s="5" t="s">
        <v>90</v>
      </c>
      <c r="B5349" s="14" t="s">
        <v>91</v>
      </c>
      <c r="C5349" s="22">
        <f>(1)*(1)*(1)*(1)*(1 + (0))</f>
      </c>
      <c r="D5349" s="22" t="s">
        <v>71</v>
      </c>
      <c r="E5349" s="22"/>
      <c r="F5349" s="22">
        <f>(0)</f>
      </c>
      <c r="G5349" s="22">
        <f>(C5349 * E5349 + C5349 * E5349 * F5349)</f>
      </c>
    </row>
    <row r="5350">
      <c r="A5350" s="5" t="s">
        <v>92</v>
      </c>
      <c r="B5350" s="14" t="s">
        <v>93</v>
      </c>
      <c r="C5350" s="22">
        <f>(1)*(1)*(1)*(1)*(1 + (0))</f>
      </c>
      <c r="D5350" s="22" t="s">
        <v>71</v>
      </c>
      <c r="E5350" s="22"/>
      <c r="F5350" s="22">
        <f>(0)</f>
      </c>
      <c r="G5350" s="22">
        <f>(C5350 * E5350 + C5350 * E5350 * F5350)</f>
      </c>
    </row>
    <row r="5351">
      <c r="A5351" s="5" t="s">
        <v>94</v>
      </c>
      <c r="B5351" s="14" t="s">
        <v>95</v>
      </c>
      <c r="C5351" s="22">
        <f>(1)*(1)*(1)*(1)*(1 + (0))</f>
      </c>
      <c r="D5351" s="22" t="s">
        <v>71</v>
      </c>
      <c r="E5351" s="22"/>
      <c r="F5351" s="22">
        <f>(0)</f>
      </c>
      <c r="G5351" s="22">
        <f>(C5351 * E5351 + C5351 * E5351 * F5351)</f>
      </c>
    </row>
    <row r="5352">
      <c r="A5352" s="5" t="s">
        <v>96</v>
      </c>
      <c r="B5352" s="14" t="s">
        <v>97</v>
      </c>
      <c r="C5352" s="22">
        <f>(1)*(1)*(1)*(1)*(1 + (0))</f>
      </c>
      <c r="D5352" s="22" t="s">
        <v>71</v>
      </c>
      <c r="E5352" s="22"/>
      <c r="F5352" s="22">
        <f>(0)</f>
      </c>
      <c r="G5352" s="22">
        <f>(C5352 * E5352 + C5352 * E5352 * F5352)</f>
      </c>
    </row>
    <row r="5353">
      <c r="A5353" s="5" t="s">
        <v>98</v>
      </c>
      <c r="B5353" s="14" t="s">
        <v>99</v>
      </c>
      <c r="C5353" s="22">
        <f>(1)*(1)*(1)*(1)*(1 + (0))</f>
      </c>
      <c r="D5353" s="22" t="s">
        <v>71</v>
      </c>
      <c r="E5353" s="22"/>
      <c r="F5353" s="22">
        <f>(0)</f>
      </c>
      <c r="G5353" s="22">
        <f>(C5353 * E5353 + C5353 * E5353 * F5353)</f>
      </c>
    </row>
    <row r="5354">
      <c r="A5354" s="5" t="s">
        <v>100</v>
      </c>
      <c r="B5354" s="14" t="s">
        <v>101</v>
      </c>
      <c r="C5354" s="22">
        <f>(1)*(1)*(1)*(1)*(1 + (0))</f>
      </c>
      <c r="D5354" s="22" t="s">
        <v>71</v>
      </c>
      <c r="E5354" s="22"/>
      <c r="F5354" s="22">
        <f>(0)</f>
      </c>
      <c r="G5354" s="22">
        <f>(C5354 * E5354 + C5354 * E5354 * F5354)</f>
      </c>
    </row>
    <row r="5355">
      <c r="A5355" s="5" t="s">
        <v>102</v>
      </c>
      <c r="B5355" s="14" t="s">
        <v>103</v>
      </c>
      <c r="C5355" s="22">
        <f>(1)*(1)*(1)*(1)*(1 + (0))</f>
      </c>
      <c r="D5355" s="22" t="s">
        <v>71</v>
      </c>
      <c r="E5355" s="22"/>
      <c r="F5355" s="22">
        <f>(0)</f>
      </c>
      <c r="G5355" s="22">
        <f>(C5355 * E5355 + C5355 * E5355 * F5355)</f>
      </c>
    </row>
    <row r="5356">
      <c r="A5356" s="5" t="s">
        <v>104</v>
      </c>
      <c r="B5356" s="14" t="s">
        <v>105</v>
      </c>
      <c r="C5356" s="22">
        <f>(1)*(1)*(1)*(1)*(1 + (0))</f>
      </c>
      <c r="D5356" s="22" t="s">
        <v>71</v>
      </c>
      <c r="E5356" s="22"/>
      <c r="F5356" s="22">
        <f>(0)</f>
      </c>
      <c r="G5356" s="22">
        <f>(C5356 * E5356 + C5356 * E5356 * F5356)</f>
      </c>
    </row>
    <row r="5357">
      <c r="A5357" s="3"/>
      <c r="B5357" s="11" t="s">
        <v>106</v>
      </c>
      <c r="C5357" s="20"/>
      <c r="D5357" s="20"/>
      <c r="E5357" s="20"/>
      <c r="F5357" s="20"/>
      <c r="G5357" s="20"/>
    </row>
    <row r="5358">
      <c r="A5358" s="5"/>
      <c r="B5358" s="14" t="s">
        <v>107</v>
      </c>
      <c r="C5358" s="22"/>
      <c r="D5358" s="22" t="s">
        <v>10</v>
      </c>
      <c r="E5358" s="22"/>
      <c r="F5358" s="22">
        <f>(0)</f>
      </c>
      <c r="G5358" s="22">
        <f>(C5358 * E5358 + C5358 * E5358 * F5358)</f>
      </c>
    </row>
    <row r="5359">
      <c r="A5359" s="3"/>
      <c r="B5359" s="11" t="s">
        <v>108</v>
      </c>
      <c r="C5359" s="20"/>
      <c r="D5359" s="20"/>
      <c r="E5359" s="20"/>
      <c r="F5359" s="20"/>
      <c r="G5359" s="20"/>
    </row>
    <row r="5360">
      <c r="A5360" s="4"/>
      <c r="B5360" s="12" t="s">
        <v>109</v>
      </c>
      <c r="C5360" s="21"/>
      <c r="D5360" s="21"/>
      <c r="E5360" s="21"/>
      <c r="F5360" s="21"/>
      <c r="G5360" s="21"/>
    </row>
    <row r="5361">
      <c r="A5361" s="5"/>
      <c r="B5361" s="13" t="s">
        <v>114</v>
      </c>
      <c r="C5361" s="22">
        <f>(49)*(1)*(1)*(1)*(1 + (0))</f>
      </c>
      <c r="D5361" s="22" t="s">
        <v>111</v>
      </c>
      <c r="E5361" s="22"/>
      <c r="F5361" s="22">
        <f>(0)</f>
      </c>
      <c r="G5361" s="22">
        <f>(C5361 * E5361 + C5361 * E5361 * F5361)</f>
      </c>
    </row>
    <row r="5362">
      <c r="A5362" s="2"/>
      <c r="B5362" s="10" t="s">
        <v>207</v>
      </c>
      <c r="C5362" s="19"/>
      <c r="D5362" s="19"/>
      <c r="E5362" s="19"/>
      <c r="F5362" s="19"/>
      <c r="G5362" s="19"/>
    </row>
    <row r="5363">
      <c r="A5363" s="3"/>
      <c r="B5363" s="11" t="s">
        <v>37</v>
      </c>
      <c r="C5363" s="20"/>
      <c r="D5363" s="20"/>
      <c r="E5363" s="20"/>
      <c r="F5363" s="20"/>
      <c r="G5363" s="20"/>
    </row>
    <row r="5364">
      <c r="A5364" s="5" t="s">
        <v>208</v>
      </c>
      <c r="B5364" s="14" t="s">
        <v>39</v>
      </c>
      <c r="C5364" s="22"/>
      <c r="D5364" s="22" t="s">
        <v>10</v>
      </c>
      <c r="E5364" s="22"/>
      <c r="F5364" s="22">
        <f>(0)</f>
      </c>
      <c r="G5364" s="22">
        <f>(C5364 * E5364 + C5364 * E5364 * F5364)</f>
      </c>
    </row>
    <row r="5365">
      <c r="A5365" s="5" t="s">
        <v>209</v>
      </c>
      <c r="B5365" s="14" t="s">
        <v>41</v>
      </c>
      <c r="C5365" s="22"/>
      <c r="D5365" s="22" t="s">
        <v>10</v>
      </c>
      <c r="E5365" s="22"/>
      <c r="F5365" s="22">
        <f>(0)</f>
      </c>
      <c r="G5365" s="22">
        <f>(C5365 * E5365 + C5365 * E5365 * F5365)</f>
      </c>
    </row>
    <row r="5366">
      <c r="A5366" s="3"/>
      <c r="B5366" s="11" t="s">
        <v>42</v>
      </c>
      <c r="C5366" s="20"/>
      <c r="D5366" s="20"/>
      <c r="E5366" s="20"/>
      <c r="F5366" s="20"/>
      <c r="G5366" s="20"/>
    </row>
    <row r="5367">
      <c r="A5367" s="5"/>
      <c r="B5367" s="14" t="s">
        <v>118</v>
      </c>
      <c r="C5367" s="22"/>
      <c r="D5367" s="22" t="s">
        <v>10</v>
      </c>
      <c r="E5367" s="22"/>
      <c r="F5367" s="22">
        <f>(0)</f>
      </c>
      <c r="G5367" s="22">
        <f>(C5367 * E5367 + C5367 * E5367 * F5367)</f>
      </c>
    </row>
    <row r="5368">
      <c r="A5368" s="5"/>
      <c r="B5368" s="14" t="s">
        <v>636</v>
      </c>
      <c r="C5368" s="22"/>
      <c r="D5368" s="22" t="s">
        <v>10</v>
      </c>
      <c r="E5368" s="22"/>
      <c r="F5368" s="22">
        <f>(0)</f>
      </c>
      <c r="G5368" s="22">
        <f>(C5368 * E5368 + C5368 * E5368 * F5368)</f>
      </c>
    </row>
    <row r="5369">
      <c r="A5369" s="5"/>
      <c r="B5369" s="14" t="s">
        <v>210</v>
      </c>
      <c r="C5369" s="22"/>
      <c r="D5369" s="22" t="s">
        <v>10</v>
      </c>
      <c r="E5369" s="22"/>
      <c r="F5369" s="22">
        <f>(0)</f>
      </c>
      <c r="G5369" s="22">
        <f>(C5369 * E5369 + C5369 * E5369 * F5369)</f>
      </c>
    </row>
    <row r="5370">
      <c r="A5370" s="3"/>
      <c r="B5370" s="11" t="s">
        <v>44</v>
      </c>
      <c r="C5370" s="20"/>
      <c r="D5370" s="20"/>
      <c r="E5370" s="20"/>
      <c r="F5370" s="20"/>
      <c r="G5370" s="20"/>
    </row>
    <row r="5371">
      <c r="A5371" s="4"/>
      <c r="B5371" s="12" t="s">
        <v>45</v>
      </c>
      <c r="C5371" s="21"/>
      <c r="D5371" s="21"/>
      <c r="E5371" s="21"/>
      <c r="F5371" s="21"/>
      <c r="G5371" s="21"/>
    </row>
    <row r="5372">
      <c r="A5372" s="5" t="s">
        <v>211</v>
      </c>
      <c r="B5372" s="13" t="s">
        <v>212</v>
      </c>
      <c r="C5372" s="22"/>
      <c r="D5372" s="22" t="s">
        <v>10</v>
      </c>
      <c r="E5372" s="22"/>
      <c r="F5372" s="22">
        <f>(0)</f>
      </c>
      <c r="G5372" s="22">
        <f>(C5372 * E5372 + C5372 * E5372 * F5372)</f>
      </c>
    </row>
    <row r="5373">
      <c r="A5373" s="5" t="s">
        <v>213</v>
      </c>
      <c r="B5373" s="13" t="s">
        <v>214</v>
      </c>
      <c r="C5373" s="22"/>
      <c r="D5373" s="22" t="s">
        <v>10</v>
      </c>
      <c r="E5373" s="22"/>
      <c r="F5373" s="22">
        <f>(0)</f>
      </c>
      <c r="G5373" s="22">
        <f>(C5373 * E5373 + C5373 * E5373 * F5373)</f>
      </c>
    </row>
    <row r="5374">
      <c r="A5374" s="5" t="s">
        <v>215</v>
      </c>
      <c r="B5374" s="13" t="s">
        <v>216</v>
      </c>
      <c r="C5374" s="22"/>
      <c r="D5374" s="22" t="s">
        <v>10</v>
      </c>
      <c r="E5374" s="22"/>
      <c r="F5374" s="22">
        <f>(0)</f>
      </c>
      <c r="G5374" s="22">
        <f>(C5374 * E5374 + C5374 * E5374 * F5374)</f>
      </c>
    </row>
    <row r="5375">
      <c r="A5375" s="5" t="s">
        <v>217</v>
      </c>
      <c r="B5375" s="13" t="s">
        <v>218</v>
      </c>
      <c r="C5375" s="22"/>
      <c r="D5375" s="22" t="s">
        <v>10</v>
      </c>
      <c r="E5375" s="22"/>
      <c r="F5375" s="22">
        <f>(0)</f>
      </c>
      <c r="G5375" s="22">
        <f>(C5375 * E5375 + C5375 * E5375 * F5375)</f>
      </c>
    </row>
    <row r="5376">
      <c r="A5376" s="5" t="s">
        <v>219</v>
      </c>
      <c r="B5376" s="13" t="s">
        <v>220</v>
      </c>
      <c r="C5376" s="22"/>
      <c r="D5376" s="22" t="s">
        <v>10</v>
      </c>
      <c r="E5376" s="22"/>
      <c r="F5376" s="22">
        <f>(0)</f>
      </c>
      <c r="G5376" s="22">
        <f>(C5376 * E5376 + C5376 * E5376 * F5376)</f>
      </c>
    </row>
    <row r="5377">
      <c r="A5377" s="5" t="s">
        <v>221</v>
      </c>
      <c r="B5377" s="13" t="s">
        <v>123</v>
      </c>
      <c r="C5377" s="22"/>
      <c r="D5377" s="22" t="s">
        <v>10</v>
      </c>
      <c r="E5377" s="22"/>
      <c r="F5377" s="22">
        <f>(0)</f>
      </c>
      <c r="G5377" s="22">
        <f>(C5377 * E5377 + C5377 * E5377 * F5377)</f>
      </c>
    </row>
    <row r="5378">
      <c r="A5378" s="3"/>
      <c r="B5378" s="11" t="s">
        <v>68</v>
      </c>
      <c r="C5378" s="20"/>
      <c r="D5378" s="20"/>
      <c r="E5378" s="20"/>
      <c r="F5378" s="20"/>
      <c r="G5378" s="20"/>
    </row>
    <row r="5379">
      <c r="A5379" s="5" t="s">
        <v>222</v>
      </c>
      <c r="B5379" s="14" t="s">
        <v>223</v>
      </c>
      <c r="C5379" s="22">
        <f>(1)*(1)*(1)*(1)*(1 + (0))</f>
      </c>
      <c r="D5379" s="22" t="s">
        <v>71</v>
      </c>
      <c r="E5379" s="22"/>
      <c r="F5379" s="22">
        <f>(0)</f>
      </c>
      <c r="G5379" s="22">
        <f>(C5379 * E5379 + C5379 * E5379 * F5379)</f>
      </c>
    </row>
    <row r="5380">
      <c r="A5380" s="5" t="s">
        <v>224</v>
      </c>
      <c r="B5380" s="14" t="s">
        <v>70</v>
      </c>
      <c r="C5380" s="22">
        <f>(1)*(1)*(1)*(1)*(1 + (0))</f>
      </c>
      <c r="D5380" s="22" t="s">
        <v>71</v>
      </c>
      <c r="E5380" s="22"/>
      <c r="F5380" s="22">
        <f>(0)</f>
      </c>
      <c r="G5380" s="22">
        <f>(C5380 * E5380 + C5380 * E5380 * F5380)</f>
      </c>
    </row>
    <row r="5381">
      <c r="A5381" s="5" t="s">
        <v>225</v>
      </c>
      <c r="B5381" s="14" t="s">
        <v>73</v>
      </c>
      <c r="C5381" s="22">
        <f>(1)*(1)*(1)*(1)*(1 + (0))</f>
      </c>
      <c r="D5381" s="22" t="s">
        <v>71</v>
      </c>
      <c r="E5381" s="22"/>
      <c r="F5381" s="22">
        <f>(0)</f>
      </c>
      <c r="G5381" s="22">
        <f>(C5381 * E5381 + C5381 * E5381 * F5381)</f>
      </c>
    </row>
    <row r="5382">
      <c r="A5382" s="5" t="s">
        <v>226</v>
      </c>
      <c r="B5382" s="14" t="s">
        <v>134</v>
      </c>
      <c r="C5382" s="22">
        <f>(1)*(1)*(1)*(1)*(1 + (0))</f>
      </c>
      <c r="D5382" s="22" t="s">
        <v>71</v>
      </c>
      <c r="E5382" s="22"/>
      <c r="F5382" s="22">
        <f>(0)</f>
      </c>
      <c r="G5382" s="22">
        <f>(C5382 * E5382 + C5382 * E5382 * F5382)</f>
      </c>
    </row>
    <row r="5383">
      <c r="A5383" s="5" t="s">
        <v>227</v>
      </c>
      <c r="B5383" s="14" t="s">
        <v>228</v>
      </c>
      <c r="C5383" s="22">
        <f>(1)*(1)*(1)*(1)*(1 + (0))</f>
      </c>
      <c r="D5383" s="22" t="s">
        <v>71</v>
      </c>
      <c r="E5383" s="22"/>
      <c r="F5383" s="22">
        <f>(0)</f>
      </c>
      <c r="G5383" s="22">
        <f>(C5383 * E5383 + C5383 * E5383 * F5383)</f>
      </c>
    </row>
    <row r="5384">
      <c r="A5384" s="5" t="s">
        <v>229</v>
      </c>
      <c r="B5384" s="14" t="s">
        <v>230</v>
      </c>
      <c r="C5384" s="22">
        <f>(1)*(1)*(1)*(1)*(1 + (0))</f>
      </c>
      <c r="D5384" s="22" t="s">
        <v>71</v>
      </c>
      <c r="E5384" s="22"/>
      <c r="F5384" s="22">
        <f>(0)</f>
      </c>
      <c r="G5384" s="22">
        <f>(C5384 * E5384 + C5384 * E5384 * F5384)</f>
      </c>
    </row>
    <row r="5385">
      <c r="A5385" s="5" t="s">
        <v>231</v>
      </c>
      <c r="B5385" s="14" t="s">
        <v>232</v>
      </c>
      <c r="C5385" s="22">
        <f>(1)*(1)*(1)*(1)*(1 + (0))</f>
      </c>
      <c r="D5385" s="22" t="s">
        <v>71</v>
      </c>
      <c r="E5385" s="22"/>
      <c r="F5385" s="22">
        <f>(0)</f>
      </c>
      <c r="G5385" s="22">
        <f>(C5385 * E5385 + C5385 * E5385 * F5385)</f>
      </c>
    </row>
    <row r="5386">
      <c r="A5386" s="5" t="s">
        <v>233</v>
      </c>
      <c r="B5386" s="14" t="s">
        <v>234</v>
      </c>
      <c r="C5386" s="22">
        <f>(1)*(1)*(1)*(1)*(1 + (0))</f>
      </c>
      <c r="D5386" s="22" t="s">
        <v>71</v>
      </c>
      <c r="E5386" s="22"/>
      <c r="F5386" s="22">
        <f>(0)</f>
      </c>
      <c r="G5386" s="22">
        <f>(C5386 * E5386 + C5386 * E5386 * F5386)</f>
      </c>
    </row>
    <row r="5387">
      <c r="A5387" s="5" t="s">
        <v>235</v>
      </c>
      <c r="B5387" s="14" t="s">
        <v>236</v>
      </c>
      <c r="C5387" s="22">
        <f>(1)*(1)*(1)*(1)*(1 + (0))</f>
      </c>
      <c r="D5387" s="22" t="s">
        <v>71</v>
      </c>
      <c r="E5387" s="22"/>
      <c r="F5387" s="22">
        <f>(0)</f>
      </c>
      <c r="G5387" s="22">
        <f>(C5387 * E5387 + C5387 * E5387 * F5387)</f>
      </c>
    </row>
    <row r="5388">
      <c r="A5388" s="5" t="s">
        <v>237</v>
      </c>
      <c r="B5388" s="14" t="s">
        <v>238</v>
      </c>
      <c r="C5388" s="22">
        <f>(1)*(1)*(1)*(1)*(1 + (0))</f>
      </c>
      <c r="D5388" s="22" t="s">
        <v>71</v>
      </c>
      <c r="E5388" s="22"/>
      <c r="F5388" s="22">
        <f>(0)</f>
      </c>
      <c r="G5388" s="22">
        <f>(C5388 * E5388 + C5388 * E5388 * F5388)</f>
      </c>
    </row>
    <row r="5389">
      <c r="A5389" s="5" t="s">
        <v>239</v>
      </c>
      <c r="B5389" s="14" t="s">
        <v>240</v>
      </c>
      <c r="C5389" s="22">
        <f>(1)*(1)*(1)*(1)*(1 + (0))</f>
      </c>
      <c r="D5389" s="22" t="s">
        <v>71</v>
      </c>
      <c r="E5389" s="22"/>
      <c r="F5389" s="22">
        <f>(0)</f>
      </c>
      <c r="G5389" s="22">
        <f>(C5389 * E5389 + C5389 * E5389 * F5389)</f>
      </c>
    </row>
    <row r="5390">
      <c r="A5390" s="3"/>
      <c r="B5390" s="11" t="s">
        <v>106</v>
      </c>
      <c r="C5390" s="20"/>
      <c r="D5390" s="20"/>
      <c r="E5390" s="20"/>
      <c r="F5390" s="20"/>
      <c r="G5390" s="20"/>
    </row>
    <row r="5391">
      <c r="A5391" s="5"/>
      <c r="B5391" s="14" t="s">
        <v>241</v>
      </c>
      <c r="C5391" s="22"/>
      <c r="D5391" s="22" t="s">
        <v>10</v>
      </c>
      <c r="E5391" s="22"/>
      <c r="F5391" s="22">
        <f>(0)</f>
      </c>
      <c r="G5391" s="22">
        <f>(C5391 * E5391 + C5391 * E5391 * F5391)</f>
      </c>
    </row>
    <row r="5392">
      <c r="A5392" s="3"/>
      <c r="B5392" s="11" t="s">
        <v>242</v>
      </c>
      <c r="C5392" s="20"/>
      <c r="D5392" s="20"/>
      <c r="E5392" s="20"/>
      <c r="F5392" s="20"/>
      <c r="G5392" s="20"/>
    </row>
    <row r="5393">
      <c r="A5393" s="5"/>
      <c r="B5393" s="14" t="s">
        <v>2125</v>
      </c>
      <c r="C5393" s="22">
        <f>(154)*(1)*(1)*(1)*(1 + (0))</f>
      </c>
      <c r="D5393" s="22" t="s">
        <v>111</v>
      </c>
      <c r="E5393" s="22"/>
      <c r="F5393" s="22">
        <f>(0)</f>
      </c>
      <c r="G5393" s="22">
        <f>(C5393 * E5393 + C5393 * E5393 * F5393)</f>
      </c>
    </row>
    <row r="5394">
      <c r="A5394" s="3"/>
      <c r="B5394" s="11" t="s">
        <v>245</v>
      </c>
      <c r="C5394" s="20"/>
      <c r="D5394" s="20"/>
      <c r="E5394" s="20"/>
      <c r="F5394" s="20"/>
      <c r="G5394" s="20"/>
    </row>
    <row r="5395">
      <c r="A5395" s="4"/>
      <c r="B5395" s="12" t="s">
        <v>2126</v>
      </c>
      <c r="C5395" s="21"/>
      <c r="D5395" s="21"/>
      <c r="E5395" s="21"/>
      <c r="F5395" s="21"/>
      <c r="G5395" s="21"/>
    </row>
    <row r="5396">
      <c r="A5396" s="6"/>
      <c r="B5396" s="15" t="s">
        <v>252</v>
      </c>
      <c r="C5396" s="23"/>
      <c r="D5396" s="23"/>
      <c r="E5396" s="23"/>
      <c r="F5396" s="23"/>
      <c r="G5396" s="23"/>
    </row>
    <row r="5397">
      <c r="A5397" s="5"/>
      <c r="B5397" s="16" t="s">
        <v>2127</v>
      </c>
      <c r="C5397" s="22">
        <f>(40)*(1)*(1)*(1)*(1 + (0))</f>
      </c>
      <c r="D5397" s="22" t="s">
        <v>111</v>
      </c>
      <c r="E5397" s="22"/>
      <c r="F5397" s="22">
        <f>(0)</f>
      </c>
      <c r="G5397" s="22">
        <f>(C5397 * E5397 + C5397 * E5397 * F5397)</f>
      </c>
    </row>
    <row r="5398">
      <c r="A5398" s="5"/>
      <c r="B5398" s="16" t="s">
        <v>2128</v>
      </c>
      <c r="C5398" s="22">
        <f>(5)*(1)*(1)*(1)*(1 + (0))</f>
      </c>
      <c r="D5398" s="22" t="s">
        <v>111</v>
      </c>
      <c r="E5398" s="22"/>
      <c r="F5398" s="22">
        <f>(0)</f>
      </c>
      <c r="G5398" s="22">
        <f>(C5398 * E5398 + C5398 * E5398 * F5398)</f>
      </c>
    </row>
    <row r="5399">
      <c r="A5399" s="5"/>
      <c r="B5399" s="16" t="s">
        <v>2129</v>
      </c>
      <c r="C5399" s="22">
        <f>(5)*(1)*(1)*(1)*(1 + (0))</f>
      </c>
      <c r="D5399" s="22" t="s">
        <v>111</v>
      </c>
      <c r="E5399" s="22"/>
      <c r="F5399" s="22">
        <f>(0)</f>
      </c>
      <c r="G5399" s="22">
        <f>(C5399 * E5399 + C5399 * E5399 * F5399)</f>
      </c>
    </row>
    <row r="5400">
      <c r="A5400" s="5"/>
      <c r="B5400" s="16" t="s">
        <v>2130</v>
      </c>
      <c r="C5400" s="22">
        <f>(37)*(1)*(1)*(1)*(1 + (0))</f>
      </c>
      <c r="D5400" s="22" t="s">
        <v>111</v>
      </c>
      <c r="E5400" s="22"/>
      <c r="F5400" s="22">
        <f>(0)</f>
      </c>
      <c r="G5400" s="22">
        <f>(C5400 * E5400 + C5400 * E5400 * F5400)</f>
      </c>
    </row>
    <row r="5401">
      <c r="A5401" s="4"/>
      <c r="B5401" s="12" t="s">
        <v>2131</v>
      </c>
      <c r="C5401" s="21"/>
      <c r="D5401" s="21"/>
      <c r="E5401" s="21"/>
      <c r="F5401" s="21"/>
      <c r="G5401" s="21"/>
    </row>
    <row r="5402">
      <c r="A5402" s="6"/>
      <c r="B5402" s="15" t="s">
        <v>252</v>
      </c>
      <c r="C5402" s="23"/>
      <c r="D5402" s="23"/>
      <c r="E5402" s="23"/>
      <c r="F5402" s="23"/>
      <c r="G5402" s="23"/>
    </row>
    <row r="5403">
      <c r="A5403" s="5"/>
      <c r="B5403" s="16" t="s">
        <v>2132</v>
      </c>
      <c r="C5403" s="22">
        <f>(49)*(1)*(1)*(1)*(1 + (0))</f>
      </c>
      <c r="D5403" s="22" t="s">
        <v>111</v>
      </c>
      <c r="E5403" s="22"/>
      <c r="F5403" s="22">
        <f>(0)</f>
      </c>
      <c r="G5403" s="22">
        <f>(C5403 * E5403 + C5403 * E5403 * F5403)</f>
      </c>
    </row>
    <row r="5404">
      <c r="A5404" s="5"/>
      <c r="B5404" s="16" t="s">
        <v>2133</v>
      </c>
      <c r="C5404" s="22">
        <f>(12)*(1)*(1)*(1)*(1 + (0))</f>
      </c>
      <c r="D5404" s="22" t="s">
        <v>111</v>
      </c>
      <c r="E5404" s="22"/>
      <c r="F5404" s="22">
        <f>(0)</f>
      </c>
      <c r="G5404" s="22">
        <f>(C5404 * E5404 + C5404 * E5404 * F5404)</f>
      </c>
    </row>
    <row r="5405">
      <c r="A5405" s="5"/>
      <c r="B5405" s="16" t="s">
        <v>2134</v>
      </c>
      <c r="C5405" s="22">
        <f>(2)*(1)*(1)*(1)*(1 + (0))</f>
      </c>
      <c r="D5405" s="22" t="s">
        <v>111</v>
      </c>
      <c r="E5405" s="22"/>
      <c r="F5405" s="22">
        <f>(0)</f>
      </c>
      <c r="G5405" s="22">
        <f>(C5405 * E5405 + C5405 * E5405 * F5405)</f>
      </c>
    </row>
    <row r="5406">
      <c r="A5406" s="5"/>
      <c r="B5406" s="16" t="s">
        <v>2135</v>
      </c>
      <c r="C5406" s="22">
        <f>(2)*(1)*(1)*(1)*(1 + (0))</f>
      </c>
      <c r="D5406" s="22" t="s">
        <v>111</v>
      </c>
      <c r="E5406" s="22"/>
      <c r="F5406" s="22">
        <f>(0)</f>
      </c>
      <c r="G5406" s="22">
        <f>(C5406 * E5406 + C5406 * E5406 * F5406)</f>
      </c>
    </row>
    <row r="5407">
      <c r="A5407" s="5"/>
      <c r="B5407" s="16" t="s">
        <v>2136</v>
      </c>
      <c r="C5407" s="22">
        <f>(49)*(1)*(1)*(1)*(1 + (0))</f>
      </c>
      <c r="D5407" s="22" t="s">
        <v>24</v>
      </c>
      <c r="E5407" s="22"/>
      <c r="F5407" s="22">
        <f>(0)</f>
      </c>
      <c r="G5407" s="22">
        <f>(C5407 * E5407 + C5407 * E5407 * F5407)</f>
      </c>
    </row>
    <row r="5408">
      <c r="A5408" s="4"/>
      <c r="B5408" s="12" t="s">
        <v>2137</v>
      </c>
      <c r="C5408" s="21"/>
      <c r="D5408" s="21"/>
      <c r="E5408" s="21"/>
      <c r="F5408" s="21"/>
      <c r="G5408" s="21"/>
    </row>
    <row r="5409">
      <c r="A5409" s="6"/>
      <c r="B5409" s="15" t="s">
        <v>2138</v>
      </c>
      <c r="C5409" s="23"/>
      <c r="D5409" s="23"/>
      <c r="E5409" s="23"/>
      <c r="F5409" s="23"/>
      <c r="G5409" s="23"/>
    </row>
    <row r="5410">
      <c r="A5410" s="5"/>
      <c r="B5410" s="16" t="s">
        <v>2139</v>
      </c>
      <c r="C5410" s="22">
        <f>(2)*(1)*(1)*(1)*(1 + (0))</f>
      </c>
      <c r="D5410" s="22" t="s">
        <v>111</v>
      </c>
      <c r="E5410" s="22"/>
      <c r="F5410" s="22">
        <f>(0)</f>
      </c>
      <c r="G5410" s="22">
        <f>(C5410 * E5410 + C5410 * E5410 * F5410)</f>
      </c>
    </row>
    <row r="5411">
      <c r="A5411" s="3"/>
      <c r="B5411" s="11" t="s">
        <v>325</v>
      </c>
      <c r="C5411" s="20"/>
      <c r="D5411" s="20"/>
      <c r="E5411" s="20"/>
      <c r="F5411" s="20"/>
      <c r="G5411" s="20"/>
    </row>
    <row r="5412">
      <c r="A5412" s="4"/>
      <c r="B5412" s="12" t="s">
        <v>326</v>
      </c>
      <c r="C5412" s="21"/>
      <c r="D5412" s="21"/>
      <c r="E5412" s="21"/>
      <c r="F5412" s="21"/>
      <c r="G5412" s="21"/>
    </row>
    <row r="5413">
      <c r="A5413" s="5"/>
      <c r="B5413" s="13" t="s">
        <v>327</v>
      </c>
      <c r="C5413" s="22">
        <f>(675)*(1)*(1)*(1)*(1 + (0))</f>
      </c>
      <c r="D5413" s="22" t="s">
        <v>24</v>
      </c>
      <c r="E5413" s="22"/>
      <c r="F5413" s="22">
        <f>(0)</f>
      </c>
      <c r="G5413" s="22">
        <f>(C5413 * E5413 + C5413 * E5413 * F5413)</f>
      </c>
    </row>
    <row r="5414">
      <c r="A5414" s="4"/>
      <c r="B5414" s="12" t="s">
        <v>330</v>
      </c>
      <c r="C5414" s="21"/>
      <c r="D5414" s="21"/>
      <c r="E5414" s="21"/>
      <c r="F5414" s="21"/>
      <c r="G5414" s="21"/>
    </row>
    <row r="5415">
      <c r="A5415" s="5"/>
      <c r="B5415" s="13" t="s">
        <v>331</v>
      </c>
      <c r="C5415" s="22">
        <f>(576)*(1)*(1)*(1)*(1 + (0))</f>
      </c>
      <c r="D5415" s="22" t="s">
        <v>24</v>
      </c>
      <c r="E5415" s="22"/>
      <c r="F5415" s="22">
        <f>(0)</f>
      </c>
      <c r="G5415" s="22">
        <f>(C5415 * E5415 + C5415 * E5415 * F5415)</f>
      </c>
    </row>
    <row r="5416">
      <c r="A5416" s="5"/>
      <c r="B5416" s="13" t="s">
        <v>332</v>
      </c>
      <c r="C5416" s="22">
        <f>(100)*(1)*(1)*(1)*(1 + (0))</f>
      </c>
      <c r="D5416" s="22" t="s">
        <v>24</v>
      </c>
      <c r="E5416" s="22"/>
      <c r="F5416" s="22">
        <f>(0)</f>
      </c>
      <c r="G5416" s="22">
        <f>(C5416 * E5416 + C5416 * E5416 * F5416)</f>
      </c>
    </row>
    <row r="5417">
      <c r="A5417" s="3"/>
      <c r="B5417" s="11" t="s">
        <v>344</v>
      </c>
      <c r="C5417" s="20"/>
      <c r="D5417" s="20"/>
      <c r="E5417" s="20"/>
      <c r="F5417" s="20"/>
      <c r="G5417" s="20"/>
    </row>
    <row r="5418">
      <c r="A5418" s="5"/>
      <c r="B5418" s="14" t="s">
        <v>345</v>
      </c>
      <c r="C5418" s="22">
        <f>(12)*(1)*(1)*(1)*(1 + (0))</f>
      </c>
      <c r="D5418" s="22" t="s">
        <v>153</v>
      </c>
      <c r="E5418" s="22"/>
      <c r="F5418" s="22">
        <f>(0)</f>
      </c>
      <c r="G5418" s="22">
        <f>(C5418 * E5418 + C5418 * E5418 * F5418)</f>
      </c>
    </row>
    <row r="5419">
      <c r="A5419" s="5"/>
      <c r="B5419" s="14" t="s">
        <v>1663</v>
      </c>
      <c r="C5419" s="22">
        <f>(23)*(1)*(1)*(1)*(1 + (0))</f>
      </c>
      <c r="D5419" s="22" t="s">
        <v>153</v>
      </c>
      <c r="E5419" s="22"/>
      <c r="F5419" s="22">
        <f>(0)</f>
      </c>
      <c r="G5419" s="22">
        <f>(C5419 * E5419 + C5419 * E5419 * F5419)</f>
      </c>
    </row>
    <row r="5420">
      <c r="A5420" s="3"/>
      <c r="B5420" s="11" t="s">
        <v>347</v>
      </c>
      <c r="C5420" s="20"/>
      <c r="D5420" s="20"/>
      <c r="E5420" s="20"/>
      <c r="F5420" s="20"/>
      <c r="G5420" s="20"/>
    </row>
    <row r="5421">
      <c r="A5421" s="5"/>
      <c r="B5421" s="14" t="s">
        <v>1866</v>
      </c>
      <c r="C5421" s="22">
        <f>(675)*(1)*(1)*(1)*(1 + (0))</f>
      </c>
      <c r="D5421" s="22" t="s">
        <v>24</v>
      </c>
      <c r="E5421" s="22"/>
      <c r="F5421" s="22">
        <f>(0)</f>
      </c>
      <c r="G5421" s="22">
        <f>(C5421 * E5421 + C5421 * E5421 * F5421)</f>
      </c>
    </row>
    <row r="5422">
      <c r="A5422" s="5"/>
      <c r="B5422" s="14" t="s">
        <v>349</v>
      </c>
      <c r="C5422" s="22">
        <f>(906)*(1)*(1)*(1)*(1 + (0))</f>
      </c>
      <c r="D5422" s="22" t="s">
        <v>24</v>
      </c>
      <c r="E5422" s="22"/>
      <c r="F5422" s="22">
        <f>(0)</f>
      </c>
      <c r="G5422" s="22">
        <f>(C5422 * E5422 + C5422 * E5422 * F5422)</f>
      </c>
    </row>
    <row r="5423">
      <c r="A5423" s="2"/>
      <c r="B5423" s="10" t="s">
        <v>350</v>
      </c>
      <c r="C5423" s="19"/>
      <c r="D5423" s="19"/>
      <c r="E5423" s="19"/>
      <c r="F5423" s="19"/>
      <c r="G5423" s="19"/>
    </row>
    <row r="5424">
      <c r="A5424" s="3"/>
      <c r="B5424" s="11" t="s">
        <v>37</v>
      </c>
      <c r="C5424" s="20"/>
      <c r="D5424" s="20"/>
      <c r="E5424" s="20"/>
      <c r="F5424" s="20"/>
      <c r="G5424" s="20"/>
    </row>
    <row r="5425">
      <c r="A5425" s="5" t="s">
        <v>351</v>
      </c>
      <c r="B5425" s="14" t="s">
        <v>39</v>
      </c>
      <c r="C5425" s="22"/>
      <c r="D5425" s="22" t="s">
        <v>10</v>
      </c>
      <c r="E5425" s="22"/>
      <c r="F5425" s="22">
        <f>(0)</f>
      </c>
      <c r="G5425" s="22">
        <f>(C5425 * E5425 + C5425 * E5425 * F5425)</f>
      </c>
    </row>
    <row r="5426">
      <c r="A5426" s="5" t="s">
        <v>352</v>
      </c>
      <c r="B5426" s="14" t="s">
        <v>41</v>
      </c>
      <c r="C5426" s="22"/>
      <c r="D5426" s="22" t="s">
        <v>10</v>
      </c>
      <c r="E5426" s="22"/>
      <c r="F5426" s="22">
        <f>(0)</f>
      </c>
      <c r="G5426" s="22">
        <f>(C5426 * E5426 + C5426 * E5426 * F5426)</f>
      </c>
    </row>
    <row r="5427">
      <c r="A5427" s="3"/>
      <c r="B5427" s="11" t="s">
        <v>42</v>
      </c>
      <c r="C5427" s="20"/>
      <c r="D5427" s="20"/>
      <c r="E5427" s="20"/>
      <c r="F5427" s="20"/>
      <c r="G5427" s="20"/>
    </row>
    <row r="5428">
      <c r="A5428" s="5"/>
      <c r="B5428" s="14" t="s">
        <v>118</v>
      </c>
      <c r="C5428" s="22"/>
      <c r="D5428" s="22" t="s">
        <v>10</v>
      </c>
      <c r="E5428" s="22"/>
      <c r="F5428" s="22">
        <f>(0)</f>
      </c>
      <c r="G5428" s="22">
        <f>(C5428 * E5428 + C5428 * E5428 * F5428)</f>
      </c>
    </row>
    <row r="5429">
      <c r="A5429" s="5"/>
      <c r="B5429" s="14" t="s">
        <v>636</v>
      </c>
      <c r="C5429" s="22"/>
      <c r="D5429" s="22" t="s">
        <v>10</v>
      </c>
      <c r="E5429" s="22"/>
      <c r="F5429" s="22">
        <f>(0)</f>
      </c>
      <c r="G5429" s="22">
        <f>(C5429 * E5429 + C5429 * E5429 * F5429)</f>
      </c>
    </row>
    <row r="5430">
      <c r="A5430" s="5"/>
      <c r="B5430" s="14" t="s">
        <v>210</v>
      </c>
      <c r="C5430" s="22"/>
      <c r="D5430" s="22" t="s">
        <v>10</v>
      </c>
      <c r="E5430" s="22"/>
      <c r="F5430" s="22">
        <f>(0)</f>
      </c>
      <c r="G5430" s="22">
        <f>(C5430 * E5430 + C5430 * E5430 * F5430)</f>
      </c>
    </row>
    <row r="5431">
      <c r="A5431" s="3"/>
      <c r="B5431" s="11" t="s">
        <v>44</v>
      </c>
      <c r="C5431" s="20"/>
      <c r="D5431" s="20"/>
      <c r="E5431" s="20"/>
      <c r="F5431" s="20"/>
      <c r="G5431" s="20"/>
    </row>
    <row r="5432">
      <c r="A5432" s="4"/>
      <c r="B5432" s="12" t="s">
        <v>45</v>
      </c>
      <c r="C5432" s="21"/>
      <c r="D5432" s="21"/>
      <c r="E5432" s="21"/>
      <c r="F5432" s="21"/>
      <c r="G5432" s="21"/>
    </row>
    <row r="5433">
      <c r="A5433" s="5" t="s">
        <v>353</v>
      </c>
      <c r="B5433" s="13" t="s">
        <v>354</v>
      </c>
      <c r="C5433" s="22"/>
      <c r="D5433" s="22" t="s">
        <v>10</v>
      </c>
      <c r="E5433" s="22"/>
      <c r="F5433" s="22">
        <f>(0)</f>
      </c>
      <c r="G5433" s="22">
        <f>(C5433 * E5433 + C5433 * E5433 * F5433)</f>
      </c>
    </row>
    <row r="5434">
      <c r="A5434" s="5" t="s">
        <v>355</v>
      </c>
      <c r="B5434" s="13" t="s">
        <v>356</v>
      </c>
      <c r="C5434" s="22"/>
      <c r="D5434" s="22" t="s">
        <v>10</v>
      </c>
      <c r="E5434" s="22"/>
      <c r="F5434" s="22">
        <f>(0)</f>
      </c>
      <c r="G5434" s="22">
        <f>(C5434 * E5434 + C5434 * E5434 * F5434)</f>
      </c>
    </row>
    <row r="5435">
      <c r="A5435" s="5" t="s">
        <v>357</v>
      </c>
      <c r="B5435" s="13" t="s">
        <v>358</v>
      </c>
      <c r="C5435" s="22"/>
      <c r="D5435" s="22" t="s">
        <v>10</v>
      </c>
      <c r="E5435" s="22"/>
      <c r="F5435" s="22">
        <f>(0)</f>
      </c>
      <c r="G5435" s="22">
        <f>(C5435 * E5435 + C5435 * E5435 * F5435)</f>
      </c>
    </row>
    <row r="5436">
      <c r="A5436" s="5" t="s">
        <v>359</v>
      </c>
      <c r="B5436" s="13" t="s">
        <v>360</v>
      </c>
      <c r="C5436" s="22"/>
      <c r="D5436" s="22" t="s">
        <v>10</v>
      </c>
      <c r="E5436" s="22"/>
      <c r="F5436" s="22">
        <f>(0)</f>
      </c>
      <c r="G5436" s="22">
        <f>(C5436 * E5436 + C5436 * E5436 * F5436)</f>
      </c>
    </row>
    <row r="5437">
      <c r="A5437" s="5" t="s">
        <v>361</v>
      </c>
      <c r="B5437" s="13" t="s">
        <v>362</v>
      </c>
      <c r="C5437" s="22"/>
      <c r="D5437" s="22" t="s">
        <v>10</v>
      </c>
      <c r="E5437" s="22"/>
      <c r="F5437" s="22">
        <f>(0)</f>
      </c>
      <c r="G5437" s="22">
        <f>(C5437 * E5437 + C5437 * E5437 * F5437)</f>
      </c>
    </row>
    <row r="5438">
      <c r="A5438" s="5" t="s">
        <v>363</v>
      </c>
      <c r="B5438" s="13" t="s">
        <v>364</v>
      </c>
      <c r="C5438" s="22"/>
      <c r="D5438" s="22" t="s">
        <v>10</v>
      </c>
      <c r="E5438" s="22"/>
      <c r="F5438" s="22">
        <f>(0)</f>
      </c>
      <c r="G5438" s="22">
        <f>(C5438 * E5438 + C5438 * E5438 * F5438)</f>
      </c>
    </row>
    <row r="5439">
      <c r="A5439" s="5" t="s">
        <v>365</v>
      </c>
      <c r="B5439" s="13" t="s">
        <v>366</v>
      </c>
      <c r="C5439" s="22"/>
      <c r="D5439" s="22" t="s">
        <v>10</v>
      </c>
      <c r="E5439" s="22"/>
      <c r="F5439" s="22">
        <f>(0)</f>
      </c>
      <c r="G5439" s="22">
        <f>(C5439 * E5439 + C5439 * E5439 * F5439)</f>
      </c>
    </row>
    <row r="5440">
      <c r="A5440" s="5" t="s">
        <v>367</v>
      </c>
      <c r="B5440" s="13" t="s">
        <v>368</v>
      </c>
      <c r="C5440" s="22"/>
      <c r="D5440" s="22" t="s">
        <v>10</v>
      </c>
      <c r="E5440" s="22"/>
      <c r="F5440" s="22">
        <f>(0)</f>
      </c>
      <c r="G5440" s="22">
        <f>(C5440 * E5440 + C5440 * E5440 * F5440)</f>
      </c>
    </row>
    <row r="5441">
      <c r="A5441" s="5" t="s">
        <v>369</v>
      </c>
      <c r="B5441" s="13" t="s">
        <v>370</v>
      </c>
      <c r="C5441" s="22"/>
      <c r="D5441" s="22" t="s">
        <v>10</v>
      </c>
      <c r="E5441" s="22"/>
      <c r="F5441" s="22">
        <f>(0)</f>
      </c>
      <c r="G5441" s="22">
        <f>(C5441 * E5441 + C5441 * E5441 * F5441)</f>
      </c>
    </row>
    <row r="5442">
      <c r="A5442" s="5" t="s">
        <v>371</v>
      </c>
      <c r="B5442" s="13" t="s">
        <v>123</v>
      </c>
      <c r="C5442" s="22"/>
      <c r="D5442" s="22" t="s">
        <v>10</v>
      </c>
      <c r="E5442" s="22"/>
      <c r="F5442" s="22">
        <f>(0)</f>
      </c>
      <c r="G5442" s="22">
        <f>(C5442 * E5442 + C5442 * E5442 * F5442)</f>
      </c>
    </row>
    <row r="5443">
      <c r="A5443" s="3"/>
      <c r="B5443" s="11" t="s">
        <v>68</v>
      </c>
      <c r="C5443" s="20"/>
      <c r="D5443" s="20"/>
      <c r="E5443" s="20"/>
      <c r="F5443" s="20"/>
      <c r="G5443" s="20"/>
    </row>
    <row r="5444">
      <c r="A5444" s="5" t="s">
        <v>372</v>
      </c>
      <c r="B5444" s="14" t="s">
        <v>70</v>
      </c>
      <c r="C5444" s="22">
        <f>(1)*(1)*(1)*(1)*(1 + (0))</f>
      </c>
      <c r="D5444" s="22" t="s">
        <v>71</v>
      </c>
      <c r="E5444" s="22"/>
      <c r="F5444" s="22">
        <f>(0)</f>
      </c>
      <c r="G5444" s="22">
        <f>(C5444 * E5444 + C5444 * E5444 * F5444)</f>
      </c>
    </row>
    <row r="5445">
      <c r="A5445" s="5" t="s">
        <v>373</v>
      </c>
      <c r="B5445" s="14" t="s">
        <v>73</v>
      </c>
      <c r="C5445" s="22">
        <f>(1)*(1)*(1)*(1)*(1 + (0))</f>
      </c>
      <c r="D5445" s="22" t="s">
        <v>71</v>
      </c>
      <c r="E5445" s="22"/>
      <c r="F5445" s="22">
        <f>(0)</f>
      </c>
      <c r="G5445" s="22">
        <f>(C5445 * E5445 + C5445 * E5445 * F5445)</f>
      </c>
    </row>
    <row r="5446">
      <c r="A5446" s="5" t="s">
        <v>374</v>
      </c>
      <c r="B5446" s="14" t="s">
        <v>79</v>
      </c>
      <c r="C5446" s="22">
        <f>(1)*(1)*(1)*(1)*(1 + (0))</f>
      </c>
      <c r="D5446" s="22" t="s">
        <v>71</v>
      </c>
      <c r="E5446" s="22"/>
      <c r="F5446" s="22">
        <f>(0)</f>
      </c>
      <c r="G5446" s="22">
        <f>(C5446 * E5446 + C5446 * E5446 * F5446)</f>
      </c>
    </row>
    <row r="5447">
      <c r="A5447" s="5" t="s">
        <v>375</v>
      </c>
      <c r="B5447" s="14" t="s">
        <v>376</v>
      </c>
      <c r="C5447" s="22">
        <f>(1)*(1)*(1)*(1)*(1 + (0))</f>
      </c>
      <c r="D5447" s="22" t="s">
        <v>71</v>
      </c>
      <c r="E5447" s="22"/>
      <c r="F5447" s="22">
        <f>(0)</f>
      </c>
      <c r="G5447" s="22">
        <f>(C5447 * E5447 + C5447 * E5447 * F5447)</f>
      </c>
    </row>
    <row r="5448">
      <c r="A5448" s="5" t="s">
        <v>377</v>
      </c>
      <c r="B5448" s="14" t="s">
        <v>378</v>
      </c>
      <c r="C5448" s="22">
        <f>(1)*(1)*(1)*(1)*(1 + (0))</f>
      </c>
      <c r="D5448" s="22" t="s">
        <v>71</v>
      </c>
      <c r="E5448" s="22"/>
      <c r="F5448" s="22">
        <f>(0)</f>
      </c>
      <c r="G5448" s="22">
        <f>(C5448 * E5448 + C5448 * E5448 * F5448)</f>
      </c>
    </row>
    <row r="5449">
      <c r="A5449" s="3"/>
      <c r="B5449" s="11" t="s">
        <v>106</v>
      </c>
      <c r="C5449" s="20"/>
      <c r="D5449" s="20"/>
      <c r="E5449" s="20"/>
      <c r="F5449" s="20"/>
      <c r="G5449" s="20"/>
    </row>
    <row r="5450">
      <c r="A5450" s="5"/>
      <c r="B5450" s="14" t="s">
        <v>379</v>
      </c>
      <c r="C5450" s="22"/>
      <c r="D5450" s="22" t="s">
        <v>10</v>
      </c>
      <c r="E5450" s="22"/>
      <c r="F5450" s="22">
        <f>(0)</f>
      </c>
      <c r="G5450" s="22">
        <f>(C5450 * E5450 + C5450 * E5450 * F5450)</f>
      </c>
    </row>
    <row r="5451">
      <c r="A5451" s="5"/>
      <c r="B5451" s="14" t="s">
        <v>380</v>
      </c>
      <c r="C5451" s="22"/>
      <c r="D5451" s="22" t="s">
        <v>10</v>
      </c>
      <c r="E5451" s="22"/>
      <c r="F5451" s="22">
        <f>(0)</f>
      </c>
      <c r="G5451" s="22">
        <f>(C5451 * E5451 + C5451 * E5451 * F5451)</f>
      </c>
    </row>
    <row r="5452">
      <c r="A5452" s="3"/>
      <c r="B5452" s="11" t="s">
        <v>381</v>
      </c>
      <c r="C5452" s="20"/>
      <c r="D5452" s="20"/>
      <c r="E5452" s="20"/>
      <c r="F5452" s="20"/>
      <c r="G5452" s="20"/>
    </row>
    <row r="5453">
      <c r="A5453" s="4"/>
      <c r="B5453" s="12" t="s">
        <v>397</v>
      </c>
      <c r="C5453" s="21"/>
      <c r="D5453" s="21"/>
      <c r="E5453" s="21"/>
      <c r="F5453" s="21"/>
      <c r="G5453" s="21"/>
    </row>
    <row r="5454">
      <c r="A5454" s="6"/>
      <c r="B5454" s="15" t="s">
        <v>2138</v>
      </c>
      <c r="C5454" s="23"/>
      <c r="D5454" s="23"/>
      <c r="E5454" s="23"/>
      <c r="F5454" s="23"/>
      <c r="G5454" s="23"/>
    </row>
    <row r="5455">
      <c r="A5455" s="5"/>
      <c r="B5455" s="16" t="s">
        <v>398</v>
      </c>
      <c r="C5455" s="22">
        <f>(158)*(1)*(1)*(1)*(1 + (0))</f>
      </c>
      <c r="D5455" s="22" t="s">
        <v>153</v>
      </c>
      <c r="E5455" s="22"/>
      <c r="F5455" s="22">
        <f>(0)</f>
      </c>
      <c r="G5455" s="22">
        <f>(C5455 * E5455 + C5455 * E5455 * F5455)</f>
      </c>
    </row>
    <row r="5456">
      <c r="A5456" s="3"/>
      <c r="B5456" s="11" t="s">
        <v>399</v>
      </c>
      <c r="C5456" s="20"/>
      <c r="D5456" s="20"/>
      <c r="E5456" s="20"/>
      <c r="F5456" s="20"/>
      <c r="G5456" s="20"/>
    </row>
    <row r="5457">
      <c r="A5457" s="4"/>
      <c r="B5457" s="12" t="s">
        <v>408</v>
      </c>
      <c r="C5457" s="21"/>
      <c r="D5457" s="21"/>
      <c r="E5457" s="21"/>
      <c r="F5457" s="21"/>
      <c r="G5457" s="21"/>
    </row>
    <row r="5458">
      <c r="A5458" s="6"/>
      <c r="B5458" s="15" t="s">
        <v>252</v>
      </c>
      <c r="C5458" s="23"/>
      <c r="D5458" s="23"/>
      <c r="E5458" s="23"/>
      <c r="F5458" s="23"/>
      <c r="G5458" s="23"/>
    </row>
    <row r="5459">
      <c r="A5459" s="5"/>
      <c r="B5459" s="16" t="s">
        <v>1671</v>
      </c>
      <c r="C5459" s="22">
        <f>(225)*(1)*(1)*(1)*(1 + (0))</f>
      </c>
      <c r="D5459" s="22" t="s">
        <v>24</v>
      </c>
      <c r="E5459" s="22"/>
      <c r="F5459" s="22">
        <f>(0)</f>
      </c>
      <c r="G5459" s="22">
        <f>(C5459 * E5459 + C5459 * E5459 * F5459)</f>
      </c>
    </row>
    <row r="5460">
      <c r="A5460" s="4"/>
      <c r="B5460" s="12" t="s">
        <v>411</v>
      </c>
      <c r="C5460" s="21"/>
      <c r="D5460" s="21"/>
      <c r="E5460" s="21"/>
      <c r="F5460" s="21"/>
      <c r="G5460" s="21"/>
    </row>
    <row r="5461">
      <c r="A5461" s="6"/>
      <c r="B5461" s="15" t="s">
        <v>252</v>
      </c>
      <c r="C5461" s="23"/>
      <c r="D5461" s="23"/>
      <c r="E5461" s="23"/>
      <c r="F5461" s="23"/>
      <c r="G5461" s="23"/>
    </row>
    <row r="5462">
      <c r="A5462" s="5"/>
      <c r="B5462" s="16" t="s">
        <v>413</v>
      </c>
      <c r="C5462" s="22">
        <f>(179)*(1)*(1)*(1)*(1 + (0))</f>
      </c>
      <c r="D5462" s="22" t="s">
        <v>153</v>
      </c>
      <c r="E5462" s="22"/>
      <c r="F5462" s="22">
        <f>(0)</f>
      </c>
      <c r="G5462" s="22">
        <f>(C5462 * E5462 + C5462 * E5462 * F5462)</f>
      </c>
    </row>
    <row r="5463">
      <c r="A5463" s="5"/>
      <c r="B5463" s="16" t="s">
        <v>414</v>
      </c>
      <c r="C5463" s="22">
        <f>(68)*(1)*(1)*(1)*(1 + (0))</f>
      </c>
      <c r="D5463" s="22" t="s">
        <v>153</v>
      </c>
      <c r="E5463" s="22"/>
      <c r="F5463" s="22">
        <f>(0)</f>
      </c>
      <c r="G5463" s="22">
        <f>(C5463 * E5463 + C5463 * E5463 * F5463)</f>
      </c>
    </row>
    <row r="5464">
      <c r="A5464" s="5"/>
      <c r="B5464" s="16" t="s">
        <v>2140</v>
      </c>
      <c r="C5464" s="22">
        <f>(526)*(1)*(1)*(1)*(1 + (0))</f>
      </c>
      <c r="D5464" s="22" t="s">
        <v>24</v>
      </c>
      <c r="E5464" s="22"/>
      <c r="F5464" s="22">
        <f>(0)</f>
      </c>
      <c r="G5464" s="22">
        <f>(C5464 * E5464 + C5464 * E5464 * F5464)</f>
      </c>
    </row>
    <row r="5465">
      <c r="A5465" s="5"/>
      <c r="B5465" s="16" t="s">
        <v>2141</v>
      </c>
      <c r="C5465" s="22">
        <f>(102)*(1)*(1)*(1)*(1 + (0))</f>
      </c>
      <c r="D5465" s="22" t="s">
        <v>24</v>
      </c>
      <c r="E5465" s="22"/>
      <c r="F5465" s="22">
        <f>(0)</f>
      </c>
      <c r="G5465" s="22">
        <f>(C5465 * E5465 + C5465 * E5465 * F5465)</f>
      </c>
    </row>
    <row r="5466">
      <c r="A5466" s="2"/>
      <c r="B5466" s="10" t="s">
        <v>178</v>
      </c>
      <c r="C5466" s="19"/>
      <c r="D5466" s="19"/>
      <c r="E5466" s="19"/>
      <c r="F5466" s="19"/>
      <c r="G5466" s="19"/>
    </row>
    <row r="5467">
      <c r="A5467" s="3"/>
      <c r="B5467" s="11" t="s">
        <v>37</v>
      </c>
      <c r="C5467" s="20"/>
      <c r="D5467" s="20"/>
      <c r="E5467" s="20"/>
      <c r="F5467" s="20"/>
      <c r="G5467" s="20"/>
    </row>
    <row r="5468">
      <c r="A5468" s="5" t="s">
        <v>431</v>
      </c>
      <c r="B5468" s="14" t="s">
        <v>39</v>
      </c>
      <c r="C5468" s="22"/>
      <c r="D5468" s="22" t="s">
        <v>10</v>
      </c>
      <c r="E5468" s="22"/>
      <c r="F5468" s="22">
        <f>(0)</f>
      </c>
      <c r="G5468" s="22">
        <f>(C5468 * E5468 + C5468 * E5468 * F5468)</f>
      </c>
    </row>
    <row r="5469">
      <c r="A5469" s="5" t="s">
        <v>432</v>
      </c>
      <c r="B5469" s="14" t="s">
        <v>41</v>
      </c>
      <c r="C5469" s="22"/>
      <c r="D5469" s="22" t="s">
        <v>10</v>
      </c>
      <c r="E5469" s="22"/>
      <c r="F5469" s="22">
        <f>(0)</f>
      </c>
      <c r="G5469" s="22">
        <f>(C5469 * E5469 + C5469 * E5469 * F5469)</f>
      </c>
    </row>
    <row r="5470">
      <c r="A5470" s="3"/>
      <c r="B5470" s="11" t="s">
        <v>42</v>
      </c>
      <c r="C5470" s="20"/>
      <c r="D5470" s="20"/>
      <c r="E5470" s="20"/>
      <c r="F5470" s="20"/>
      <c r="G5470" s="20"/>
    </row>
    <row r="5471">
      <c r="A5471" s="5"/>
      <c r="B5471" s="14" t="s">
        <v>118</v>
      </c>
      <c r="C5471" s="22"/>
      <c r="D5471" s="22" t="s">
        <v>10</v>
      </c>
      <c r="E5471" s="22"/>
      <c r="F5471" s="22">
        <f>(0)</f>
      </c>
      <c r="G5471" s="22">
        <f>(C5471 * E5471 + C5471 * E5471 * F5471)</f>
      </c>
    </row>
    <row r="5472">
      <c r="A5472" s="5"/>
      <c r="B5472" s="14" t="s">
        <v>636</v>
      </c>
      <c r="C5472" s="22"/>
      <c r="D5472" s="22" t="s">
        <v>10</v>
      </c>
      <c r="E5472" s="22"/>
      <c r="F5472" s="22">
        <f>(0)</f>
      </c>
      <c r="G5472" s="22">
        <f>(C5472 * E5472 + C5472 * E5472 * F5472)</f>
      </c>
    </row>
    <row r="5473">
      <c r="A5473" s="5"/>
      <c r="B5473" s="14" t="s">
        <v>210</v>
      </c>
      <c r="C5473" s="22"/>
      <c r="D5473" s="22" t="s">
        <v>10</v>
      </c>
      <c r="E5473" s="22"/>
      <c r="F5473" s="22">
        <f>(0)</f>
      </c>
      <c r="G5473" s="22">
        <f>(C5473 * E5473 + C5473 * E5473 * F5473)</f>
      </c>
    </row>
    <row r="5474">
      <c r="A5474" s="3"/>
      <c r="B5474" s="11" t="s">
        <v>44</v>
      </c>
      <c r="C5474" s="20"/>
      <c r="D5474" s="20"/>
      <c r="E5474" s="20"/>
      <c r="F5474" s="20"/>
      <c r="G5474" s="20"/>
    </row>
    <row r="5475">
      <c r="A5475" s="4"/>
      <c r="B5475" s="12" t="s">
        <v>45</v>
      </c>
      <c r="C5475" s="21"/>
      <c r="D5475" s="21"/>
      <c r="E5475" s="21"/>
      <c r="F5475" s="21"/>
      <c r="G5475" s="21"/>
    </row>
    <row r="5476">
      <c r="A5476" s="5" t="s">
        <v>433</v>
      </c>
      <c r="B5476" s="13" t="s">
        <v>434</v>
      </c>
      <c r="C5476" s="22"/>
      <c r="D5476" s="22" t="s">
        <v>10</v>
      </c>
      <c r="E5476" s="22"/>
      <c r="F5476" s="22">
        <f>(0)</f>
      </c>
      <c r="G5476" s="22">
        <f>(C5476 * E5476 + C5476 * E5476 * F5476)</f>
      </c>
    </row>
    <row r="5477">
      <c r="A5477" s="5" t="s">
        <v>435</v>
      </c>
      <c r="B5477" s="13" t="s">
        <v>436</v>
      </c>
      <c r="C5477" s="22"/>
      <c r="D5477" s="22" t="s">
        <v>10</v>
      </c>
      <c r="E5477" s="22"/>
      <c r="F5477" s="22">
        <f>(0)</f>
      </c>
      <c r="G5477" s="22">
        <f>(C5477 * E5477 + C5477 * E5477 * F5477)</f>
      </c>
    </row>
    <row r="5478">
      <c r="A5478" s="5" t="s">
        <v>437</v>
      </c>
      <c r="B5478" s="13" t="s">
        <v>438</v>
      </c>
      <c r="C5478" s="22"/>
      <c r="D5478" s="22" t="s">
        <v>10</v>
      </c>
      <c r="E5478" s="22"/>
      <c r="F5478" s="22">
        <f>(0)</f>
      </c>
      <c r="G5478" s="22">
        <f>(C5478 * E5478 + C5478 * E5478 * F5478)</f>
      </c>
    </row>
    <row r="5479">
      <c r="A5479" s="5" t="s">
        <v>439</v>
      </c>
      <c r="B5479" s="13" t="s">
        <v>440</v>
      </c>
      <c r="C5479" s="22"/>
      <c r="D5479" s="22" t="s">
        <v>10</v>
      </c>
      <c r="E5479" s="22"/>
      <c r="F5479" s="22">
        <f>(0)</f>
      </c>
      <c r="G5479" s="22">
        <f>(C5479 * E5479 + C5479 * E5479 * F5479)</f>
      </c>
    </row>
    <row r="5480">
      <c r="A5480" s="5" t="s">
        <v>441</v>
      </c>
      <c r="B5480" s="13" t="s">
        <v>123</v>
      </c>
      <c r="C5480" s="22"/>
      <c r="D5480" s="22" t="s">
        <v>10</v>
      </c>
      <c r="E5480" s="22"/>
      <c r="F5480" s="22">
        <f>(0)</f>
      </c>
      <c r="G5480" s="22">
        <f>(C5480 * E5480 + C5480 * E5480 * F5480)</f>
      </c>
    </row>
    <row r="5481">
      <c r="A5481" s="3"/>
      <c r="B5481" s="11" t="s">
        <v>68</v>
      </c>
      <c r="C5481" s="20"/>
      <c r="D5481" s="20"/>
      <c r="E5481" s="20"/>
      <c r="F5481" s="20"/>
      <c r="G5481" s="20"/>
    </row>
    <row r="5482">
      <c r="A5482" s="5" t="s">
        <v>442</v>
      </c>
      <c r="B5482" s="14" t="s">
        <v>70</v>
      </c>
      <c r="C5482" s="22">
        <f>(1)*(1)*(1)*(1)*(1 + (0))</f>
      </c>
      <c r="D5482" s="22" t="s">
        <v>71</v>
      </c>
      <c r="E5482" s="22"/>
      <c r="F5482" s="22">
        <f>(0)</f>
      </c>
      <c r="G5482" s="22">
        <f>(C5482 * E5482 + C5482 * E5482 * F5482)</f>
      </c>
    </row>
    <row r="5483">
      <c r="A5483" s="5" t="s">
        <v>443</v>
      </c>
      <c r="B5483" s="14" t="s">
        <v>73</v>
      </c>
      <c r="C5483" s="22">
        <f>(1)*(1)*(1)*(1)*(1 + (0))</f>
      </c>
      <c r="D5483" s="22" t="s">
        <v>71</v>
      </c>
      <c r="E5483" s="22"/>
      <c r="F5483" s="22">
        <f>(0)</f>
      </c>
      <c r="G5483" s="22">
        <f>(C5483 * E5483 + C5483 * E5483 * F5483)</f>
      </c>
    </row>
    <row r="5484">
      <c r="A5484" s="5" t="s">
        <v>444</v>
      </c>
      <c r="B5484" s="14" t="s">
        <v>445</v>
      </c>
      <c r="C5484" s="22">
        <f>(1)*(1)*(1)*(1)*(1 + (0))</f>
      </c>
      <c r="D5484" s="22" t="s">
        <v>71</v>
      </c>
      <c r="E5484" s="22"/>
      <c r="F5484" s="22">
        <f>(0)</f>
      </c>
      <c r="G5484" s="22">
        <f>(C5484 * E5484 + C5484 * E5484 * F5484)</f>
      </c>
    </row>
    <row r="5485">
      <c r="A5485" s="5" t="s">
        <v>446</v>
      </c>
      <c r="B5485" s="14" t="s">
        <v>447</v>
      </c>
      <c r="C5485" s="22">
        <f>(1)*(1)*(1)*(1)*(1 + (0))</f>
      </c>
      <c r="D5485" s="22" t="s">
        <v>71</v>
      </c>
      <c r="E5485" s="22"/>
      <c r="F5485" s="22">
        <f>(0)</f>
      </c>
      <c r="G5485" s="22">
        <f>(C5485 * E5485 + C5485 * E5485 * F5485)</f>
      </c>
    </row>
    <row r="5486">
      <c r="A5486" s="5" t="s">
        <v>448</v>
      </c>
      <c r="B5486" s="14" t="s">
        <v>449</v>
      </c>
      <c r="C5486" s="22">
        <f>(1)*(1)*(1)*(1)*(1 + (0))</f>
      </c>
      <c r="D5486" s="22" t="s">
        <v>71</v>
      </c>
      <c r="E5486" s="22"/>
      <c r="F5486" s="22">
        <f>(0)</f>
      </c>
      <c r="G5486" s="22">
        <f>(C5486 * E5486 + C5486 * E5486 * F5486)</f>
      </c>
    </row>
    <row r="5487">
      <c r="A5487" s="5" t="s">
        <v>450</v>
      </c>
      <c r="B5487" s="14" t="s">
        <v>451</v>
      </c>
      <c r="C5487" s="22">
        <f>(1)*(1)*(1)*(1)*(1 + (0))</f>
      </c>
      <c r="D5487" s="22" t="s">
        <v>71</v>
      </c>
      <c r="E5487" s="22"/>
      <c r="F5487" s="22">
        <f>(0)</f>
      </c>
      <c r="G5487" s="22">
        <f>(C5487 * E5487 + C5487 * E5487 * F5487)</f>
      </c>
    </row>
    <row r="5488">
      <c r="A5488" s="3"/>
      <c r="B5488" s="11" t="s">
        <v>106</v>
      </c>
      <c r="C5488" s="20"/>
      <c r="D5488" s="20"/>
      <c r="E5488" s="20"/>
      <c r="F5488" s="20"/>
      <c r="G5488" s="20"/>
    </row>
    <row r="5489">
      <c r="A5489" s="5"/>
      <c r="B5489" s="14" t="s">
        <v>452</v>
      </c>
      <c r="C5489" s="22"/>
      <c r="D5489" s="22" t="s">
        <v>10</v>
      </c>
      <c r="E5489" s="22"/>
      <c r="F5489" s="22">
        <f>(0)</f>
      </c>
      <c r="G5489" s="22">
        <f>(C5489 * E5489 + C5489 * E5489 * F5489)</f>
      </c>
    </row>
    <row r="5490">
      <c r="A5490" s="3"/>
      <c r="B5490" s="11" t="s">
        <v>453</v>
      </c>
      <c r="C5490" s="20"/>
      <c r="D5490" s="20"/>
      <c r="E5490" s="20"/>
      <c r="F5490" s="20"/>
      <c r="G5490" s="20"/>
    </row>
    <row r="5491">
      <c r="A5491" s="5"/>
      <c r="B5491" s="14" t="s">
        <v>454</v>
      </c>
      <c r="C5491" s="22">
        <f>(3.22)*(1)*(1)*(1)*(1 + (0))</f>
      </c>
      <c r="D5491" s="22" t="s">
        <v>182</v>
      </c>
      <c r="E5491" s="22"/>
      <c r="F5491" s="22">
        <f>(0)</f>
      </c>
      <c r="G5491" s="22">
        <f>(C5491 * E5491 + C5491 * E5491 * F5491)</f>
      </c>
    </row>
    <row r="5492">
      <c r="A5492" s="5"/>
      <c r="B5492" s="14" t="s">
        <v>455</v>
      </c>
      <c r="C5492" s="22">
        <f>(11.18)*(1)*(1)*(1)*(1 + (0))</f>
      </c>
      <c r="D5492" s="22" t="s">
        <v>182</v>
      </c>
      <c r="E5492" s="22"/>
      <c r="F5492" s="22">
        <f>(0)</f>
      </c>
      <c r="G5492" s="22">
        <f>(C5492 * E5492 + C5492 * E5492 * F5492)</f>
      </c>
    </row>
    <row r="5493">
      <c r="A5493" s="5"/>
      <c r="B5493" s="14" t="s">
        <v>1875</v>
      </c>
      <c r="C5493" s="22">
        <f>(675)*(1)*(1)*(1)*(1 + (0))</f>
      </c>
      <c r="D5493" s="22" t="s">
        <v>24</v>
      </c>
      <c r="E5493" s="22"/>
      <c r="F5493" s="22">
        <f>(0)</f>
      </c>
      <c r="G5493" s="22">
        <f>(C5493 * E5493 + C5493 * E5493 * F5493)</f>
      </c>
    </row>
    <row r="5494">
      <c r="A5494" s="3"/>
      <c r="B5494" s="11" t="s">
        <v>457</v>
      </c>
      <c r="C5494" s="20"/>
      <c r="D5494" s="20"/>
      <c r="E5494" s="20"/>
      <c r="F5494" s="20"/>
      <c r="G5494" s="20"/>
    </row>
    <row r="5495">
      <c r="A5495" s="4"/>
      <c r="B5495" s="12" t="s">
        <v>408</v>
      </c>
      <c r="C5495" s="21"/>
      <c r="D5495" s="21"/>
      <c r="E5495" s="21"/>
      <c r="F5495" s="21"/>
      <c r="G5495" s="21"/>
    </row>
    <row r="5496">
      <c r="A5496" s="6"/>
      <c r="B5496" s="15" t="s">
        <v>252</v>
      </c>
      <c r="C5496" s="23"/>
      <c r="D5496" s="23"/>
      <c r="E5496" s="23"/>
      <c r="F5496" s="23"/>
      <c r="G5496" s="23"/>
    </row>
    <row r="5497">
      <c r="A5497" s="5"/>
      <c r="B5497" s="16" t="s">
        <v>2142</v>
      </c>
      <c r="C5497" s="22">
        <f>(2.38645728)*(1)*(1)*(1)*(1 + (0))</f>
      </c>
      <c r="D5497" s="22" t="s">
        <v>182</v>
      </c>
      <c r="E5497" s="22"/>
      <c r="F5497" s="22">
        <f>(0)</f>
      </c>
      <c r="G5497" s="22">
        <f>(C5497 * E5497 + C5497 * E5497 * F5497)</f>
      </c>
    </row>
    <row r="5498">
      <c r="A5498" s="5"/>
      <c r="B5498" s="16" t="s">
        <v>2143</v>
      </c>
      <c r="C5498" s="22">
        <f>(0.423514)*(1)*(1)*(1)*(1 + (0))</f>
      </c>
      <c r="D5498" s="22" t="s">
        <v>182</v>
      </c>
      <c r="E5498" s="22"/>
      <c r="F5498" s="22">
        <f>(0)</f>
      </c>
      <c r="G5498" s="22">
        <f>(C5498 * E5498 + C5498 * E5498 * F5498)</f>
      </c>
    </row>
    <row r="5499">
      <c r="A5499" s="4"/>
      <c r="B5499" s="12" t="s">
        <v>397</v>
      </c>
      <c r="C5499" s="21"/>
      <c r="D5499" s="21"/>
      <c r="E5499" s="21"/>
      <c r="F5499" s="21"/>
      <c r="G5499" s="21"/>
    </row>
    <row r="5500">
      <c r="A5500" s="6"/>
      <c r="B5500" s="15" t="s">
        <v>2138</v>
      </c>
      <c r="C5500" s="23"/>
      <c r="D5500" s="23"/>
      <c r="E5500" s="23"/>
      <c r="F5500" s="23"/>
      <c r="G5500" s="23"/>
    </row>
    <row r="5501">
      <c r="A5501" s="5"/>
      <c r="B5501" s="16" t="s">
        <v>458</v>
      </c>
      <c r="C5501" s="22">
        <f>(0.41263932)*(1)*(1)*(1)*(1 + (0))</f>
      </c>
      <c r="D5501" s="22" t="s">
        <v>182</v>
      </c>
      <c r="E5501" s="22"/>
      <c r="F5501" s="22">
        <f>(0)</f>
      </c>
      <c r="G5501" s="22">
        <f>(C5501 * E5501 + C5501 * E5501 * F5501)</f>
      </c>
    </row>
    <row r="5502">
      <c r="A5502" s="3"/>
      <c r="B5502" s="11" t="s">
        <v>459</v>
      </c>
      <c r="C5502" s="20"/>
      <c r="D5502" s="20"/>
      <c r="E5502" s="20"/>
      <c r="F5502" s="20"/>
      <c r="G5502" s="20"/>
    </row>
    <row r="5503">
      <c r="A5503" s="4"/>
      <c r="B5503" s="12" t="s">
        <v>408</v>
      </c>
      <c r="C5503" s="21"/>
      <c r="D5503" s="21"/>
      <c r="E5503" s="21"/>
      <c r="F5503" s="21"/>
      <c r="G5503" s="21"/>
    </row>
    <row r="5504">
      <c r="A5504" s="6"/>
      <c r="B5504" s="15" t="s">
        <v>252</v>
      </c>
      <c r="C5504" s="23"/>
      <c r="D5504" s="23"/>
      <c r="E5504" s="23"/>
      <c r="F5504" s="23"/>
      <c r="G5504" s="23"/>
    </row>
    <row r="5505">
      <c r="A5505" s="5"/>
      <c r="B5505" s="16" t="s">
        <v>463</v>
      </c>
      <c r="C5505" s="22">
        <f>(11.183527285529)*(1)*(1)*(1)*(1 + (0))</f>
      </c>
      <c r="D5505" s="22" t="s">
        <v>182</v>
      </c>
      <c r="E5505" s="22"/>
      <c r="F5505" s="22">
        <f>(0)</f>
      </c>
      <c r="G5505" s="22">
        <f>(C5505 * E5505 + C5505 * E5505 * F5505)</f>
      </c>
    </row>
    <row r="5506">
      <c r="A5506" s="3"/>
      <c r="B5506" s="11" t="s">
        <v>482</v>
      </c>
      <c r="C5506" s="20"/>
      <c r="D5506" s="20"/>
      <c r="E5506" s="20"/>
      <c r="F5506" s="20"/>
      <c r="G5506" s="20"/>
    </row>
    <row r="5507">
      <c r="A5507" s="4"/>
      <c r="B5507" s="12" t="s">
        <v>411</v>
      </c>
      <c r="C5507" s="21"/>
      <c r="D5507" s="21"/>
      <c r="E5507" s="21"/>
      <c r="F5507" s="21"/>
      <c r="G5507" s="21"/>
    </row>
    <row r="5508">
      <c r="A5508" s="6"/>
      <c r="B5508" s="15" t="s">
        <v>252</v>
      </c>
      <c r="C5508" s="23"/>
      <c r="D5508" s="23"/>
      <c r="E5508" s="23"/>
      <c r="F5508" s="23"/>
      <c r="G5508" s="23"/>
    </row>
    <row r="5509">
      <c r="A5509" s="5"/>
      <c r="B5509" s="16" t="s">
        <v>2144</v>
      </c>
      <c r="C5509" s="22">
        <f>(675)*(1)*(1)*(1)*(1 + (0))</f>
      </c>
      <c r="D5509" s="22" t="s">
        <v>24</v>
      </c>
      <c r="E5509" s="22"/>
      <c r="F5509" s="22">
        <f>(0)</f>
      </c>
      <c r="G5509" s="22">
        <f>(C5509 * E5509 + C5509 * E5509 * F5509)</f>
      </c>
    </row>
    <row r="5510">
      <c r="A5510" s="5"/>
      <c r="B5510" s="7" t="s">
        <v>2145</v>
      </c>
      <c r="C5510" s="22"/>
      <c r="D5510" s="22"/>
      <c r="E5510" s="22"/>
      <c r="F5510" s="22">
        <f>(0)</f>
      </c>
      <c r="G5510" s="22">
        <f>(C5510 * E5510 + C5510 * E5510 * F5510)</f>
      </c>
    </row>
    <row r="5511">
      <c r="A5511" s="5"/>
      <c r="B5511" s="7" t="s">
        <v>519</v>
      </c>
      <c r="C5511" s="22"/>
      <c r="D5511" s="22"/>
      <c r="E5511" s="22"/>
      <c r="F5511" s="22">
        <f>(0)</f>
      </c>
      <c r="G5511" s="22">
        <f>(C5511 * E5511 + C5511 * E5511 * F5511)</f>
      </c>
    </row>
    <row r="5512">
      <c r="A5512" s="2"/>
      <c r="B5512" s="10" t="s">
        <v>520</v>
      </c>
      <c r="C5512" s="19"/>
      <c r="D5512" s="19"/>
      <c r="E5512" s="19"/>
      <c r="F5512" s="19"/>
      <c r="G5512" s="19"/>
    </row>
    <row r="5513">
      <c r="A5513" s="3"/>
      <c r="B5513" s="11" t="s">
        <v>37</v>
      </c>
      <c r="C5513" s="20"/>
      <c r="D5513" s="20"/>
      <c r="E5513" s="20"/>
      <c r="F5513" s="20"/>
      <c r="G5513" s="20"/>
    </row>
    <row r="5514">
      <c r="A5514" s="5" t="s">
        <v>521</v>
      </c>
      <c r="B5514" s="14" t="s">
        <v>39</v>
      </c>
      <c r="C5514" s="22"/>
      <c r="D5514" s="22" t="s">
        <v>10</v>
      </c>
      <c r="E5514" s="22"/>
      <c r="F5514" s="22">
        <f>(0)</f>
      </c>
      <c r="G5514" s="22">
        <f>(C5514 * E5514 + C5514 * E5514 * F5514)</f>
      </c>
    </row>
    <row r="5515">
      <c r="A5515" s="5" t="s">
        <v>522</v>
      </c>
      <c r="B5515" s="14" t="s">
        <v>41</v>
      </c>
      <c r="C5515" s="22"/>
      <c r="D5515" s="22" t="s">
        <v>10</v>
      </c>
      <c r="E5515" s="22"/>
      <c r="F5515" s="22">
        <f>(0)</f>
      </c>
      <c r="G5515" s="22">
        <f>(C5515 * E5515 + C5515 * E5515 * F5515)</f>
      </c>
    </row>
    <row r="5516">
      <c r="A5516" s="3"/>
      <c r="B5516" s="11" t="s">
        <v>523</v>
      </c>
      <c r="C5516" s="20"/>
      <c r="D5516" s="20"/>
      <c r="E5516" s="20"/>
      <c r="F5516" s="20"/>
      <c r="G5516" s="20"/>
    </row>
    <row r="5517">
      <c r="A5517" s="5"/>
      <c r="B5517" s="14" t="s">
        <v>524</v>
      </c>
      <c r="C5517" s="22"/>
      <c r="D5517" s="22" t="s">
        <v>10</v>
      </c>
      <c r="E5517" s="22"/>
      <c r="F5517" s="22">
        <f>(0)</f>
      </c>
      <c r="G5517" s="22">
        <f>(C5517 * E5517 + C5517 * E5517 * F5517)</f>
      </c>
    </row>
    <row r="5518">
      <c r="A5518" s="5"/>
      <c r="B5518" s="14" t="s">
        <v>1943</v>
      </c>
      <c r="C5518" s="22"/>
      <c r="D5518" s="22" t="s">
        <v>10</v>
      </c>
      <c r="E5518" s="22"/>
      <c r="F5518" s="22">
        <f>(0)</f>
      </c>
      <c r="G5518" s="22">
        <f>(C5518 * E5518 + C5518 * E5518 * F5518)</f>
      </c>
    </row>
    <row r="5519">
      <c r="A5519" s="3"/>
      <c r="B5519" s="11" t="s">
        <v>44</v>
      </c>
      <c r="C5519" s="20"/>
      <c r="D5519" s="20"/>
      <c r="E5519" s="20"/>
      <c r="F5519" s="20"/>
      <c r="G5519" s="20"/>
    </row>
    <row r="5520">
      <c r="A5520" s="4"/>
      <c r="B5520" s="12" t="s">
        <v>45</v>
      </c>
      <c r="C5520" s="21"/>
      <c r="D5520" s="21"/>
      <c r="E5520" s="21"/>
      <c r="F5520" s="21"/>
      <c r="G5520" s="21"/>
    </row>
    <row r="5521">
      <c r="A5521" s="5" t="s">
        <v>527</v>
      </c>
      <c r="B5521" s="13" t="s">
        <v>528</v>
      </c>
      <c r="C5521" s="22"/>
      <c r="D5521" s="22" t="s">
        <v>10</v>
      </c>
      <c r="E5521" s="22"/>
      <c r="F5521" s="22">
        <f>(0)</f>
      </c>
      <c r="G5521" s="22">
        <f>(C5521 * E5521 + C5521 * E5521 * F5521)</f>
      </c>
    </row>
    <row r="5522">
      <c r="A5522" s="5" t="s">
        <v>529</v>
      </c>
      <c r="B5522" s="13" t="s">
        <v>530</v>
      </c>
      <c r="C5522" s="22"/>
      <c r="D5522" s="22" t="s">
        <v>10</v>
      </c>
      <c r="E5522" s="22"/>
      <c r="F5522" s="22">
        <f>(0)</f>
      </c>
      <c r="G5522" s="22">
        <f>(C5522 * E5522 + C5522 * E5522 * F5522)</f>
      </c>
    </row>
    <row r="5523">
      <c r="A5523" s="5" t="s">
        <v>531</v>
      </c>
      <c r="B5523" s="13" t="s">
        <v>532</v>
      </c>
      <c r="C5523" s="22"/>
      <c r="D5523" s="22" t="s">
        <v>10</v>
      </c>
      <c r="E5523" s="22"/>
      <c r="F5523" s="22">
        <f>(0)</f>
      </c>
      <c r="G5523" s="22">
        <f>(C5523 * E5523 + C5523 * E5523 * F5523)</f>
      </c>
    </row>
    <row r="5524">
      <c r="A5524" s="5" t="s">
        <v>533</v>
      </c>
      <c r="B5524" s="13" t="s">
        <v>534</v>
      </c>
      <c r="C5524" s="22"/>
      <c r="D5524" s="22" t="s">
        <v>10</v>
      </c>
      <c r="E5524" s="22"/>
      <c r="F5524" s="22">
        <f>(0)</f>
      </c>
      <c r="G5524" s="22">
        <f>(C5524 * E5524 + C5524 * E5524 * F5524)</f>
      </c>
    </row>
    <row r="5525">
      <c r="A5525" s="5" t="s">
        <v>535</v>
      </c>
      <c r="B5525" s="13" t="s">
        <v>536</v>
      </c>
      <c r="C5525" s="22"/>
      <c r="D5525" s="22" t="s">
        <v>10</v>
      </c>
      <c r="E5525" s="22"/>
      <c r="F5525" s="22">
        <f>(0)</f>
      </c>
      <c r="G5525" s="22">
        <f>(C5525 * E5525 + C5525 * E5525 * F5525)</f>
      </c>
    </row>
    <row r="5526">
      <c r="A5526" s="5" t="s">
        <v>537</v>
      </c>
      <c r="B5526" s="13" t="s">
        <v>538</v>
      </c>
      <c r="C5526" s="22"/>
      <c r="D5526" s="22" t="s">
        <v>10</v>
      </c>
      <c r="E5526" s="22"/>
      <c r="F5526" s="22">
        <f>(0)</f>
      </c>
      <c r="G5526" s="22">
        <f>(C5526 * E5526 + C5526 * E5526 * F5526)</f>
      </c>
    </row>
    <row r="5527">
      <c r="A5527" s="5" t="s">
        <v>539</v>
      </c>
      <c r="B5527" s="13" t="s">
        <v>123</v>
      </c>
      <c r="C5527" s="22"/>
      <c r="D5527" s="22" t="s">
        <v>10</v>
      </c>
      <c r="E5527" s="22"/>
      <c r="F5527" s="22">
        <f>(0)</f>
      </c>
      <c r="G5527" s="22">
        <f>(C5527 * E5527 + C5527 * E5527 * F5527)</f>
      </c>
    </row>
    <row r="5528">
      <c r="A5528" s="3"/>
      <c r="B5528" s="11" t="s">
        <v>68</v>
      </c>
      <c r="C5528" s="20"/>
      <c r="D5528" s="20"/>
      <c r="E5528" s="20"/>
      <c r="F5528" s="20"/>
      <c r="G5528" s="20"/>
    </row>
    <row r="5529">
      <c r="A5529" s="5" t="s">
        <v>540</v>
      </c>
      <c r="B5529" s="14" t="s">
        <v>70</v>
      </c>
      <c r="C5529" s="22">
        <f>(1)*(1)*(1)*(1)*(1 + (0))</f>
      </c>
      <c r="D5529" s="22" t="s">
        <v>71</v>
      </c>
      <c r="E5529" s="22"/>
      <c r="F5529" s="22">
        <f>(0)</f>
      </c>
      <c r="G5529" s="22">
        <f>(C5529 * E5529 + C5529 * E5529 * F5529)</f>
      </c>
    </row>
    <row r="5530">
      <c r="A5530" s="5" t="s">
        <v>541</v>
      </c>
      <c r="B5530" s="14" t="s">
        <v>73</v>
      </c>
      <c r="C5530" s="22">
        <f>(1)*(1)*(1)*(1)*(1 + (0))</f>
      </c>
      <c r="D5530" s="22" t="s">
        <v>71</v>
      </c>
      <c r="E5530" s="22"/>
      <c r="F5530" s="22">
        <f>(0)</f>
      </c>
      <c r="G5530" s="22">
        <f>(C5530 * E5530 + C5530 * E5530 * F5530)</f>
      </c>
    </row>
    <row r="5531">
      <c r="A5531" s="5" t="s">
        <v>542</v>
      </c>
      <c r="B5531" s="14" t="s">
        <v>543</v>
      </c>
      <c r="C5531" s="22">
        <f>(1)*(1)*(1)*(1)*(1 + (0))</f>
      </c>
      <c r="D5531" s="22" t="s">
        <v>71</v>
      </c>
      <c r="E5531" s="22"/>
      <c r="F5531" s="22">
        <f>(0)</f>
      </c>
      <c r="G5531" s="22">
        <f>(C5531 * E5531 + C5531 * E5531 * F5531)</f>
      </c>
    </row>
    <row r="5532">
      <c r="A5532" s="5" t="s">
        <v>544</v>
      </c>
      <c r="B5532" s="14" t="s">
        <v>545</v>
      </c>
      <c r="C5532" s="22">
        <f>(1)*(1)*(1)*(1)*(1 + (0))</f>
      </c>
      <c r="D5532" s="22" t="s">
        <v>71</v>
      </c>
      <c r="E5532" s="22"/>
      <c r="F5532" s="22">
        <f>(0)</f>
      </c>
      <c r="G5532" s="22">
        <f>(C5532 * E5532 + C5532 * E5532 * F5532)</f>
      </c>
    </row>
    <row r="5533">
      <c r="A5533" s="5" t="s">
        <v>546</v>
      </c>
      <c r="B5533" s="14" t="s">
        <v>547</v>
      </c>
      <c r="C5533" s="22">
        <f>(1)*(1)*(1)*(1)*(1 + (0))</f>
      </c>
      <c r="D5533" s="22" t="s">
        <v>71</v>
      </c>
      <c r="E5533" s="22"/>
      <c r="F5533" s="22">
        <f>(0)</f>
      </c>
      <c r="G5533" s="22">
        <f>(C5533 * E5533 + C5533 * E5533 * F5533)</f>
      </c>
    </row>
    <row r="5534">
      <c r="A5534" s="5" t="s">
        <v>548</v>
      </c>
      <c r="B5534" s="14" t="s">
        <v>549</v>
      </c>
      <c r="C5534" s="22">
        <f>(1)*(1)*(1)*(1)*(1 + (0))</f>
      </c>
      <c r="D5534" s="22" t="s">
        <v>71</v>
      </c>
      <c r="E5534" s="22"/>
      <c r="F5534" s="22">
        <f>(0)</f>
      </c>
      <c r="G5534" s="22">
        <f>(C5534 * E5534 + C5534 * E5534 * F5534)</f>
      </c>
    </row>
    <row r="5535">
      <c r="A5535" s="5" t="s">
        <v>550</v>
      </c>
      <c r="B5535" s="14" t="s">
        <v>551</v>
      </c>
      <c r="C5535" s="22">
        <f>(1)*(1)*(1)*(1)*(1 + (0))</f>
      </c>
      <c r="D5535" s="22" t="s">
        <v>71</v>
      </c>
      <c r="E5535" s="22"/>
      <c r="F5535" s="22">
        <f>(0)</f>
      </c>
      <c r="G5535" s="22">
        <f>(C5535 * E5535 + C5535 * E5535 * F5535)</f>
      </c>
    </row>
    <row r="5536">
      <c r="A5536" s="5" t="s">
        <v>552</v>
      </c>
      <c r="B5536" s="14" t="s">
        <v>553</v>
      </c>
      <c r="C5536" s="22">
        <f>(1)*(1)*(1)*(1)*(1 + (0))</f>
      </c>
      <c r="D5536" s="22" t="s">
        <v>71</v>
      </c>
      <c r="E5536" s="22"/>
      <c r="F5536" s="22">
        <f>(0)</f>
      </c>
      <c r="G5536" s="22">
        <f>(C5536 * E5536 + C5536 * E5536 * F5536)</f>
      </c>
    </row>
    <row r="5537">
      <c r="A5537" s="5" t="s">
        <v>554</v>
      </c>
      <c r="B5537" s="14" t="s">
        <v>555</v>
      </c>
      <c r="C5537" s="22">
        <f>(1)*(1)*(1)*(1)*(1 + (0))</f>
      </c>
      <c r="D5537" s="22" t="s">
        <v>71</v>
      </c>
      <c r="E5537" s="22"/>
      <c r="F5537" s="22">
        <f>(0)</f>
      </c>
      <c r="G5537" s="22">
        <f>(C5537 * E5537 + C5537 * E5537 * F5537)</f>
      </c>
    </row>
    <row r="5538">
      <c r="A5538" s="5" t="s">
        <v>556</v>
      </c>
      <c r="B5538" s="14" t="s">
        <v>447</v>
      </c>
      <c r="C5538" s="22">
        <f>(1)*(1)*(1)*(1)*(1 + (0))</f>
      </c>
      <c r="D5538" s="22" t="s">
        <v>71</v>
      </c>
      <c r="E5538" s="22"/>
      <c r="F5538" s="22">
        <f>(0)</f>
      </c>
      <c r="G5538" s="22">
        <f>(C5538 * E5538 + C5538 * E5538 * F5538)</f>
      </c>
    </row>
    <row r="5539">
      <c r="A5539" s="5" t="s">
        <v>557</v>
      </c>
      <c r="B5539" s="14" t="s">
        <v>558</v>
      </c>
      <c r="C5539" s="22">
        <f>(1)*(1)*(1)*(1)*(1 + (0))</f>
      </c>
      <c r="D5539" s="22" t="s">
        <v>71</v>
      </c>
      <c r="E5539" s="22"/>
      <c r="F5539" s="22">
        <f>(0)</f>
      </c>
      <c r="G5539" s="22">
        <f>(C5539 * E5539 + C5539 * E5539 * F5539)</f>
      </c>
    </row>
    <row r="5540">
      <c r="A5540" s="3"/>
      <c r="B5540" s="11" t="s">
        <v>560</v>
      </c>
      <c r="C5540" s="20"/>
      <c r="D5540" s="20"/>
      <c r="E5540" s="20"/>
      <c r="F5540" s="20"/>
      <c r="G5540" s="20"/>
    </row>
    <row r="5541">
      <c r="A5541" s="4"/>
      <c r="B5541" s="12" t="s">
        <v>565</v>
      </c>
      <c r="C5541" s="21"/>
      <c r="D5541" s="21"/>
      <c r="E5541" s="21"/>
      <c r="F5541" s="21"/>
      <c r="G5541" s="21"/>
    </row>
    <row r="5542">
      <c r="A5542" s="5"/>
      <c r="B5542" s="13" t="s">
        <v>2146</v>
      </c>
      <c r="C5542" s="22">
        <f>(582)*(1)*(1)*(1)*(1 + (0))</f>
      </c>
      <c r="D5542" s="22" t="s">
        <v>24</v>
      </c>
      <c r="E5542" s="22"/>
      <c r="F5542" s="22">
        <f>(0)</f>
      </c>
      <c r="G5542" s="22">
        <f>(C5542 * E5542 + C5542 * E5542 * F5542)</f>
      </c>
    </row>
    <row r="5543">
      <c r="A5543" s="3"/>
      <c r="B5543" s="11" t="s">
        <v>619</v>
      </c>
      <c r="C5543" s="20"/>
      <c r="D5543" s="20"/>
      <c r="E5543" s="20"/>
      <c r="F5543" s="20"/>
      <c r="G5543" s="20"/>
    </row>
    <row r="5544">
      <c r="A5544" s="4"/>
      <c r="B5544" s="12" t="s">
        <v>620</v>
      </c>
      <c r="C5544" s="21"/>
      <c r="D5544" s="21"/>
      <c r="E5544" s="21"/>
      <c r="F5544" s="21"/>
      <c r="G5544" s="21"/>
    </row>
    <row r="5545">
      <c r="A5545" s="5"/>
      <c r="B5545" s="13" t="s">
        <v>623</v>
      </c>
      <c r="C5545" s="22">
        <f>(582)*(1)*(1)*(1)*(1 + (0))</f>
      </c>
      <c r="D5545" s="22" t="s">
        <v>24</v>
      </c>
      <c r="E5545" s="22"/>
      <c r="F5545" s="22">
        <f>(0)</f>
      </c>
      <c r="G5545" s="22">
        <f>(C5545 * E5545 + C5545 * E5545 * F5545)</f>
      </c>
    </row>
    <row r="5546">
      <c r="A5546" s="4"/>
      <c r="B5546" s="12" t="s">
        <v>625</v>
      </c>
      <c r="C5546" s="21"/>
      <c r="D5546" s="21"/>
      <c r="E5546" s="21"/>
      <c r="F5546" s="21"/>
      <c r="G5546" s="21"/>
    </row>
    <row r="5547">
      <c r="A5547" s="5"/>
      <c r="B5547" s="13" t="s">
        <v>628</v>
      </c>
      <c r="C5547" s="22">
        <f>(582)*(1)*(1)*(1)*(1 + (0))</f>
      </c>
      <c r="D5547" s="22" t="s">
        <v>24</v>
      </c>
      <c r="E5547" s="22"/>
      <c r="F5547" s="22">
        <f>(0)</f>
      </c>
      <c r="G5547" s="22">
        <f>(C5547 * E5547 + C5547 * E5547 * F5547)</f>
      </c>
    </row>
    <row r="5548">
      <c r="A5548" s="4"/>
      <c r="B5548" s="12" t="s">
        <v>629</v>
      </c>
      <c r="C5548" s="21"/>
      <c r="D5548" s="21"/>
      <c r="E5548" s="21"/>
      <c r="F5548" s="21"/>
      <c r="G5548" s="21"/>
    </row>
    <row r="5549">
      <c r="A5549" s="5"/>
      <c r="B5549" s="13" t="s">
        <v>1707</v>
      </c>
      <c r="C5549" s="22">
        <f>(582)*(1)*(1)*(1)*(1 + (0))</f>
      </c>
      <c r="D5549" s="22" t="s">
        <v>24</v>
      </c>
      <c r="E5549" s="22"/>
      <c r="F5549" s="22">
        <f>(0)</f>
      </c>
      <c r="G5549" s="22">
        <f>(C5549 * E5549 + C5549 * E5549 * F5549)</f>
      </c>
    </row>
    <row r="5550">
      <c r="A5550" s="2"/>
      <c r="B5550" s="10" t="s">
        <v>631</v>
      </c>
      <c r="C5550" s="19"/>
      <c r="D5550" s="19"/>
      <c r="E5550" s="19"/>
      <c r="F5550" s="19"/>
      <c r="G5550" s="19"/>
    </row>
    <row r="5551">
      <c r="A5551" s="3"/>
      <c r="B5551" s="11" t="s">
        <v>37</v>
      </c>
      <c r="C5551" s="20"/>
      <c r="D5551" s="20"/>
      <c r="E5551" s="20"/>
      <c r="F5551" s="20"/>
      <c r="G5551" s="20"/>
    </row>
    <row r="5552">
      <c r="A5552" s="5" t="s">
        <v>632</v>
      </c>
      <c r="B5552" s="14" t="s">
        <v>39</v>
      </c>
      <c r="C5552" s="22"/>
      <c r="D5552" s="22" t="s">
        <v>10</v>
      </c>
      <c r="E5552" s="22"/>
      <c r="F5552" s="22">
        <f>(0)</f>
      </c>
      <c r="G5552" s="22">
        <f>(C5552 * E5552 + C5552 * E5552 * F5552)</f>
      </c>
    </row>
    <row r="5553">
      <c r="A5553" s="5" t="s">
        <v>633</v>
      </c>
      <c r="B5553" s="14" t="s">
        <v>41</v>
      </c>
      <c r="C5553" s="22"/>
      <c r="D5553" s="22" t="s">
        <v>10</v>
      </c>
      <c r="E5553" s="22"/>
      <c r="F5553" s="22">
        <f>(0)</f>
      </c>
      <c r="G5553" s="22">
        <f>(C5553 * E5553 + C5553 * E5553 * F5553)</f>
      </c>
    </row>
    <row r="5554">
      <c r="A5554" s="3"/>
      <c r="B5554" s="11" t="s">
        <v>523</v>
      </c>
      <c r="C5554" s="20"/>
      <c r="D5554" s="20"/>
      <c r="E5554" s="20"/>
      <c r="F5554" s="20"/>
      <c r="G5554" s="20"/>
    </row>
    <row r="5555">
      <c r="A5555" s="5"/>
      <c r="B5555" s="14" t="s">
        <v>1709</v>
      </c>
      <c r="C5555" s="22"/>
      <c r="D5555" s="22" t="s">
        <v>10</v>
      </c>
      <c r="E5555" s="22"/>
      <c r="F5555" s="22">
        <f>(0)</f>
      </c>
      <c r="G5555" s="22">
        <f>(C5555 * E5555 + C5555 * E5555 * F5555)</f>
      </c>
    </row>
    <row r="5556">
      <c r="A5556" s="5"/>
      <c r="B5556" s="14" t="s">
        <v>635</v>
      </c>
      <c r="C5556" s="22"/>
      <c r="D5556" s="22" t="s">
        <v>10</v>
      </c>
      <c r="E5556" s="22"/>
      <c r="F5556" s="22">
        <f>(0)</f>
      </c>
      <c r="G5556" s="22">
        <f>(C5556 * E5556 + C5556 * E5556 * F5556)</f>
      </c>
    </row>
    <row r="5557">
      <c r="A5557" s="3"/>
      <c r="B5557" s="11" t="s">
        <v>44</v>
      </c>
      <c r="C5557" s="20"/>
      <c r="D5557" s="20"/>
      <c r="E5557" s="20"/>
      <c r="F5557" s="20"/>
      <c r="G5557" s="20"/>
    </row>
    <row r="5558">
      <c r="A5558" s="4"/>
      <c r="B5558" s="12" t="s">
        <v>45</v>
      </c>
      <c r="C5558" s="21"/>
      <c r="D5558" s="21"/>
      <c r="E5558" s="21"/>
      <c r="F5558" s="21"/>
      <c r="G5558" s="21"/>
    </row>
    <row r="5559">
      <c r="A5559" s="5" t="s">
        <v>637</v>
      </c>
      <c r="B5559" s="13" t="s">
        <v>638</v>
      </c>
      <c r="C5559" s="22"/>
      <c r="D5559" s="22" t="s">
        <v>10</v>
      </c>
      <c r="E5559" s="22"/>
      <c r="F5559" s="22">
        <f>(0)</f>
      </c>
      <c r="G5559" s="22">
        <f>(C5559 * E5559 + C5559 * E5559 * F5559)</f>
      </c>
    </row>
    <row r="5560">
      <c r="A5560" s="5" t="s">
        <v>639</v>
      </c>
      <c r="B5560" s="13" t="s">
        <v>640</v>
      </c>
      <c r="C5560" s="22"/>
      <c r="D5560" s="22" t="s">
        <v>10</v>
      </c>
      <c r="E5560" s="22"/>
      <c r="F5560" s="22">
        <f>(0)</f>
      </c>
      <c r="G5560" s="22">
        <f>(C5560 * E5560 + C5560 * E5560 * F5560)</f>
      </c>
    </row>
    <row r="5561">
      <c r="A5561" s="5" t="s">
        <v>641</v>
      </c>
      <c r="B5561" s="13" t="s">
        <v>642</v>
      </c>
      <c r="C5561" s="22"/>
      <c r="D5561" s="22" t="s">
        <v>10</v>
      </c>
      <c r="E5561" s="22"/>
      <c r="F5561" s="22">
        <f>(0)</f>
      </c>
      <c r="G5561" s="22">
        <f>(C5561 * E5561 + C5561 * E5561 * F5561)</f>
      </c>
    </row>
    <row r="5562">
      <c r="A5562" s="5" t="s">
        <v>643</v>
      </c>
      <c r="B5562" s="13" t="s">
        <v>644</v>
      </c>
      <c r="C5562" s="22"/>
      <c r="D5562" s="22" t="s">
        <v>10</v>
      </c>
      <c r="E5562" s="22"/>
      <c r="F5562" s="22">
        <f>(0)</f>
      </c>
      <c r="G5562" s="22">
        <f>(C5562 * E5562 + C5562 * E5562 * F5562)</f>
      </c>
    </row>
    <row r="5563">
      <c r="A5563" s="5" t="s">
        <v>645</v>
      </c>
      <c r="B5563" s="13" t="s">
        <v>646</v>
      </c>
      <c r="C5563" s="22"/>
      <c r="D5563" s="22" t="s">
        <v>10</v>
      </c>
      <c r="E5563" s="22"/>
      <c r="F5563" s="22">
        <f>(0)</f>
      </c>
      <c r="G5563" s="22">
        <f>(C5563 * E5563 + C5563 * E5563 * F5563)</f>
      </c>
    </row>
    <row r="5564">
      <c r="A5564" s="5" t="s">
        <v>647</v>
      </c>
      <c r="B5564" s="13" t="s">
        <v>648</v>
      </c>
      <c r="C5564" s="22"/>
      <c r="D5564" s="22" t="s">
        <v>10</v>
      </c>
      <c r="E5564" s="22"/>
      <c r="F5564" s="22">
        <f>(0)</f>
      </c>
      <c r="G5564" s="22">
        <f>(C5564 * E5564 + C5564 * E5564 * F5564)</f>
      </c>
    </row>
    <row r="5565">
      <c r="A5565" s="5" t="s">
        <v>649</v>
      </c>
      <c r="B5565" s="13" t="s">
        <v>650</v>
      </c>
      <c r="C5565" s="22"/>
      <c r="D5565" s="22" t="s">
        <v>10</v>
      </c>
      <c r="E5565" s="22"/>
      <c r="F5565" s="22">
        <f>(0)</f>
      </c>
      <c r="G5565" s="22">
        <f>(C5565 * E5565 + C5565 * E5565 * F5565)</f>
      </c>
    </row>
    <row r="5566">
      <c r="A5566" s="5" t="s">
        <v>651</v>
      </c>
      <c r="B5566" s="13" t="s">
        <v>652</v>
      </c>
      <c r="C5566" s="22"/>
      <c r="D5566" s="22" t="s">
        <v>10</v>
      </c>
      <c r="E5566" s="22"/>
      <c r="F5566" s="22">
        <f>(0)</f>
      </c>
      <c r="G5566" s="22">
        <f>(C5566 * E5566 + C5566 * E5566 * F5566)</f>
      </c>
    </row>
    <row r="5567">
      <c r="A5567" s="5" t="s">
        <v>653</v>
      </c>
      <c r="B5567" s="13" t="s">
        <v>654</v>
      </c>
      <c r="C5567" s="22"/>
      <c r="D5567" s="22" t="s">
        <v>10</v>
      </c>
      <c r="E5567" s="22"/>
      <c r="F5567" s="22">
        <f>(0)</f>
      </c>
      <c r="G5567" s="22">
        <f>(C5567 * E5567 + C5567 * E5567 * F5567)</f>
      </c>
    </row>
    <row r="5568">
      <c r="A5568" s="3"/>
      <c r="B5568" s="11" t="s">
        <v>68</v>
      </c>
      <c r="C5568" s="20"/>
      <c r="D5568" s="20"/>
      <c r="E5568" s="20"/>
      <c r="F5568" s="20"/>
      <c r="G5568" s="20"/>
    </row>
    <row r="5569">
      <c r="A5569" s="5" t="s">
        <v>655</v>
      </c>
      <c r="B5569" s="14" t="s">
        <v>656</v>
      </c>
      <c r="C5569" s="22">
        <f>(1)*(1)*(1)*(1)*(1 + (0))</f>
      </c>
      <c r="D5569" s="22" t="s">
        <v>71</v>
      </c>
      <c r="E5569" s="22"/>
      <c r="F5569" s="22">
        <f>(0)</f>
      </c>
      <c r="G5569" s="22">
        <f>(C5569 * E5569 + C5569 * E5569 * F5569)</f>
      </c>
    </row>
    <row r="5570">
      <c r="A5570" s="5" t="s">
        <v>657</v>
      </c>
      <c r="B5570" s="14" t="s">
        <v>658</v>
      </c>
      <c r="C5570" s="22">
        <f>(1)*(1)*(1)*(1)*(1 + (0))</f>
      </c>
      <c r="D5570" s="22" t="s">
        <v>71</v>
      </c>
      <c r="E5570" s="22"/>
      <c r="F5570" s="22">
        <f>(0)</f>
      </c>
      <c r="G5570" s="22">
        <f>(C5570 * E5570 + C5570 * E5570 * F5570)</f>
      </c>
    </row>
    <row r="5571">
      <c r="A5571" s="5" t="s">
        <v>659</v>
      </c>
      <c r="B5571" s="14" t="s">
        <v>660</v>
      </c>
      <c r="C5571" s="22">
        <f>(1)*(1)*(1)*(1)*(1 + (0))</f>
      </c>
      <c r="D5571" s="22" t="s">
        <v>71</v>
      </c>
      <c r="E5571" s="22"/>
      <c r="F5571" s="22">
        <f>(0)</f>
      </c>
      <c r="G5571" s="22">
        <f>(C5571 * E5571 + C5571 * E5571 * F5571)</f>
      </c>
    </row>
    <row r="5572">
      <c r="A5572" s="5" t="s">
        <v>661</v>
      </c>
      <c r="B5572" s="14" t="s">
        <v>77</v>
      </c>
      <c r="C5572" s="22">
        <f>(1)*(1)*(1)*(1)*(1 + (0))</f>
      </c>
      <c r="D5572" s="22" t="s">
        <v>71</v>
      </c>
      <c r="E5572" s="22"/>
      <c r="F5572" s="22">
        <f>(0)</f>
      </c>
      <c r="G5572" s="22">
        <f>(C5572 * E5572 + C5572 * E5572 * F5572)</f>
      </c>
    </row>
    <row r="5573">
      <c r="A5573" s="5" t="s">
        <v>662</v>
      </c>
      <c r="B5573" s="14" t="s">
        <v>663</v>
      </c>
      <c r="C5573" s="22">
        <f>(1)*(1)*(1)*(1)*(1 + (0))</f>
      </c>
      <c r="D5573" s="22" t="s">
        <v>71</v>
      </c>
      <c r="E5573" s="22"/>
      <c r="F5573" s="22">
        <f>(0)</f>
      </c>
      <c r="G5573" s="22">
        <f>(C5573 * E5573 + C5573 * E5573 * F5573)</f>
      </c>
    </row>
    <row r="5574">
      <c r="A5574" s="5" t="s">
        <v>664</v>
      </c>
      <c r="B5574" s="14" t="s">
        <v>665</v>
      </c>
      <c r="C5574" s="22">
        <f>(1)*(1)*(1)*(1)*(1 + (0))</f>
      </c>
      <c r="D5574" s="22" t="s">
        <v>71</v>
      </c>
      <c r="E5574" s="22"/>
      <c r="F5574" s="22">
        <f>(0)</f>
      </c>
      <c r="G5574" s="22">
        <f>(C5574 * E5574 + C5574 * E5574 * F5574)</f>
      </c>
    </row>
    <row r="5575">
      <c r="A5575" s="5" t="s">
        <v>666</v>
      </c>
      <c r="B5575" s="14" t="s">
        <v>667</v>
      </c>
      <c r="C5575" s="22">
        <f>(1)*(1)*(1)*(1)*(1 + (0))</f>
      </c>
      <c r="D5575" s="22" t="s">
        <v>71</v>
      </c>
      <c r="E5575" s="22"/>
      <c r="F5575" s="22">
        <f>(0)</f>
      </c>
      <c r="G5575" s="22">
        <f>(C5575 * E5575 + C5575 * E5575 * F5575)</f>
      </c>
    </row>
    <row r="5576">
      <c r="A5576" s="5" t="s">
        <v>668</v>
      </c>
      <c r="B5576" s="14" t="s">
        <v>669</v>
      </c>
      <c r="C5576" s="22">
        <f>(1)*(1)*(1)*(1)*(1 + (0))</f>
      </c>
      <c r="D5576" s="22" t="s">
        <v>71</v>
      </c>
      <c r="E5576" s="22"/>
      <c r="F5576" s="22">
        <f>(0)</f>
      </c>
      <c r="G5576" s="22">
        <f>(C5576 * E5576 + C5576 * E5576 * F5576)</f>
      </c>
    </row>
    <row r="5577">
      <c r="A5577" s="3"/>
      <c r="B5577" s="11" t="s">
        <v>106</v>
      </c>
      <c r="C5577" s="20"/>
      <c r="D5577" s="20"/>
      <c r="E5577" s="20"/>
      <c r="F5577" s="20"/>
      <c r="G5577" s="20"/>
    </row>
    <row r="5578">
      <c r="A5578" s="5"/>
      <c r="B5578" s="14" t="s">
        <v>671</v>
      </c>
      <c r="C5578" s="22"/>
      <c r="D5578" s="22" t="s">
        <v>10</v>
      </c>
      <c r="E5578" s="22"/>
      <c r="F5578" s="22">
        <f>(0)</f>
      </c>
      <c r="G5578" s="22">
        <f>(C5578 * E5578 + C5578 * E5578 * F5578)</f>
      </c>
    </row>
    <row r="5579">
      <c r="A5579" s="3"/>
      <c r="B5579" s="11" t="s">
        <v>672</v>
      </c>
      <c r="C5579" s="20"/>
      <c r="D5579" s="20"/>
      <c r="E5579" s="20"/>
      <c r="F5579" s="20"/>
      <c r="G5579" s="20"/>
    </row>
    <row r="5580">
      <c r="A5580" s="4"/>
      <c r="B5580" s="12" t="s">
        <v>673</v>
      </c>
      <c r="C5580" s="21"/>
      <c r="D5580" s="21"/>
      <c r="E5580" s="21"/>
      <c r="F5580" s="21"/>
      <c r="G5580" s="21"/>
    </row>
    <row r="5581">
      <c r="A5581" s="6"/>
      <c r="B5581" s="15" t="s">
        <v>674</v>
      </c>
      <c r="C5581" s="23"/>
      <c r="D5581" s="23"/>
      <c r="E5581" s="23"/>
      <c r="F5581" s="23"/>
      <c r="G5581" s="23"/>
    </row>
    <row r="5582">
      <c r="A5582" s="5"/>
      <c r="B5582" s="16" t="s">
        <v>675</v>
      </c>
      <c r="C5582" s="22"/>
      <c r="D5582" s="22"/>
      <c r="E5582" s="22"/>
      <c r="F5582" s="22"/>
      <c r="G5582" s="22"/>
    </row>
    <row r="5583">
      <c r="A5583" s="5"/>
      <c r="B5583" s="17" t="s">
        <v>1711</v>
      </c>
      <c r="C5583" s="22">
        <f>(53)*(1)*(1)*(1)*(1 + (0))</f>
      </c>
      <c r="D5583" s="22" t="s">
        <v>24</v>
      </c>
      <c r="E5583" s="22"/>
      <c r="F5583" s="22">
        <f>(0)</f>
      </c>
      <c r="G5583" s="22">
        <f>(C5583 * E5583 + C5583 * E5583 * F5583)</f>
      </c>
    </row>
    <row r="5584">
      <c r="A5584" s="5"/>
      <c r="B5584" s="16" t="s">
        <v>677</v>
      </c>
      <c r="C5584" s="22"/>
      <c r="D5584" s="22"/>
      <c r="E5584" s="22"/>
      <c r="F5584" s="22"/>
      <c r="G5584" s="22"/>
    </row>
    <row r="5585">
      <c r="A5585" s="5"/>
      <c r="B5585" s="17" t="s">
        <v>1711</v>
      </c>
      <c r="C5585" s="22">
        <f>(19)*(1)*(1)*(1)*(1 + (0))</f>
      </c>
      <c r="D5585" s="22" t="s">
        <v>24</v>
      </c>
      <c r="E5585" s="22"/>
      <c r="F5585" s="22">
        <f>(0)</f>
      </c>
      <c r="G5585" s="22">
        <f>(C5585 * E5585 + C5585 * E5585 * F5585)</f>
      </c>
    </row>
    <row r="5586">
      <c r="A5586" s="5"/>
      <c r="B5586" s="16" t="s">
        <v>678</v>
      </c>
      <c r="C5586" s="22"/>
      <c r="D5586" s="22"/>
      <c r="E5586" s="22"/>
      <c r="F5586" s="22"/>
      <c r="G5586" s="22"/>
    </row>
    <row r="5587">
      <c r="A5587" s="5"/>
      <c r="B5587" s="17" t="s">
        <v>1711</v>
      </c>
      <c r="C5587" s="22">
        <f>(62)*(1)*(1)*(1)*(1 + (0))</f>
      </c>
      <c r="D5587" s="22" t="s">
        <v>153</v>
      </c>
      <c r="E5587" s="22"/>
      <c r="F5587" s="22">
        <f>(0)</f>
      </c>
      <c r="G5587" s="22">
        <f>(C5587 * E5587 + C5587 * E5587 * F5587)</f>
      </c>
    </row>
    <row r="5588">
      <c r="A5588" s="2"/>
      <c r="B5588" s="10" t="s">
        <v>689</v>
      </c>
      <c r="C5588" s="19"/>
      <c r="D5588" s="19"/>
      <c r="E5588" s="19"/>
      <c r="F5588" s="19"/>
      <c r="G5588" s="19"/>
    </row>
    <row r="5589">
      <c r="A5589" s="3"/>
      <c r="B5589" s="11" t="s">
        <v>37</v>
      </c>
      <c r="C5589" s="20"/>
      <c r="D5589" s="20"/>
      <c r="E5589" s="20"/>
      <c r="F5589" s="20"/>
      <c r="G5589" s="20"/>
    </row>
    <row r="5590">
      <c r="A5590" s="5" t="s">
        <v>690</v>
      </c>
      <c r="B5590" s="14" t="s">
        <v>39</v>
      </c>
      <c r="C5590" s="22"/>
      <c r="D5590" s="22" t="s">
        <v>10</v>
      </c>
      <c r="E5590" s="22"/>
      <c r="F5590" s="22">
        <f>(0)</f>
      </c>
      <c r="G5590" s="22">
        <f>(C5590 * E5590 + C5590 * E5590 * F5590)</f>
      </c>
    </row>
    <row r="5591">
      <c r="A5591" s="5" t="s">
        <v>691</v>
      </c>
      <c r="B5591" s="14" t="s">
        <v>41</v>
      </c>
      <c r="C5591" s="22"/>
      <c r="D5591" s="22" t="s">
        <v>10</v>
      </c>
      <c r="E5591" s="22"/>
      <c r="F5591" s="22">
        <f>(0)</f>
      </c>
      <c r="G5591" s="22">
        <f>(C5591 * E5591 + C5591 * E5591 * F5591)</f>
      </c>
    </row>
    <row r="5592">
      <c r="A5592" s="3"/>
      <c r="B5592" s="11" t="s">
        <v>42</v>
      </c>
      <c r="C5592" s="20"/>
      <c r="D5592" s="20"/>
      <c r="E5592" s="20"/>
      <c r="F5592" s="20"/>
      <c r="G5592" s="20"/>
    </row>
    <row r="5593">
      <c r="A5593" s="5"/>
      <c r="B5593" s="14" t="s">
        <v>692</v>
      </c>
      <c r="C5593" s="22"/>
      <c r="D5593" s="22" t="s">
        <v>10</v>
      </c>
      <c r="E5593" s="22"/>
      <c r="F5593" s="22">
        <f>(0)</f>
      </c>
      <c r="G5593" s="22">
        <f>(C5593 * E5593 + C5593 * E5593 * F5593)</f>
      </c>
    </row>
    <row r="5594">
      <c r="A5594" s="5"/>
      <c r="B5594" s="14" t="s">
        <v>693</v>
      </c>
      <c r="C5594" s="22"/>
      <c r="D5594" s="22" t="s">
        <v>10</v>
      </c>
      <c r="E5594" s="22"/>
      <c r="F5594" s="22">
        <f>(0)</f>
      </c>
      <c r="G5594" s="22">
        <f>(C5594 * E5594 + C5594 * E5594 * F5594)</f>
      </c>
    </row>
    <row r="5595">
      <c r="A5595" s="5"/>
      <c r="B5595" s="14" t="s">
        <v>694</v>
      </c>
      <c r="C5595" s="22"/>
      <c r="D5595" s="22" t="s">
        <v>10</v>
      </c>
      <c r="E5595" s="22"/>
      <c r="F5595" s="22">
        <f>(0)</f>
      </c>
      <c r="G5595" s="22">
        <f>(C5595 * E5595 + C5595 * E5595 * F5595)</f>
      </c>
    </row>
    <row r="5596">
      <c r="A5596" s="3"/>
      <c r="B5596" s="11" t="s">
        <v>44</v>
      </c>
      <c r="C5596" s="20"/>
      <c r="D5596" s="20"/>
      <c r="E5596" s="20"/>
      <c r="F5596" s="20"/>
      <c r="G5596" s="20"/>
    </row>
    <row r="5597">
      <c r="A5597" s="4"/>
      <c r="B5597" s="12" t="s">
        <v>45</v>
      </c>
      <c r="C5597" s="21"/>
      <c r="D5597" s="21"/>
      <c r="E5597" s="21"/>
      <c r="F5597" s="21"/>
      <c r="G5597" s="21"/>
    </row>
    <row r="5598">
      <c r="A5598" s="5" t="s">
        <v>695</v>
      </c>
      <c r="B5598" s="13" t="s">
        <v>696</v>
      </c>
      <c r="C5598" s="22"/>
      <c r="D5598" s="22" t="s">
        <v>10</v>
      </c>
      <c r="E5598" s="22"/>
      <c r="F5598" s="22">
        <f>(0)</f>
      </c>
      <c r="G5598" s="22">
        <f>(C5598 * E5598 + C5598 * E5598 * F5598)</f>
      </c>
    </row>
    <row r="5599">
      <c r="A5599" s="5" t="s">
        <v>697</v>
      </c>
      <c r="B5599" s="13" t="s">
        <v>698</v>
      </c>
      <c r="C5599" s="22"/>
      <c r="D5599" s="22" t="s">
        <v>10</v>
      </c>
      <c r="E5599" s="22"/>
      <c r="F5599" s="22">
        <f>(0)</f>
      </c>
      <c r="G5599" s="22">
        <f>(C5599 * E5599 + C5599 * E5599 * F5599)</f>
      </c>
    </row>
    <row r="5600">
      <c r="A5600" s="5" t="s">
        <v>699</v>
      </c>
      <c r="B5600" s="13" t="s">
        <v>700</v>
      </c>
      <c r="C5600" s="22"/>
      <c r="D5600" s="22" t="s">
        <v>10</v>
      </c>
      <c r="E5600" s="22"/>
      <c r="F5600" s="22">
        <f>(0)</f>
      </c>
      <c r="G5600" s="22">
        <f>(C5600 * E5600 + C5600 * E5600 * F5600)</f>
      </c>
    </row>
    <row r="5601">
      <c r="A5601" s="5" t="s">
        <v>701</v>
      </c>
      <c r="B5601" s="13" t="s">
        <v>646</v>
      </c>
      <c r="C5601" s="22"/>
      <c r="D5601" s="22" t="s">
        <v>10</v>
      </c>
      <c r="E5601" s="22"/>
      <c r="F5601" s="22">
        <f>(0)</f>
      </c>
      <c r="G5601" s="22">
        <f>(C5601 * E5601 + C5601 * E5601 * F5601)</f>
      </c>
    </row>
    <row r="5602">
      <c r="A5602" s="5" t="s">
        <v>702</v>
      </c>
      <c r="B5602" s="13" t="s">
        <v>648</v>
      </c>
      <c r="C5602" s="22"/>
      <c r="D5602" s="22" t="s">
        <v>10</v>
      </c>
      <c r="E5602" s="22"/>
      <c r="F5602" s="22">
        <f>(0)</f>
      </c>
      <c r="G5602" s="22">
        <f>(C5602 * E5602 + C5602 * E5602 * F5602)</f>
      </c>
    </row>
    <row r="5603">
      <c r="A5603" s="5" t="s">
        <v>703</v>
      </c>
      <c r="B5603" s="13" t="s">
        <v>704</v>
      </c>
      <c r="C5603" s="22"/>
      <c r="D5603" s="22" t="s">
        <v>10</v>
      </c>
      <c r="E5603" s="22"/>
      <c r="F5603" s="22">
        <f>(0)</f>
      </c>
      <c r="G5603" s="22">
        <f>(C5603 * E5603 + C5603 * E5603 * F5603)</f>
      </c>
    </row>
    <row r="5604">
      <c r="A5604" s="5" t="s">
        <v>705</v>
      </c>
      <c r="B5604" s="13" t="s">
        <v>123</v>
      </c>
      <c r="C5604" s="22"/>
      <c r="D5604" s="22" t="s">
        <v>10</v>
      </c>
      <c r="E5604" s="22"/>
      <c r="F5604" s="22">
        <f>(0)</f>
      </c>
      <c r="G5604" s="22">
        <f>(C5604 * E5604 + C5604 * E5604 * F5604)</f>
      </c>
    </row>
    <row r="5605">
      <c r="A5605" s="3"/>
      <c r="B5605" s="11" t="s">
        <v>68</v>
      </c>
      <c r="C5605" s="20"/>
      <c r="D5605" s="20"/>
      <c r="E5605" s="20"/>
      <c r="F5605" s="20"/>
      <c r="G5605" s="20"/>
    </row>
    <row r="5606">
      <c r="A5606" s="5" t="s">
        <v>706</v>
      </c>
      <c r="B5606" s="14" t="s">
        <v>707</v>
      </c>
      <c r="C5606" s="22">
        <f>(1)*(1)*(1)*(1)*(1 + (0))</f>
      </c>
      <c r="D5606" s="22" t="s">
        <v>71</v>
      </c>
      <c r="E5606" s="22"/>
      <c r="F5606" s="22">
        <f>(0)</f>
      </c>
      <c r="G5606" s="22">
        <f>(C5606 * E5606 + C5606 * E5606 * F5606)</f>
      </c>
    </row>
    <row r="5607">
      <c r="A5607" s="5" t="s">
        <v>708</v>
      </c>
      <c r="B5607" s="14" t="s">
        <v>709</v>
      </c>
      <c r="C5607" s="22">
        <f>(1)*(1)*(1)*(1)*(1 + (0))</f>
      </c>
      <c r="D5607" s="22" t="s">
        <v>71</v>
      </c>
      <c r="E5607" s="22"/>
      <c r="F5607" s="22">
        <f>(0)</f>
      </c>
      <c r="G5607" s="22">
        <f>(C5607 * E5607 + C5607 * E5607 * F5607)</f>
      </c>
    </row>
    <row r="5608">
      <c r="A5608" s="5" t="s">
        <v>710</v>
      </c>
      <c r="B5608" s="14" t="s">
        <v>711</v>
      </c>
      <c r="C5608" s="22">
        <f>(1)*(1)*(1)*(1)*(1 + (0))</f>
      </c>
      <c r="D5608" s="22" t="s">
        <v>71</v>
      </c>
      <c r="E5608" s="22"/>
      <c r="F5608" s="22">
        <f>(0)</f>
      </c>
      <c r="G5608" s="22">
        <f>(C5608 * E5608 + C5608 * E5608 * F5608)</f>
      </c>
    </row>
    <row r="5609">
      <c r="A5609" s="5" t="s">
        <v>712</v>
      </c>
      <c r="B5609" s="14" t="s">
        <v>79</v>
      </c>
      <c r="C5609" s="22">
        <f>(1)*(1)*(1)*(1)*(1 + (0))</f>
      </c>
      <c r="D5609" s="22" t="s">
        <v>71</v>
      </c>
      <c r="E5609" s="22"/>
      <c r="F5609" s="22">
        <f>(0)</f>
      </c>
      <c r="G5609" s="22">
        <f>(C5609 * E5609 + C5609 * E5609 * F5609)</f>
      </c>
    </row>
    <row r="5610">
      <c r="A5610" s="5" t="s">
        <v>713</v>
      </c>
      <c r="B5610" s="14" t="s">
        <v>714</v>
      </c>
      <c r="C5610" s="22">
        <f>(1)*(1)*(1)*(1)*(1 + (0))</f>
      </c>
      <c r="D5610" s="22" t="s">
        <v>71</v>
      </c>
      <c r="E5610" s="22"/>
      <c r="F5610" s="22">
        <f>(0)</f>
      </c>
      <c r="G5610" s="22">
        <f>(C5610 * E5610 + C5610 * E5610 * F5610)</f>
      </c>
    </row>
    <row r="5611">
      <c r="A5611" s="5" t="s">
        <v>715</v>
      </c>
      <c r="B5611" s="14" t="s">
        <v>716</v>
      </c>
      <c r="C5611" s="22">
        <f>(1)*(1)*(1)*(1)*(1 + (0))</f>
      </c>
      <c r="D5611" s="22" t="s">
        <v>71</v>
      </c>
      <c r="E5611" s="22"/>
      <c r="F5611" s="22">
        <f>(0)</f>
      </c>
      <c r="G5611" s="22">
        <f>(C5611 * E5611 + C5611 * E5611 * F5611)</f>
      </c>
    </row>
    <row r="5612">
      <c r="A5612" s="5" t="s">
        <v>717</v>
      </c>
      <c r="B5612" s="14" t="s">
        <v>718</v>
      </c>
      <c r="C5612" s="22">
        <f>(1)*(1)*(1)*(1)*(1 + (0))</f>
      </c>
      <c r="D5612" s="22" t="s">
        <v>71</v>
      </c>
      <c r="E5612" s="22"/>
      <c r="F5612" s="22">
        <f>(0)</f>
      </c>
      <c r="G5612" s="22">
        <f>(C5612 * E5612 + C5612 * E5612 * F5612)</f>
      </c>
    </row>
    <row r="5613">
      <c r="A5613" s="5" t="s">
        <v>719</v>
      </c>
      <c r="B5613" s="14" t="s">
        <v>720</v>
      </c>
      <c r="C5613" s="22">
        <f>(1)*(1)*(1)*(1)*(1 + (0))</f>
      </c>
      <c r="D5613" s="22" t="s">
        <v>71</v>
      </c>
      <c r="E5613" s="22"/>
      <c r="F5613" s="22">
        <f>(0)</f>
      </c>
      <c r="G5613" s="22">
        <f>(C5613 * E5613 + C5613 * E5613 * F5613)</f>
      </c>
    </row>
    <row r="5614">
      <c r="A5614" s="3"/>
      <c r="B5614" s="11" t="s">
        <v>721</v>
      </c>
      <c r="C5614" s="20"/>
      <c r="D5614" s="20"/>
      <c r="E5614" s="20"/>
      <c r="F5614" s="20"/>
      <c r="G5614" s="20"/>
    </row>
    <row r="5615">
      <c r="A5615" s="5"/>
      <c r="B5615" s="14" t="s">
        <v>2147</v>
      </c>
      <c r="C5615" s="22">
        <f>(705)*(1)*(1)*(1)*(1 + (0))</f>
      </c>
      <c r="D5615" s="22" t="s">
        <v>24</v>
      </c>
      <c r="E5615" s="22"/>
      <c r="F5615" s="22">
        <f>(0)</f>
      </c>
      <c r="G5615" s="22">
        <f>(C5615 * E5615 + C5615 * E5615 * F5615)</f>
      </c>
    </row>
    <row r="5616">
      <c r="A5616" s="3"/>
      <c r="B5616" s="11" t="s">
        <v>723</v>
      </c>
      <c r="C5616" s="20"/>
      <c r="D5616" s="20"/>
      <c r="E5616" s="20"/>
      <c r="F5616" s="20"/>
      <c r="G5616" s="20"/>
    </row>
    <row r="5617">
      <c r="A5617" s="5"/>
      <c r="B5617" s="14" t="s">
        <v>727</v>
      </c>
      <c r="C5617" s="22">
        <f>(705)*(1)*(1)*(1)*(1 + (0))</f>
      </c>
      <c r="D5617" s="22" t="s">
        <v>24</v>
      </c>
      <c r="E5617" s="22"/>
      <c r="F5617" s="22">
        <f>(0)</f>
      </c>
      <c r="G5617" s="22">
        <f>(C5617 * E5617 + C5617 * E5617 * F5617)</f>
      </c>
    </row>
    <row r="5618">
      <c r="A5618" s="3"/>
      <c r="B5618" s="11" t="s">
        <v>728</v>
      </c>
      <c r="C5618" s="20"/>
      <c r="D5618" s="20"/>
      <c r="E5618" s="20"/>
      <c r="F5618" s="20"/>
      <c r="G5618" s="20"/>
    </row>
    <row r="5619">
      <c r="A5619" s="5"/>
      <c r="B5619" s="14" t="s">
        <v>729</v>
      </c>
      <c r="C5619" s="22">
        <f>(705)*(1)*(1)*(1)*(1 + (0))</f>
      </c>
      <c r="D5619" s="22" t="s">
        <v>24</v>
      </c>
      <c r="E5619" s="22"/>
      <c r="F5619" s="22">
        <f>(0)</f>
      </c>
      <c r="G5619" s="22">
        <f>(C5619 * E5619 + C5619 * E5619 * F5619)</f>
      </c>
    </row>
    <row r="5620">
      <c r="A5620" s="3"/>
      <c r="B5620" s="11" t="s">
        <v>730</v>
      </c>
      <c r="C5620" s="20"/>
      <c r="D5620" s="20"/>
      <c r="E5620" s="20"/>
      <c r="F5620" s="20"/>
      <c r="G5620" s="20"/>
    </row>
    <row r="5621">
      <c r="A5621" s="4"/>
      <c r="B5621" s="12" t="s">
        <v>731</v>
      </c>
      <c r="C5621" s="21"/>
      <c r="D5621" s="21"/>
      <c r="E5621" s="21"/>
      <c r="F5621" s="21"/>
      <c r="G5621" s="21"/>
    </row>
    <row r="5622">
      <c r="A5622" s="5"/>
      <c r="B5622" s="13" t="s">
        <v>732</v>
      </c>
      <c r="C5622" s="22">
        <f>(23)*(1)*(1)*(1)*(1 + (0))</f>
      </c>
      <c r="D5622" s="22" t="s">
        <v>153</v>
      </c>
      <c r="E5622" s="22"/>
      <c r="F5622" s="22">
        <f>(0)</f>
      </c>
      <c r="G5622" s="22">
        <f>(C5622 * E5622 + C5622 * E5622 * F5622)</f>
      </c>
    </row>
    <row r="5623">
      <c r="A5623" s="5"/>
      <c r="B5623" s="13" t="s">
        <v>733</v>
      </c>
      <c r="C5623" s="22">
        <f>(56)*(1)*(1)*(1)*(1 + (0))</f>
      </c>
      <c r="D5623" s="22" t="s">
        <v>153</v>
      </c>
      <c r="E5623" s="22"/>
      <c r="F5623" s="22">
        <f>(0)</f>
      </c>
      <c r="G5623" s="22">
        <f>(C5623 * E5623 + C5623 * E5623 * F5623)</f>
      </c>
    </row>
    <row r="5624">
      <c r="A5624" s="4"/>
      <c r="B5624" s="12" t="s">
        <v>734</v>
      </c>
      <c r="C5624" s="21"/>
      <c r="D5624" s="21"/>
      <c r="E5624" s="21"/>
      <c r="F5624" s="21"/>
      <c r="G5624" s="21"/>
    </row>
    <row r="5625">
      <c r="A5625" s="5"/>
      <c r="B5625" s="13" t="s">
        <v>1714</v>
      </c>
      <c r="C5625" s="22">
        <f>(163)*(1)*(1)*(1)*(1 + (0))</f>
      </c>
      <c r="D5625" s="22" t="s">
        <v>153</v>
      </c>
      <c r="E5625" s="22"/>
      <c r="F5625" s="22">
        <f>(0)</f>
      </c>
      <c r="G5625" s="22">
        <f>(C5625 * E5625 + C5625 * E5625 * F5625)</f>
      </c>
    </row>
    <row r="5626">
      <c r="A5626" s="4"/>
      <c r="B5626" s="12" t="s">
        <v>738</v>
      </c>
      <c r="C5626" s="21"/>
      <c r="D5626" s="21"/>
      <c r="E5626" s="21"/>
      <c r="F5626" s="21"/>
      <c r="G5626" s="21"/>
    </row>
    <row r="5627">
      <c r="A5627" s="5"/>
      <c r="B5627" s="13" t="s">
        <v>2148</v>
      </c>
      <c r="C5627" s="22">
        <f>(35)*(1)*(1)*(1)*(1 + (0))</f>
      </c>
      <c r="D5627" s="22" t="s">
        <v>24</v>
      </c>
      <c r="E5627" s="22"/>
      <c r="F5627" s="22">
        <f>(0)</f>
      </c>
      <c r="G5627" s="22">
        <f>(C5627 * E5627 + C5627 * E5627 * F5627)</f>
      </c>
    </row>
    <row r="5628">
      <c r="A5628" s="3"/>
      <c r="B5628" s="11" t="s">
        <v>740</v>
      </c>
      <c r="C5628" s="20"/>
      <c r="D5628" s="20"/>
      <c r="E5628" s="20"/>
      <c r="F5628" s="20"/>
      <c r="G5628" s="20"/>
    </row>
    <row r="5629">
      <c r="A5629" s="5"/>
      <c r="B5629" s="14" t="s">
        <v>741</v>
      </c>
      <c r="C5629" s="22">
        <f>(56)*(1)*(1)*(1)*(1 + (0))</f>
      </c>
      <c r="D5629" s="22" t="s">
        <v>153</v>
      </c>
      <c r="E5629" s="22"/>
      <c r="F5629" s="22">
        <f>(0)</f>
      </c>
      <c r="G5629" s="22">
        <f>(C5629 * E5629 + C5629 * E5629 * F5629)</f>
      </c>
    </row>
    <row r="5630">
      <c r="A5630" s="5"/>
      <c r="B5630" s="14" t="s">
        <v>2149</v>
      </c>
      <c r="C5630" s="22">
        <f>(4)*(1)*(1)*(1)*(1 + (0))</f>
      </c>
      <c r="D5630" s="22" t="s">
        <v>162</v>
      </c>
      <c r="E5630" s="22"/>
      <c r="F5630" s="22">
        <f>(0)</f>
      </c>
      <c r="G5630" s="22">
        <f>(C5630 * E5630 + C5630 * E5630 * F5630)</f>
      </c>
    </row>
    <row r="5631">
      <c r="A5631" s="5"/>
      <c r="B5631" s="14" t="s">
        <v>2150</v>
      </c>
      <c r="C5631" s="22">
        <f>(2)*(1)*(1)*(1)*(1 + (0))</f>
      </c>
      <c r="D5631" s="22" t="s">
        <v>162</v>
      </c>
      <c r="E5631" s="22"/>
      <c r="F5631" s="22">
        <f>(0)</f>
      </c>
      <c r="G5631" s="22">
        <f>(C5631 * E5631 + C5631 * E5631 * F5631)</f>
      </c>
    </row>
    <row r="5632">
      <c r="A5632" s="5"/>
      <c r="B5632" s="14" t="s">
        <v>748</v>
      </c>
      <c r="C5632" s="22">
        <f>(8)*(1)*(1)*(1)*(1 + (0))</f>
      </c>
      <c r="D5632" s="22" t="s">
        <v>162</v>
      </c>
      <c r="E5632" s="22"/>
      <c r="F5632" s="22">
        <f>(0)</f>
      </c>
      <c r="G5632" s="22">
        <f>(C5632 * E5632 + C5632 * E5632 * F5632)</f>
      </c>
    </row>
    <row r="5633">
      <c r="A5633" s="5"/>
      <c r="B5633" s="14" t="s">
        <v>749</v>
      </c>
      <c r="C5633" s="22">
        <f>(56)*(1)*(1)*(1)*(1 + (0))</f>
      </c>
      <c r="D5633" s="22" t="s">
        <v>153</v>
      </c>
      <c r="E5633" s="22"/>
      <c r="F5633" s="22">
        <f>(0)</f>
      </c>
      <c r="G5633" s="22">
        <f>(C5633 * E5633 + C5633 * E5633 * F5633)</f>
      </c>
    </row>
    <row r="5634">
      <c r="A5634" s="5"/>
      <c r="B5634" s="14" t="s">
        <v>751</v>
      </c>
      <c r="C5634" s="22">
        <f>(6)*(1)*(1)*(1)*(1 + (0))</f>
      </c>
      <c r="D5634" s="22" t="s">
        <v>162</v>
      </c>
      <c r="E5634" s="22"/>
      <c r="F5634" s="22">
        <f>(0)</f>
      </c>
      <c r="G5634" s="22">
        <f>(C5634 * E5634 + C5634 * E5634 * F5634)</f>
      </c>
    </row>
    <row r="5635">
      <c r="A5635" s="3"/>
      <c r="B5635" s="11" t="s">
        <v>753</v>
      </c>
      <c r="C5635" s="20"/>
      <c r="D5635" s="20"/>
      <c r="E5635" s="20"/>
      <c r="F5635" s="20"/>
      <c r="G5635" s="20"/>
    </row>
    <row r="5636">
      <c r="A5636" s="5"/>
      <c r="B5636" s="14" t="s">
        <v>755</v>
      </c>
      <c r="C5636" s="22">
        <f>(1)*(1)*(1)*(1)*(1 + (0))</f>
      </c>
      <c r="D5636" s="22" t="s">
        <v>162</v>
      </c>
      <c r="E5636" s="22"/>
      <c r="F5636" s="22">
        <f>(0)</f>
      </c>
      <c r="G5636" s="22">
        <f>(C5636 * E5636 + C5636 * E5636 * F5636)</f>
      </c>
    </row>
    <row r="5637">
      <c r="A5637" s="5"/>
      <c r="B5637" s="14" t="s">
        <v>756</v>
      </c>
      <c r="C5637" s="22">
        <f>(1)*(1)*(1)*(1)*(1 + (0))</f>
      </c>
      <c r="D5637" s="22" t="s">
        <v>71</v>
      </c>
      <c r="E5637" s="22"/>
      <c r="F5637" s="22">
        <f>(0)</f>
      </c>
      <c r="G5637" s="22">
        <f>(C5637 * E5637 + C5637 * E5637 * F5637)</f>
      </c>
    </row>
    <row r="5638">
      <c r="A5638" s="2"/>
      <c r="B5638" s="10" t="s">
        <v>757</v>
      </c>
      <c r="C5638" s="19"/>
      <c r="D5638" s="19"/>
      <c r="E5638" s="19"/>
      <c r="F5638" s="19"/>
      <c r="G5638" s="19"/>
    </row>
    <row r="5639">
      <c r="A5639" s="3"/>
      <c r="B5639" s="11" t="s">
        <v>37</v>
      </c>
      <c r="C5639" s="20"/>
      <c r="D5639" s="20"/>
      <c r="E5639" s="20"/>
      <c r="F5639" s="20"/>
      <c r="G5639" s="20"/>
    </row>
    <row r="5640">
      <c r="A5640" s="5" t="s">
        <v>758</v>
      </c>
      <c r="B5640" s="14" t="s">
        <v>759</v>
      </c>
      <c r="C5640" s="22"/>
      <c r="D5640" s="22" t="s">
        <v>10</v>
      </c>
      <c r="E5640" s="22"/>
      <c r="F5640" s="22">
        <f>(0)</f>
      </c>
      <c r="G5640" s="22">
        <f>(C5640 * E5640 + C5640 * E5640 * F5640)</f>
      </c>
    </row>
    <row r="5641">
      <c r="A5641" s="5" t="s">
        <v>760</v>
      </c>
      <c r="B5641" s="14" t="s">
        <v>41</v>
      </c>
      <c r="C5641" s="22"/>
      <c r="D5641" s="22" t="s">
        <v>10</v>
      </c>
      <c r="E5641" s="22"/>
      <c r="F5641" s="22">
        <f>(0)</f>
      </c>
      <c r="G5641" s="22">
        <f>(C5641 * E5641 + C5641 * E5641 * F5641)</f>
      </c>
    </row>
    <row r="5642">
      <c r="A5642" s="3"/>
      <c r="B5642" s="11" t="s">
        <v>42</v>
      </c>
      <c r="C5642" s="20"/>
      <c r="D5642" s="20"/>
      <c r="E5642" s="20"/>
      <c r="F5642" s="20"/>
      <c r="G5642" s="20"/>
    </row>
    <row r="5643">
      <c r="A5643" s="5"/>
      <c r="B5643" s="14" t="s">
        <v>761</v>
      </c>
      <c r="C5643" s="22"/>
      <c r="D5643" s="22" t="s">
        <v>10</v>
      </c>
      <c r="E5643" s="22"/>
      <c r="F5643" s="22">
        <f>(0)</f>
      </c>
      <c r="G5643" s="22">
        <f>(C5643 * E5643 + C5643 * E5643 * F5643)</f>
      </c>
    </row>
    <row r="5644">
      <c r="A5644" s="5"/>
      <c r="B5644" s="14" t="s">
        <v>762</v>
      </c>
      <c r="C5644" s="22"/>
      <c r="D5644" s="22" t="s">
        <v>10</v>
      </c>
      <c r="E5644" s="22"/>
      <c r="F5644" s="22">
        <f>(0)</f>
      </c>
      <c r="G5644" s="22">
        <f>(C5644 * E5644 + C5644 * E5644 * F5644)</f>
      </c>
    </row>
    <row r="5645">
      <c r="A5645" s="5"/>
      <c r="B5645" s="14" t="s">
        <v>763</v>
      </c>
      <c r="C5645" s="22"/>
      <c r="D5645" s="22" t="s">
        <v>10</v>
      </c>
      <c r="E5645" s="22"/>
      <c r="F5645" s="22">
        <f>(0)</f>
      </c>
      <c r="G5645" s="22">
        <f>(C5645 * E5645 + C5645 * E5645 * F5645)</f>
      </c>
    </row>
    <row r="5646">
      <c r="A5646" s="5"/>
      <c r="B5646" s="14" t="s">
        <v>764</v>
      </c>
      <c r="C5646" s="22"/>
      <c r="D5646" s="22" t="s">
        <v>10</v>
      </c>
      <c r="E5646" s="22"/>
      <c r="F5646" s="22">
        <f>(0)</f>
      </c>
      <c r="G5646" s="22">
        <f>(C5646 * E5646 + C5646 * E5646 * F5646)</f>
      </c>
    </row>
    <row r="5647">
      <c r="A5647" s="3"/>
      <c r="B5647" s="11" t="s">
        <v>44</v>
      </c>
      <c r="C5647" s="20"/>
      <c r="D5647" s="20"/>
      <c r="E5647" s="20"/>
      <c r="F5647" s="20"/>
      <c r="G5647" s="20"/>
    </row>
    <row r="5648">
      <c r="A5648" s="4"/>
      <c r="B5648" s="12" t="s">
        <v>45</v>
      </c>
      <c r="C5648" s="21"/>
      <c r="D5648" s="21"/>
      <c r="E5648" s="21"/>
      <c r="F5648" s="21"/>
      <c r="G5648" s="21"/>
    </row>
    <row r="5649">
      <c r="A5649" s="5" t="s">
        <v>765</v>
      </c>
      <c r="B5649" s="13" t="s">
        <v>696</v>
      </c>
      <c r="C5649" s="22"/>
      <c r="D5649" s="22" t="s">
        <v>10</v>
      </c>
      <c r="E5649" s="22"/>
      <c r="F5649" s="22">
        <f>(0)</f>
      </c>
      <c r="G5649" s="22">
        <f>(C5649 * E5649 + C5649 * E5649 * F5649)</f>
      </c>
    </row>
    <row r="5650">
      <c r="A5650" s="5" t="s">
        <v>766</v>
      </c>
      <c r="B5650" s="13" t="s">
        <v>767</v>
      </c>
      <c r="C5650" s="22"/>
      <c r="D5650" s="22" t="s">
        <v>10</v>
      </c>
      <c r="E5650" s="22"/>
      <c r="F5650" s="22">
        <f>(0)</f>
      </c>
      <c r="G5650" s="22">
        <f>(C5650 * E5650 + C5650 * E5650 * F5650)</f>
      </c>
    </row>
    <row r="5651">
      <c r="A5651" s="5" t="s">
        <v>768</v>
      </c>
      <c r="B5651" s="13" t="s">
        <v>769</v>
      </c>
      <c r="C5651" s="22"/>
      <c r="D5651" s="22" t="s">
        <v>10</v>
      </c>
      <c r="E5651" s="22"/>
      <c r="F5651" s="22">
        <f>(0)</f>
      </c>
      <c r="G5651" s="22">
        <f>(C5651 * E5651 + C5651 * E5651 * F5651)</f>
      </c>
    </row>
    <row r="5652">
      <c r="A5652" s="5" t="s">
        <v>770</v>
      </c>
      <c r="B5652" s="13" t="s">
        <v>654</v>
      </c>
      <c r="C5652" s="22"/>
      <c r="D5652" s="22" t="s">
        <v>10</v>
      </c>
      <c r="E5652" s="22"/>
      <c r="F5652" s="22">
        <f>(0)</f>
      </c>
      <c r="G5652" s="22">
        <f>(C5652 * E5652 + C5652 * E5652 * F5652)</f>
      </c>
    </row>
    <row r="5653">
      <c r="A5653" s="6"/>
      <c r="B5653" s="15" t="s">
        <v>771</v>
      </c>
      <c r="C5653" s="23"/>
      <c r="D5653" s="23"/>
      <c r="E5653" s="23"/>
      <c r="F5653" s="23"/>
      <c r="G5653" s="23"/>
    </row>
    <row r="5654">
      <c r="A5654" s="5" t="s">
        <v>772</v>
      </c>
      <c r="B5654" s="16" t="s">
        <v>528</v>
      </c>
      <c r="C5654" s="22"/>
      <c r="D5654" s="22" t="s">
        <v>10</v>
      </c>
      <c r="E5654" s="22"/>
      <c r="F5654" s="22">
        <f>(0)</f>
      </c>
      <c r="G5654" s="22">
        <f>(C5654 * E5654 + C5654 * E5654 * F5654)</f>
      </c>
    </row>
    <row r="5655">
      <c r="A5655" s="5" t="s">
        <v>773</v>
      </c>
      <c r="B5655" s="16" t="s">
        <v>530</v>
      </c>
      <c r="C5655" s="22"/>
      <c r="D5655" s="22" t="s">
        <v>10</v>
      </c>
      <c r="E5655" s="22"/>
      <c r="F5655" s="22">
        <f>(0)</f>
      </c>
      <c r="G5655" s="22">
        <f>(C5655 * E5655 + C5655 * E5655 * F5655)</f>
      </c>
    </row>
    <row r="5656">
      <c r="A5656" s="5" t="s">
        <v>774</v>
      </c>
      <c r="B5656" s="16" t="s">
        <v>532</v>
      </c>
      <c r="C5656" s="22"/>
      <c r="D5656" s="22" t="s">
        <v>10</v>
      </c>
      <c r="E5656" s="22"/>
      <c r="F5656" s="22">
        <f>(0)</f>
      </c>
      <c r="G5656" s="22">
        <f>(C5656 * E5656 + C5656 * E5656 * F5656)</f>
      </c>
    </row>
    <row r="5657">
      <c r="A5657" s="5" t="s">
        <v>775</v>
      </c>
      <c r="B5657" s="16" t="s">
        <v>536</v>
      </c>
      <c r="C5657" s="22"/>
      <c r="D5657" s="22" t="s">
        <v>10</v>
      </c>
      <c r="E5657" s="22"/>
      <c r="F5657" s="22">
        <f>(0)</f>
      </c>
      <c r="G5657" s="22">
        <f>(C5657 * E5657 + C5657 * E5657 * F5657)</f>
      </c>
    </row>
    <row r="5658">
      <c r="A5658" s="5" t="s">
        <v>776</v>
      </c>
      <c r="B5658" s="16" t="s">
        <v>777</v>
      </c>
      <c r="C5658" s="22"/>
      <c r="D5658" s="22" t="s">
        <v>10</v>
      </c>
      <c r="E5658" s="22"/>
      <c r="F5658" s="22">
        <f>(0)</f>
      </c>
      <c r="G5658" s="22">
        <f>(C5658 * E5658 + C5658 * E5658 * F5658)</f>
      </c>
    </row>
    <row r="5659">
      <c r="A5659" s="6"/>
      <c r="B5659" s="15" t="s">
        <v>778</v>
      </c>
      <c r="C5659" s="23"/>
      <c r="D5659" s="23"/>
      <c r="E5659" s="23"/>
      <c r="F5659" s="23"/>
      <c r="G5659" s="23"/>
    </row>
    <row r="5660">
      <c r="A5660" s="5" t="s">
        <v>779</v>
      </c>
      <c r="B5660" s="16" t="s">
        <v>780</v>
      </c>
      <c r="C5660" s="22"/>
      <c r="D5660" s="22" t="s">
        <v>10</v>
      </c>
      <c r="E5660" s="22"/>
      <c r="F5660" s="22">
        <f>(0)</f>
      </c>
      <c r="G5660" s="22">
        <f>(C5660 * E5660 + C5660 * E5660 * F5660)</f>
      </c>
    </row>
    <row r="5661">
      <c r="A5661" s="5" t="s">
        <v>781</v>
      </c>
      <c r="B5661" s="16" t="s">
        <v>782</v>
      </c>
      <c r="C5661" s="22"/>
      <c r="D5661" s="22" t="s">
        <v>10</v>
      </c>
      <c r="E5661" s="22"/>
      <c r="F5661" s="22">
        <f>(0)</f>
      </c>
      <c r="G5661" s="22">
        <f>(C5661 * E5661 + C5661 * E5661 * F5661)</f>
      </c>
    </row>
    <row r="5662">
      <c r="A5662" s="5" t="s">
        <v>783</v>
      </c>
      <c r="B5662" s="16" t="s">
        <v>784</v>
      </c>
      <c r="C5662" s="22"/>
      <c r="D5662" s="22" t="s">
        <v>10</v>
      </c>
      <c r="E5662" s="22"/>
      <c r="F5662" s="22">
        <f>(0)</f>
      </c>
      <c r="G5662" s="22">
        <f>(C5662 * E5662 + C5662 * E5662 * F5662)</f>
      </c>
    </row>
    <row r="5663">
      <c r="A5663" s="5" t="s">
        <v>785</v>
      </c>
      <c r="B5663" s="16" t="s">
        <v>786</v>
      </c>
      <c r="C5663" s="22"/>
      <c r="D5663" s="22" t="s">
        <v>10</v>
      </c>
      <c r="E5663" s="22"/>
      <c r="F5663" s="22">
        <f>(0)</f>
      </c>
      <c r="G5663" s="22">
        <f>(C5663 * E5663 + C5663 * E5663 * F5663)</f>
      </c>
    </row>
    <row r="5664">
      <c r="A5664" s="5" t="s">
        <v>787</v>
      </c>
      <c r="B5664" s="16" t="s">
        <v>788</v>
      </c>
      <c r="C5664" s="22"/>
      <c r="D5664" s="22" t="s">
        <v>10</v>
      </c>
      <c r="E5664" s="22"/>
      <c r="F5664" s="22">
        <f>(0)</f>
      </c>
      <c r="G5664" s="22">
        <f>(C5664 * E5664 + C5664 * E5664 * F5664)</f>
      </c>
    </row>
    <row r="5665">
      <c r="A5665" s="5" t="s">
        <v>789</v>
      </c>
      <c r="B5665" s="16" t="s">
        <v>769</v>
      </c>
      <c r="C5665" s="22"/>
      <c r="D5665" s="22" t="s">
        <v>10</v>
      </c>
      <c r="E5665" s="22"/>
      <c r="F5665" s="22">
        <f>(0)</f>
      </c>
      <c r="G5665" s="22">
        <f>(C5665 * E5665 + C5665 * E5665 * F5665)</f>
      </c>
    </row>
    <row r="5666">
      <c r="A5666" s="6"/>
      <c r="B5666" s="15" t="s">
        <v>790</v>
      </c>
      <c r="C5666" s="23"/>
      <c r="D5666" s="23"/>
      <c r="E5666" s="23"/>
      <c r="F5666" s="23"/>
      <c r="G5666" s="23"/>
    </row>
    <row r="5667">
      <c r="A5667" s="5" t="s">
        <v>791</v>
      </c>
      <c r="B5667" s="16" t="s">
        <v>652</v>
      </c>
      <c r="C5667" s="22"/>
      <c r="D5667" s="22" t="s">
        <v>10</v>
      </c>
      <c r="E5667" s="22"/>
      <c r="F5667" s="22">
        <f>(0)</f>
      </c>
      <c r="G5667" s="22">
        <f>(C5667 * E5667 + C5667 * E5667 * F5667)</f>
      </c>
    </row>
    <row r="5668">
      <c r="A5668" s="5" t="s">
        <v>792</v>
      </c>
      <c r="B5668" s="16" t="s">
        <v>700</v>
      </c>
      <c r="C5668" s="22"/>
      <c r="D5668" s="22" t="s">
        <v>10</v>
      </c>
      <c r="E5668" s="22"/>
      <c r="F5668" s="22">
        <f>(0)</f>
      </c>
      <c r="G5668" s="22">
        <f>(C5668 * E5668 + C5668 * E5668 * F5668)</f>
      </c>
    </row>
    <row r="5669">
      <c r="A5669" s="5" t="s">
        <v>793</v>
      </c>
      <c r="B5669" s="16" t="s">
        <v>650</v>
      </c>
      <c r="C5669" s="22"/>
      <c r="D5669" s="22" t="s">
        <v>10</v>
      </c>
      <c r="E5669" s="22"/>
      <c r="F5669" s="22">
        <f>(0)</f>
      </c>
      <c r="G5669" s="22">
        <f>(C5669 * E5669 + C5669 * E5669 * F5669)</f>
      </c>
    </row>
    <row r="5670">
      <c r="A5670" s="3"/>
      <c r="B5670" s="11" t="s">
        <v>68</v>
      </c>
      <c r="C5670" s="20"/>
      <c r="D5670" s="20"/>
      <c r="E5670" s="20"/>
      <c r="F5670" s="20"/>
      <c r="G5670" s="20"/>
    </row>
    <row r="5671">
      <c r="A5671" s="5" t="s">
        <v>794</v>
      </c>
      <c r="B5671" s="14" t="s">
        <v>70</v>
      </c>
      <c r="C5671" s="22">
        <f>(1)*(1)*(1)*(1)*(1 + (0))</f>
      </c>
      <c r="D5671" s="22" t="s">
        <v>71</v>
      </c>
      <c r="E5671" s="22"/>
      <c r="F5671" s="22">
        <f>(0)</f>
      </c>
      <c r="G5671" s="22">
        <f>(C5671 * E5671 + C5671 * E5671 * F5671)</f>
      </c>
    </row>
    <row r="5672">
      <c r="A5672" s="5" t="s">
        <v>795</v>
      </c>
      <c r="B5672" s="14" t="s">
        <v>796</v>
      </c>
      <c r="C5672" s="22">
        <f>(1)*(1)*(1)*(1)*(1 + (0))</f>
      </c>
      <c r="D5672" s="22" t="s">
        <v>71</v>
      </c>
      <c r="E5672" s="22"/>
      <c r="F5672" s="22">
        <f>(0)</f>
      </c>
      <c r="G5672" s="22">
        <f>(C5672 * E5672 + C5672 * E5672 * F5672)</f>
      </c>
    </row>
    <row r="5673">
      <c r="A5673" s="5" t="s">
        <v>797</v>
      </c>
      <c r="B5673" s="14" t="s">
        <v>798</v>
      </c>
      <c r="C5673" s="22">
        <f>(1)*(1)*(1)*(1)*(1 + (0))</f>
      </c>
      <c r="D5673" s="22" t="s">
        <v>71</v>
      </c>
      <c r="E5673" s="22"/>
      <c r="F5673" s="22">
        <f>(0)</f>
      </c>
      <c r="G5673" s="22">
        <f>(C5673 * E5673 + C5673 * E5673 * F5673)</f>
      </c>
    </row>
    <row r="5674">
      <c r="A5674" s="5" t="s">
        <v>799</v>
      </c>
      <c r="B5674" s="14" t="s">
        <v>800</v>
      </c>
      <c r="C5674" s="22">
        <f>(1)*(1)*(1)*(1)*(1 + (0))</f>
      </c>
      <c r="D5674" s="22" t="s">
        <v>71</v>
      </c>
      <c r="E5674" s="22"/>
      <c r="F5674" s="22">
        <f>(0)</f>
      </c>
      <c r="G5674" s="22">
        <f>(C5674 * E5674 + C5674 * E5674 * F5674)</f>
      </c>
    </row>
    <row r="5675">
      <c r="A5675" s="5" t="s">
        <v>801</v>
      </c>
      <c r="B5675" s="14" t="s">
        <v>73</v>
      </c>
      <c r="C5675" s="22">
        <f>(1)*(1)*(1)*(1)*(1 + (0))</f>
      </c>
      <c r="D5675" s="22" t="s">
        <v>71</v>
      </c>
      <c r="E5675" s="22"/>
      <c r="F5675" s="22">
        <f>(0)</f>
      </c>
      <c r="G5675" s="22">
        <f>(C5675 * E5675 + C5675 * E5675 * F5675)</f>
      </c>
    </row>
    <row r="5676">
      <c r="A5676" s="5" t="s">
        <v>802</v>
      </c>
      <c r="B5676" s="14" t="s">
        <v>803</v>
      </c>
      <c r="C5676" s="22">
        <f>(1)*(1)*(1)*(1)*(1 + (0))</f>
      </c>
      <c r="D5676" s="22" t="s">
        <v>71</v>
      </c>
      <c r="E5676" s="22"/>
      <c r="F5676" s="22">
        <f>(0)</f>
      </c>
      <c r="G5676" s="22">
        <f>(C5676 * E5676 + C5676 * E5676 * F5676)</f>
      </c>
    </row>
    <row r="5677">
      <c r="A5677" s="5" t="s">
        <v>804</v>
      </c>
      <c r="B5677" s="14" t="s">
        <v>805</v>
      </c>
      <c r="C5677" s="22">
        <f>(1)*(1)*(1)*(1)*(1 + (0))</f>
      </c>
      <c r="D5677" s="22" t="s">
        <v>71</v>
      </c>
      <c r="E5677" s="22"/>
      <c r="F5677" s="22">
        <f>(0)</f>
      </c>
      <c r="G5677" s="22">
        <f>(C5677 * E5677 + C5677 * E5677 * F5677)</f>
      </c>
    </row>
    <row r="5678">
      <c r="A5678" s="5" t="s">
        <v>806</v>
      </c>
      <c r="B5678" s="14" t="s">
        <v>230</v>
      </c>
      <c r="C5678" s="22">
        <f>(1)*(1)*(1)*(1)*(1 + (0))</f>
      </c>
      <c r="D5678" s="22" t="s">
        <v>71</v>
      </c>
      <c r="E5678" s="22"/>
      <c r="F5678" s="22">
        <f>(0)</f>
      </c>
      <c r="G5678" s="22">
        <f>(C5678 * E5678 + C5678 * E5678 * F5678)</f>
      </c>
    </row>
    <row r="5679">
      <c r="A5679" s="5" t="s">
        <v>807</v>
      </c>
      <c r="B5679" s="14" t="s">
        <v>808</v>
      </c>
      <c r="C5679" s="22">
        <f>(1)*(1)*(1)*(1)*(1 + (0))</f>
      </c>
      <c r="D5679" s="22" t="s">
        <v>71</v>
      </c>
      <c r="E5679" s="22"/>
      <c r="F5679" s="22">
        <f>(0)</f>
      </c>
      <c r="G5679" s="22">
        <f>(C5679 * E5679 + C5679 * E5679 * F5679)</f>
      </c>
    </row>
    <row r="5680">
      <c r="A5680" s="5" t="s">
        <v>809</v>
      </c>
      <c r="B5680" s="14" t="s">
        <v>810</v>
      </c>
      <c r="C5680" s="22">
        <f>(1)*(1)*(1)*(1)*(1 + (0))</f>
      </c>
      <c r="D5680" s="22" t="s">
        <v>71</v>
      </c>
      <c r="E5680" s="22"/>
      <c r="F5680" s="22">
        <f>(0)</f>
      </c>
      <c r="G5680" s="22">
        <f>(C5680 * E5680 + C5680 * E5680 * F5680)</f>
      </c>
    </row>
    <row r="5681">
      <c r="A5681" s="5" t="s">
        <v>811</v>
      </c>
      <c r="B5681" s="14" t="s">
        <v>812</v>
      </c>
      <c r="C5681" s="22">
        <f>(1)*(1)*(1)*(1)*(1 + (0))</f>
      </c>
      <c r="D5681" s="22" t="s">
        <v>71</v>
      </c>
      <c r="E5681" s="22"/>
      <c r="F5681" s="22">
        <f>(0)</f>
      </c>
      <c r="G5681" s="22">
        <f>(C5681 * E5681 + C5681 * E5681 * F5681)</f>
      </c>
    </row>
    <row r="5682">
      <c r="A5682" s="5" t="s">
        <v>813</v>
      </c>
      <c r="B5682" s="14" t="s">
        <v>814</v>
      </c>
      <c r="C5682" s="22">
        <f>(1)*(1)*(1)*(1)*(1 + (0))</f>
      </c>
      <c r="D5682" s="22" t="s">
        <v>71</v>
      </c>
      <c r="E5682" s="22"/>
      <c r="F5682" s="22">
        <f>(0)</f>
      </c>
      <c r="G5682" s="22">
        <f>(C5682 * E5682 + C5682 * E5682 * F5682)</f>
      </c>
    </row>
    <row r="5683">
      <c r="A5683" s="5" t="s">
        <v>815</v>
      </c>
      <c r="B5683" s="14" t="s">
        <v>816</v>
      </c>
      <c r="C5683" s="22">
        <f>(1)*(1)*(1)*(1)*(1 + (0))</f>
      </c>
      <c r="D5683" s="22" t="s">
        <v>71</v>
      </c>
      <c r="E5683" s="22"/>
      <c r="F5683" s="22">
        <f>(0)</f>
      </c>
      <c r="G5683" s="22">
        <f>(C5683 * E5683 + C5683 * E5683 * F5683)</f>
      </c>
    </row>
    <row r="5684">
      <c r="A5684" s="5" t="s">
        <v>817</v>
      </c>
      <c r="B5684" s="14" t="s">
        <v>667</v>
      </c>
      <c r="C5684" s="22">
        <f>(1)*(1)*(1)*(1)*(1 + (0))</f>
      </c>
      <c r="D5684" s="22" t="s">
        <v>71</v>
      </c>
      <c r="E5684" s="22"/>
      <c r="F5684" s="22">
        <f>(0)</f>
      </c>
      <c r="G5684" s="22">
        <f>(C5684 * E5684 + C5684 * E5684 * F5684)</f>
      </c>
    </row>
    <row r="5685">
      <c r="A5685" s="3"/>
      <c r="B5685" s="11" t="s">
        <v>106</v>
      </c>
      <c r="C5685" s="20"/>
      <c r="D5685" s="20"/>
      <c r="E5685" s="20"/>
      <c r="F5685" s="20"/>
      <c r="G5685" s="20"/>
    </row>
    <row r="5686">
      <c r="A5686" s="5"/>
      <c r="B5686" s="14" t="s">
        <v>818</v>
      </c>
      <c r="C5686" s="22"/>
      <c r="D5686" s="22" t="s">
        <v>10</v>
      </c>
      <c r="E5686" s="22"/>
      <c r="F5686" s="22">
        <f>(0)</f>
      </c>
      <c r="G5686" s="22">
        <f>(C5686 * E5686 + C5686 * E5686 * F5686)</f>
      </c>
    </row>
    <row r="5687">
      <c r="A5687" s="3"/>
      <c r="B5687" s="11" t="s">
        <v>819</v>
      </c>
      <c r="C5687" s="20"/>
      <c r="D5687" s="20"/>
      <c r="E5687" s="20"/>
      <c r="F5687" s="20"/>
      <c r="G5687" s="20"/>
    </row>
    <row r="5688">
      <c r="A5688" s="4"/>
      <c r="B5688" s="12" t="s">
        <v>820</v>
      </c>
      <c r="C5688" s="21"/>
      <c r="D5688" s="21"/>
      <c r="E5688" s="21"/>
      <c r="F5688" s="21"/>
      <c r="G5688" s="21"/>
    </row>
    <row r="5689">
      <c r="A5689" s="5"/>
      <c r="B5689" s="13" t="s">
        <v>2151</v>
      </c>
      <c r="C5689" s="22">
        <f>(233)*(1)*(1)*(1)*(1 + (0))</f>
      </c>
      <c r="D5689" s="22" t="s">
        <v>24</v>
      </c>
      <c r="E5689" s="22"/>
      <c r="F5689" s="22">
        <f>(0)</f>
      </c>
      <c r="G5689" s="22">
        <f>(C5689 * E5689 + C5689 * E5689 * F5689)</f>
      </c>
    </row>
    <row r="5690">
      <c r="A5690" s="4"/>
      <c r="B5690" s="12" t="s">
        <v>1998</v>
      </c>
      <c r="C5690" s="21"/>
      <c r="D5690" s="21"/>
      <c r="E5690" s="21"/>
      <c r="F5690" s="21"/>
      <c r="G5690" s="21"/>
    </row>
    <row r="5691">
      <c r="A5691" s="5"/>
      <c r="B5691" s="13" t="s">
        <v>2151</v>
      </c>
      <c r="C5691" s="22">
        <f>(19)*(1)*(1)*(1)*(1 + (0))</f>
      </c>
      <c r="D5691" s="22" t="s">
        <v>24</v>
      </c>
      <c r="E5691" s="22"/>
      <c r="F5691" s="22">
        <f>(0)</f>
      </c>
      <c r="G5691" s="22">
        <f>(C5691 * E5691 + C5691 * E5691 * F5691)</f>
      </c>
    </row>
    <row r="5692">
      <c r="A5692" s="4"/>
      <c r="B5692" s="12" t="s">
        <v>1719</v>
      </c>
      <c r="C5692" s="21"/>
      <c r="D5692" s="21"/>
      <c r="E5692" s="21"/>
      <c r="F5692" s="21"/>
      <c r="G5692" s="21"/>
    </row>
    <row r="5693">
      <c r="A5693" s="5"/>
      <c r="B5693" s="13" t="s">
        <v>2151</v>
      </c>
      <c r="C5693" s="22">
        <f>(3)*(1)*(1)*(1)*(1 + (0))</f>
      </c>
      <c r="D5693" s="22" t="s">
        <v>24</v>
      </c>
      <c r="E5693" s="22"/>
      <c r="F5693" s="22">
        <f>(0)</f>
      </c>
      <c r="G5693" s="22">
        <f>(C5693 * E5693 + C5693 * E5693 * F5693)</f>
      </c>
    </row>
    <row r="5694">
      <c r="A5694" s="4"/>
      <c r="B5694" s="12" t="s">
        <v>826</v>
      </c>
      <c r="C5694" s="21"/>
      <c r="D5694" s="21"/>
      <c r="E5694" s="21"/>
      <c r="F5694" s="21"/>
      <c r="G5694" s="21"/>
    </row>
    <row r="5695">
      <c r="A5695" s="5"/>
      <c r="B5695" s="13" t="s">
        <v>2151</v>
      </c>
      <c r="C5695" s="22">
        <f>(168)*(1)*(1)*(1)*(1 + (0))</f>
      </c>
      <c r="D5695" s="22" t="s">
        <v>24</v>
      </c>
      <c r="E5695" s="22"/>
      <c r="F5695" s="22">
        <f>(0)</f>
      </c>
      <c r="G5695" s="22">
        <f>(C5695 * E5695 + C5695 * E5695 * F5695)</f>
      </c>
    </row>
    <row r="5696">
      <c r="A5696" s="2"/>
      <c r="B5696" s="10" t="s">
        <v>828</v>
      </c>
      <c r="C5696" s="19"/>
      <c r="D5696" s="19"/>
      <c r="E5696" s="19"/>
      <c r="F5696" s="19"/>
      <c r="G5696" s="19"/>
    </row>
    <row r="5697">
      <c r="A5697" s="3"/>
      <c r="B5697" s="11" t="s">
        <v>37</v>
      </c>
      <c r="C5697" s="20"/>
      <c r="D5697" s="20"/>
      <c r="E5697" s="20"/>
      <c r="F5697" s="20"/>
      <c r="G5697" s="20"/>
    </row>
    <row r="5698">
      <c r="A5698" s="5" t="s">
        <v>829</v>
      </c>
      <c r="B5698" s="14" t="s">
        <v>39</v>
      </c>
      <c r="C5698" s="22"/>
      <c r="D5698" s="22" t="s">
        <v>10</v>
      </c>
      <c r="E5698" s="22"/>
      <c r="F5698" s="22">
        <f>(0)</f>
      </c>
      <c r="G5698" s="22">
        <f>(C5698 * E5698 + C5698 * E5698 * F5698)</f>
      </c>
    </row>
    <row r="5699">
      <c r="A5699" s="5" t="s">
        <v>830</v>
      </c>
      <c r="B5699" s="14" t="s">
        <v>41</v>
      </c>
      <c r="C5699" s="22"/>
      <c r="D5699" s="22" t="s">
        <v>10</v>
      </c>
      <c r="E5699" s="22"/>
      <c r="F5699" s="22">
        <f>(0)</f>
      </c>
      <c r="G5699" s="22">
        <f>(C5699 * E5699 + C5699 * E5699 * F5699)</f>
      </c>
    </row>
    <row r="5700">
      <c r="A5700" s="3"/>
      <c r="B5700" s="11" t="s">
        <v>42</v>
      </c>
      <c r="C5700" s="20"/>
      <c r="D5700" s="20"/>
      <c r="E5700" s="20"/>
      <c r="F5700" s="20"/>
      <c r="G5700" s="20"/>
    </row>
    <row r="5701">
      <c r="A5701" s="5"/>
      <c r="B5701" s="14" t="s">
        <v>1722</v>
      </c>
      <c r="C5701" s="22"/>
      <c r="D5701" s="22" t="s">
        <v>10</v>
      </c>
      <c r="E5701" s="22"/>
      <c r="F5701" s="22">
        <f>(0)</f>
      </c>
      <c r="G5701" s="22">
        <f>(C5701 * E5701 + C5701 * E5701 * F5701)</f>
      </c>
    </row>
    <row r="5702">
      <c r="A5702" s="5"/>
      <c r="B5702" s="14" t="s">
        <v>1723</v>
      </c>
      <c r="C5702" s="22"/>
      <c r="D5702" s="22" t="s">
        <v>10</v>
      </c>
      <c r="E5702" s="22"/>
      <c r="F5702" s="22">
        <f>(0)</f>
      </c>
      <c r="G5702" s="22">
        <f>(C5702 * E5702 + C5702 * E5702 * F5702)</f>
      </c>
    </row>
    <row r="5703">
      <c r="A5703" s="3"/>
      <c r="B5703" s="11" t="s">
        <v>44</v>
      </c>
      <c r="C5703" s="20"/>
      <c r="D5703" s="20"/>
      <c r="E5703" s="20"/>
      <c r="F5703" s="20"/>
      <c r="G5703" s="20"/>
    </row>
    <row r="5704">
      <c r="A5704" s="4"/>
      <c r="B5704" s="12" t="s">
        <v>45</v>
      </c>
      <c r="C5704" s="21"/>
      <c r="D5704" s="21"/>
      <c r="E5704" s="21"/>
      <c r="F5704" s="21"/>
      <c r="G5704" s="21"/>
    </row>
    <row r="5705">
      <c r="A5705" s="5" t="s">
        <v>831</v>
      </c>
      <c r="B5705" s="13" t="s">
        <v>832</v>
      </c>
      <c r="C5705" s="22"/>
      <c r="D5705" s="22" t="s">
        <v>10</v>
      </c>
      <c r="E5705" s="22"/>
      <c r="F5705" s="22">
        <f>(0)</f>
      </c>
      <c r="G5705" s="22">
        <f>(C5705 * E5705 + C5705 * E5705 * F5705)</f>
      </c>
    </row>
    <row r="5706">
      <c r="A5706" s="5" t="s">
        <v>833</v>
      </c>
      <c r="B5706" s="13" t="s">
        <v>530</v>
      </c>
      <c r="C5706" s="22"/>
      <c r="D5706" s="22" t="s">
        <v>10</v>
      </c>
      <c r="E5706" s="22"/>
      <c r="F5706" s="22">
        <f>(0)</f>
      </c>
      <c r="G5706" s="22">
        <f>(C5706 * E5706 + C5706 * E5706 * F5706)</f>
      </c>
    </row>
    <row r="5707">
      <c r="A5707" s="5" t="s">
        <v>834</v>
      </c>
      <c r="B5707" s="13" t="s">
        <v>835</v>
      </c>
      <c r="C5707" s="22"/>
      <c r="D5707" s="22" t="s">
        <v>10</v>
      </c>
      <c r="E5707" s="22"/>
      <c r="F5707" s="22">
        <f>(0)</f>
      </c>
      <c r="G5707" s="22">
        <f>(C5707 * E5707 + C5707 * E5707 * F5707)</f>
      </c>
    </row>
    <row r="5708">
      <c r="A5708" s="5" t="s">
        <v>836</v>
      </c>
      <c r="B5708" s="13" t="s">
        <v>837</v>
      </c>
      <c r="C5708" s="22"/>
      <c r="D5708" s="22" t="s">
        <v>10</v>
      </c>
      <c r="E5708" s="22"/>
      <c r="F5708" s="22">
        <f>(0)</f>
      </c>
      <c r="G5708" s="22">
        <f>(C5708 * E5708 + C5708 * E5708 * F5708)</f>
      </c>
    </row>
    <row r="5709">
      <c r="A5709" s="5" t="s">
        <v>838</v>
      </c>
      <c r="B5709" s="13" t="s">
        <v>839</v>
      </c>
      <c r="C5709" s="22"/>
      <c r="D5709" s="22" t="s">
        <v>10</v>
      </c>
      <c r="E5709" s="22"/>
      <c r="F5709" s="22">
        <f>(0)</f>
      </c>
      <c r="G5709" s="22">
        <f>(C5709 * E5709 + C5709 * E5709 * F5709)</f>
      </c>
    </row>
    <row r="5710">
      <c r="A5710" s="5" t="s">
        <v>840</v>
      </c>
      <c r="B5710" s="13" t="s">
        <v>841</v>
      </c>
      <c r="C5710" s="22"/>
      <c r="D5710" s="22" t="s">
        <v>10</v>
      </c>
      <c r="E5710" s="22"/>
      <c r="F5710" s="22">
        <f>(0)</f>
      </c>
      <c r="G5710" s="22">
        <f>(C5710 * E5710 + C5710 * E5710 * F5710)</f>
      </c>
    </row>
    <row r="5711">
      <c r="A5711" s="5" t="s">
        <v>842</v>
      </c>
      <c r="B5711" s="13" t="s">
        <v>843</v>
      </c>
      <c r="C5711" s="22"/>
      <c r="D5711" s="22" t="s">
        <v>10</v>
      </c>
      <c r="E5711" s="22"/>
      <c r="F5711" s="22">
        <f>(0)</f>
      </c>
      <c r="G5711" s="22">
        <f>(C5711 * E5711 + C5711 * E5711 * F5711)</f>
      </c>
    </row>
    <row r="5712">
      <c r="A5712" s="5" t="s">
        <v>844</v>
      </c>
      <c r="B5712" s="13" t="s">
        <v>845</v>
      </c>
      <c r="C5712" s="22"/>
      <c r="D5712" s="22" t="s">
        <v>10</v>
      </c>
      <c r="E5712" s="22"/>
      <c r="F5712" s="22">
        <f>(0)</f>
      </c>
      <c r="G5712" s="22">
        <f>(C5712 * E5712 + C5712 * E5712 * F5712)</f>
      </c>
    </row>
    <row r="5713">
      <c r="A5713" s="5" t="s">
        <v>846</v>
      </c>
      <c r="B5713" s="13" t="s">
        <v>847</v>
      </c>
      <c r="C5713" s="22"/>
      <c r="D5713" s="22" t="s">
        <v>10</v>
      </c>
      <c r="E5713" s="22"/>
      <c r="F5713" s="22">
        <f>(0)</f>
      </c>
      <c r="G5713" s="22">
        <f>(C5713 * E5713 + C5713 * E5713 * F5713)</f>
      </c>
    </row>
    <row r="5714">
      <c r="A5714" s="5" t="s">
        <v>848</v>
      </c>
      <c r="B5714" s="13" t="s">
        <v>849</v>
      </c>
      <c r="C5714" s="22"/>
      <c r="D5714" s="22" t="s">
        <v>10</v>
      </c>
      <c r="E5714" s="22"/>
      <c r="F5714" s="22">
        <f>(0)</f>
      </c>
      <c r="G5714" s="22">
        <f>(C5714 * E5714 + C5714 * E5714 * F5714)</f>
      </c>
    </row>
    <row r="5715">
      <c r="A5715" s="5" t="s">
        <v>850</v>
      </c>
      <c r="B5715" s="13" t="s">
        <v>851</v>
      </c>
      <c r="C5715" s="22"/>
      <c r="D5715" s="22" t="s">
        <v>10</v>
      </c>
      <c r="E5715" s="22"/>
      <c r="F5715" s="22">
        <f>(0)</f>
      </c>
      <c r="G5715" s="22">
        <f>(C5715 * E5715 + C5715 * E5715 * F5715)</f>
      </c>
    </row>
    <row r="5716">
      <c r="A5716" s="5" t="s">
        <v>852</v>
      </c>
      <c r="B5716" s="13" t="s">
        <v>853</v>
      </c>
      <c r="C5716" s="22"/>
      <c r="D5716" s="22" t="s">
        <v>10</v>
      </c>
      <c r="E5716" s="22"/>
      <c r="F5716" s="22">
        <f>(0)</f>
      </c>
      <c r="G5716" s="22">
        <f>(C5716 * E5716 + C5716 * E5716 * F5716)</f>
      </c>
    </row>
    <row r="5717">
      <c r="A5717" s="5" t="s">
        <v>854</v>
      </c>
      <c r="B5717" s="13" t="s">
        <v>123</v>
      </c>
      <c r="C5717" s="22"/>
      <c r="D5717" s="22" t="s">
        <v>10</v>
      </c>
      <c r="E5717" s="22"/>
      <c r="F5717" s="22">
        <f>(0)</f>
      </c>
      <c r="G5717" s="22">
        <f>(C5717 * E5717 + C5717 * E5717 * F5717)</f>
      </c>
    </row>
    <row r="5718">
      <c r="A5718" s="3"/>
      <c r="B5718" s="11" t="s">
        <v>68</v>
      </c>
      <c r="C5718" s="20"/>
      <c r="D5718" s="20"/>
      <c r="E5718" s="20"/>
      <c r="F5718" s="20"/>
      <c r="G5718" s="20"/>
    </row>
    <row r="5719">
      <c r="A5719" s="5" t="s">
        <v>857</v>
      </c>
      <c r="B5719" s="14" t="s">
        <v>858</v>
      </c>
      <c r="C5719" s="22">
        <f>(1)*(1)*(1)*(1)*(1 + (0))</f>
      </c>
      <c r="D5719" s="22" t="s">
        <v>71</v>
      </c>
      <c r="E5719" s="22"/>
      <c r="F5719" s="22">
        <f>(0)</f>
      </c>
      <c r="G5719" s="22">
        <f>(C5719 * E5719 + C5719 * E5719 * F5719)</f>
      </c>
    </row>
    <row r="5720">
      <c r="A5720" s="5" t="s">
        <v>859</v>
      </c>
      <c r="B5720" s="14" t="s">
        <v>136</v>
      </c>
      <c r="C5720" s="22">
        <f>(1)*(1)*(1)*(1)*(1 + (0))</f>
      </c>
      <c r="D5720" s="22" t="s">
        <v>71</v>
      </c>
      <c r="E5720" s="22"/>
      <c r="F5720" s="22">
        <f>(0)</f>
      </c>
      <c r="G5720" s="22">
        <f>(C5720 * E5720 + C5720 * E5720 * F5720)</f>
      </c>
    </row>
    <row r="5721">
      <c r="A5721" s="5" t="s">
        <v>860</v>
      </c>
      <c r="B5721" s="14" t="s">
        <v>77</v>
      </c>
      <c r="C5721" s="22">
        <f>(1)*(1)*(1)*(1)*(1 + (0))</f>
      </c>
      <c r="D5721" s="22" t="s">
        <v>71</v>
      </c>
      <c r="E5721" s="22"/>
      <c r="F5721" s="22">
        <f>(0)</f>
      </c>
      <c r="G5721" s="22">
        <f>(C5721 * E5721 + C5721 * E5721 * F5721)</f>
      </c>
    </row>
    <row r="5722">
      <c r="A5722" s="5" t="s">
        <v>861</v>
      </c>
      <c r="B5722" s="14" t="s">
        <v>70</v>
      </c>
      <c r="C5722" s="22">
        <f>(1)*(1)*(1)*(1)*(1 + (0))</f>
      </c>
      <c r="D5722" s="22" t="s">
        <v>71</v>
      </c>
      <c r="E5722" s="22"/>
      <c r="F5722" s="22">
        <f>(0)</f>
      </c>
      <c r="G5722" s="22">
        <f>(C5722 * E5722 + C5722 * E5722 * F5722)</f>
      </c>
    </row>
    <row r="5723">
      <c r="A5723" s="5" t="s">
        <v>862</v>
      </c>
      <c r="B5723" s="14" t="s">
        <v>863</v>
      </c>
      <c r="C5723" s="22">
        <f>(1)*(1)*(1)*(1)*(1 + (0))</f>
      </c>
      <c r="D5723" s="22" t="s">
        <v>71</v>
      </c>
      <c r="E5723" s="22"/>
      <c r="F5723" s="22">
        <f>(0)</f>
      </c>
      <c r="G5723" s="22">
        <f>(C5723 * E5723 + C5723 * E5723 * F5723)</f>
      </c>
    </row>
    <row r="5724">
      <c r="A5724" s="5" t="s">
        <v>864</v>
      </c>
      <c r="B5724" s="14" t="s">
        <v>816</v>
      </c>
      <c r="C5724" s="22">
        <f>(1)*(1)*(1)*(1)*(1 + (0))</f>
      </c>
      <c r="D5724" s="22" t="s">
        <v>71</v>
      </c>
      <c r="E5724" s="22"/>
      <c r="F5724" s="22">
        <f>(0)</f>
      </c>
      <c r="G5724" s="22">
        <f>(C5724 * E5724 + C5724 * E5724 * F5724)</f>
      </c>
    </row>
    <row r="5725">
      <c r="A5725" s="5" t="s">
        <v>865</v>
      </c>
      <c r="B5725" s="14" t="s">
        <v>798</v>
      </c>
      <c r="C5725" s="22">
        <f>(1)*(1)*(1)*(1)*(1 + (0))</f>
      </c>
      <c r="D5725" s="22" t="s">
        <v>71</v>
      </c>
      <c r="E5725" s="22"/>
      <c r="F5725" s="22">
        <f>(0)</f>
      </c>
      <c r="G5725" s="22">
        <f>(C5725 * E5725 + C5725 * E5725 * F5725)</f>
      </c>
    </row>
    <row r="5726">
      <c r="A5726" s="5" t="s">
        <v>866</v>
      </c>
      <c r="B5726" s="14" t="s">
        <v>230</v>
      </c>
      <c r="C5726" s="22">
        <f>(1)*(1)*(1)*(1)*(1 + (0))</f>
      </c>
      <c r="D5726" s="22" t="s">
        <v>71</v>
      </c>
      <c r="E5726" s="22"/>
      <c r="F5726" s="22">
        <f>(0)</f>
      </c>
      <c r="G5726" s="22">
        <f>(C5726 * E5726 + C5726 * E5726 * F5726)</f>
      </c>
    </row>
    <row r="5727">
      <c r="A5727" s="5" t="s">
        <v>867</v>
      </c>
      <c r="B5727" s="14" t="s">
        <v>665</v>
      </c>
      <c r="C5727" s="22">
        <f>(1)*(1)*(1)*(1)*(1 + (0))</f>
      </c>
      <c r="D5727" s="22" t="s">
        <v>71</v>
      </c>
      <c r="E5727" s="22"/>
      <c r="F5727" s="22">
        <f>(0)</f>
      </c>
      <c r="G5727" s="22">
        <f>(C5727 * E5727 + C5727 * E5727 * F5727)</f>
      </c>
    </row>
    <row r="5728">
      <c r="A5728" s="3"/>
      <c r="B5728" s="11" t="s">
        <v>106</v>
      </c>
      <c r="C5728" s="20"/>
      <c r="D5728" s="20"/>
      <c r="E5728" s="20"/>
      <c r="F5728" s="20"/>
      <c r="G5728" s="20"/>
    </row>
    <row r="5729">
      <c r="A5729" s="5"/>
      <c r="B5729" s="14" t="s">
        <v>2152</v>
      </c>
      <c r="C5729" s="22"/>
      <c r="D5729" s="22" t="s">
        <v>10</v>
      </c>
      <c r="E5729" s="22"/>
      <c r="F5729" s="22">
        <f>(0)</f>
      </c>
      <c r="G5729" s="22">
        <f>(C5729 * E5729 + C5729 * E5729 * F5729)</f>
      </c>
    </row>
    <row r="5730">
      <c r="A5730" s="5"/>
      <c r="B5730" s="14" t="s">
        <v>2153</v>
      </c>
      <c r="C5730" s="22"/>
      <c r="D5730" s="22" t="s">
        <v>10</v>
      </c>
      <c r="E5730" s="22"/>
      <c r="F5730" s="22">
        <f>(0)</f>
      </c>
      <c r="G5730" s="22">
        <f>(C5730 * E5730 + C5730 * E5730 * F5730)</f>
      </c>
    </row>
    <row r="5731">
      <c r="A5731" s="3"/>
      <c r="B5731" s="11" t="s">
        <v>869</v>
      </c>
      <c r="C5731" s="20"/>
      <c r="D5731" s="20"/>
      <c r="E5731" s="20"/>
      <c r="F5731" s="20"/>
      <c r="G5731" s="20"/>
    </row>
    <row r="5732">
      <c r="A5732" s="4"/>
      <c r="B5732" s="12" t="s">
        <v>2154</v>
      </c>
      <c r="C5732" s="21"/>
      <c r="D5732" s="21"/>
      <c r="E5732" s="21"/>
      <c r="F5732" s="21"/>
      <c r="G5732" s="21"/>
    </row>
    <row r="5733">
      <c r="A5733" s="6"/>
      <c r="B5733" s="15" t="s">
        <v>871</v>
      </c>
      <c r="C5733" s="23"/>
      <c r="D5733" s="23"/>
      <c r="E5733" s="23"/>
      <c r="F5733" s="23"/>
      <c r="G5733" s="23"/>
    </row>
    <row r="5734">
      <c r="A5734" s="5"/>
      <c r="B5734" s="16" t="s">
        <v>2155</v>
      </c>
      <c r="C5734" s="22">
        <f>(5)*(1)*(1)*(1)*(1 + (0))</f>
      </c>
      <c r="D5734" s="22" t="s">
        <v>162</v>
      </c>
      <c r="E5734" s="22"/>
      <c r="F5734" s="22">
        <f>(0)</f>
      </c>
      <c r="G5734" s="22">
        <f>(C5734 * E5734 + C5734 * E5734 * F5734)</f>
      </c>
    </row>
    <row r="5735">
      <c r="A5735" s="5"/>
      <c r="B5735" s="16" t="s">
        <v>2156</v>
      </c>
      <c r="C5735" s="22">
        <f>(5)*(1)*(1)*(1)*(1 + (0))</f>
      </c>
      <c r="D5735" s="22" t="s">
        <v>162</v>
      </c>
      <c r="E5735" s="22"/>
      <c r="F5735" s="22">
        <f>(0)</f>
      </c>
      <c r="G5735" s="22">
        <f>(C5735 * E5735 + C5735 * E5735 * F5735)</f>
      </c>
    </row>
    <row r="5736">
      <c r="A5736" s="5"/>
      <c r="B5736" s="16" t="s">
        <v>2157</v>
      </c>
      <c r="C5736" s="22">
        <f>(2)*(1)*(1)*(1)*(1 + (0))</f>
      </c>
      <c r="D5736" s="22" t="s">
        <v>162</v>
      </c>
      <c r="E5736" s="22"/>
      <c r="F5736" s="22">
        <f>(0)</f>
      </c>
      <c r="G5736" s="22">
        <f>(C5736 * E5736 + C5736 * E5736 * F5736)</f>
      </c>
    </row>
    <row r="5737">
      <c r="A5737" s="5"/>
      <c r="B5737" s="16" t="s">
        <v>2158</v>
      </c>
      <c r="C5737" s="22">
        <f>(1)*(1)*(1)*(1)*(1 + (0))</f>
      </c>
      <c r="D5737" s="22" t="s">
        <v>162</v>
      </c>
      <c r="E5737" s="22"/>
      <c r="F5737" s="22">
        <f>(0)</f>
      </c>
      <c r="G5737" s="22">
        <f>(C5737 * E5737 + C5737 * E5737 * F5737)</f>
      </c>
    </row>
    <row r="5738">
      <c r="A5738" s="5"/>
      <c r="B5738" s="16" t="s">
        <v>2159</v>
      </c>
      <c r="C5738" s="22">
        <f>(1)*(1)*(1)*(1)*(1 + (0))</f>
      </c>
      <c r="D5738" s="22" t="s">
        <v>162</v>
      </c>
      <c r="E5738" s="22"/>
      <c r="F5738" s="22">
        <f>(0)</f>
      </c>
      <c r="G5738" s="22">
        <f>(C5738 * E5738 + C5738 * E5738 * F5738)</f>
      </c>
    </row>
    <row r="5739">
      <c r="A5739" s="5"/>
      <c r="B5739" s="16" t="s">
        <v>2160</v>
      </c>
      <c r="C5739" s="22">
        <f>(1)*(1)*(1)*(1)*(1 + (0))</f>
      </c>
      <c r="D5739" s="22" t="s">
        <v>162</v>
      </c>
      <c r="E5739" s="22"/>
      <c r="F5739" s="22">
        <f>(0)</f>
      </c>
      <c r="G5739" s="22">
        <f>(C5739 * E5739 + C5739 * E5739 * F5739)</f>
      </c>
    </row>
    <row r="5740">
      <c r="A5740" s="5"/>
      <c r="B5740" s="16" t="s">
        <v>2161</v>
      </c>
      <c r="C5740" s="22">
        <f>(3)*(1)*(1)*(1)*(1 + (0))</f>
      </c>
      <c r="D5740" s="22" t="s">
        <v>162</v>
      </c>
      <c r="E5740" s="22"/>
      <c r="F5740" s="22">
        <f>(0)</f>
      </c>
      <c r="G5740" s="22">
        <f>(C5740 * E5740 + C5740 * E5740 * F5740)</f>
      </c>
    </row>
    <row r="5741">
      <c r="A5741" s="3"/>
      <c r="B5741" s="11" t="s">
        <v>879</v>
      </c>
      <c r="C5741" s="20"/>
      <c r="D5741" s="20"/>
      <c r="E5741" s="20"/>
      <c r="F5741" s="20"/>
      <c r="G5741" s="20"/>
    </row>
    <row r="5742">
      <c r="A5742" s="4"/>
      <c r="B5742" s="12" t="s">
        <v>1711</v>
      </c>
      <c r="C5742" s="21"/>
      <c r="D5742" s="21"/>
      <c r="E5742" s="21"/>
      <c r="F5742" s="21"/>
      <c r="G5742" s="21"/>
    </row>
    <row r="5743">
      <c r="A5743" s="6"/>
      <c r="B5743" s="15" t="s">
        <v>871</v>
      </c>
      <c r="C5743" s="23"/>
      <c r="D5743" s="23"/>
      <c r="E5743" s="23"/>
      <c r="F5743" s="23"/>
      <c r="G5743" s="23"/>
    </row>
    <row r="5744">
      <c r="A5744" s="5"/>
      <c r="B5744" s="16" t="s">
        <v>2162</v>
      </c>
      <c r="C5744" s="22">
        <f>(3)*(1)*(1)*(1)*(1 + (0))</f>
      </c>
      <c r="D5744" s="22" t="s">
        <v>162</v>
      </c>
      <c r="E5744" s="22"/>
      <c r="F5744" s="22">
        <f>(0)</f>
      </c>
      <c r="G5744" s="22">
        <f>(C5744 * E5744 + C5744 * E5744 * F5744)</f>
      </c>
    </row>
    <row r="5745">
      <c r="A5745" s="5"/>
      <c r="B5745" s="16" t="s">
        <v>2163</v>
      </c>
      <c r="C5745" s="22">
        <f>(2)*(1)*(1)*(1)*(1 + (0))</f>
      </c>
      <c r="D5745" s="22" t="s">
        <v>162</v>
      </c>
      <c r="E5745" s="22"/>
      <c r="F5745" s="22">
        <f>(0)</f>
      </c>
      <c r="G5745" s="22">
        <f>(C5745 * E5745 + C5745 * E5745 * F5745)</f>
      </c>
    </row>
    <row r="5746">
      <c r="A5746" s="6"/>
      <c r="B5746" s="15" t="s">
        <v>874</v>
      </c>
      <c r="C5746" s="23"/>
      <c r="D5746" s="23"/>
      <c r="E5746" s="23"/>
      <c r="F5746" s="23"/>
      <c r="G5746" s="23"/>
    </row>
    <row r="5747">
      <c r="A5747" s="5"/>
      <c r="B5747" s="16" t="s">
        <v>2164</v>
      </c>
      <c r="C5747" s="22">
        <f>(1)*(1)*(1)*(1)*(1 + (0))</f>
      </c>
      <c r="D5747" s="22" t="s">
        <v>162</v>
      </c>
      <c r="E5747" s="22"/>
      <c r="F5747" s="22">
        <f>(0)</f>
      </c>
      <c r="G5747" s="22">
        <f>(C5747 * E5747 + C5747 * E5747 * F5747)</f>
      </c>
    </row>
    <row r="5748">
      <c r="A5748" s="3"/>
      <c r="B5748" s="11" t="s">
        <v>884</v>
      </c>
      <c r="C5748" s="20"/>
      <c r="D5748" s="20"/>
      <c r="E5748" s="20"/>
      <c r="F5748" s="20"/>
      <c r="G5748" s="20"/>
    </row>
    <row r="5749">
      <c r="A5749" s="4"/>
      <c r="B5749" s="12" t="s">
        <v>1711</v>
      </c>
      <c r="C5749" s="21"/>
      <c r="D5749" s="21"/>
      <c r="E5749" s="21"/>
      <c r="F5749" s="21"/>
      <c r="G5749" s="21"/>
    </row>
    <row r="5750">
      <c r="A5750" s="6"/>
      <c r="B5750" s="15" t="s">
        <v>1726</v>
      </c>
      <c r="C5750" s="23"/>
      <c r="D5750" s="23"/>
      <c r="E5750" s="23"/>
      <c r="F5750" s="23"/>
      <c r="G5750" s="23"/>
    </row>
    <row r="5751">
      <c r="A5751" s="5"/>
      <c r="B5751" s="16" t="s">
        <v>2165</v>
      </c>
      <c r="C5751" s="22">
        <f>(1)*(1)*(1)*(1)*(1 + (0))</f>
      </c>
      <c r="D5751" s="22" t="s">
        <v>162</v>
      </c>
      <c r="E5751" s="22"/>
      <c r="F5751" s="22">
        <f>(0)</f>
      </c>
      <c r="G5751" s="22">
        <f>(C5751 * E5751 + C5751 * E5751 * F5751)</f>
      </c>
    </row>
    <row r="5752">
      <c r="A5752" s="5"/>
      <c r="B5752" s="16" t="s">
        <v>2166</v>
      </c>
      <c r="C5752" s="22">
        <f>(2)*(1)*(1)*(1)*(1 + (0))</f>
      </c>
      <c r="D5752" s="22" t="s">
        <v>162</v>
      </c>
      <c r="E5752" s="22"/>
      <c r="F5752" s="22">
        <f>(0)</f>
      </c>
      <c r="G5752" s="22">
        <f>(C5752 * E5752 + C5752 * E5752 * F5752)</f>
      </c>
    </row>
    <row r="5753">
      <c r="A5753" s="6"/>
      <c r="B5753" s="15" t="s">
        <v>1725</v>
      </c>
      <c r="C5753" s="23"/>
      <c r="D5753" s="23"/>
      <c r="E5753" s="23"/>
      <c r="F5753" s="23"/>
      <c r="G5753" s="23"/>
    </row>
    <row r="5754">
      <c r="A5754" s="5"/>
      <c r="B5754" s="16" t="s">
        <v>2167</v>
      </c>
      <c r="C5754" s="22">
        <f>(1)*(1)*(1)*(1)*(1 + (0))</f>
      </c>
      <c r="D5754" s="22" t="s">
        <v>162</v>
      </c>
      <c r="E5754" s="22"/>
      <c r="F5754" s="22">
        <f>(0)</f>
      </c>
      <c r="G5754" s="22">
        <f>(C5754 * E5754 + C5754 * E5754 * F5754)</f>
      </c>
    </row>
    <row r="5755">
      <c r="A5755" s="5"/>
      <c r="B5755" s="16" t="s">
        <v>2168</v>
      </c>
      <c r="C5755" s="22">
        <f>(2)*(1)*(1)*(1)*(1 + (0))</f>
      </c>
      <c r="D5755" s="22" t="s">
        <v>162</v>
      </c>
      <c r="E5755" s="22"/>
      <c r="F5755" s="22">
        <f>(0)</f>
      </c>
      <c r="G5755" s="22">
        <f>(C5755 * E5755 + C5755 * E5755 * F5755)</f>
      </c>
    </row>
    <row r="5756">
      <c r="A5756" s="5"/>
      <c r="B5756" s="16" t="s">
        <v>2169</v>
      </c>
      <c r="C5756" s="22">
        <f>(3)*(1)*(1)*(1)*(1 + (0))</f>
      </c>
      <c r="D5756" s="22" t="s">
        <v>162</v>
      </c>
      <c r="E5756" s="22"/>
      <c r="F5756" s="22">
        <f>(0)</f>
      </c>
      <c r="G5756" s="22">
        <f>(C5756 * E5756 + C5756 * E5756 * F5756)</f>
      </c>
    </row>
    <row r="5757">
      <c r="A5757" s="3"/>
      <c r="B5757" s="11" t="s">
        <v>890</v>
      </c>
      <c r="C5757" s="20"/>
      <c r="D5757" s="20"/>
      <c r="E5757" s="20"/>
      <c r="F5757" s="20"/>
      <c r="G5757" s="20"/>
    </row>
    <row r="5758">
      <c r="A5758" s="4"/>
      <c r="B5758" s="12" t="s">
        <v>1711</v>
      </c>
      <c r="C5758" s="21"/>
      <c r="D5758" s="21"/>
      <c r="E5758" s="21"/>
      <c r="F5758" s="21"/>
      <c r="G5758" s="21"/>
    </row>
    <row r="5759">
      <c r="A5759" s="6"/>
      <c r="B5759" s="15" t="s">
        <v>1726</v>
      </c>
      <c r="C5759" s="23"/>
      <c r="D5759" s="23"/>
      <c r="E5759" s="23"/>
      <c r="F5759" s="23"/>
      <c r="G5759" s="23"/>
    </row>
    <row r="5760">
      <c r="A5760" s="5"/>
      <c r="B5760" s="16" t="s">
        <v>2170</v>
      </c>
      <c r="C5760" s="22">
        <f>(1)*(1)*(1)*(1)*(1 + (0))</f>
      </c>
      <c r="D5760" s="22" t="s">
        <v>162</v>
      </c>
      <c r="E5760" s="22"/>
      <c r="F5760" s="22">
        <f>(0)</f>
      </c>
      <c r="G5760" s="22">
        <f>(C5760 * E5760 + C5760 * E5760 * F5760)</f>
      </c>
    </row>
    <row r="5761">
      <c r="A5761" s="5"/>
      <c r="B5761" s="16" t="s">
        <v>2171</v>
      </c>
      <c r="C5761" s="22">
        <f>(2)*(1)*(1)*(1)*(1 + (0))</f>
      </c>
      <c r="D5761" s="22" t="s">
        <v>162</v>
      </c>
      <c r="E5761" s="22"/>
      <c r="F5761" s="22">
        <f>(0)</f>
      </c>
      <c r="G5761" s="22">
        <f>(C5761 * E5761 + C5761 * E5761 * F5761)</f>
      </c>
    </row>
    <row r="5762">
      <c r="A5762" s="6"/>
      <c r="B5762" s="15" t="s">
        <v>1725</v>
      </c>
      <c r="C5762" s="23"/>
      <c r="D5762" s="23"/>
      <c r="E5762" s="23"/>
      <c r="F5762" s="23"/>
      <c r="G5762" s="23"/>
    </row>
    <row r="5763">
      <c r="A5763" s="5"/>
      <c r="B5763" s="16" t="s">
        <v>2172</v>
      </c>
      <c r="C5763" s="22">
        <f>(5)*(1)*(1)*(1)*(1 + (0))</f>
      </c>
      <c r="D5763" s="22" t="s">
        <v>162</v>
      </c>
      <c r="E5763" s="22"/>
      <c r="F5763" s="22">
        <f>(0)</f>
      </c>
      <c r="G5763" s="22">
        <f>(C5763 * E5763 + C5763 * E5763 * F5763)</f>
      </c>
    </row>
    <row r="5764">
      <c r="A5764" s="2"/>
      <c r="B5764" s="10" t="s">
        <v>897</v>
      </c>
      <c r="C5764" s="19"/>
      <c r="D5764" s="19"/>
      <c r="E5764" s="19"/>
      <c r="F5764" s="19"/>
      <c r="G5764" s="19"/>
    </row>
    <row r="5765">
      <c r="A5765" s="3"/>
      <c r="B5765" s="11" t="s">
        <v>37</v>
      </c>
      <c r="C5765" s="20"/>
      <c r="D5765" s="20"/>
      <c r="E5765" s="20"/>
      <c r="F5765" s="20"/>
      <c r="G5765" s="20"/>
    </row>
    <row r="5766">
      <c r="A5766" s="5" t="s">
        <v>758</v>
      </c>
      <c r="B5766" s="14" t="s">
        <v>39</v>
      </c>
      <c r="C5766" s="22"/>
      <c r="D5766" s="22" t="s">
        <v>10</v>
      </c>
      <c r="E5766" s="22"/>
      <c r="F5766" s="22">
        <f>(0)</f>
      </c>
      <c r="G5766" s="22">
        <f>(C5766 * E5766 + C5766 * E5766 * F5766)</f>
      </c>
    </row>
    <row r="5767">
      <c r="A5767" s="5" t="s">
        <v>760</v>
      </c>
      <c r="B5767" s="14" t="s">
        <v>41</v>
      </c>
      <c r="C5767" s="22"/>
      <c r="D5767" s="22" t="s">
        <v>10</v>
      </c>
      <c r="E5767" s="22"/>
      <c r="F5767" s="22">
        <f>(0)</f>
      </c>
      <c r="G5767" s="22">
        <f>(C5767 * E5767 + C5767 * E5767 * F5767)</f>
      </c>
    </row>
    <row r="5768">
      <c r="A5768" s="3"/>
      <c r="B5768" s="11" t="s">
        <v>44</v>
      </c>
      <c r="C5768" s="20"/>
      <c r="D5768" s="20"/>
      <c r="E5768" s="20"/>
      <c r="F5768" s="20"/>
      <c r="G5768" s="20"/>
    </row>
    <row r="5769">
      <c r="A5769" s="4"/>
      <c r="B5769" s="12" t="s">
        <v>45</v>
      </c>
      <c r="C5769" s="21"/>
      <c r="D5769" s="21"/>
      <c r="E5769" s="21"/>
      <c r="F5769" s="21"/>
      <c r="G5769" s="21"/>
    </row>
    <row r="5770">
      <c r="A5770" s="5" t="s">
        <v>765</v>
      </c>
      <c r="B5770" s="13" t="s">
        <v>898</v>
      </c>
      <c r="C5770" s="22"/>
      <c r="D5770" s="22" t="s">
        <v>10</v>
      </c>
      <c r="E5770" s="22"/>
      <c r="F5770" s="22">
        <f>(0)</f>
      </c>
      <c r="G5770" s="22">
        <f>(C5770 * E5770 + C5770 * E5770 * F5770)</f>
      </c>
    </row>
    <row r="5771">
      <c r="A5771" s="5" t="s">
        <v>766</v>
      </c>
      <c r="B5771" s="13" t="s">
        <v>899</v>
      </c>
      <c r="C5771" s="22"/>
      <c r="D5771" s="22" t="s">
        <v>10</v>
      </c>
      <c r="E5771" s="22"/>
      <c r="F5771" s="22">
        <f>(0)</f>
      </c>
      <c r="G5771" s="22">
        <f>(C5771 * E5771 + C5771 * E5771 * F5771)</f>
      </c>
    </row>
    <row r="5772">
      <c r="A5772" s="5" t="s">
        <v>768</v>
      </c>
      <c r="B5772" s="13" t="s">
        <v>767</v>
      </c>
      <c r="C5772" s="22"/>
      <c r="D5772" s="22" t="s">
        <v>10</v>
      </c>
      <c r="E5772" s="22"/>
      <c r="F5772" s="22">
        <f>(0)</f>
      </c>
      <c r="G5772" s="22">
        <f>(C5772 * E5772 + C5772 * E5772 * F5772)</f>
      </c>
    </row>
    <row r="5773">
      <c r="A5773" s="5" t="s">
        <v>770</v>
      </c>
      <c r="B5773" s="13" t="s">
        <v>900</v>
      </c>
      <c r="C5773" s="22"/>
      <c r="D5773" s="22" t="s">
        <v>10</v>
      </c>
      <c r="E5773" s="22"/>
      <c r="F5773" s="22">
        <f>(0)</f>
      </c>
      <c r="G5773" s="22">
        <f>(C5773 * E5773 + C5773 * E5773 * F5773)</f>
      </c>
    </row>
    <row r="5774">
      <c r="A5774" s="5" t="s">
        <v>794</v>
      </c>
      <c r="B5774" s="13" t="s">
        <v>901</v>
      </c>
      <c r="C5774" s="22"/>
      <c r="D5774" s="22" t="s">
        <v>10</v>
      </c>
      <c r="E5774" s="22"/>
      <c r="F5774" s="22">
        <f>(0)</f>
      </c>
      <c r="G5774" s="22">
        <f>(C5774 * E5774 + C5774 * E5774 * F5774)</f>
      </c>
    </row>
    <row r="5775">
      <c r="A5775" s="5" t="s">
        <v>795</v>
      </c>
      <c r="B5775" s="13" t="s">
        <v>123</v>
      </c>
      <c r="C5775" s="22"/>
      <c r="D5775" s="22" t="s">
        <v>10</v>
      </c>
      <c r="E5775" s="22"/>
      <c r="F5775" s="22">
        <f>(0)</f>
      </c>
      <c r="G5775" s="22">
        <f>(C5775 * E5775 + C5775 * E5775 * F5775)</f>
      </c>
    </row>
    <row r="5776">
      <c r="A5776" s="3"/>
      <c r="B5776" s="11" t="s">
        <v>42</v>
      </c>
      <c r="C5776" s="20"/>
      <c r="D5776" s="20"/>
      <c r="E5776" s="20"/>
      <c r="F5776" s="20"/>
      <c r="G5776" s="20"/>
    </row>
    <row r="5777">
      <c r="A5777" s="5"/>
      <c r="B5777" s="14" t="s">
        <v>902</v>
      </c>
      <c r="C5777" s="22"/>
      <c r="D5777" s="22" t="s">
        <v>10</v>
      </c>
      <c r="E5777" s="22"/>
      <c r="F5777" s="22">
        <f>(0)</f>
      </c>
      <c r="G5777" s="22">
        <f>(C5777 * E5777 + C5777 * E5777 * F5777)</f>
      </c>
    </row>
    <row r="5778">
      <c r="A5778" s="5"/>
      <c r="B5778" s="14" t="s">
        <v>762</v>
      </c>
      <c r="C5778" s="22"/>
      <c r="D5778" s="22" t="s">
        <v>10</v>
      </c>
      <c r="E5778" s="22"/>
      <c r="F5778" s="22">
        <f>(0)</f>
      </c>
      <c r="G5778" s="22">
        <f>(C5778 * E5778 + C5778 * E5778 * F5778)</f>
      </c>
    </row>
    <row r="5779">
      <c r="A5779" s="5"/>
      <c r="B5779" s="14" t="s">
        <v>856</v>
      </c>
      <c r="C5779" s="22"/>
      <c r="D5779" s="22" t="s">
        <v>10</v>
      </c>
      <c r="E5779" s="22"/>
      <c r="F5779" s="22">
        <f>(0)</f>
      </c>
      <c r="G5779" s="22">
        <f>(C5779 * E5779 + C5779 * E5779 * F5779)</f>
      </c>
    </row>
    <row r="5780">
      <c r="A5780" s="3"/>
      <c r="B5780" s="11" t="s">
        <v>68</v>
      </c>
      <c r="C5780" s="20"/>
      <c r="D5780" s="20"/>
      <c r="E5780" s="20"/>
      <c r="F5780" s="20"/>
      <c r="G5780" s="20"/>
    </row>
    <row r="5781">
      <c r="A5781" s="5" t="s">
        <v>797</v>
      </c>
      <c r="B5781" s="14" t="s">
        <v>903</v>
      </c>
      <c r="C5781" s="22">
        <f>(1)*(1)*(1)*(1)*(1 + (0))</f>
      </c>
      <c r="D5781" s="22" t="s">
        <v>71</v>
      </c>
      <c r="E5781" s="22"/>
      <c r="F5781" s="22">
        <f>(0)</f>
      </c>
      <c r="G5781" s="22">
        <f>(C5781 * E5781 + C5781 * E5781 * F5781)</f>
      </c>
    </row>
    <row r="5782">
      <c r="A5782" s="5" t="s">
        <v>799</v>
      </c>
      <c r="B5782" s="14" t="s">
        <v>904</v>
      </c>
      <c r="C5782" s="22">
        <f>(1)*(1)*(1)*(1)*(1 + (0))</f>
      </c>
      <c r="D5782" s="22" t="s">
        <v>71</v>
      </c>
      <c r="E5782" s="22"/>
      <c r="F5782" s="22">
        <f>(0)</f>
      </c>
      <c r="G5782" s="22">
        <f>(C5782 * E5782 + C5782 * E5782 * F5782)</f>
      </c>
    </row>
    <row r="5783">
      <c r="A5783" s="5" t="s">
        <v>801</v>
      </c>
      <c r="B5783" s="14" t="s">
        <v>77</v>
      </c>
      <c r="C5783" s="22">
        <f>(1)*(1)*(1)*(1)*(1 + (0))</f>
      </c>
      <c r="D5783" s="22" t="s">
        <v>71</v>
      </c>
      <c r="E5783" s="22"/>
      <c r="F5783" s="22">
        <f>(0)</f>
      </c>
      <c r="G5783" s="22">
        <f>(C5783 * E5783 + C5783 * E5783 * F5783)</f>
      </c>
    </row>
    <row r="5784">
      <c r="A5784" s="5" t="s">
        <v>905</v>
      </c>
      <c r="B5784" s="14" t="s">
        <v>906</v>
      </c>
      <c r="C5784" s="22">
        <f>(1)*(1)*(1)*(1)*(1 + (0))</f>
      </c>
      <c r="D5784" s="22" t="s">
        <v>71</v>
      </c>
      <c r="E5784" s="22"/>
      <c r="F5784" s="22">
        <f>(0)</f>
      </c>
      <c r="G5784" s="22">
        <f>(C5784 * E5784 + C5784 * E5784 * F5784)</f>
      </c>
    </row>
    <row r="5785">
      <c r="A5785" s="5" t="s">
        <v>907</v>
      </c>
      <c r="B5785" s="14" t="s">
        <v>447</v>
      </c>
      <c r="C5785" s="22">
        <f>(1)*(1)*(1)*(1)*(1 + (0))</f>
      </c>
      <c r="D5785" s="22" t="s">
        <v>71</v>
      </c>
      <c r="E5785" s="22"/>
      <c r="F5785" s="22">
        <f>(0)</f>
      </c>
      <c r="G5785" s="22">
        <f>(C5785 * E5785 + C5785 * E5785 * F5785)</f>
      </c>
    </row>
    <row r="5786">
      <c r="A5786" s="5" t="s">
        <v>908</v>
      </c>
      <c r="B5786" s="14" t="s">
        <v>798</v>
      </c>
      <c r="C5786" s="22">
        <f>(1)*(1)*(1)*(1)*(1 + (0))</f>
      </c>
      <c r="D5786" s="22" t="s">
        <v>71</v>
      </c>
      <c r="E5786" s="22"/>
      <c r="F5786" s="22">
        <f>(0)</f>
      </c>
      <c r="G5786" s="22">
        <f>(C5786 * E5786 + C5786 * E5786 * F5786)</f>
      </c>
    </row>
    <row r="5787">
      <c r="A5787" s="5" t="s">
        <v>909</v>
      </c>
      <c r="B5787" s="14" t="s">
        <v>910</v>
      </c>
      <c r="C5787" s="22">
        <f>(1)*(1)*(1)*(1)*(1 + (0))</f>
      </c>
      <c r="D5787" s="22" t="s">
        <v>71</v>
      </c>
      <c r="E5787" s="22"/>
      <c r="F5787" s="22">
        <f>(0)</f>
      </c>
      <c r="G5787" s="22">
        <f>(C5787 * E5787 + C5787 * E5787 * F5787)</f>
      </c>
    </row>
    <row r="5788">
      <c r="A5788" s="5" t="s">
        <v>911</v>
      </c>
      <c r="B5788" s="14" t="s">
        <v>912</v>
      </c>
      <c r="C5788" s="22">
        <f>(1)*(1)*(1)*(1)*(1 + (0))</f>
      </c>
      <c r="D5788" s="22" t="s">
        <v>71</v>
      </c>
      <c r="E5788" s="22"/>
      <c r="F5788" s="22">
        <f>(0)</f>
      </c>
      <c r="G5788" s="22">
        <f>(C5788 * E5788 + C5788 * E5788 * F5788)</f>
      </c>
    </row>
    <row r="5789">
      <c r="A5789" s="5" t="s">
        <v>913</v>
      </c>
      <c r="B5789" s="14" t="s">
        <v>665</v>
      </c>
      <c r="C5789" s="22">
        <f>(1)*(1)*(1)*(1)*(1 + (0))</f>
      </c>
      <c r="D5789" s="22" t="s">
        <v>71</v>
      </c>
      <c r="E5789" s="22"/>
      <c r="F5789" s="22">
        <f>(0)</f>
      </c>
      <c r="G5789" s="22">
        <f>(C5789 * E5789 + C5789 * E5789 * F5789)</f>
      </c>
    </row>
    <row r="5790">
      <c r="A5790" s="3"/>
      <c r="B5790" s="11" t="s">
        <v>914</v>
      </c>
      <c r="C5790" s="20"/>
      <c r="D5790" s="20"/>
      <c r="E5790" s="20"/>
      <c r="F5790" s="20"/>
      <c r="G5790" s="20"/>
    </row>
    <row r="5791">
      <c r="A5791" s="4"/>
      <c r="B5791" s="12" t="s">
        <v>1711</v>
      </c>
      <c r="C5791" s="21"/>
      <c r="D5791" s="21"/>
      <c r="E5791" s="21"/>
      <c r="F5791" s="21"/>
      <c r="G5791" s="21"/>
    </row>
    <row r="5792">
      <c r="A5792" s="6"/>
      <c r="B5792" s="15" t="s">
        <v>918</v>
      </c>
      <c r="C5792" s="23"/>
      <c r="D5792" s="23"/>
      <c r="E5792" s="23"/>
      <c r="F5792" s="23"/>
      <c r="G5792" s="23"/>
    </row>
    <row r="5793">
      <c r="A5793" s="5"/>
      <c r="B5793" s="16" t="s">
        <v>2173</v>
      </c>
      <c r="C5793" s="22">
        <f>(2)*(1)*(1)*(1)*(1 + (0))</f>
      </c>
      <c r="D5793" s="22" t="s">
        <v>162</v>
      </c>
      <c r="E5793" s="22"/>
      <c r="F5793" s="22">
        <f>(0)</f>
      </c>
      <c r="G5793" s="22">
        <f>(C5793 * E5793 + C5793 * E5793 * F5793)</f>
      </c>
    </row>
    <row r="5794">
      <c r="A5794" s="3"/>
      <c r="B5794" s="11" t="s">
        <v>924</v>
      </c>
      <c r="C5794" s="20"/>
      <c r="D5794" s="20"/>
      <c r="E5794" s="20"/>
      <c r="F5794" s="20"/>
      <c r="G5794" s="20"/>
    </row>
    <row r="5795">
      <c r="A5795" s="4"/>
      <c r="B5795" s="12" t="s">
        <v>1711</v>
      </c>
      <c r="C5795" s="21"/>
      <c r="D5795" s="21"/>
      <c r="E5795" s="21"/>
      <c r="F5795" s="21"/>
      <c r="G5795" s="21"/>
    </row>
    <row r="5796">
      <c r="A5796" s="6"/>
      <c r="B5796" s="15" t="s">
        <v>915</v>
      </c>
      <c r="C5796" s="23"/>
      <c r="D5796" s="23"/>
      <c r="E5796" s="23"/>
      <c r="F5796" s="23"/>
      <c r="G5796" s="23"/>
    </row>
    <row r="5797">
      <c r="A5797" s="5"/>
      <c r="B5797" s="16" t="s">
        <v>2174</v>
      </c>
      <c r="C5797" s="22">
        <f>(2)*(1)*(1)*(1)*(1 + (0))</f>
      </c>
      <c r="D5797" s="22" t="s">
        <v>162</v>
      </c>
      <c r="E5797" s="22"/>
      <c r="F5797" s="22">
        <f>(0)</f>
      </c>
      <c r="G5797" s="22">
        <f>(C5797 * E5797 + C5797 * E5797 * F5797)</f>
      </c>
    </row>
    <row r="5798">
      <c r="A5798" s="6"/>
      <c r="B5798" s="15" t="s">
        <v>918</v>
      </c>
      <c r="C5798" s="23"/>
      <c r="D5798" s="23"/>
      <c r="E5798" s="23"/>
      <c r="F5798" s="23"/>
      <c r="G5798" s="23"/>
    </row>
    <row r="5799">
      <c r="A5799" s="5"/>
      <c r="B5799" s="16" t="s">
        <v>2015</v>
      </c>
      <c r="C5799" s="22">
        <f>(2)*(1)*(1)*(1)*(1 + (0))</f>
      </c>
      <c r="D5799" s="22" t="s">
        <v>162</v>
      </c>
      <c r="E5799" s="22"/>
      <c r="F5799" s="22">
        <f>(0)</f>
      </c>
      <c r="G5799" s="22">
        <f>(C5799 * E5799 + C5799 * E5799 * F5799)</f>
      </c>
    </row>
    <row r="5800">
      <c r="A5800" s="5"/>
      <c r="B5800" s="16" t="s">
        <v>2175</v>
      </c>
      <c r="C5800" s="22">
        <f>(2)*(1)*(1)*(1)*(1 + (0))</f>
      </c>
      <c r="D5800" s="22" t="s">
        <v>162</v>
      </c>
      <c r="E5800" s="22"/>
      <c r="F5800" s="22">
        <f>(0)</f>
      </c>
      <c r="G5800" s="22">
        <f>(C5800 * E5800 + C5800 * E5800 * F5800)</f>
      </c>
    </row>
    <row r="5801">
      <c r="A5801" s="5"/>
      <c r="B5801" s="16" t="s">
        <v>2176</v>
      </c>
      <c r="C5801" s="22">
        <f>(1)*(1)*(1)*(1)*(1 + (0))</f>
      </c>
      <c r="D5801" s="22" t="s">
        <v>162</v>
      </c>
      <c r="E5801" s="22"/>
      <c r="F5801" s="22">
        <f>(0)</f>
      </c>
      <c r="G5801" s="22">
        <f>(C5801 * E5801 + C5801 * E5801 * F5801)</f>
      </c>
    </row>
    <row r="5802">
      <c r="A5802" s="5"/>
      <c r="B5802" s="16" t="s">
        <v>2177</v>
      </c>
      <c r="C5802" s="22">
        <f>(6)*(1)*(1)*(1)*(1 + (0))</f>
      </c>
      <c r="D5802" s="22" t="s">
        <v>162</v>
      </c>
      <c r="E5802" s="22"/>
      <c r="F5802" s="22">
        <f>(0)</f>
      </c>
      <c r="G5802" s="22">
        <f>(C5802 * E5802 + C5802 * E5802 * F5802)</f>
      </c>
    </row>
    <row r="5803">
      <c r="A5803" s="5"/>
      <c r="B5803" s="16" t="s">
        <v>2178</v>
      </c>
      <c r="C5803" s="22">
        <f>(1)*(1)*(1)*(1)*(1 + (0))</f>
      </c>
      <c r="D5803" s="22" t="s">
        <v>162</v>
      </c>
      <c r="E5803" s="22"/>
      <c r="F5803" s="22">
        <f>(0)</f>
      </c>
      <c r="G5803" s="22">
        <f>(C5803 * E5803 + C5803 * E5803 * F5803)</f>
      </c>
    </row>
    <row r="5804">
      <c r="A5804" s="3"/>
      <c r="B5804" s="11" t="s">
        <v>931</v>
      </c>
      <c r="C5804" s="20"/>
      <c r="D5804" s="20"/>
      <c r="E5804" s="20"/>
      <c r="F5804" s="20"/>
      <c r="G5804" s="20"/>
    </row>
    <row r="5805">
      <c r="A5805" s="4"/>
      <c r="B5805" s="12" t="s">
        <v>1711</v>
      </c>
      <c r="C5805" s="21"/>
      <c r="D5805" s="21"/>
      <c r="E5805" s="21"/>
      <c r="F5805" s="21"/>
      <c r="G5805" s="21"/>
    </row>
    <row r="5806">
      <c r="A5806" s="5"/>
      <c r="B5806" s="13" t="s">
        <v>933</v>
      </c>
      <c r="C5806" s="22">
        <f>(2)*(1)*(1)*(1)*(1 + (0))</f>
      </c>
      <c r="D5806" s="22" t="s">
        <v>162</v>
      </c>
      <c r="E5806" s="22"/>
      <c r="F5806" s="22">
        <f>(0)</f>
      </c>
      <c r="G5806" s="22">
        <f>(C5806 * E5806 + C5806 * E5806 * F5806)</f>
      </c>
    </row>
    <row r="5807">
      <c r="A5807" s="3"/>
      <c r="B5807" s="11" t="s">
        <v>934</v>
      </c>
      <c r="C5807" s="20"/>
      <c r="D5807" s="20"/>
      <c r="E5807" s="20"/>
      <c r="F5807" s="20"/>
      <c r="G5807" s="20"/>
    </row>
    <row r="5808">
      <c r="A5808" s="4"/>
      <c r="B5808" s="12" t="s">
        <v>1711</v>
      </c>
      <c r="C5808" s="21"/>
      <c r="D5808" s="21"/>
      <c r="E5808" s="21"/>
      <c r="F5808" s="21"/>
      <c r="G5808" s="21"/>
    </row>
    <row r="5809">
      <c r="A5809" s="5"/>
      <c r="B5809" s="13" t="s">
        <v>932</v>
      </c>
      <c r="C5809" s="22">
        <f>(2)*(1)*(1)*(1)*(1 + (0))</f>
      </c>
      <c r="D5809" s="22" t="s">
        <v>162</v>
      </c>
      <c r="E5809" s="22"/>
      <c r="F5809" s="22">
        <f>(0)</f>
      </c>
      <c r="G5809" s="22">
        <f>(C5809 * E5809 + C5809 * E5809 * F5809)</f>
      </c>
    </row>
    <row r="5810">
      <c r="A5810" s="5"/>
      <c r="B5810" s="13" t="s">
        <v>933</v>
      </c>
      <c r="C5810" s="22">
        <f>(12)*(1)*(1)*(1)*(1 + (0))</f>
      </c>
      <c r="D5810" s="22" t="s">
        <v>162</v>
      </c>
      <c r="E5810" s="22"/>
      <c r="F5810" s="22">
        <f>(0)</f>
      </c>
      <c r="G5810" s="22">
        <f>(C5810 * E5810 + C5810 * E5810 * F5810)</f>
      </c>
    </row>
    <row r="5811">
      <c r="A5811" s="2"/>
      <c r="B5811" s="10" t="s">
        <v>935</v>
      </c>
      <c r="C5811" s="19"/>
      <c r="D5811" s="19"/>
      <c r="E5811" s="19"/>
      <c r="F5811" s="19"/>
      <c r="G5811" s="19"/>
    </row>
    <row r="5812">
      <c r="A5812" s="3"/>
      <c r="B5812" s="11" t="s">
        <v>37</v>
      </c>
      <c r="C5812" s="20"/>
      <c r="D5812" s="20"/>
      <c r="E5812" s="20"/>
      <c r="F5812" s="20"/>
      <c r="G5812" s="20"/>
    </row>
    <row r="5813">
      <c r="A5813" s="5" t="s">
        <v>936</v>
      </c>
      <c r="B5813" s="14" t="s">
        <v>39</v>
      </c>
      <c r="C5813" s="22"/>
      <c r="D5813" s="22" t="s">
        <v>10</v>
      </c>
      <c r="E5813" s="22"/>
      <c r="F5813" s="22">
        <f>(0)</f>
      </c>
      <c r="G5813" s="22">
        <f>(C5813 * E5813 + C5813 * E5813 * F5813)</f>
      </c>
    </row>
    <row r="5814">
      <c r="A5814" s="5" t="s">
        <v>937</v>
      </c>
      <c r="B5814" s="14" t="s">
        <v>41</v>
      </c>
      <c r="C5814" s="22"/>
      <c r="D5814" s="22" t="s">
        <v>10</v>
      </c>
      <c r="E5814" s="22"/>
      <c r="F5814" s="22">
        <f>(0)</f>
      </c>
      <c r="G5814" s="22">
        <f>(C5814 * E5814 + C5814 * E5814 * F5814)</f>
      </c>
    </row>
    <row r="5815">
      <c r="A5815" s="3"/>
      <c r="B5815" s="11" t="s">
        <v>42</v>
      </c>
      <c r="C5815" s="20"/>
      <c r="D5815" s="20"/>
      <c r="E5815" s="20"/>
      <c r="F5815" s="20"/>
      <c r="G5815" s="20"/>
    </row>
    <row r="5816">
      <c r="A5816" s="5"/>
      <c r="B5816" s="14" t="s">
        <v>938</v>
      </c>
      <c r="C5816" s="22"/>
      <c r="D5816" s="22" t="s">
        <v>10</v>
      </c>
      <c r="E5816" s="22"/>
      <c r="F5816" s="22">
        <f>(0)</f>
      </c>
      <c r="G5816" s="22">
        <f>(C5816 * E5816 + C5816 * E5816 * F5816)</f>
      </c>
    </row>
    <row r="5817">
      <c r="A5817" s="5"/>
      <c r="B5817" s="14" t="s">
        <v>762</v>
      </c>
      <c r="C5817" s="22"/>
      <c r="D5817" s="22" t="s">
        <v>10</v>
      </c>
      <c r="E5817" s="22"/>
      <c r="F5817" s="22">
        <f>(0)</f>
      </c>
      <c r="G5817" s="22">
        <f>(C5817 * E5817 + C5817 * E5817 * F5817)</f>
      </c>
    </row>
    <row r="5818">
      <c r="A5818" s="5"/>
      <c r="B5818" s="14" t="s">
        <v>763</v>
      </c>
      <c r="C5818" s="22"/>
      <c r="D5818" s="22" t="s">
        <v>10</v>
      </c>
      <c r="E5818" s="22"/>
      <c r="F5818" s="22">
        <f>(0)</f>
      </c>
      <c r="G5818" s="22">
        <f>(C5818 * E5818 + C5818 * E5818 * F5818)</f>
      </c>
    </row>
    <row r="5819">
      <c r="A5819" s="5"/>
      <c r="B5819" s="14" t="s">
        <v>939</v>
      </c>
      <c r="C5819" s="22"/>
      <c r="D5819" s="22" t="s">
        <v>10</v>
      </c>
      <c r="E5819" s="22"/>
      <c r="F5819" s="22">
        <f>(0)</f>
      </c>
      <c r="G5819" s="22">
        <f>(C5819 * E5819 + C5819 * E5819 * F5819)</f>
      </c>
    </row>
    <row r="5820">
      <c r="A5820" s="3"/>
      <c r="B5820" s="11" t="s">
        <v>44</v>
      </c>
      <c r="C5820" s="20"/>
      <c r="D5820" s="20"/>
      <c r="E5820" s="20"/>
      <c r="F5820" s="20"/>
      <c r="G5820" s="20"/>
    </row>
    <row r="5821">
      <c r="A5821" s="4"/>
      <c r="B5821" s="12" t="s">
        <v>45</v>
      </c>
      <c r="C5821" s="21"/>
      <c r="D5821" s="21"/>
      <c r="E5821" s="21"/>
      <c r="F5821" s="21"/>
      <c r="G5821" s="21"/>
    </row>
    <row r="5822">
      <c r="A5822" s="5" t="s">
        <v>940</v>
      </c>
      <c r="B5822" s="13" t="s">
        <v>123</v>
      </c>
      <c r="C5822" s="22"/>
      <c r="D5822" s="22" t="s">
        <v>10</v>
      </c>
      <c r="E5822" s="22"/>
      <c r="F5822" s="22">
        <f>(0)</f>
      </c>
      <c r="G5822" s="22">
        <f>(C5822 * E5822 + C5822 * E5822 * F5822)</f>
      </c>
    </row>
    <row r="5823">
      <c r="A5823" s="6"/>
      <c r="B5823" s="15" t="s">
        <v>771</v>
      </c>
      <c r="C5823" s="23"/>
      <c r="D5823" s="23"/>
      <c r="E5823" s="23"/>
      <c r="F5823" s="23"/>
      <c r="G5823" s="23"/>
    </row>
    <row r="5824">
      <c r="A5824" s="5" t="s">
        <v>772</v>
      </c>
      <c r="B5824" s="16" t="s">
        <v>528</v>
      </c>
      <c r="C5824" s="22"/>
      <c r="D5824" s="22" t="s">
        <v>10</v>
      </c>
      <c r="E5824" s="22"/>
      <c r="F5824" s="22">
        <f>(0)</f>
      </c>
      <c r="G5824" s="22">
        <f>(C5824 * E5824 + C5824 * E5824 * F5824)</f>
      </c>
    </row>
    <row r="5825">
      <c r="A5825" s="5" t="s">
        <v>773</v>
      </c>
      <c r="B5825" s="16" t="s">
        <v>530</v>
      </c>
      <c r="C5825" s="22"/>
      <c r="D5825" s="22" t="s">
        <v>10</v>
      </c>
      <c r="E5825" s="22"/>
      <c r="F5825" s="22">
        <f>(0)</f>
      </c>
      <c r="G5825" s="22">
        <f>(C5825 * E5825 + C5825 * E5825 * F5825)</f>
      </c>
    </row>
    <row r="5826">
      <c r="A5826" s="5" t="s">
        <v>774</v>
      </c>
      <c r="B5826" s="16" t="s">
        <v>532</v>
      </c>
      <c r="C5826" s="22"/>
      <c r="D5826" s="22" t="s">
        <v>10</v>
      </c>
      <c r="E5826" s="22"/>
      <c r="F5826" s="22">
        <f>(0)</f>
      </c>
      <c r="G5826" s="22">
        <f>(C5826 * E5826 + C5826 * E5826 * F5826)</f>
      </c>
    </row>
    <row r="5827">
      <c r="A5827" s="5" t="s">
        <v>775</v>
      </c>
      <c r="B5827" s="16" t="s">
        <v>536</v>
      </c>
      <c r="C5827" s="22"/>
      <c r="D5827" s="22" t="s">
        <v>10</v>
      </c>
      <c r="E5827" s="22"/>
      <c r="F5827" s="22">
        <f>(0)</f>
      </c>
      <c r="G5827" s="22">
        <f>(C5827 * E5827 + C5827 * E5827 * F5827)</f>
      </c>
    </row>
    <row r="5828">
      <c r="A5828" s="5" t="s">
        <v>776</v>
      </c>
      <c r="B5828" s="16" t="s">
        <v>777</v>
      </c>
      <c r="C5828" s="22"/>
      <c r="D5828" s="22" t="s">
        <v>10</v>
      </c>
      <c r="E5828" s="22"/>
      <c r="F5828" s="22">
        <f>(0)</f>
      </c>
      <c r="G5828" s="22">
        <f>(C5828 * E5828 + C5828 * E5828 * F5828)</f>
      </c>
    </row>
    <row r="5829">
      <c r="A5829" s="6"/>
      <c r="B5829" s="15" t="s">
        <v>778</v>
      </c>
      <c r="C5829" s="23"/>
      <c r="D5829" s="23"/>
      <c r="E5829" s="23"/>
      <c r="F5829" s="23"/>
      <c r="G5829" s="23"/>
    </row>
    <row r="5830">
      <c r="A5830" s="5" t="s">
        <v>779</v>
      </c>
      <c r="B5830" s="16" t="s">
        <v>780</v>
      </c>
      <c r="C5830" s="22"/>
      <c r="D5830" s="22" t="s">
        <v>10</v>
      </c>
      <c r="E5830" s="22"/>
      <c r="F5830" s="22">
        <f>(0)</f>
      </c>
      <c r="G5830" s="22">
        <f>(C5830 * E5830 + C5830 * E5830 * F5830)</f>
      </c>
    </row>
    <row r="5831">
      <c r="A5831" s="5" t="s">
        <v>781</v>
      </c>
      <c r="B5831" s="16" t="s">
        <v>782</v>
      </c>
      <c r="C5831" s="22"/>
      <c r="D5831" s="22" t="s">
        <v>10</v>
      </c>
      <c r="E5831" s="22"/>
      <c r="F5831" s="22">
        <f>(0)</f>
      </c>
      <c r="G5831" s="22">
        <f>(C5831 * E5831 + C5831 * E5831 * F5831)</f>
      </c>
    </row>
    <row r="5832">
      <c r="A5832" s="5" t="s">
        <v>783</v>
      </c>
      <c r="B5832" s="16" t="s">
        <v>784</v>
      </c>
      <c r="C5832" s="22"/>
      <c r="D5832" s="22" t="s">
        <v>10</v>
      </c>
      <c r="E5832" s="22"/>
      <c r="F5832" s="22">
        <f>(0)</f>
      </c>
      <c r="G5832" s="22">
        <f>(C5832 * E5832 + C5832 * E5832 * F5832)</f>
      </c>
    </row>
    <row r="5833">
      <c r="A5833" s="5" t="s">
        <v>785</v>
      </c>
      <c r="B5833" s="16" t="s">
        <v>786</v>
      </c>
      <c r="C5833" s="22"/>
      <c r="D5833" s="22" t="s">
        <v>10</v>
      </c>
      <c r="E5833" s="22"/>
      <c r="F5833" s="22">
        <f>(0)</f>
      </c>
      <c r="G5833" s="22">
        <f>(C5833 * E5833 + C5833 * E5833 * F5833)</f>
      </c>
    </row>
    <row r="5834">
      <c r="A5834" s="5" t="s">
        <v>787</v>
      </c>
      <c r="B5834" s="16" t="s">
        <v>788</v>
      </c>
      <c r="C5834" s="22"/>
      <c r="D5834" s="22" t="s">
        <v>10</v>
      </c>
      <c r="E5834" s="22"/>
      <c r="F5834" s="22">
        <f>(0)</f>
      </c>
      <c r="G5834" s="22">
        <f>(C5834 * E5834 + C5834 * E5834 * F5834)</f>
      </c>
    </row>
    <row r="5835">
      <c r="A5835" s="5" t="s">
        <v>789</v>
      </c>
      <c r="B5835" s="16" t="s">
        <v>769</v>
      </c>
      <c r="C5835" s="22"/>
      <c r="D5835" s="22" t="s">
        <v>10</v>
      </c>
      <c r="E5835" s="22"/>
      <c r="F5835" s="22">
        <f>(0)</f>
      </c>
      <c r="G5835" s="22">
        <f>(C5835 * E5835 + C5835 * E5835 * F5835)</f>
      </c>
    </row>
    <row r="5836">
      <c r="A5836" s="6"/>
      <c r="B5836" s="15" t="s">
        <v>790</v>
      </c>
      <c r="C5836" s="23"/>
      <c r="D5836" s="23"/>
      <c r="E5836" s="23"/>
      <c r="F5836" s="23"/>
      <c r="G5836" s="23"/>
    </row>
    <row r="5837">
      <c r="A5837" s="5" t="s">
        <v>791</v>
      </c>
      <c r="B5837" s="16" t="s">
        <v>652</v>
      </c>
      <c r="C5837" s="22"/>
      <c r="D5837" s="22" t="s">
        <v>10</v>
      </c>
      <c r="E5837" s="22"/>
      <c r="F5837" s="22">
        <f>(0)</f>
      </c>
      <c r="G5837" s="22">
        <f>(C5837 * E5837 + C5837 * E5837 * F5837)</f>
      </c>
    </row>
    <row r="5838">
      <c r="A5838" s="5" t="s">
        <v>792</v>
      </c>
      <c r="B5838" s="16" t="s">
        <v>700</v>
      </c>
      <c r="C5838" s="22"/>
      <c r="D5838" s="22" t="s">
        <v>10</v>
      </c>
      <c r="E5838" s="22"/>
      <c r="F5838" s="22">
        <f>(0)</f>
      </c>
      <c r="G5838" s="22">
        <f>(C5838 * E5838 + C5838 * E5838 * F5838)</f>
      </c>
    </row>
    <row r="5839">
      <c r="A5839" s="5" t="s">
        <v>793</v>
      </c>
      <c r="B5839" s="16" t="s">
        <v>650</v>
      </c>
      <c r="C5839" s="22"/>
      <c r="D5839" s="22" t="s">
        <v>10</v>
      </c>
      <c r="E5839" s="22"/>
      <c r="F5839" s="22">
        <f>(0)</f>
      </c>
      <c r="G5839" s="22">
        <f>(C5839 * E5839 + C5839 * E5839 * F5839)</f>
      </c>
    </row>
    <row r="5840">
      <c r="A5840" s="3"/>
      <c r="B5840" s="11" t="s">
        <v>68</v>
      </c>
      <c r="C5840" s="20"/>
      <c r="D5840" s="20"/>
      <c r="E5840" s="20"/>
      <c r="F5840" s="20"/>
      <c r="G5840" s="20"/>
    </row>
    <row r="5841">
      <c r="A5841" s="5" t="s">
        <v>807</v>
      </c>
      <c r="B5841" s="14" t="s">
        <v>808</v>
      </c>
      <c r="C5841" s="22">
        <f>(1)*(1)*(1)*(1)*(1 + (0))</f>
      </c>
      <c r="D5841" s="22" t="s">
        <v>71</v>
      </c>
      <c r="E5841" s="22"/>
      <c r="F5841" s="22">
        <f>(0)</f>
      </c>
      <c r="G5841" s="22">
        <f>(C5841 * E5841 + C5841 * E5841 * F5841)</f>
      </c>
    </row>
    <row r="5842">
      <c r="A5842" s="5" t="s">
        <v>809</v>
      </c>
      <c r="B5842" s="14" t="s">
        <v>810</v>
      </c>
      <c r="C5842" s="22">
        <f>(1)*(1)*(1)*(1)*(1 + (0))</f>
      </c>
      <c r="D5842" s="22" t="s">
        <v>71</v>
      </c>
      <c r="E5842" s="22"/>
      <c r="F5842" s="22">
        <f>(0)</f>
      </c>
      <c r="G5842" s="22">
        <f>(C5842 * E5842 + C5842 * E5842 * F5842)</f>
      </c>
    </row>
    <row r="5843">
      <c r="A5843" s="5" t="s">
        <v>811</v>
      </c>
      <c r="B5843" s="14" t="s">
        <v>812</v>
      </c>
      <c r="C5843" s="22">
        <f>(1)*(1)*(1)*(1)*(1 + (0))</f>
      </c>
      <c r="D5843" s="22" t="s">
        <v>71</v>
      </c>
      <c r="E5843" s="22"/>
      <c r="F5843" s="22">
        <f>(0)</f>
      </c>
      <c r="G5843" s="22">
        <f>(C5843 * E5843 + C5843 * E5843 * F5843)</f>
      </c>
    </row>
    <row r="5844">
      <c r="A5844" s="5" t="s">
        <v>941</v>
      </c>
      <c r="B5844" s="14" t="s">
        <v>447</v>
      </c>
      <c r="C5844" s="22">
        <f>(1)*(1)*(1)*(1)*(1 + (0))</f>
      </c>
      <c r="D5844" s="22" t="s">
        <v>71</v>
      </c>
      <c r="E5844" s="22"/>
      <c r="F5844" s="22">
        <f>(0)</f>
      </c>
      <c r="G5844" s="22">
        <f>(C5844 * E5844 + C5844 * E5844 * F5844)</f>
      </c>
    </row>
    <row r="5845">
      <c r="A5845" s="5" t="s">
        <v>942</v>
      </c>
      <c r="B5845" s="14" t="s">
        <v>70</v>
      </c>
      <c r="C5845" s="22">
        <f>(1)*(1)*(1)*(1)*(1 + (0))</f>
      </c>
      <c r="D5845" s="22" t="s">
        <v>71</v>
      </c>
      <c r="E5845" s="22"/>
      <c r="F5845" s="22">
        <f>(0)</f>
      </c>
      <c r="G5845" s="22">
        <f>(C5845 * E5845 + C5845 * E5845 * F5845)</f>
      </c>
    </row>
    <row r="5846">
      <c r="A5846" s="5" t="s">
        <v>813</v>
      </c>
      <c r="B5846" s="14" t="s">
        <v>814</v>
      </c>
      <c r="C5846" s="22">
        <f>(1)*(1)*(1)*(1)*(1 + (0))</f>
      </c>
      <c r="D5846" s="22" t="s">
        <v>71</v>
      </c>
      <c r="E5846" s="22"/>
      <c r="F5846" s="22">
        <f>(0)</f>
      </c>
      <c r="G5846" s="22">
        <f>(C5846 * E5846 + C5846 * E5846 * F5846)</f>
      </c>
    </row>
    <row r="5847">
      <c r="A5847" s="5" t="s">
        <v>815</v>
      </c>
      <c r="B5847" s="14" t="s">
        <v>816</v>
      </c>
      <c r="C5847" s="22">
        <f>(1)*(1)*(1)*(1)*(1 + (0))</f>
      </c>
      <c r="D5847" s="22" t="s">
        <v>71</v>
      </c>
      <c r="E5847" s="22"/>
      <c r="F5847" s="22">
        <f>(0)</f>
      </c>
      <c r="G5847" s="22">
        <f>(C5847 * E5847 + C5847 * E5847 * F5847)</f>
      </c>
    </row>
    <row r="5848">
      <c r="A5848" s="5" t="s">
        <v>943</v>
      </c>
      <c r="B5848" s="14" t="s">
        <v>798</v>
      </c>
      <c r="C5848" s="22">
        <f>(1)*(1)*(1)*(1)*(1 + (0))</f>
      </c>
      <c r="D5848" s="22" t="s">
        <v>71</v>
      </c>
      <c r="E5848" s="22"/>
      <c r="F5848" s="22">
        <f>(0)</f>
      </c>
      <c r="G5848" s="22">
        <f>(C5848 * E5848 + C5848 * E5848 * F5848)</f>
      </c>
    </row>
    <row r="5849">
      <c r="A5849" s="5" t="s">
        <v>944</v>
      </c>
      <c r="B5849" s="14" t="s">
        <v>800</v>
      </c>
      <c r="C5849" s="22">
        <f>(1)*(1)*(1)*(1)*(1 + (0))</f>
      </c>
      <c r="D5849" s="22" t="s">
        <v>71</v>
      </c>
      <c r="E5849" s="22"/>
      <c r="F5849" s="22">
        <f>(0)</f>
      </c>
      <c r="G5849" s="22">
        <f>(C5849 * E5849 + C5849 * E5849 * F5849)</f>
      </c>
    </row>
    <row r="5850">
      <c r="A5850" s="5" t="s">
        <v>817</v>
      </c>
      <c r="B5850" s="14" t="s">
        <v>667</v>
      </c>
      <c r="C5850" s="22">
        <f>(1)*(1)*(1)*(1)*(1 + (0))</f>
      </c>
      <c r="D5850" s="22" t="s">
        <v>71</v>
      </c>
      <c r="E5850" s="22"/>
      <c r="F5850" s="22">
        <f>(0)</f>
      </c>
      <c r="G5850" s="22">
        <f>(C5850 * E5850 + C5850 * E5850 * F5850)</f>
      </c>
    </row>
    <row r="5851">
      <c r="A5851" s="5" t="s">
        <v>945</v>
      </c>
      <c r="B5851" s="14" t="s">
        <v>665</v>
      </c>
      <c r="C5851" s="22">
        <f>(1)*(1)*(1)*(1)*(1 + (0))</f>
      </c>
      <c r="D5851" s="22" t="s">
        <v>71</v>
      </c>
      <c r="E5851" s="22"/>
      <c r="F5851" s="22">
        <f>(0)</f>
      </c>
      <c r="G5851" s="22">
        <f>(C5851 * E5851 + C5851 * E5851 * F5851)</f>
      </c>
    </row>
    <row r="5852">
      <c r="A5852" s="3"/>
      <c r="B5852" s="11" t="s">
        <v>106</v>
      </c>
      <c r="C5852" s="20"/>
      <c r="D5852" s="20"/>
      <c r="E5852" s="20"/>
      <c r="F5852" s="20"/>
      <c r="G5852" s="20"/>
    </row>
    <row r="5853">
      <c r="A5853" s="5"/>
      <c r="B5853" s="14" t="s">
        <v>946</v>
      </c>
      <c r="C5853" s="22"/>
      <c r="D5853" s="22" t="s">
        <v>10</v>
      </c>
      <c r="E5853" s="22"/>
      <c r="F5853" s="22">
        <f>(0)</f>
      </c>
      <c r="G5853" s="22">
        <f>(C5853 * E5853 + C5853 * E5853 * F5853)</f>
      </c>
    </row>
    <row r="5854">
      <c r="A5854" s="3"/>
      <c r="B5854" s="11" t="s">
        <v>947</v>
      </c>
      <c r="C5854" s="20"/>
      <c r="D5854" s="20"/>
      <c r="E5854" s="20"/>
      <c r="F5854" s="20"/>
      <c r="G5854" s="20"/>
    </row>
    <row r="5855">
      <c r="A5855" s="4"/>
      <c r="B5855" s="12" t="s">
        <v>955</v>
      </c>
      <c r="C5855" s="21"/>
      <c r="D5855" s="21"/>
      <c r="E5855" s="21"/>
      <c r="F5855" s="21"/>
      <c r="G5855" s="21"/>
    </row>
    <row r="5856">
      <c r="A5856" s="6"/>
      <c r="B5856" s="15" t="s">
        <v>2179</v>
      </c>
      <c r="C5856" s="23"/>
      <c r="D5856" s="23"/>
      <c r="E5856" s="23"/>
      <c r="F5856" s="23"/>
      <c r="G5856" s="23"/>
    </row>
    <row r="5857">
      <c r="A5857" s="5"/>
      <c r="B5857" s="16" t="s">
        <v>2180</v>
      </c>
      <c r="C5857" s="22">
        <f>(208)*(1)*(1)*(1)*(1 + (0))</f>
      </c>
      <c r="D5857" s="22" t="s">
        <v>24</v>
      </c>
      <c r="E5857" s="22"/>
      <c r="F5857" s="22">
        <f>(0)</f>
      </c>
      <c r="G5857" s="22">
        <f>(C5857 * E5857 + C5857 * E5857 * F5857)</f>
      </c>
    </row>
    <row r="5858">
      <c r="A5858" s="6"/>
      <c r="B5858" s="15" t="s">
        <v>2181</v>
      </c>
      <c r="C5858" s="23"/>
      <c r="D5858" s="23"/>
      <c r="E5858" s="23"/>
      <c r="F5858" s="23"/>
      <c r="G5858" s="23"/>
    </row>
    <row r="5859">
      <c r="A5859" s="5"/>
      <c r="B5859" s="16" t="s">
        <v>2180</v>
      </c>
      <c r="C5859" s="22">
        <f>(82)*(1)*(1)*(1)*(1 + (0))</f>
      </c>
      <c r="D5859" s="22" t="s">
        <v>24</v>
      </c>
      <c r="E5859" s="22"/>
      <c r="F5859" s="22">
        <f>(0)</f>
      </c>
      <c r="G5859" s="22">
        <f>(C5859 * E5859 + C5859 * E5859 * F5859)</f>
      </c>
    </row>
    <row r="5860">
      <c r="A5860" s="3"/>
      <c r="B5860" s="11" t="s">
        <v>960</v>
      </c>
      <c r="C5860" s="20"/>
      <c r="D5860" s="20"/>
      <c r="E5860" s="20"/>
      <c r="F5860" s="20"/>
      <c r="G5860" s="20"/>
    </row>
    <row r="5861">
      <c r="A5861" s="4"/>
      <c r="B5861" s="12" t="s">
        <v>948</v>
      </c>
      <c r="C5861" s="21"/>
      <c r="D5861" s="21"/>
      <c r="E5861" s="21"/>
      <c r="F5861" s="21"/>
      <c r="G5861" s="21"/>
    </row>
    <row r="5862">
      <c r="A5862" s="6"/>
      <c r="B5862" s="15" t="s">
        <v>967</v>
      </c>
      <c r="C5862" s="23"/>
      <c r="D5862" s="23"/>
      <c r="E5862" s="23"/>
      <c r="F5862" s="23"/>
      <c r="G5862" s="23"/>
    </row>
    <row r="5863">
      <c r="A5863" s="5"/>
      <c r="B5863" s="16" t="s">
        <v>2180</v>
      </c>
      <c r="C5863" s="22">
        <f>(11)*(1)*(1)*(1)*(1 + (0))</f>
      </c>
      <c r="D5863" s="22" t="s">
        <v>24</v>
      </c>
      <c r="E5863" s="22"/>
      <c r="F5863" s="22">
        <f>(0)</f>
      </c>
      <c r="G5863" s="22">
        <f>(C5863 * E5863 + C5863 * E5863 * F5863)</f>
      </c>
    </row>
    <row r="5864">
      <c r="A5864" s="4"/>
      <c r="B5864" s="12" t="s">
        <v>953</v>
      </c>
      <c r="C5864" s="21"/>
      <c r="D5864" s="21"/>
      <c r="E5864" s="21"/>
      <c r="F5864" s="21"/>
      <c r="G5864" s="21"/>
    </row>
    <row r="5865">
      <c r="A5865" s="6"/>
      <c r="B5865" s="15" t="s">
        <v>975</v>
      </c>
      <c r="C5865" s="23"/>
      <c r="D5865" s="23"/>
      <c r="E5865" s="23"/>
      <c r="F5865" s="23"/>
      <c r="G5865" s="23"/>
    </row>
    <row r="5866">
      <c r="A5866" s="5"/>
      <c r="B5866" s="16" t="s">
        <v>2180</v>
      </c>
      <c r="C5866" s="22">
        <f>(121)*(1)*(1)*(1)*(1 + (0))</f>
      </c>
      <c r="D5866" s="22" t="s">
        <v>24</v>
      </c>
      <c r="E5866" s="22"/>
      <c r="F5866" s="22">
        <f>(0)</f>
      </c>
      <c r="G5866" s="22">
        <f>(C5866 * E5866 + C5866 * E5866 * F5866)</f>
      </c>
    </row>
    <row r="5867">
      <c r="A5867" s="6"/>
      <c r="B5867" s="15" t="s">
        <v>974</v>
      </c>
      <c r="C5867" s="23"/>
      <c r="D5867" s="23"/>
      <c r="E5867" s="23"/>
      <c r="F5867" s="23"/>
      <c r="G5867" s="23"/>
    </row>
    <row r="5868">
      <c r="A5868" s="5"/>
      <c r="B5868" s="16" t="s">
        <v>2180</v>
      </c>
      <c r="C5868" s="22">
        <f>(40)*(1)*(1)*(1)*(1 + (0))</f>
      </c>
      <c r="D5868" s="22" t="s">
        <v>24</v>
      </c>
      <c r="E5868" s="22"/>
      <c r="F5868" s="22">
        <f>(0)</f>
      </c>
      <c r="G5868" s="22">
        <f>(C5868 * E5868 + C5868 * E5868 * F5868)</f>
      </c>
    </row>
    <row r="5869">
      <c r="A5869" s="6"/>
      <c r="B5869" s="15" t="s">
        <v>973</v>
      </c>
      <c r="C5869" s="23"/>
      <c r="D5869" s="23"/>
      <c r="E5869" s="23"/>
      <c r="F5869" s="23"/>
      <c r="G5869" s="23"/>
    </row>
    <row r="5870">
      <c r="A5870" s="5"/>
      <c r="B5870" s="16" t="s">
        <v>2180</v>
      </c>
      <c r="C5870" s="22">
        <f>(76)*(1)*(1)*(1)*(1 + (0))</f>
      </c>
      <c r="D5870" s="22" t="s">
        <v>24</v>
      </c>
      <c r="E5870" s="22"/>
      <c r="F5870" s="22">
        <f>(0)</f>
      </c>
      <c r="G5870" s="22">
        <f>(C5870 * E5870 + C5870 * E5870 * F5870)</f>
      </c>
    </row>
    <row r="5871">
      <c r="A5871" s="6"/>
      <c r="B5871" s="15" t="s">
        <v>2182</v>
      </c>
      <c r="C5871" s="23"/>
      <c r="D5871" s="23"/>
      <c r="E5871" s="23"/>
      <c r="F5871" s="23"/>
      <c r="G5871" s="23"/>
    </row>
    <row r="5872">
      <c r="A5872" s="5"/>
      <c r="B5872" s="16" t="s">
        <v>2180</v>
      </c>
      <c r="C5872" s="22">
        <f>(11)*(1)*(1)*(1)*(1 + (0))</f>
      </c>
      <c r="D5872" s="22" t="s">
        <v>24</v>
      </c>
      <c r="E5872" s="22"/>
      <c r="F5872" s="22">
        <f>(0)</f>
      </c>
      <c r="G5872" s="22">
        <f>(C5872 * E5872 + C5872 * E5872 * F5872)</f>
      </c>
    </row>
    <row r="5873">
      <c r="A5873" s="6"/>
      <c r="B5873" s="15" t="s">
        <v>1738</v>
      </c>
      <c r="C5873" s="23"/>
      <c r="D5873" s="23"/>
      <c r="E5873" s="23"/>
      <c r="F5873" s="23"/>
      <c r="G5873" s="23"/>
    </row>
    <row r="5874">
      <c r="A5874" s="5"/>
      <c r="B5874" s="16" t="s">
        <v>2180</v>
      </c>
      <c r="C5874" s="22">
        <f>(49)*(1)*(1)*(1)*(1 + (0))</f>
      </c>
      <c r="D5874" s="22" t="s">
        <v>24</v>
      </c>
      <c r="E5874" s="22"/>
      <c r="F5874" s="22">
        <f>(0)</f>
      </c>
      <c r="G5874" s="22">
        <f>(C5874 * E5874 + C5874 * E5874 * F5874)</f>
      </c>
    </row>
    <row r="5875">
      <c r="A5875" s="6"/>
      <c r="B5875" s="15" t="s">
        <v>1739</v>
      </c>
      <c r="C5875" s="23"/>
      <c r="D5875" s="23"/>
      <c r="E5875" s="23"/>
      <c r="F5875" s="23"/>
      <c r="G5875" s="23"/>
    </row>
    <row r="5876">
      <c r="A5876" s="5"/>
      <c r="B5876" s="16" t="s">
        <v>2180</v>
      </c>
      <c r="C5876" s="22">
        <f>(7)*(1)*(1)*(1)*(1 + (0))</f>
      </c>
      <c r="D5876" s="22" t="s">
        <v>24</v>
      </c>
      <c r="E5876" s="22"/>
      <c r="F5876" s="22">
        <f>(0)</f>
      </c>
      <c r="G5876" s="22">
        <f>(C5876 * E5876 + C5876 * E5876 * F5876)</f>
      </c>
    </row>
    <row r="5877">
      <c r="A5877" s="6"/>
      <c r="B5877" s="15" t="s">
        <v>1740</v>
      </c>
      <c r="C5877" s="23"/>
      <c r="D5877" s="23"/>
      <c r="E5877" s="23"/>
      <c r="F5877" s="23"/>
      <c r="G5877" s="23"/>
    </row>
    <row r="5878">
      <c r="A5878" s="5"/>
      <c r="B5878" s="16" t="s">
        <v>2180</v>
      </c>
      <c r="C5878" s="22">
        <f>(23)*(1)*(1)*(1)*(1 + (0))</f>
      </c>
      <c r="D5878" s="22" t="s">
        <v>24</v>
      </c>
      <c r="E5878" s="22"/>
      <c r="F5878" s="22">
        <f>(0)</f>
      </c>
      <c r="G5878" s="22">
        <f>(C5878 * E5878 + C5878 * E5878 * F5878)</f>
      </c>
    </row>
    <row r="5879">
      <c r="A5879" s="6"/>
      <c r="B5879" s="15" t="s">
        <v>2183</v>
      </c>
      <c r="C5879" s="23"/>
      <c r="D5879" s="23"/>
      <c r="E5879" s="23"/>
      <c r="F5879" s="23"/>
      <c r="G5879" s="23"/>
    </row>
    <row r="5880">
      <c r="A5880" s="5"/>
      <c r="B5880" s="16" t="s">
        <v>2180</v>
      </c>
      <c r="C5880" s="22">
        <f>(10)*(1)*(1)*(1)*(1 + (0))</f>
      </c>
      <c r="D5880" s="22" t="s">
        <v>24</v>
      </c>
      <c r="E5880" s="22"/>
      <c r="F5880" s="22">
        <f>(0)</f>
      </c>
      <c r="G5880" s="22">
        <f>(C5880 * E5880 + C5880 * E5880 * F5880)</f>
      </c>
    </row>
    <row r="5881">
      <c r="A5881" s="6"/>
      <c r="B5881" s="15" t="s">
        <v>2184</v>
      </c>
      <c r="C5881" s="23"/>
      <c r="D5881" s="23"/>
      <c r="E5881" s="23"/>
      <c r="F5881" s="23"/>
      <c r="G5881" s="23"/>
    </row>
    <row r="5882">
      <c r="A5882" s="5"/>
      <c r="B5882" s="16" t="s">
        <v>2180</v>
      </c>
      <c r="C5882" s="22">
        <f>(5)*(1)*(1)*(1)*(1 + (0))</f>
      </c>
      <c r="D5882" s="22" t="s">
        <v>24</v>
      </c>
      <c r="E5882" s="22"/>
      <c r="F5882" s="22">
        <f>(0)</f>
      </c>
      <c r="G5882" s="22">
        <f>(C5882 * E5882 + C5882 * E5882 * F5882)</f>
      </c>
    </row>
    <row r="5883">
      <c r="A5883" s="6"/>
      <c r="B5883" s="15" t="s">
        <v>2185</v>
      </c>
      <c r="C5883" s="23"/>
      <c r="D5883" s="23"/>
      <c r="E5883" s="23"/>
      <c r="F5883" s="23"/>
      <c r="G5883" s="23"/>
    </row>
    <row r="5884">
      <c r="A5884" s="5"/>
      <c r="B5884" s="16" t="s">
        <v>2180</v>
      </c>
      <c r="C5884" s="22">
        <f>(22)*(1)*(1)*(1)*(1 + (0))</f>
      </c>
      <c r="D5884" s="22" t="s">
        <v>24</v>
      </c>
      <c r="E5884" s="22"/>
      <c r="F5884" s="22">
        <f>(0)</f>
      </c>
      <c r="G5884" s="22">
        <f>(C5884 * E5884 + C5884 * E5884 * F5884)</f>
      </c>
    </row>
    <row r="5885">
      <c r="A5885" s="6"/>
      <c r="B5885" s="15" t="s">
        <v>984</v>
      </c>
      <c r="C5885" s="23"/>
      <c r="D5885" s="23"/>
      <c r="E5885" s="23"/>
      <c r="F5885" s="23"/>
      <c r="G5885" s="23"/>
    </row>
    <row r="5886">
      <c r="A5886" s="5"/>
      <c r="B5886" s="16" t="s">
        <v>2180</v>
      </c>
      <c r="C5886" s="22">
        <f>(44)*(1)*(1)*(1)*(1 + (0))</f>
      </c>
      <c r="D5886" s="22" t="s">
        <v>24</v>
      </c>
      <c r="E5886" s="22"/>
      <c r="F5886" s="22">
        <f>(0)</f>
      </c>
      <c r="G5886" s="22">
        <f>(C5886 * E5886 + C5886 * E5886 * F5886)</f>
      </c>
    </row>
    <row r="5887">
      <c r="A5887" s="6"/>
      <c r="B5887" s="15" t="s">
        <v>2186</v>
      </c>
      <c r="C5887" s="23"/>
      <c r="D5887" s="23"/>
      <c r="E5887" s="23"/>
      <c r="F5887" s="23"/>
      <c r="G5887" s="23"/>
    </row>
    <row r="5888">
      <c r="A5888" s="5"/>
      <c r="B5888" s="16" t="s">
        <v>2180</v>
      </c>
      <c r="C5888" s="22">
        <f>(15)*(1)*(1)*(1)*(1 + (0))</f>
      </c>
      <c r="D5888" s="22" t="s">
        <v>24</v>
      </c>
      <c r="E5888" s="22"/>
      <c r="F5888" s="22">
        <f>(0)</f>
      </c>
      <c r="G5888" s="22">
        <f>(C5888 * E5888 + C5888 * E5888 * F5888)</f>
      </c>
    </row>
    <row r="5889">
      <c r="A5889" s="4"/>
      <c r="B5889" s="12" t="s">
        <v>955</v>
      </c>
      <c r="C5889" s="21"/>
      <c r="D5889" s="21"/>
      <c r="E5889" s="21"/>
      <c r="F5889" s="21"/>
      <c r="G5889" s="21"/>
    </row>
    <row r="5890">
      <c r="A5890" s="6"/>
      <c r="B5890" s="15" t="s">
        <v>987</v>
      </c>
      <c r="C5890" s="23"/>
      <c r="D5890" s="23"/>
      <c r="E5890" s="23"/>
      <c r="F5890" s="23"/>
      <c r="G5890" s="23"/>
    </row>
    <row r="5891">
      <c r="A5891" s="5"/>
      <c r="B5891" s="16" t="s">
        <v>2180</v>
      </c>
      <c r="C5891" s="22">
        <f>(14)*(1)*(1)*(1)*(1 + (0))</f>
      </c>
      <c r="D5891" s="22" t="s">
        <v>24</v>
      </c>
      <c r="E5891" s="22"/>
      <c r="F5891" s="22">
        <f>(0)</f>
      </c>
      <c r="G5891" s="22">
        <f>(C5891 * E5891 + C5891 * E5891 * F5891)</f>
      </c>
    </row>
    <row r="5892">
      <c r="A5892" s="3"/>
      <c r="B5892" s="11" t="s">
        <v>989</v>
      </c>
      <c r="C5892" s="20"/>
      <c r="D5892" s="20"/>
      <c r="E5892" s="20"/>
      <c r="F5892" s="20"/>
      <c r="G5892" s="20"/>
    </row>
    <row r="5893">
      <c r="A5893" s="4"/>
      <c r="B5893" s="12" t="s">
        <v>2025</v>
      </c>
      <c r="C5893" s="21"/>
      <c r="D5893" s="21"/>
      <c r="E5893" s="21"/>
      <c r="F5893" s="21"/>
      <c r="G5893" s="21"/>
    </row>
    <row r="5894">
      <c r="A5894" s="5"/>
      <c r="B5894" s="13" t="s">
        <v>2187</v>
      </c>
      <c r="C5894" s="22">
        <f>(21)*(1)*(1)*(1)*(1 + (0))</f>
      </c>
      <c r="D5894" s="22" t="s">
        <v>24</v>
      </c>
      <c r="E5894" s="22"/>
      <c r="F5894" s="22">
        <f>(0)</f>
      </c>
      <c r="G5894" s="22">
        <f>(C5894 * E5894 + C5894 * E5894 * F5894)</f>
      </c>
    </row>
    <row r="5895">
      <c r="A5895" s="4"/>
      <c r="B5895" s="12" t="s">
        <v>2188</v>
      </c>
      <c r="C5895" s="21"/>
      <c r="D5895" s="21"/>
      <c r="E5895" s="21"/>
      <c r="F5895" s="21"/>
      <c r="G5895" s="21"/>
    </row>
    <row r="5896">
      <c r="A5896" s="5"/>
      <c r="B5896" s="13" t="s">
        <v>2187</v>
      </c>
      <c r="C5896" s="22">
        <f>(47)*(1)*(1)*(1)*(1 + (0))</f>
      </c>
      <c r="D5896" s="22" t="s">
        <v>24</v>
      </c>
      <c r="E5896" s="22"/>
      <c r="F5896" s="22">
        <f>(0)</f>
      </c>
      <c r="G5896" s="22">
        <f>(C5896 * E5896 + C5896 * E5896 * F5896)</f>
      </c>
    </row>
    <row r="5897">
      <c r="A5897" s="3"/>
      <c r="B5897" s="11" t="s">
        <v>2026</v>
      </c>
      <c r="C5897" s="20"/>
      <c r="D5897" s="20"/>
      <c r="E5897" s="20"/>
      <c r="F5897" s="20"/>
      <c r="G5897" s="20"/>
    </row>
    <row r="5898">
      <c r="A5898" s="4"/>
      <c r="B5898" s="12" t="s">
        <v>2027</v>
      </c>
      <c r="C5898" s="21"/>
      <c r="D5898" s="21"/>
      <c r="E5898" s="21"/>
      <c r="F5898" s="21"/>
      <c r="G5898" s="21"/>
    </row>
    <row r="5899">
      <c r="A5899" s="5"/>
      <c r="B5899" s="13" t="s">
        <v>2187</v>
      </c>
      <c r="C5899" s="22">
        <f>(82)*(1)*(1)*(1)*(1 + (0))</f>
      </c>
      <c r="D5899" s="22" t="s">
        <v>24</v>
      </c>
      <c r="E5899" s="22"/>
      <c r="F5899" s="22">
        <f>(0)</f>
      </c>
      <c r="G5899" s="22">
        <f>(C5899 * E5899 + C5899 * E5899 * F5899)</f>
      </c>
    </row>
    <row r="5900">
      <c r="A5900" s="4"/>
      <c r="B5900" s="12" t="s">
        <v>999</v>
      </c>
      <c r="C5900" s="21"/>
      <c r="D5900" s="21"/>
      <c r="E5900" s="21"/>
      <c r="F5900" s="21"/>
      <c r="G5900" s="21"/>
    </row>
    <row r="5901">
      <c r="A5901" s="5"/>
      <c r="B5901" s="13" t="s">
        <v>32</v>
      </c>
      <c r="C5901" s="22">
        <f>(25)*(1)*(1)*(1)*(1 + (0))</f>
      </c>
      <c r="D5901" s="22" t="s">
        <v>24</v>
      </c>
      <c r="E5901" s="22"/>
      <c r="F5901" s="22">
        <f>(0)</f>
      </c>
      <c r="G5901" s="22">
        <f>(C5901 * E5901 + C5901 * E5901 * F5901)</f>
      </c>
    </row>
    <row r="5902">
      <c r="A5902" s="3"/>
      <c r="B5902" s="11" t="s">
        <v>998</v>
      </c>
      <c r="C5902" s="20"/>
      <c r="D5902" s="20"/>
      <c r="E5902" s="20"/>
      <c r="F5902" s="20"/>
      <c r="G5902" s="20"/>
    </row>
    <row r="5903">
      <c r="A5903" s="4"/>
      <c r="B5903" s="12" t="s">
        <v>1000</v>
      </c>
      <c r="C5903" s="21"/>
      <c r="D5903" s="21"/>
      <c r="E5903" s="21"/>
      <c r="F5903" s="21"/>
      <c r="G5903" s="21"/>
    </row>
    <row r="5904">
      <c r="A5904" s="5"/>
      <c r="B5904" s="13" t="s">
        <v>1002</v>
      </c>
      <c r="C5904" s="22">
        <f>(25)*(1)*(1)*(1)*(1 + (0))</f>
      </c>
      <c r="D5904" s="22" t="s">
        <v>24</v>
      </c>
      <c r="E5904" s="22"/>
      <c r="F5904" s="22">
        <f>(0)</f>
      </c>
      <c r="G5904" s="22">
        <f>(C5904 * E5904 + C5904 * E5904 * F5904)</f>
      </c>
    </row>
    <row r="5905">
      <c r="A5905" s="5"/>
      <c r="B5905" s="7" t="s">
        <v>1003</v>
      </c>
      <c r="C5905" s="22"/>
      <c r="D5905" s="22"/>
      <c r="E5905" s="22"/>
      <c r="F5905" s="22">
        <f>(0)</f>
      </c>
      <c r="G5905" s="22">
        <f>(C5905 * E5905 + C5905 * E5905 * F5905)</f>
      </c>
    </row>
    <row r="5906">
      <c r="A5906" s="2"/>
      <c r="B5906" s="10" t="s">
        <v>1006</v>
      </c>
      <c r="C5906" s="19"/>
      <c r="D5906" s="19"/>
      <c r="E5906" s="19"/>
      <c r="F5906" s="19"/>
      <c r="G5906" s="19"/>
    </row>
    <row r="5907">
      <c r="A5907" s="3"/>
      <c r="B5907" s="11" t="s">
        <v>37</v>
      </c>
      <c r="C5907" s="20"/>
      <c r="D5907" s="20"/>
      <c r="E5907" s="20"/>
      <c r="F5907" s="20"/>
      <c r="G5907" s="20"/>
    </row>
    <row r="5908">
      <c r="A5908" s="5" t="s">
        <v>1007</v>
      </c>
      <c r="B5908" s="14" t="s">
        <v>39</v>
      </c>
      <c r="C5908" s="22"/>
      <c r="D5908" s="22" t="s">
        <v>10</v>
      </c>
      <c r="E5908" s="22"/>
      <c r="F5908" s="22">
        <f>(0)</f>
      </c>
      <c r="G5908" s="22">
        <f>(C5908 * E5908 + C5908 * E5908 * F5908)</f>
      </c>
    </row>
    <row r="5909">
      <c r="A5909" s="5" t="s">
        <v>1008</v>
      </c>
      <c r="B5909" s="14" t="s">
        <v>41</v>
      </c>
      <c r="C5909" s="22"/>
      <c r="D5909" s="22" t="s">
        <v>10</v>
      </c>
      <c r="E5909" s="22"/>
      <c r="F5909" s="22">
        <f>(0)</f>
      </c>
      <c r="G5909" s="22">
        <f>(C5909 * E5909 + C5909 * E5909 * F5909)</f>
      </c>
    </row>
    <row r="5910">
      <c r="A5910" s="3"/>
      <c r="B5910" s="11" t="s">
        <v>42</v>
      </c>
      <c r="C5910" s="20"/>
      <c r="D5910" s="20"/>
      <c r="E5910" s="20"/>
      <c r="F5910" s="20"/>
      <c r="G5910" s="20"/>
    </row>
    <row r="5911">
      <c r="A5911" s="5"/>
      <c r="B5911" s="14" t="s">
        <v>1009</v>
      </c>
      <c r="C5911" s="22"/>
      <c r="D5911" s="22" t="s">
        <v>10</v>
      </c>
      <c r="E5911" s="22"/>
      <c r="F5911" s="22">
        <f>(0)</f>
      </c>
      <c r="G5911" s="22">
        <f>(C5911 * E5911 + C5911 * E5911 * F5911)</f>
      </c>
    </row>
    <row r="5912">
      <c r="A5912" s="5"/>
      <c r="B5912" s="14" t="s">
        <v>1010</v>
      </c>
      <c r="C5912" s="22"/>
      <c r="D5912" s="22" t="s">
        <v>10</v>
      </c>
      <c r="E5912" s="22"/>
      <c r="F5912" s="22">
        <f>(0)</f>
      </c>
      <c r="G5912" s="22">
        <f>(C5912 * E5912 + C5912 * E5912 * F5912)</f>
      </c>
    </row>
    <row r="5913">
      <c r="A5913" s="5"/>
      <c r="B5913" s="14" t="s">
        <v>1011</v>
      </c>
      <c r="C5913" s="22"/>
      <c r="D5913" s="22" t="s">
        <v>10</v>
      </c>
      <c r="E5913" s="22"/>
      <c r="F5913" s="22">
        <f>(0)</f>
      </c>
      <c r="G5913" s="22">
        <f>(C5913 * E5913 + C5913 * E5913 * F5913)</f>
      </c>
    </row>
    <row r="5914">
      <c r="A5914" s="3"/>
      <c r="B5914" s="11" t="s">
        <v>44</v>
      </c>
      <c r="C5914" s="20"/>
      <c r="D5914" s="20"/>
      <c r="E5914" s="20"/>
      <c r="F5914" s="20"/>
      <c r="G5914" s="20"/>
    </row>
    <row r="5915">
      <c r="A5915" s="4"/>
      <c r="B5915" s="12" t="s">
        <v>45</v>
      </c>
      <c r="C5915" s="21"/>
      <c r="D5915" s="21"/>
      <c r="E5915" s="21"/>
      <c r="F5915" s="21"/>
      <c r="G5915" s="21"/>
    </row>
    <row r="5916">
      <c r="A5916" s="5" t="s">
        <v>1012</v>
      </c>
      <c r="B5916" s="13" t="s">
        <v>1013</v>
      </c>
      <c r="C5916" s="22"/>
      <c r="D5916" s="22" t="s">
        <v>10</v>
      </c>
      <c r="E5916" s="22"/>
      <c r="F5916" s="22">
        <f>(0)</f>
      </c>
      <c r="G5916" s="22">
        <f>(C5916 * E5916 + C5916 * E5916 * F5916)</f>
      </c>
    </row>
    <row r="5917">
      <c r="A5917" s="5" t="s">
        <v>1014</v>
      </c>
      <c r="B5917" s="13" t="s">
        <v>1015</v>
      </c>
      <c r="C5917" s="22"/>
      <c r="D5917" s="22" t="s">
        <v>10</v>
      </c>
      <c r="E5917" s="22"/>
      <c r="F5917" s="22">
        <f>(0)</f>
      </c>
      <c r="G5917" s="22">
        <f>(C5917 * E5917 + C5917 * E5917 * F5917)</f>
      </c>
    </row>
    <row r="5918">
      <c r="A5918" s="5" t="s">
        <v>1016</v>
      </c>
      <c r="B5918" s="13" t="s">
        <v>1017</v>
      </c>
      <c r="C5918" s="22"/>
      <c r="D5918" s="22" t="s">
        <v>10</v>
      </c>
      <c r="E5918" s="22"/>
      <c r="F5918" s="22">
        <f>(0)</f>
      </c>
      <c r="G5918" s="22">
        <f>(C5918 * E5918 + C5918 * E5918 * F5918)</f>
      </c>
    </row>
    <row r="5919">
      <c r="A5919" s="5" t="s">
        <v>1018</v>
      </c>
      <c r="B5919" s="13" t="s">
        <v>784</v>
      </c>
      <c r="C5919" s="22"/>
      <c r="D5919" s="22" t="s">
        <v>10</v>
      </c>
      <c r="E5919" s="22"/>
      <c r="F5919" s="22">
        <f>(0)</f>
      </c>
      <c r="G5919" s="22">
        <f>(C5919 * E5919 + C5919 * E5919 * F5919)</f>
      </c>
    </row>
    <row r="5920">
      <c r="A5920" s="5" t="s">
        <v>1019</v>
      </c>
      <c r="B5920" s="13" t="s">
        <v>123</v>
      </c>
      <c r="C5920" s="22"/>
      <c r="D5920" s="22" t="s">
        <v>10</v>
      </c>
      <c r="E5920" s="22"/>
      <c r="F5920" s="22">
        <f>(0)</f>
      </c>
      <c r="G5920" s="22">
        <f>(C5920 * E5920 + C5920 * E5920 * F5920)</f>
      </c>
    </row>
    <row r="5921">
      <c r="A5921" s="3"/>
      <c r="B5921" s="11" t="s">
        <v>68</v>
      </c>
      <c r="C5921" s="20"/>
      <c r="D5921" s="20"/>
      <c r="E5921" s="20"/>
      <c r="F5921" s="20"/>
      <c r="G5921" s="20"/>
    </row>
    <row r="5922">
      <c r="A5922" s="5" t="s">
        <v>1020</v>
      </c>
      <c r="B5922" s="14" t="s">
        <v>230</v>
      </c>
      <c r="C5922" s="22">
        <f>(1)*(1)*(1)*(1)*(1 + (0))</f>
      </c>
      <c r="D5922" s="22" t="s">
        <v>71</v>
      </c>
      <c r="E5922" s="22"/>
      <c r="F5922" s="22">
        <f>(0)</f>
      </c>
      <c r="G5922" s="22">
        <f>(C5922 * E5922 + C5922 * E5922 * F5922)</f>
      </c>
    </row>
    <row r="5923">
      <c r="A5923" s="5" t="s">
        <v>1021</v>
      </c>
      <c r="B5923" s="14" t="s">
        <v>1022</v>
      </c>
      <c r="C5923" s="22">
        <f>(1)*(1)*(1)*(1)*(1 + (0))</f>
      </c>
      <c r="D5923" s="22" t="s">
        <v>71</v>
      </c>
      <c r="E5923" s="22"/>
      <c r="F5923" s="22">
        <f>(0)</f>
      </c>
      <c r="G5923" s="22">
        <f>(C5923 * E5923 + C5923 * E5923 * F5923)</f>
      </c>
    </row>
    <row r="5924">
      <c r="A5924" s="5" t="s">
        <v>1023</v>
      </c>
      <c r="B5924" s="14" t="s">
        <v>812</v>
      </c>
      <c r="C5924" s="22">
        <f>(1)*(1)*(1)*(1)*(1 + (0))</f>
      </c>
      <c r="D5924" s="22" t="s">
        <v>71</v>
      </c>
      <c r="E5924" s="22"/>
      <c r="F5924" s="22">
        <f>(0)</f>
      </c>
      <c r="G5924" s="22">
        <f>(C5924 * E5924 + C5924 * E5924 * F5924)</f>
      </c>
    </row>
    <row r="5925">
      <c r="A5925" s="5" t="s">
        <v>1024</v>
      </c>
      <c r="B5925" s="14" t="s">
        <v>814</v>
      </c>
      <c r="C5925" s="22">
        <f>(1)*(1)*(1)*(1)*(1 + (0))</f>
      </c>
      <c r="D5925" s="22" t="s">
        <v>71</v>
      </c>
      <c r="E5925" s="22"/>
      <c r="F5925" s="22">
        <f>(0)</f>
      </c>
      <c r="G5925" s="22">
        <f>(C5925 * E5925 + C5925 * E5925 * F5925)</f>
      </c>
    </row>
    <row r="5926">
      <c r="A5926" s="5" t="s">
        <v>1025</v>
      </c>
      <c r="B5926" s="14" t="s">
        <v>798</v>
      </c>
      <c r="C5926" s="22">
        <f>(1)*(1)*(1)*(1)*(1 + (0))</f>
      </c>
      <c r="D5926" s="22" t="s">
        <v>71</v>
      </c>
      <c r="E5926" s="22"/>
      <c r="F5926" s="22">
        <f>(0)</f>
      </c>
      <c r="G5926" s="22">
        <f>(C5926 * E5926 + C5926 * E5926 * F5926)</f>
      </c>
    </row>
    <row r="5927">
      <c r="A5927" s="5" t="s">
        <v>1026</v>
      </c>
      <c r="B5927" s="14" t="s">
        <v>805</v>
      </c>
      <c r="C5927" s="22">
        <f>(1)*(1)*(1)*(1)*(1 + (0))</f>
      </c>
      <c r="D5927" s="22" t="s">
        <v>71</v>
      </c>
      <c r="E5927" s="22"/>
      <c r="F5927" s="22">
        <f>(0)</f>
      </c>
      <c r="G5927" s="22">
        <f>(C5927 * E5927 + C5927 * E5927 * F5927)</f>
      </c>
    </row>
    <row r="5928">
      <c r="A5928" s="5" t="s">
        <v>1027</v>
      </c>
      <c r="B5928" s="14" t="s">
        <v>800</v>
      </c>
      <c r="C5928" s="22">
        <f>(1)*(1)*(1)*(1)*(1 + (0))</f>
      </c>
      <c r="D5928" s="22" t="s">
        <v>71</v>
      </c>
      <c r="E5928" s="22"/>
      <c r="F5928" s="22">
        <f>(0)</f>
      </c>
      <c r="G5928" s="22">
        <f>(C5928 * E5928 + C5928 * E5928 * F5928)</f>
      </c>
    </row>
    <row r="5929">
      <c r="A5929" s="5" t="s">
        <v>1028</v>
      </c>
      <c r="B5929" s="14" t="s">
        <v>1029</v>
      </c>
      <c r="C5929" s="22">
        <f>(1)*(1)*(1)*(1)*(1 + (0))</f>
      </c>
      <c r="D5929" s="22" t="s">
        <v>71</v>
      </c>
      <c r="E5929" s="22"/>
      <c r="F5929" s="22">
        <f>(0)</f>
      </c>
      <c r="G5929" s="22">
        <f>(C5929 * E5929 + C5929 * E5929 * F5929)</f>
      </c>
    </row>
    <row r="5930">
      <c r="A5930" s="5" t="s">
        <v>1030</v>
      </c>
      <c r="B5930" s="14" t="s">
        <v>1031</v>
      </c>
      <c r="C5930" s="22">
        <f>(1)*(1)*(1)*(1)*(1 + (0))</f>
      </c>
      <c r="D5930" s="22" t="s">
        <v>71</v>
      </c>
      <c r="E5930" s="22"/>
      <c r="F5930" s="22">
        <f>(0)</f>
      </c>
      <c r="G5930" s="22">
        <f>(C5930 * E5930 + C5930 * E5930 * F5930)</f>
      </c>
    </row>
    <row r="5931">
      <c r="A5931" s="3"/>
      <c r="B5931" s="11" t="s">
        <v>106</v>
      </c>
      <c r="C5931" s="20"/>
      <c r="D5931" s="20"/>
      <c r="E5931" s="20"/>
      <c r="F5931" s="20"/>
      <c r="G5931" s="20"/>
    </row>
    <row r="5932">
      <c r="A5932" s="5"/>
      <c r="B5932" s="14" t="s">
        <v>2189</v>
      </c>
      <c r="C5932" s="22"/>
      <c r="D5932" s="22" t="s">
        <v>10</v>
      </c>
      <c r="E5932" s="22"/>
      <c r="F5932" s="22">
        <f>(0)</f>
      </c>
      <c r="G5932" s="22">
        <f>(C5932 * E5932 + C5932 * E5932 * F5932)</f>
      </c>
    </row>
    <row r="5933">
      <c r="A5933" s="3"/>
      <c r="B5933" s="11" t="s">
        <v>1033</v>
      </c>
      <c r="C5933" s="20"/>
      <c r="D5933" s="20"/>
      <c r="E5933" s="20"/>
      <c r="F5933" s="20"/>
      <c r="G5933" s="20"/>
    </row>
    <row r="5934">
      <c r="A5934" s="4"/>
      <c r="B5934" s="12" t="s">
        <v>1034</v>
      </c>
      <c r="C5934" s="21"/>
      <c r="D5934" s="21"/>
      <c r="E5934" s="21"/>
      <c r="F5934" s="21"/>
      <c r="G5934" s="21"/>
    </row>
    <row r="5935">
      <c r="A5935" s="6"/>
      <c r="B5935" s="15" t="s">
        <v>1035</v>
      </c>
      <c r="C5935" s="23"/>
      <c r="D5935" s="23"/>
      <c r="E5935" s="23"/>
      <c r="F5935" s="23"/>
      <c r="G5935" s="23"/>
    </row>
    <row r="5936">
      <c r="A5936" s="5"/>
      <c r="B5936" s="16" t="s">
        <v>32</v>
      </c>
      <c r="C5936" s="22">
        <f>(41)*(1)*(1)*(1)*(1 + (0))</f>
      </c>
      <c r="D5936" s="22" t="s">
        <v>24</v>
      </c>
      <c r="E5936" s="22"/>
      <c r="F5936" s="22">
        <f>(0)</f>
      </c>
      <c r="G5936" s="22">
        <f>(C5936 * E5936 + C5936 * E5936 * F5936)</f>
      </c>
    </row>
    <row r="5937">
      <c r="A5937" s="6"/>
      <c r="B5937" s="15" t="s">
        <v>1036</v>
      </c>
      <c r="C5937" s="23"/>
      <c r="D5937" s="23"/>
      <c r="E5937" s="23"/>
      <c r="F5937" s="23"/>
      <c r="G5937" s="23"/>
    </row>
    <row r="5938">
      <c r="A5938" s="5"/>
      <c r="B5938" s="16" t="s">
        <v>32</v>
      </c>
      <c r="C5938" s="22">
        <f>(65)*(1)*(1)*(1)*(1 + (0))</f>
      </c>
      <c r="D5938" s="22" t="s">
        <v>24</v>
      </c>
      <c r="E5938" s="22"/>
      <c r="F5938" s="22">
        <f>(0)</f>
      </c>
      <c r="G5938" s="22">
        <f>(C5938 * E5938 + C5938 * E5938 * F5938)</f>
      </c>
    </row>
    <row r="5939">
      <c r="A5939" s="6"/>
      <c r="B5939" s="15" t="s">
        <v>2190</v>
      </c>
      <c r="C5939" s="23"/>
      <c r="D5939" s="23"/>
      <c r="E5939" s="23"/>
      <c r="F5939" s="23"/>
      <c r="G5939" s="23"/>
    </row>
    <row r="5940">
      <c r="A5940" s="5"/>
      <c r="B5940" s="16" t="s">
        <v>32</v>
      </c>
      <c r="C5940" s="22">
        <f>(69)*(1)*(1)*(1)*(1 + (0))</f>
      </c>
      <c r="D5940" s="22" t="s">
        <v>24</v>
      </c>
      <c r="E5940" s="22"/>
      <c r="F5940" s="22">
        <f>(0)</f>
      </c>
      <c r="G5940" s="22">
        <f>(C5940 * E5940 + C5940 * E5940 * F5940)</f>
      </c>
    </row>
    <row r="5941">
      <c r="A5941" s="6"/>
      <c r="B5941" s="15" t="s">
        <v>1037</v>
      </c>
      <c r="C5941" s="23"/>
      <c r="D5941" s="23"/>
      <c r="E5941" s="23"/>
      <c r="F5941" s="23"/>
      <c r="G5941" s="23"/>
    </row>
    <row r="5942">
      <c r="A5942" s="5"/>
      <c r="B5942" s="16" t="s">
        <v>32</v>
      </c>
      <c r="C5942" s="22">
        <f>(36)*(1)*(1)*(1)*(1 + (0))</f>
      </c>
      <c r="D5942" s="22" t="s">
        <v>24</v>
      </c>
      <c r="E5942" s="22"/>
      <c r="F5942" s="22">
        <f>(0)</f>
      </c>
      <c r="G5942" s="22">
        <f>(C5942 * E5942 + C5942 * E5942 * F5942)</f>
      </c>
    </row>
    <row r="5943">
      <c r="A5943" s="6"/>
      <c r="B5943" s="15" t="s">
        <v>1039</v>
      </c>
      <c r="C5943" s="23"/>
      <c r="D5943" s="23"/>
      <c r="E5943" s="23"/>
      <c r="F5943" s="23"/>
      <c r="G5943" s="23"/>
    </row>
    <row r="5944">
      <c r="A5944" s="5"/>
      <c r="B5944" s="16" t="s">
        <v>32</v>
      </c>
      <c r="C5944" s="22">
        <f>(6)*(1)*(1)*(1)*(1 + (0))</f>
      </c>
      <c r="D5944" s="22" t="s">
        <v>24</v>
      </c>
      <c r="E5944" s="22"/>
      <c r="F5944" s="22">
        <f>(0)</f>
      </c>
      <c r="G5944" s="22">
        <f>(C5944 * E5944 + C5944 * E5944 * F5944)</f>
      </c>
    </row>
    <row r="5945">
      <c r="A5945" s="6"/>
      <c r="B5945" s="15" t="s">
        <v>2191</v>
      </c>
      <c r="C5945" s="23"/>
      <c r="D5945" s="23"/>
      <c r="E5945" s="23"/>
      <c r="F5945" s="23"/>
      <c r="G5945" s="23"/>
    </row>
    <row r="5946">
      <c r="A5946" s="5"/>
      <c r="B5946" s="16" t="s">
        <v>32</v>
      </c>
      <c r="C5946" s="22">
        <f>(164)*(1)*(1)*(1)*(1 + (0))</f>
      </c>
      <c r="D5946" s="22" t="s">
        <v>24</v>
      </c>
      <c r="E5946" s="22"/>
      <c r="F5946" s="22">
        <f>(0)</f>
      </c>
      <c r="G5946" s="22">
        <f>(C5946 * E5946 + C5946 * E5946 * F5946)</f>
      </c>
    </row>
    <row r="5947">
      <c r="A5947" s="6"/>
      <c r="B5947" s="15" t="s">
        <v>2192</v>
      </c>
      <c r="C5947" s="23"/>
      <c r="D5947" s="23"/>
      <c r="E5947" s="23"/>
      <c r="F5947" s="23"/>
      <c r="G5947" s="23"/>
    </row>
    <row r="5948">
      <c r="A5948" s="5"/>
      <c r="B5948" s="16" t="s">
        <v>32</v>
      </c>
      <c r="C5948" s="22">
        <f>(26)*(1)*(1)*(1)*(1 + (0))</f>
      </c>
      <c r="D5948" s="22" t="s">
        <v>24</v>
      </c>
      <c r="E5948" s="22"/>
      <c r="F5948" s="22">
        <f>(0)</f>
      </c>
      <c r="G5948" s="22">
        <f>(C5948 * E5948 + C5948 * E5948 * F5948)</f>
      </c>
    </row>
    <row r="5949">
      <c r="A5949" s="4"/>
      <c r="B5949" s="12" t="s">
        <v>1042</v>
      </c>
      <c r="C5949" s="21"/>
      <c r="D5949" s="21"/>
      <c r="E5949" s="21"/>
      <c r="F5949" s="21"/>
      <c r="G5949" s="21"/>
    </row>
    <row r="5950">
      <c r="A5950" s="6"/>
      <c r="B5950" s="15" t="s">
        <v>2193</v>
      </c>
      <c r="C5950" s="23"/>
      <c r="D5950" s="23"/>
      <c r="E5950" s="23"/>
      <c r="F5950" s="23"/>
      <c r="G5950" s="23"/>
    </row>
    <row r="5951">
      <c r="A5951" s="5"/>
      <c r="B5951" s="16" t="s">
        <v>32</v>
      </c>
      <c r="C5951" s="22">
        <f>(104)*(1)*(1)*(1)*(1 + (0))</f>
      </c>
      <c r="D5951" s="22" t="s">
        <v>24</v>
      </c>
      <c r="E5951" s="22"/>
      <c r="F5951" s="22">
        <f>(0)</f>
      </c>
      <c r="G5951" s="22">
        <f>(C5951 * E5951 + C5951 * E5951 * F5951)</f>
      </c>
    </row>
    <row r="5952">
      <c r="A5952" s="6"/>
      <c r="B5952" s="15" t="s">
        <v>2194</v>
      </c>
      <c r="C5952" s="23"/>
      <c r="D5952" s="23"/>
      <c r="E5952" s="23"/>
      <c r="F5952" s="23"/>
      <c r="G5952" s="23"/>
    </row>
    <row r="5953">
      <c r="A5953" s="5"/>
      <c r="B5953" s="16" t="s">
        <v>32</v>
      </c>
      <c r="C5953" s="22">
        <f>(93)*(1)*(1)*(1)*(1 + (0))</f>
      </c>
      <c r="D5953" s="22" t="s">
        <v>24</v>
      </c>
      <c r="E5953" s="22"/>
      <c r="F5953" s="22">
        <f>(0)</f>
      </c>
      <c r="G5953" s="22">
        <f>(C5953 * E5953 + C5953 * E5953 * F5953)</f>
      </c>
    </row>
    <row r="5954">
      <c r="A5954" s="3"/>
      <c r="B5954" s="11" t="s">
        <v>1044</v>
      </c>
      <c r="C5954" s="20"/>
      <c r="D5954" s="20"/>
      <c r="E5954" s="20"/>
      <c r="F5954" s="20"/>
      <c r="G5954" s="20"/>
    </row>
    <row r="5955">
      <c r="A5955" s="4"/>
      <c r="B5955" s="12" t="s">
        <v>1045</v>
      </c>
      <c r="C5955" s="21"/>
      <c r="D5955" s="21"/>
      <c r="E5955" s="21"/>
      <c r="F5955" s="21"/>
      <c r="G5955" s="21"/>
    </row>
    <row r="5956">
      <c r="A5956" s="6"/>
      <c r="B5956" s="15" t="s">
        <v>1046</v>
      </c>
      <c r="C5956" s="23"/>
      <c r="D5956" s="23"/>
      <c r="E5956" s="23"/>
      <c r="F5956" s="23"/>
      <c r="G5956" s="23"/>
    </row>
    <row r="5957">
      <c r="A5957" s="5"/>
      <c r="B5957" s="16" t="s">
        <v>32</v>
      </c>
      <c r="C5957" s="22">
        <f>(8)*(1)*(1)*(1)*(1 + (0))</f>
      </c>
      <c r="D5957" s="22" t="s">
        <v>24</v>
      </c>
      <c r="E5957" s="22"/>
      <c r="F5957" s="22">
        <f>(0)</f>
      </c>
      <c r="G5957" s="22">
        <f>(C5957 * E5957 + C5957 * E5957 * F5957)</f>
      </c>
    </row>
    <row r="5958">
      <c r="A5958" s="4"/>
      <c r="B5958" s="12" t="s">
        <v>1047</v>
      </c>
      <c r="C5958" s="21"/>
      <c r="D5958" s="21"/>
      <c r="E5958" s="21"/>
      <c r="F5958" s="21"/>
      <c r="G5958" s="21"/>
    </row>
    <row r="5959">
      <c r="A5959" s="6"/>
      <c r="B5959" s="15" t="s">
        <v>1048</v>
      </c>
      <c r="C5959" s="23"/>
      <c r="D5959" s="23"/>
      <c r="E5959" s="23"/>
      <c r="F5959" s="23"/>
      <c r="G5959" s="23"/>
    </row>
    <row r="5960">
      <c r="A5960" s="5"/>
      <c r="B5960" s="16" t="s">
        <v>32</v>
      </c>
      <c r="C5960" s="22">
        <f>(47)*(1)*(1)*(1)*(1 + (0))</f>
      </c>
      <c r="D5960" s="22" t="s">
        <v>153</v>
      </c>
      <c r="E5960" s="22"/>
      <c r="F5960" s="22">
        <f>(0)</f>
      </c>
      <c r="G5960" s="22">
        <f>(C5960 * E5960 + C5960 * E5960 * F5960)</f>
      </c>
    </row>
    <row r="5961">
      <c r="A5961" s="6"/>
      <c r="B5961" s="15" t="s">
        <v>1049</v>
      </c>
      <c r="C5961" s="23"/>
      <c r="D5961" s="23"/>
      <c r="E5961" s="23"/>
      <c r="F5961" s="23"/>
      <c r="G5961" s="23"/>
    </row>
    <row r="5962">
      <c r="A5962" s="5"/>
      <c r="B5962" s="16" t="s">
        <v>32</v>
      </c>
      <c r="C5962" s="22">
        <f>(309)*(1)*(1)*(1)*(1 + (0))</f>
      </c>
      <c r="D5962" s="22" t="s">
        <v>153</v>
      </c>
      <c r="E5962" s="22"/>
      <c r="F5962" s="22">
        <f>(0)</f>
      </c>
      <c r="G5962" s="22">
        <f>(C5962 * E5962 + C5962 * E5962 * F5962)</f>
      </c>
    </row>
    <row r="5963">
      <c r="A5963" s="4"/>
      <c r="B5963" s="12" t="s">
        <v>1050</v>
      </c>
      <c r="C5963" s="21"/>
      <c r="D5963" s="21"/>
      <c r="E5963" s="21"/>
      <c r="F5963" s="21"/>
      <c r="G5963" s="21"/>
    </row>
    <row r="5964">
      <c r="A5964" s="6"/>
      <c r="B5964" s="15" t="s">
        <v>2195</v>
      </c>
      <c r="C5964" s="23"/>
      <c r="D5964" s="23"/>
      <c r="E5964" s="23"/>
      <c r="F5964" s="23"/>
      <c r="G5964" s="23"/>
    </row>
    <row r="5965">
      <c r="A5965" s="5"/>
      <c r="B5965" s="16" t="s">
        <v>32</v>
      </c>
      <c r="C5965" s="22">
        <f>(1)*(1)*(1)*(1)*(1 + (0))</f>
      </c>
      <c r="D5965" s="22" t="s">
        <v>162</v>
      </c>
      <c r="E5965" s="22"/>
      <c r="F5965" s="22">
        <f>(0)</f>
      </c>
      <c r="G5965" s="22">
        <f>(C5965 * E5965 + C5965 * E5965 * F5965)</f>
      </c>
    </row>
    <row r="5966">
      <c r="A5966" s="6"/>
      <c r="B5966" s="15" t="s">
        <v>1052</v>
      </c>
      <c r="C5966" s="23"/>
      <c r="D5966" s="23"/>
      <c r="E5966" s="23"/>
      <c r="F5966" s="23"/>
      <c r="G5966" s="23"/>
    </row>
    <row r="5967">
      <c r="A5967" s="5"/>
      <c r="B5967" s="16" t="s">
        <v>32</v>
      </c>
      <c r="C5967" s="22">
        <f>(5)*(1)*(1)*(1)*(1 + (0))</f>
      </c>
      <c r="D5967" s="22" t="s">
        <v>162</v>
      </c>
      <c r="E5967" s="22"/>
      <c r="F5967" s="22">
        <f>(0)</f>
      </c>
      <c r="G5967" s="22">
        <f>(C5967 * E5967 + C5967 * E5967 * F5967)</f>
      </c>
    </row>
    <row r="5968">
      <c r="A5968" s="6"/>
      <c r="B5968" s="15" t="s">
        <v>2196</v>
      </c>
      <c r="C5968" s="23"/>
      <c r="D5968" s="23"/>
      <c r="E5968" s="23"/>
      <c r="F5968" s="23"/>
      <c r="G5968" s="23"/>
    </row>
    <row r="5969">
      <c r="A5969" s="5"/>
      <c r="B5969" s="16" t="s">
        <v>32</v>
      </c>
      <c r="C5969" s="22">
        <f>(4)*(1)*(1)*(1)*(1 + (0))</f>
      </c>
      <c r="D5969" s="22" t="s">
        <v>162</v>
      </c>
      <c r="E5969" s="22"/>
      <c r="F5969" s="22">
        <f>(0)</f>
      </c>
      <c r="G5969" s="22">
        <f>(C5969 * E5969 + C5969 * E5969 * F5969)</f>
      </c>
    </row>
    <row r="5970">
      <c r="A5970" s="6"/>
      <c r="B5970" s="15" t="s">
        <v>2197</v>
      </c>
      <c r="C5970" s="23"/>
      <c r="D5970" s="23"/>
      <c r="E5970" s="23"/>
      <c r="F5970" s="23"/>
      <c r="G5970" s="23"/>
    </row>
    <row r="5971">
      <c r="A5971" s="5"/>
      <c r="B5971" s="16" t="s">
        <v>32</v>
      </c>
      <c r="C5971" s="22">
        <f>(3)*(1)*(1)*(1)*(1 + (0))</f>
      </c>
      <c r="D5971" s="22" t="s">
        <v>162</v>
      </c>
      <c r="E5971" s="22"/>
      <c r="F5971" s="22">
        <f>(0)</f>
      </c>
      <c r="G5971" s="22">
        <f>(C5971 * E5971 + C5971 * E5971 * F5971)</f>
      </c>
    </row>
    <row r="5972">
      <c r="A5972" s="2"/>
      <c r="B5972" s="10" t="s">
        <v>1054</v>
      </c>
      <c r="C5972" s="19"/>
      <c r="D5972" s="19"/>
      <c r="E5972" s="19"/>
      <c r="F5972" s="19"/>
      <c r="G5972" s="19"/>
    </row>
    <row r="5973">
      <c r="A5973" s="3"/>
      <c r="B5973" s="11" t="s">
        <v>37</v>
      </c>
      <c r="C5973" s="20"/>
      <c r="D5973" s="20"/>
      <c r="E5973" s="20"/>
      <c r="F5973" s="20"/>
      <c r="G5973" s="20"/>
    </row>
    <row r="5974">
      <c r="A5974" s="5" t="s">
        <v>2198</v>
      </c>
      <c r="B5974" s="14" t="s">
        <v>39</v>
      </c>
      <c r="C5974" s="22"/>
      <c r="D5974" s="22" t="s">
        <v>10</v>
      </c>
      <c r="E5974" s="22"/>
      <c r="F5974" s="22">
        <f>(0)</f>
      </c>
      <c r="G5974" s="22">
        <f>(C5974 * E5974 + C5974 * E5974 * F5974)</f>
      </c>
    </row>
    <row r="5975">
      <c r="A5975" s="5" t="s">
        <v>2199</v>
      </c>
      <c r="B5975" s="14" t="s">
        <v>41</v>
      </c>
      <c r="C5975" s="22"/>
      <c r="D5975" s="22" t="s">
        <v>10</v>
      </c>
      <c r="E5975" s="22"/>
      <c r="F5975" s="22">
        <f>(0)</f>
      </c>
      <c r="G5975" s="22">
        <f>(C5975 * E5975 + C5975 * E5975 * F5975)</f>
      </c>
    </row>
    <row r="5976">
      <c r="A5976" s="3"/>
      <c r="B5976" s="11" t="s">
        <v>44</v>
      </c>
      <c r="C5976" s="20"/>
      <c r="D5976" s="20"/>
      <c r="E5976" s="20"/>
      <c r="F5976" s="20"/>
      <c r="G5976" s="20"/>
    </row>
    <row r="5977">
      <c r="A5977" s="4"/>
      <c r="B5977" s="12" t="s">
        <v>45</v>
      </c>
      <c r="C5977" s="21"/>
      <c r="D5977" s="21"/>
      <c r="E5977" s="21"/>
      <c r="F5977" s="21"/>
      <c r="G5977" s="21"/>
    </row>
    <row r="5978">
      <c r="A5978" s="5" t="s">
        <v>2200</v>
      </c>
      <c r="B5978" s="13" t="s">
        <v>1060</v>
      </c>
      <c r="C5978" s="22"/>
      <c r="D5978" s="22" t="s">
        <v>10</v>
      </c>
      <c r="E5978" s="22"/>
      <c r="F5978" s="22">
        <f>(0)</f>
      </c>
      <c r="G5978" s="22">
        <f>(C5978 * E5978 + C5978 * E5978 * F5978)</f>
      </c>
    </row>
    <row r="5979">
      <c r="A5979" s="5" t="s">
        <v>2201</v>
      </c>
      <c r="B5979" s="13" t="s">
        <v>1062</v>
      </c>
      <c r="C5979" s="22"/>
      <c r="D5979" s="22" t="s">
        <v>10</v>
      </c>
      <c r="E5979" s="22"/>
      <c r="F5979" s="22">
        <f>(0)</f>
      </c>
      <c r="G5979" s="22">
        <f>(C5979 * E5979 + C5979 * E5979 * F5979)</f>
      </c>
    </row>
    <row r="5980">
      <c r="A5980" s="5" t="s">
        <v>2202</v>
      </c>
      <c r="B5980" s="13" t="s">
        <v>1064</v>
      </c>
      <c r="C5980" s="22"/>
      <c r="D5980" s="22" t="s">
        <v>10</v>
      </c>
      <c r="E5980" s="22"/>
      <c r="F5980" s="22">
        <f>(0)</f>
      </c>
      <c r="G5980" s="22">
        <f>(C5980 * E5980 + C5980 * E5980 * F5980)</f>
      </c>
    </row>
    <row r="5981">
      <c r="A5981" s="5" t="s">
        <v>2203</v>
      </c>
      <c r="B5981" s="13" t="s">
        <v>1066</v>
      </c>
      <c r="C5981" s="22"/>
      <c r="D5981" s="22" t="s">
        <v>10</v>
      </c>
      <c r="E5981" s="22"/>
      <c r="F5981" s="22">
        <f>(0)</f>
      </c>
      <c r="G5981" s="22">
        <f>(C5981 * E5981 + C5981 * E5981 * F5981)</f>
      </c>
    </row>
    <row r="5982">
      <c r="A5982" s="5" t="s">
        <v>2204</v>
      </c>
      <c r="B5982" s="13" t="s">
        <v>1068</v>
      </c>
      <c r="C5982" s="22"/>
      <c r="D5982" s="22" t="s">
        <v>10</v>
      </c>
      <c r="E5982" s="22"/>
      <c r="F5982" s="22">
        <f>(0)</f>
      </c>
      <c r="G5982" s="22">
        <f>(C5982 * E5982 + C5982 * E5982 * F5982)</f>
      </c>
    </row>
    <row r="5983">
      <c r="A5983" s="5" t="s">
        <v>2205</v>
      </c>
      <c r="B5983" s="13" t="s">
        <v>123</v>
      </c>
      <c r="C5983" s="22"/>
      <c r="D5983" s="22" t="s">
        <v>10</v>
      </c>
      <c r="E5983" s="22"/>
      <c r="F5983" s="22">
        <f>(0)</f>
      </c>
      <c r="G5983" s="22">
        <f>(C5983 * E5983 + C5983 * E5983 * F5983)</f>
      </c>
    </row>
    <row r="5984">
      <c r="A5984" s="3"/>
      <c r="B5984" s="11" t="s">
        <v>68</v>
      </c>
      <c r="C5984" s="20"/>
      <c r="D5984" s="20"/>
      <c r="E5984" s="20"/>
      <c r="F5984" s="20"/>
      <c r="G5984" s="20"/>
    </row>
    <row r="5985">
      <c r="A5985" s="5" t="s">
        <v>2206</v>
      </c>
      <c r="B5985" s="14" t="s">
        <v>1071</v>
      </c>
      <c r="C5985" s="22">
        <f>(1)*(1)*(1)*(1)*(1 + (0))</f>
      </c>
      <c r="D5985" s="22" t="s">
        <v>71</v>
      </c>
      <c r="E5985" s="22"/>
      <c r="F5985" s="22">
        <f>(0)</f>
      </c>
      <c r="G5985" s="22">
        <f>(C5985 * E5985 + C5985 * E5985 * F5985)</f>
      </c>
    </row>
    <row r="5986">
      <c r="A5986" s="5" t="s">
        <v>2207</v>
      </c>
      <c r="B5986" s="14" t="s">
        <v>798</v>
      </c>
      <c r="C5986" s="22">
        <f>(1)*(1)*(1)*(1)*(1 + (0))</f>
      </c>
      <c r="D5986" s="22" t="s">
        <v>71</v>
      </c>
      <c r="E5986" s="22"/>
      <c r="F5986" s="22">
        <f>(0)</f>
      </c>
      <c r="G5986" s="22">
        <f>(C5986 * E5986 + C5986 * E5986 * F5986)</f>
      </c>
    </row>
    <row r="5987">
      <c r="A5987" s="5" t="s">
        <v>2208</v>
      </c>
      <c r="B5987" s="14" t="s">
        <v>230</v>
      </c>
      <c r="C5987" s="22">
        <f>(1)*(1)*(1)*(1)*(1 + (0))</f>
      </c>
      <c r="D5987" s="22" t="s">
        <v>71</v>
      </c>
      <c r="E5987" s="22"/>
      <c r="F5987" s="22">
        <f>(0)</f>
      </c>
      <c r="G5987" s="22">
        <f>(C5987 * E5987 + C5987 * E5987 * F5987)</f>
      </c>
    </row>
    <row r="5988">
      <c r="A5988" s="5" t="s">
        <v>2209</v>
      </c>
      <c r="B5988" s="14" t="s">
        <v>1075</v>
      </c>
      <c r="C5988" s="22">
        <f>(1)*(1)*(1)*(1)*(1 + (0))</f>
      </c>
      <c r="D5988" s="22" t="s">
        <v>71</v>
      </c>
      <c r="E5988" s="22"/>
      <c r="F5988" s="22">
        <f>(0)</f>
      </c>
      <c r="G5988" s="22">
        <f>(C5988 * E5988 + C5988 * E5988 * F5988)</f>
      </c>
    </row>
    <row r="5989">
      <c r="A5989" s="5" t="s">
        <v>2210</v>
      </c>
      <c r="B5989" s="14" t="s">
        <v>904</v>
      </c>
      <c r="C5989" s="22">
        <f>(1)*(1)*(1)*(1)*(1 + (0))</f>
      </c>
      <c r="D5989" s="22" t="s">
        <v>71</v>
      </c>
      <c r="E5989" s="22"/>
      <c r="F5989" s="22">
        <f>(0)</f>
      </c>
      <c r="G5989" s="22">
        <f>(C5989 * E5989 + C5989 * E5989 * F5989)</f>
      </c>
    </row>
    <row r="5990">
      <c r="A5990" s="5" t="s">
        <v>2211</v>
      </c>
      <c r="B5990" s="14" t="s">
        <v>1078</v>
      </c>
      <c r="C5990" s="22">
        <f>(1)*(1)*(1)*(1)*(1 + (0))</f>
      </c>
      <c r="D5990" s="22" t="s">
        <v>71</v>
      </c>
      <c r="E5990" s="22"/>
      <c r="F5990" s="22">
        <f>(0)</f>
      </c>
      <c r="G5990" s="22">
        <f>(C5990 * E5990 + C5990 * E5990 * F5990)</f>
      </c>
    </row>
    <row r="5991">
      <c r="A5991" s="5" t="s">
        <v>2212</v>
      </c>
      <c r="B5991" s="14" t="s">
        <v>1080</v>
      </c>
      <c r="C5991" s="22">
        <f>(1)*(1)*(1)*(1)*(1 + (0))</f>
      </c>
      <c r="D5991" s="22" t="s">
        <v>71</v>
      </c>
      <c r="E5991" s="22"/>
      <c r="F5991" s="22">
        <f>(0)</f>
      </c>
      <c r="G5991" s="22">
        <f>(C5991 * E5991 + C5991 * E5991 * F5991)</f>
      </c>
    </row>
    <row r="5992">
      <c r="A5992" s="5" t="s">
        <v>2213</v>
      </c>
      <c r="B5992" s="14" t="s">
        <v>1082</v>
      </c>
      <c r="C5992" s="22">
        <f>(1)*(1)*(1)*(1)*(1 + (0))</f>
      </c>
      <c r="D5992" s="22" t="s">
        <v>71</v>
      </c>
      <c r="E5992" s="22"/>
      <c r="F5992" s="22">
        <f>(0)</f>
      </c>
      <c r="G5992" s="22">
        <f>(C5992 * E5992 + C5992 * E5992 * F5992)</f>
      </c>
    </row>
    <row r="5993">
      <c r="A5993" s="5" t="s">
        <v>2214</v>
      </c>
      <c r="B5993" s="14" t="s">
        <v>1084</v>
      </c>
      <c r="C5993" s="22">
        <f>(1)*(1)*(1)*(1)*(1 + (0))</f>
      </c>
      <c r="D5993" s="22" t="s">
        <v>71</v>
      </c>
      <c r="E5993" s="22"/>
      <c r="F5993" s="22">
        <f>(0)</f>
      </c>
      <c r="G5993" s="22">
        <f>(C5993 * E5993 + C5993 * E5993 * F5993)</f>
      </c>
    </row>
    <row r="5994">
      <c r="A5994" s="5" t="s">
        <v>2215</v>
      </c>
      <c r="B5994" s="14" t="s">
        <v>665</v>
      </c>
      <c r="C5994" s="22">
        <f>(1)*(1)*(1)*(1)*(1 + (0))</f>
      </c>
      <c r="D5994" s="22" t="s">
        <v>71</v>
      </c>
      <c r="E5994" s="22"/>
      <c r="F5994" s="22">
        <f>(0)</f>
      </c>
      <c r="G5994" s="22">
        <f>(C5994 * E5994 + C5994 * E5994 * F5994)</f>
      </c>
    </row>
    <row r="5995">
      <c r="A5995" s="3"/>
      <c r="B5995" s="11" t="s">
        <v>1091</v>
      </c>
      <c r="C5995" s="20"/>
      <c r="D5995" s="20"/>
      <c r="E5995" s="20"/>
      <c r="F5995" s="20"/>
      <c r="G5995" s="20"/>
    </row>
    <row r="5996">
      <c r="A5996" s="4"/>
      <c r="B5996" s="12" t="s">
        <v>1092</v>
      </c>
      <c r="C5996" s="21"/>
      <c r="D5996" s="21"/>
      <c r="E5996" s="21"/>
      <c r="F5996" s="21"/>
      <c r="G5996" s="21"/>
    </row>
    <row r="5997">
      <c r="A5997" s="5"/>
      <c r="B5997" s="13" t="s">
        <v>1942</v>
      </c>
      <c r="C5997" s="22">
        <f>(133)*(1)*(1)*(1)*(1 + (0))</f>
      </c>
      <c r="D5997" s="22" t="s">
        <v>24</v>
      </c>
      <c r="E5997" s="22"/>
      <c r="F5997" s="22">
        <f>(0)</f>
      </c>
      <c r="G5997" s="22">
        <f>(C5997 * E5997 + C5997 * E5997 * F5997)</f>
      </c>
    </row>
    <row r="5998">
      <c r="A5998" s="2"/>
      <c r="B5998" s="10" t="s">
        <v>1095</v>
      </c>
      <c r="C5998" s="19"/>
      <c r="D5998" s="19"/>
      <c r="E5998" s="19"/>
      <c r="F5998" s="19"/>
      <c r="G5998" s="19"/>
    </row>
    <row r="5999">
      <c r="A5999" s="3"/>
      <c r="B5999" s="11" t="s">
        <v>37</v>
      </c>
      <c r="C5999" s="20"/>
      <c r="D5999" s="20"/>
      <c r="E5999" s="20"/>
      <c r="F5999" s="20"/>
      <c r="G5999" s="20"/>
    </row>
    <row r="6000">
      <c r="A6000" s="5" t="s">
        <v>1055</v>
      </c>
      <c r="B6000" s="14" t="s">
        <v>39</v>
      </c>
      <c r="C6000" s="22"/>
      <c r="D6000" s="22" t="s">
        <v>10</v>
      </c>
      <c r="E6000" s="22"/>
      <c r="F6000" s="22">
        <f>(0)</f>
      </c>
      <c r="G6000" s="22">
        <f>(C6000 * E6000 + C6000 * E6000 * F6000)</f>
      </c>
    </row>
    <row r="6001">
      <c r="A6001" s="5" t="s">
        <v>1056</v>
      </c>
      <c r="B6001" s="14" t="s">
        <v>41</v>
      </c>
      <c r="C6001" s="22"/>
      <c r="D6001" s="22" t="s">
        <v>10</v>
      </c>
      <c r="E6001" s="22"/>
      <c r="F6001" s="22">
        <f>(0)</f>
      </c>
      <c r="G6001" s="22">
        <f>(C6001 * E6001 + C6001 * E6001 * F6001)</f>
      </c>
    </row>
    <row r="6002">
      <c r="A6002" s="3"/>
      <c r="B6002" s="11" t="s">
        <v>523</v>
      </c>
      <c r="C6002" s="20"/>
      <c r="D6002" s="20"/>
      <c r="E6002" s="20"/>
      <c r="F6002" s="20"/>
      <c r="G6002" s="20"/>
    </row>
    <row r="6003">
      <c r="A6003" s="5"/>
      <c r="B6003" s="14" t="s">
        <v>1096</v>
      </c>
      <c r="C6003" s="22"/>
      <c r="D6003" s="22" t="s">
        <v>10</v>
      </c>
      <c r="E6003" s="22"/>
      <c r="F6003" s="22">
        <f>(0)</f>
      </c>
      <c r="G6003" s="22">
        <f>(C6003 * E6003 + C6003 * E6003 * F6003)</f>
      </c>
    </row>
    <row r="6004">
      <c r="A6004" s="5"/>
      <c r="B6004" s="14" t="s">
        <v>1058</v>
      </c>
      <c r="C6004" s="22"/>
      <c r="D6004" s="22" t="s">
        <v>10</v>
      </c>
      <c r="E6004" s="22"/>
      <c r="F6004" s="22">
        <f>(0)</f>
      </c>
      <c r="G6004" s="22">
        <f>(C6004 * E6004 + C6004 * E6004 * F6004)</f>
      </c>
    </row>
    <row r="6005">
      <c r="A6005" s="5"/>
      <c r="B6005" s="14" t="s">
        <v>635</v>
      </c>
      <c r="C6005" s="22"/>
      <c r="D6005" s="22" t="s">
        <v>10</v>
      </c>
      <c r="E6005" s="22"/>
      <c r="F6005" s="22">
        <f>(0)</f>
      </c>
      <c r="G6005" s="22">
        <f>(C6005 * E6005 + C6005 * E6005 * F6005)</f>
      </c>
    </row>
    <row r="6006">
      <c r="A6006" s="3"/>
      <c r="B6006" s="11" t="s">
        <v>44</v>
      </c>
      <c r="C6006" s="20"/>
      <c r="D6006" s="20"/>
      <c r="E6006" s="20"/>
      <c r="F6006" s="20"/>
      <c r="G6006" s="20"/>
    </row>
    <row r="6007">
      <c r="A6007" s="4"/>
      <c r="B6007" s="12" t="s">
        <v>45</v>
      </c>
      <c r="C6007" s="21"/>
      <c r="D6007" s="21"/>
      <c r="E6007" s="21"/>
      <c r="F6007" s="21"/>
      <c r="G6007" s="21"/>
    </row>
    <row r="6008">
      <c r="A6008" s="5" t="s">
        <v>1097</v>
      </c>
      <c r="B6008" s="13" t="s">
        <v>1098</v>
      </c>
      <c r="C6008" s="22"/>
      <c r="D6008" s="22" t="s">
        <v>10</v>
      </c>
      <c r="E6008" s="22"/>
      <c r="F6008" s="22">
        <f>(0)</f>
      </c>
      <c r="G6008" s="22">
        <f>(C6008 * E6008 + C6008 * E6008 * F6008)</f>
      </c>
    </row>
    <row r="6009">
      <c r="A6009" s="5" t="s">
        <v>1099</v>
      </c>
      <c r="B6009" s="13" t="s">
        <v>1100</v>
      </c>
      <c r="C6009" s="22"/>
      <c r="D6009" s="22" t="s">
        <v>10</v>
      </c>
      <c r="E6009" s="22"/>
      <c r="F6009" s="22">
        <f>(0)</f>
      </c>
      <c r="G6009" s="22">
        <f>(C6009 * E6009 + C6009 * E6009 * F6009)</f>
      </c>
    </row>
    <row r="6010">
      <c r="A6010" s="5" t="s">
        <v>1101</v>
      </c>
      <c r="B6010" s="13" t="s">
        <v>123</v>
      </c>
      <c r="C6010" s="22"/>
      <c r="D6010" s="22" t="s">
        <v>10</v>
      </c>
      <c r="E6010" s="22"/>
      <c r="F6010" s="22">
        <f>(0)</f>
      </c>
      <c r="G6010" s="22">
        <f>(C6010 * E6010 + C6010 * E6010 * F6010)</f>
      </c>
    </row>
    <row r="6011">
      <c r="A6011" s="3"/>
      <c r="B6011" s="11" t="s">
        <v>68</v>
      </c>
      <c r="C6011" s="20"/>
      <c r="D6011" s="20"/>
      <c r="E6011" s="20"/>
      <c r="F6011" s="20"/>
      <c r="G6011" s="20"/>
    </row>
    <row r="6012">
      <c r="A6012" s="5" t="s">
        <v>1102</v>
      </c>
      <c r="B6012" s="14" t="s">
        <v>1103</v>
      </c>
      <c r="C6012" s="22">
        <f>(1)*(1)*(1)*(1)*(1 + (0))</f>
      </c>
      <c r="D6012" s="22" t="s">
        <v>71</v>
      </c>
      <c r="E6012" s="22"/>
      <c r="F6012" s="22">
        <f>(0)</f>
      </c>
      <c r="G6012" s="22">
        <f>(C6012 * E6012 + C6012 * E6012 * F6012)</f>
      </c>
    </row>
    <row r="6013">
      <c r="A6013" s="5" t="s">
        <v>1104</v>
      </c>
      <c r="B6013" s="14" t="s">
        <v>543</v>
      </c>
      <c r="C6013" s="22">
        <f>(1)*(1)*(1)*(1)*(1 + (0))</f>
      </c>
      <c r="D6013" s="22" t="s">
        <v>71</v>
      </c>
      <c r="E6013" s="22"/>
      <c r="F6013" s="22">
        <f>(0)</f>
      </c>
      <c r="G6013" s="22">
        <f>(C6013 * E6013 + C6013 * E6013 * F6013)</f>
      </c>
    </row>
    <row r="6014">
      <c r="A6014" s="5" t="s">
        <v>1105</v>
      </c>
      <c r="B6014" s="14" t="s">
        <v>810</v>
      </c>
      <c r="C6014" s="22">
        <f>(1)*(1)*(1)*(1)*(1 + (0))</f>
      </c>
      <c r="D6014" s="22" t="s">
        <v>71</v>
      </c>
      <c r="E6014" s="22"/>
      <c r="F6014" s="22">
        <f>(0)</f>
      </c>
      <c r="G6014" s="22">
        <f>(C6014 * E6014 + C6014 * E6014 * F6014)</f>
      </c>
    </row>
    <row r="6015">
      <c r="A6015" s="5" t="s">
        <v>1106</v>
      </c>
      <c r="B6015" s="14" t="s">
        <v>665</v>
      </c>
      <c r="C6015" s="22">
        <f>(1)*(1)*(1)*(1)*(1 + (0))</f>
      </c>
      <c r="D6015" s="22" t="s">
        <v>71</v>
      </c>
      <c r="E6015" s="22"/>
      <c r="F6015" s="22">
        <f>(0)</f>
      </c>
      <c r="G6015" s="22">
        <f>(C6015 * E6015 + C6015 * E6015 * F6015)</f>
      </c>
    </row>
    <row r="6016">
      <c r="A6016" s="3"/>
      <c r="B6016" s="11" t="s">
        <v>106</v>
      </c>
      <c r="C6016" s="20"/>
      <c r="D6016" s="20"/>
      <c r="E6016" s="20"/>
      <c r="F6016" s="20"/>
      <c r="G6016" s="20"/>
    </row>
    <row r="6017">
      <c r="A6017" s="5"/>
      <c r="B6017" s="14" t="s">
        <v>1107</v>
      </c>
      <c r="C6017" s="22"/>
      <c r="D6017" s="22" t="s">
        <v>10</v>
      </c>
      <c r="E6017" s="22"/>
      <c r="F6017" s="22">
        <f>(0)</f>
      </c>
      <c r="G6017" s="22">
        <f>(C6017 * E6017 + C6017 * E6017 * F6017)</f>
      </c>
    </row>
    <row r="6018">
      <c r="A6018" s="3"/>
      <c r="B6018" s="11" t="s">
        <v>1108</v>
      </c>
      <c r="C6018" s="20"/>
      <c r="D6018" s="20"/>
      <c r="E6018" s="20"/>
      <c r="F6018" s="20"/>
      <c r="G6018" s="20"/>
    </row>
    <row r="6019">
      <c r="A6019" s="4"/>
      <c r="B6019" s="12" t="s">
        <v>2216</v>
      </c>
      <c r="C6019" s="21"/>
      <c r="D6019" s="21"/>
      <c r="E6019" s="21"/>
      <c r="F6019" s="21"/>
      <c r="G6019" s="21"/>
    </row>
    <row r="6020">
      <c r="A6020" s="5"/>
      <c r="B6020" s="13" t="s">
        <v>1711</v>
      </c>
      <c r="C6020" s="22">
        <f>(120)*(1)*(1)*(1)*(1 + (0))</f>
      </c>
      <c r="D6020" s="22" t="s">
        <v>24</v>
      </c>
      <c r="E6020" s="22"/>
      <c r="F6020" s="22">
        <f>(0)</f>
      </c>
      <c r="G6020" s="22">
        <f>(C6020 * E6020 + C6020 * E6020 * F6020)</f>
      </c>
    </row>
    <row r="6021">
      <c r="A6021" s="3"/>
      <c r="B6021" s="11" t="s">
        <v>1116</v>
      </c>
      <c r="C6021" s="20"/>
      <c r="D6021" s="20"/>
      <c r="E6021" s="20"/>
      <c r="F6021" s="20"/>
      <c r="G6021" s="20"/>
    </row>
    <row r="6022">
      <c r="A6022" s="4"/>
      <c r="B6022" s="12" t="s">
        <v>1118</v>
      </c>
      <c r="C6022" s="21"/>
      <c r="D6022" s="21"/>
      <c r="E6022" s="21"/>
      <c r="F6022" s="21"/>
      <c r="G6022" s="21"/>
    </row>
    <row r="6023">
      <c r="A6023" s="5"/>
      <c r="B6023" s="13" t="s">
        <v>1711</v>
      </c>
      <c r="C6023" s="22">
        <f>(29)*(1)*(1)*(1)*(1 + (0))</f>
      </c>
      <c r="D6023" s="22" t="s">
        <v>153</v>
      </c>
      <c r="E6023" s="22"/>
      <c r="F6023" s="22">
        <f>(0)</f>
      </c>
      <c r="G6023" s="22">
        <f>(C6023 * E6023 + C6023 * E6023 * F6023)</f>
      </c>
    </row>
    <row r="6024">
      <c r="A6024" s="3"/>
      <c r="B6024" s="11" t="s">
        <v>1119</v>
      </c>
      <c r="C6024" s="20"/>
      <c r="D6024" s="20"/>
      <c r="E6024" s="20"/>
      <c r="F6024" s="20"/>
      <c r="G6024" s="20"/>
    </row>
    <row r="6025">
      <c r="A6025" s="5"/>
      <c r="B6025" s="14" t="s">
        <v>1122</v>
      </c>
      <c r="C6025" s="22">
        <f>(120)*(1)*(1)*(1)*(1 + (0))</f>
      </c>
      <c r="D6025" s="22" t="s">
        <v>24</v>
      </c>
      <c r="E6025" s="22"/>
      <c r="F6025" s="22">
        <f>(0)</f>
      </c>
      <c r="G6025" s="22">
        <f>(C6025 * E6025 + C6025 * E6025 * F6025)</f>
      </c>
    </row>
    <row r="6026">
      <c r="A6026" s="2"/>
      <c r="B6026" s="10" t="s">
        <v>1123</v>
      </c>
      <c r="C6026" s="19"/>
      <c r="D6026" s="19"/>
      <c r="E6026" s="19"/>
      <c r="F6026" s="19"/>
      <c r="G6026" s="19"/>
    </row>
    <row r="6027">
      <c r="A6027" s="3"/>
      <c r="B6027" s="11" t="s">
        <v>37</v>
      </c>
      <c r="C6027" s="20"/>
      <c r="D6027" s="20"/>
      <c r="E6027" s="20"/>
      <c r="F6027" s="20"/>
      <c r="G6027" s="20"/>
    </row>
    <row r="6028">
      <c r="A6028" s="5" t="s">
        <v>1124</v>
      </c>
      <c r="B6028" s="14" t="s">
        <v>39</v>
      </c>
      <c r="C6028" s="22"/>
      <c r="D6028" s="22" t="s">
        <v>10</v>
      </c>
      <c r="E6028" s="22"/>
      <c r="F6028" s="22">
        <f>(0)</f>
      </c>
      <c r="G6028" s="22">
        <f>(C6028 * E6028 + C6028 * E6028 * F6028)</f>
      </c>
    </row>
    <row r="6029">
      <c r="A6029" s="5" t="s">
        <v>1125</v>
      </c>
      <c r="B6029" s="14" t="s">
        <v>41</v>
      </c>
      <c r="C6029" s="22"/>
      <c r="D6029" s="22" t="s">
        <v>10</v>
      </c>
      <c r="E6029" s="22"/>
      <c r="F6029" s="22">
        <f>(0)</f>
      </c>
      <c r="G6029" s="22">
        <f>(C6029 * E6029 + C6029 * E6029 * F6029)</f>
      </c>
    </row>
    <row r="6030">
      <c r="A6030" s="3"/>
      <c r="B6030" s="11" t="s">
        <v>523</v>
      </c>
      <c r="C6030" s="20"/>
      <c r="D6030" s="20"/>
      <c r="E6030" s="20"/>
      <c r="F6030" s="20"/>
      <c r="G6030" s="20"/>
    </row>
    <row r="6031">
      <c r="A6031" s="5"/>
      <c r="B6031" s="14" t="s">
        <v>1126</v>
      </c>
      <c r="C6031" s="22"/>
      <c r="D6031" s="22" t="s">
        <v>10</v>
      </c>
      <c r="E6031" s="22"/>
      <c r="F6031" s="22">
        <f>(0)</f>
      </c>
      <c r="G6031" s="22">
        <f>(C6031 * E6031 + C6031 * E6031 * F6031)</f>
      </c>
    </row>
    <row r="6032">
      <c r="A6032" s="5"/>
      <c r="B6032" s="14" t="s">
        <v>1058</v>
      </c>
      <c r="C6032" s="22"/>
      <c r="D6032" s="22" t="s">
        <v>10</v>
      </c>
      <c r="E6032" s="22"/>
      <c r="F6032" s="22">
        <f>(0)</f>
      </c>
      <c r="G6032" s="22">
        <f>(C6032 * E6032 + C6032 * E6032 * F6032)</f>
      </c>
    </row>
    <row r="6033">
      <c r="A6033" s="5"/>
      <c r="B6033" s="14" t="s">
        <v>635</v>
      </c>
      <c r="C6033" s="22"/>
      <c r="D6033" s="22" t="s">
        <v>10</v>
      </c>
      <c r="E6033" s="22"/>
      <c r="F6033" s="22">
        <f>(0)</f>
      </c>
      <c r="G6033" s="22">
        <f>(C6033 * E6033 + C6033 * E6033 * F6033)</f>
      </c>
    </row>
    <row r="6034">
      <c r="A6034" s="3"/>
      <c r="B6034" s="11" t="s">
        <v>44</v>
      </c>
      <c r="C6034" s="20"/>
      <c r="D6034" s="20"/>
      <c r="E6034" s="20"/>
      <c r="F6034" s="20"/>
      <c r="G6034" s="20"/>
    </row>
    <row r="6035">
      <c r="A6035" s="4"/>
      <c r="B6035" s="12" t="s">
        <v>45</v>
      </c>
      <c r="C6035" s="21"/>
      <c r="D6035" s="21"/>
      <c r="E6035" s="21"/>
      <c r="F6035" s="21"/>
      <c r="G6035" s="21"/>
    </row>
    <row r="6036">
      <c r="A6036" s="5" t="s">
        <v>1097</v>
      </c>
      <c r="B6036" s="13" t="s">
        <v>1098</v>
      </c>
      <c r="C6036" s="22"/>
      <c r="D6036" s="22" t="s">
        <v>10</v>
      </c>
      <c r="E6036" s="22"/>
      <c r="F6036" s="22">
        <f>(0)</f>
      </c>
      <c r="G6036" s="22">
        <f>(C6036 * E6036 + C6036 * E6036 * F6036)</f>
      </c>
    </row>
    <row r="6037">
      <c r="A6037" s="5" t="s">
        <v>1099</v>
      </c>
      <c r="B6037" s="13" t="s">
        <v>1100</v>
      </c>
      <c r="C6037" s="22"/>
      <c r="D6037" s="22" t="s">
        <v>10</v>
      </c>
      <c r="E6037" s="22"/>
      <c r="F6037" s="22">
        <f>(0)</f>
      </c>
      <c r="G6037" s="22">
        <f>(C6037 * E6037 + C6037 * E6037 * F6037)</f>
      </c>
    </row>
    <row r="6038">
      <c r="A6038" s="5" t="s">
        <v>1101</v>
      </c>
      <c r="B6038" s="13" t="s">
        <v>123</v>
      </c>
      <c r="C6038" s="22"/>
      <c r="D6038" s="22" t="s">
        <v>10</v>
      </c>
      <c r="E6038" s="22"/>
      <c r="F6038" s="22">
        <f>(0)</f>
      </c>
      <c r="G6038" s="22">
        <f>(C6038 * E6038 + C6038 * E6038 * F6038)</f>
      </c>
    </row>
    <row r="6039">
      <c r="A6039" s="3"/>
      <c r="B6039" s="11" t="s">
        <v>68</v>
      </c>
      <c r="C6039" s="20"/>
      <c r="D6039" s="20"/>
      <c r="E6039" s="20"/>
      <c r="F6039" s="20"/>
      <c r="G6039" s="20"/>
    </row>
    <row r="6040">
      <c r="A6040" s="5" t="s">
        <v>1127</v>
      </c>
      <c r="B6040" s="14" t="s">
        <v>1071</v>
      </c>
      <c r="C6040" s="22">
        <f>(1)*(1)*(1)*(1)*(1 + (0))</f>
      </c>
      <c r="D6040" s="22" t="s">
        <v>71</v>
      </c>
      <c r="E6040" s="22"/>
      <c r="F6040" s="22">
        <f>(0)</f>
      </c>
      <c r="G6040" s="22">
        <f>(C6040 * E6040 + C6040 * E6040 * F6040)</f>
      </c>
    </row>
    <row r="6041">
      <c r="A6041" s="5" t="s">
        <v>1128</v>
      </c>
      <c r="B6041" s="14" t="s">
        <v>798</v>
      </c>
      <c r="C6041" s="22">
        <f>(1)*(1)*(1)*(1)*(1 + (0))</f>
      </c>
      <c r="D6041" s="22" t="s">
        <v>71</v>
      </c>
      <c r="E6041" s="22"/>
      <c r="F6041" s="22">
        <f>(0)</f>
      </c>
      <c r="G6041" s="22">
        <f>(C6041 * E6041 + C6041 * E6041 * F6041)</f>
      </c>
    </row>
    <row r="6042">
      <c r="A6042" s="5" t="s">
        <v>1129</v>
      </c>
      <c r="B6042" s="14" t="s">
        <v>812</v>
      </c>
      <c r="C6042" s="22">
        <f>(1)*(1)*(1)*(1)*(1 + (0))</f>
      </c>
      <c r="D6042" s="22" t="s">
        <v>71</v>
      </c>
      <c r="E6042" s="22"/>
      <c r="F6042" s="22">
        <f>(0)</f>
      </c>
      <c r="G6042" s="22">
        <f>(C6042 * E6042 + C6042 * E6042 * F6042)</f>
      </c>
    </row>
    <row r="6043">
      <c r="A6043" s="5" t="s">
        <v>1130</v>
      </c>
      <c r="B6043" s="14" t="s">
        <v>810</v>
      </c>
      <c r="C6043" s="22">
        <f>(1)*(1)*(1)*(1)*(1 + (0))</f>
      </c>
      <c r="D6043" s="22" t="s">
        <v>71</v>
      </c>
      <c r="E6043" s="22"/>
      <c r="F6043" s="22">
        <f>(0)</f>
      </c>
      <c r="G6043" s="22">
        <f>(C6043 * E6043 + C6043 * E6043 * F6043)</f>
      </c>
    </row>
    <row r="6044">
      <c r="A6044" s="5" t="s">
        <v>1131</v>
      </c>
      <c r="B6044" s="14" t="s">
        <v>230</v>
      </c>
      <c r="C6044" s="22">
        <f>(1)*(1)*(1)*(1)*(1 + (0))</f>
      </c>
      <c r="D6044" s="22" t="s">
        <v>71</v>
      </c>
      <c r="E6044" s="22"/>
      <c r="F6044" s="22">
        <f>(0)</f>
      </c>
      <c r="G6044" s="22">
        <f>(C6044 * E6044 + C6044 * E6044 * F6044)</f>
      </c>
    </row>
    <row r="6045">
      <c r="A6045" s="5" t="s">
        <v>1132</v>
      </c>
      <c r="B6045" s="14" t="s">
        <v>800</v>
      </c>
      <c r="C6045" s="22">
        <f>(1)*(1)*(1)*(1)*(1 + (0))</f>
      </c>
      <c r="D6045" s="22" t="s">
        <v>71</v>
      </c>
      <c r="E6045" s="22"/>
      <c r="F6045" s="22">
        <f>(0)</f>
      </c>
      <c r="G6045" s="22">
        <f>(C6045 * E6045 + C6045 * E6045 * F6045)</f>
      </c>
    </row>
    <row r="6046">
      <c r="A6046" s="5" t="s">
        <v>1133</v>
      </c>
      <c r="B6046" s="14" t="s">
        <v>70</v>
      </c>
      <c r="C6046" s="22">
        <f>(1)*(1)*(1)*(1)*(1 + (0))</f>
      </c>
      <c r="D6046" s="22" t="s">
        <v>71</v>
      </c>
      <c r="E6046" s="22"/>
      <c r="F6046" s="22">
        <f>(0)</f>
      </c>
      <c r="G6046" s="22">
        <f>(C6046 * E6046 + C6046 * E6046 * F6046)</f>
      </c>
    </row>
    <row r="6047">
      <c r="A6047" s="5" t="s">
        <v>1134</v>
      </c>
      <c r="B6047" s="14" t="s">
        <v>1135</v>
      </c>
      <c r="C6047" s="22">
        <f>(1)*(1)*(1)*(1)*(1 + (0))</f>
      </c>
      <c r="D6047" s="22" t="s">
        <v>71</v>
      </c>
      <c r="E6047" s="22"/>
      <c r="F6047" s="22">
        <f>(0)</f>
      </c>
      <c r="G6047" s="22">
        <f>(C6047 * E6047 + C6047 * E6047 * F6047)</f>
      </c>
    </row>
    <row r="6048">
      <c r="A6048" s="5" t="s">
        <v>1136</v>
      </c>
      <c r="B6048" s="14" t="s">
        <v>667</v>
      </c>
      <c r="C6048" s="22">
        <f>(1)*(1)*(1)*(1)*(1 + (0))</f>
      </c>
      <c r="D6048" s="22" t="s">
        <v>71</v>
      </c>
      <c r="E6048" s="22"/>
      <c r="F6048" s="22">
        <f>(0)</f>
      </c>
      <c r="G6048" s="22">
        <f>(C6048 * E6048 + C6048 * E6048 * F6048)</f>
      </c>
    </row>
    <row r="6049">
      <c r="A6049" s="5" t="s">
        <v>1137</v>
      </c>
      <c r="B6049" s="14" t="s">
        <v>665</v>
      </c>
      <c r="C6049" s="22">
        <f>(1)*(1)*(1)*(1)*(1 + (0))</f>
      </c>
      <c r="D6049" s="22" t="s">
        <v>71</v>
      </c>
      <c r="E6049" s="22"/>
      <c r="F6049" s="22">
        <f>(0)</f>
      </c>
      <c r="G6049" s="22">
        <f>(C6049 * E6049 + C6049 * E6049 * F6049)</f>
      </c>
    </row>
    <row r="6050">
      <c r="A6050" s="3"/>
      <c r="B6050" s="11" t="s">
        <v>106</v>
      </c>
      <c r="C6050" s="20"/>
      <c r="D6050" s="20"/>
      <c r="E6050" s="20"/>
      <c r="F6050" s="20"/>
      <c r="G6050" s="20"/>
    </row>
    <row r="6051">
      <c r="A6051" s="5"/>
      <c r="B6051" s="14" t="s">
        <v>1107</v>
      </c>
      <c r="C6051" s="22"/>
      <c r="D6051" s="22" t="s">
        <v>10</v>
      </c>
      <c r="E6051" s="22"/>
      <c r="F6051" s="22">
        <f>(0)</f>
      </c>
      <c r="G6051" s="22">
        <f>(C6051 * E6051 + C6051 * E6051 * F6051)</f>
      </c>
    </row>
    <row r="6052">
      <c r="A6052" s="5"/>
      <c r="B6052" s="14" t="s">
        <v>2217</v>
      </c>
      <c r="C6052" s="22"/>
      <c r="D6052" s="22" t="s">
        <v>1335</v>
      </c>
      <c r="E6052" s="22"/>
      <c r="F6052" s="22">
        <f>(0)</f>
      </c>
      <c r="G6052" s="22">
        <f>(C6052 * E6052 + C6052 * E6052 * F6052)</f>
      </c>
    </row>
    <row r="6053">
      <c r="A6053" s="3"/>
      <c r="B6053" s="11" t="s">
        <v>1139</v>
      </c>
      <c r="C6053" s="20"/>
      <c r="D6053" s="20"/>
      <c r="E6053" s="20"/>
      <c r="F6053" s="20"/>
      <c r="G6053" s="20"/>
    </row>
    <row r="6054">
      <c r="A6054" s="4"/>
      <c r="B6054" s="12" t="s">
        <v>1140</v>
      </c>
      <c r="C6054" s="21"/>
      <c r="D6054" s="21"/>
      <c r="E6054" s="21"/>
      <c r="F6054" s="21"/>
      <c r="G6054" s="21"/>
    </row>
    <row r="6055">
      <c r="A6055" s="5"/>
      <c r="B6055" s="13" t="s">
        <v>1711</v>
      </c>
      <c r="C6055" s="22">
        <f>(8)*(1)*(1)*(1)*(1 + (0))</f>
      </c>
      <c r="D6055" s="22" t="s">
        <v>24</v>
      </c>
      <c r="E6055" s="22"/>
      <c r="F6055" s="22">
        <f>(0)</f>
      </c>
      <c r="G6055" s="22">
        <f>(C6055 * E6055 + C6055 * E6055 * F6055)</f>
      </c>
    </row>
    <row r="6056">
      <c r="A6056" s="4"/>
      <c r="B6056" s="12" t="s">
        <v>1141</v>
      </c>
      <c r="C6056" s="21"/>
      <c r="D6056" s="21"/>
      <c r="E6056" s="21"/>
      <c r="F6056" s="21"/>
      <c r="G6056" s="21"/>
    </row>
    <row r="6057">
      <c r="A6057" s="5"/>
      <c r="B6057" s="13" t="s">
        <v>1711</v>
      </c>
      <c r="C6057" s="22">
        <f>(199)*(1)*(1)*(1)*(1 + (0))</f>
      </c>
      <c r="D6057" s="22" t="s">
        <v>24</v>
      </c>
      <c r="E6057" s="22"/>
      <c r="F6057" s="22">
        <f>(0)</f>
      </c>
      <c r="G6057" s="22">
        <f>(C6057 * E6057 + C6057 * E6057 * F6057)</f>
      </c>
    </row>
    <row r="6058">
      <c r="A6058" s="4"/>
      <c r="B6058" s="12" t="s">
        <v>1142</v>
      </c>
      <c r="C6058" s="21"/>
      <c r="D6058" s="21"/>
      <c r="E6058" s="21"/>
      <c r="F6058" s="21"/>
      <c r="G6058" s="21"/>
    </row>
    <row r="6059">
      <c r="A6059" s="5"/>
      <c r="B6059" s="13" t="s">
        <v>1711</v>
      </c>
      <c r="C6059" s="22">
        <f>(58)*(1)*(1)*(1)*(1 + (0))</f>
      </c>
      <c r="D6059" s="22" t="s">
        <v>24</v>
      </c>
      <c r="E6059" s="22"/>
      <c r="F6059" s="22">
        <f>(0)</f>
      </c>
      <c r="G6059" s="22">
        <f>(C6059 * E6059 + C6059 * E6059 * F6059)</f>
      </c>
    </row>
    <row r="6060">
      <c r="A6060" s="4"/>
      <c r="B6060" s="12" t="s">
        <v>1143</v>
      </c>
      <c r="C6060" s="21"/>
      <c r="D6060" s="21"/>
      <c r="E6060" s="21"/>
      <c r="F6060" s="21"/>
      <c r="G6060" s="21"/>
    </row>
    <row r="6061">
      <c r="A6061" s="5"/>
      <c r="B6061" s="13" t="s">
        <v>1711</v>
      </c>
      <c r="C6061" s="22">
        <f>(6)*(1)*(1)*(1)*(1 + (0))</f>
      </c>
      <c r="D6061" s="22" t="s">
        <v>24</v>
      </c>
      <c r="E6061" s="22"/>
      <c r="F6061" s="22">
        <f>(0)</f>
      </c>
      <c r="G6061" s="22">
        <f>(C6061 * E6061 + C6061 * E6061 * F6061)</f>
      </c>
    </row>
    <row r="6062">
      <c r="A6062" s="4"/>
      <c r="B6062" s="12" t="s">
        <v>2218</v>
      </c>
      <c r="C6062" s="21"/>
      <c r="D6062" s="21"/>
      <c r="E6062" s="21"/>
      <c r="F6062" s="21"/>
      <c r="G6062" s="21"/>
    </row>
    <row r="6063">
      <c r="A6063" s="5"/>
      <c r="B6063" s="13" t="s">
        <v>1711</v>
      </c>
      <c r="C6063" s="22">
        <f>(27)*(1)*(1)*(1)*(1 + (0))</f>
      </c>
      <c r="D6063" s="22" t="s">
        <v>24</v>
      </c>
      <c r="E6063" s="22"/>
      <c r="F6063" s="22">
        <f>(0)</f>
      </c>
      <c r="G6063" s="22">
        <f>(C6063 * E6063 + C6063 * E6063 * F6063)</f>
      </c>
    </row>
    <row r="6064">
      <c r="A6064" s="3"/>
      <c r="B6064" s="11" t="s">
        <v>1144</v>
      </c>
      <c r="C6064" s="20"/>
      <c r="D6064" s="20"/>
      <c r="E6064" s="20"/>
      <c r="F6064" s="20"/>
      <c r="G6064" s="20"/>
    </row>
    <row r="6065">
      <c r="A6065" s="4"/>
      <c r="B6065" s="12" t="s">
        <v>2219</v>
      </c>
      <c r="C6065" s="21"/>
      <c r="D6065" s="21"/>
      <c r="E6065" s="21"/>
      <c r="F6065" s="21"/>
      <c r="G6065" s="21"/>
    </row>
    <row r="6066">
      <c r="A6066" s="5"/>
      <c r="B6066" s="13" t="s">
        <v>1711</v>
      </c>
      <c r="C6066" s="22">
        <f>(25)*(1)*(1)*(1)*(1 + (0))</f>
      </c>
      <c r="D6066" s="22" t="s">
        <v>24</v>
      </c>
      <c r="E6066" s="22"/>
      <c r="F6066" s="22">
        <f>(0)</f>
      </c>
      <c r="G6066" s="22">
        <f>(C6066 * E6066 + C6066 * E6066 * F6066)</f>
      </c>
    </row>
    <row r="6067">
      <c r="A6067" s="4"/>
      <c r="B6067" s="12" t="s">
        <v>1145</v>
      </c>
      <c r="C6067" s="21"/>
      <c r="D6067" s="21"/>
      <c r="E6067" s="21"/>
      <c r="F6067" s="21"/>
      <c r="G6067" s="21"/>
    </row>
    <row r="6068">
      <c r="A6068" s="5"/>
      <c r="B6068" s="13" t="s">
        <v>1711</v>
      </c>
      <c r="C6068" s="22">
        <f>(17)*(1)*(1)*(1)*(1 + (0))</f>
      </c>
      <c r="D6068" s="22" t="s">
        <v>24</v>
      </c>
      <c r="E6068" s="22"/>
      <c r="F6068" s="22">
        <f>(0)</f>
      </c>
      <c r="G6068" s="22">
        <f>(C6068 * E6068 + C6068 * E6068 * F6068)</f>
      </c>
    </row>
    <row r="6069">
      <c r="A6069" s="3"/>
      <c r="B6069" s="11" t="s">
        <v>1089</v>
      </c>
      <c r="C6069" s="20"/>
      <c r="D6069" s="20"/>
      <c r="E6069" s="20"/>
      <c r="F6069" s="20"/>
      <c r="G6069" s="20"/>
    </row>
    <row r="6070">
      <c r="A6070" s="4"/>
      <c r="B6070" s="12" t="s">
        <v>2220</v>
      </c>
      <c r="C6070" s="21"/>
      <c r="D6070" s="21"/>
      <c r="E6070" s="21"/>
      <c r="F6070" s="21"/>
      <c r="G6070" s="21"/>
    </row>
    <row r="6071">
      <c r="A6071" s="5"/>
      <c r="B6071" s="13" t="s">
        <v>1711</v>
      </c>
      <c r="C6071" s="22">
        <f>(53)*(1)*(1)*(1)*(1 + (0))</f>
      </c>
      <c r="D6071" s="22" t="s">
        <v>24</v>
      </c>
      <c r="E6071" s="22"/>
      <c r="F6071" s="22">
        <f>(0)</f>
      </c>
      <c r="G6071" s="22">
        <f>(C6071 * E6071 + C6071 * E6071 * F6071)</f>
      </c>
    </row>
    <row r="6072">
      <c r="A6072" s="3"/>
      <c r="B6072" s="11" t="s">
        <v>1119</v>
      </c>
      <c r="C6072" s="20"/>
      <c r="D6072" s="20"/>
      <c r="E6072" s="20"/>
      <c r="F6072" s="20"/>
      <c r="G6072" s="20"/>
    </row>
    <row r="6073">
      <c r="A6073" s="5"/>
      <c r="B6073" s="14" t="s">
        <v>1148</v>
      </c>
      <c r="C6073" s="22">
        <f>(296)*(1)*(1)*(1)*(1 + (0))</f>
      </c>
      <c r="D6073" s="22" t="s">
        <v>24</v>
      </c>
      <c r="E6073" s="22"/>
      <c r="F6073" s="22">
        <f>(0)</f>
      </c>
      <c r="G6073" s="22">
        <f>(C6073 * E6073 + C6073 * E6073 * F6073)</f>
      </c>
    </row>
    <row r="6074">
      <c r="A6074" s="5"/>
      <c r="B6074" s="14" t="s">
        <v>1149</v>
      </c>
      <c r="C6074" s="22">
        <f>(296)*(1)*(1)*(1)*(1 + (0))</f>
      </c>
      <c r="D6074" s="22" t="s">
        <v>24</v>
      </c>
      <c r="E6074" s="22"/>
      <c r="F6074" s="22">
        <f>(0)</f>
      </c>
      <c r="G6074" s="22">
        <f>(C6074 * E6074 + C6074 * E6074 * F6074)</f>
      </c>
    </row>
    <row r="6075">
      <c r="A6075" s="5"/>
      <c r="B6075" s="7" t="s">
        <v>1150</v>
      </c>
      <c r="C6075" s="22"/>
      <c r="D6075" s="22"/>
      <c r="E6075" s="22"/>
      <c r="F6075" s="22">
        <f>(0)</f>
      </c>
      <c r="G6075" s="22">
        <f>(C6075 * E6075 + C6075 * E6075 * F6075)</f>
      </c>
    </row>
    <row r="6076">
      <c r="A6076" s="5"/>
      <c r="B6076" s="7" t="s">
        <v>1151</v>
      </c>
      <c r="C6076" s="22"/>
      <c r="D6076" s="22"/>
      <c r="E6076" s="22"/>
      <c r="F6076" s="22">
        <f>(0)</f>
      </c>
      <c r="G6076" s="22">
        <f>(C6076 * E6076 + C6076 * E6076 * F6076)</f>
      </c>
    </row>
    <row r="6077">
      <c r="A6077" s="2"/>
      <c r="B6077" s="10" t="s">
        <v>1152</v>
      </c>
      <c r="C6077" s="19"/>
      <c r="D6077" s="19"/>
      <c r="E6077" s="19"/>
      <c r="F6077" s="19"/>
      <c r="G6077" s="19"/>
    </row>
    <row r="6078">
      <c r="A6078" s="3"/>
      <c r="B6078" s="11" t="s">
        <v>37</v>
      </c>
      <c r="C6078" s="20"/>
      <c r="D6078" s="20"/>
      <c r="E6078" s="20"/>
      <c r="F6078" s="20"/>
      <c r="G6078" s="20"/>
    </row>
    <row r="6079">
      <c r="A6079" s="5" t="s">
        <v>1153</v>
      </c>
      <c r="B6079" s="14" t="s">
        <v>39</v>
      </c>
      <c r="C6079" s="22"/>
      <c r="D6079" s="22" t="s">
        <v>10</v>
      </c>
      <c r="E6079" s="22"/>
      <c r="F6079" s="22">
        <f>(0)</f>
      </c>
      <c r="G6079" s="22">
        <f>(C6079 * E6079 + C6079 * E6079 * F6079)</f>
      </c>
    </row>
    <row r="6080">
      <c r="A6080" s="5" t="s">
        <v>1154</v>
      </c>
      <c r="B6080" s="14" t="s">
        <v>41</v>
      </c>
      <c r="C6080" s="22"/>
      <c r="D6080" s="22" t="s">
        <v>10</v>
      </c>
      <c r="E6080" s="22"/>
      <c r="F6080" s="22">
        <f>(0)</f>
      </c>
      <c r="G6080" s="22">
        <f>(C6080 * E6080 + C6080 * E6080 * F6080)</f>
      </c>
    </row>
    <row r="6081">
      <c r="A6081" s="3"/>
      <c r="B6081" s="11" t="s">
        <v>44</v>
      </c>
      <c r="C6081" s="20"/>
      <c r="D6081" s="20"/>
      <c r="E6081" s="20"/>
      <c r="F6081" s="20"/>
      <c r="G6081" s="20"/>
    </row>
    <row r="6082">
      <c r="A6082" s="4"/>
      <c r="B6082" s="12" t="s">
        <v>45</v>
      </c>
      <c r="C6082" s="21"/>
      <c r="D6082" s="21"/>
      <c r="E6082" s="21"/>
      <c r="F6082" s="21"/>
      <c r="G6082" s="21"/>
    </row>
    <row r="6083">
      <c r="A6083" s="5" t="s">
        <v>1158</v>
      </c>
      <c r="B6083" s="13" t="s">
        <v>898</v>
      </c>
      <c r="C6083" s="22"/>
      <c r="D6083" s="22" t="s">
        <v>10</v>
      </c>
      <c r="E6083" s="22"/>
      <c r="F6083" s="22">
        <f>(0)</f>
      </c>
      <c r="G6083" s="22">
        <f>(C6083 * E6083 + C6083 * E6083 * F6083)</f>
      </c>
    </row>
    <row r="6084">
      <c r="A6084" s="5" t="s">
        <v>1159</v>
      </c>
      <c r="B6084" s="13" t="s">
        <v>899</v>
      </c>
      <c r="C6084" s="22"/>
      <c r="D6084" s="22" t="s">
        <v>10</v>
      </c>
      <c r="E6084" s="22"/>
      <c r="F6084" s="22">
        <f>(0)</f>
      </c>
      <c r="G6084" s="22">
        <f>(C6084 * E6084 + C6084 * E6084 * F6084)</f>
      </c>
    </row>
    <row r="6085">
      <c r="A6085" s="5" t="s">
        <v>1160</v>
      </c>
      <c r="B6085" s="13" t="s">
        <v>767</v>
      </c>
      <c r="C6085" s="22"/>
      <c r="D6085" s="22" t="s">
        <v>10</v>
      </c>
      <c r="E6085" s="22"/>
      <c r="F6085" s="22">
        <f>(0)</f>
      </c>
      <c r="G6085" s="22">
        <f>(C6085 * E6085 + C6085 * E6085 * F6085)</f>
      </c>
    </row>
    <row r="6086">
      <c r="A6086" s="5" t="s">
        <v>1161</v>
      </c>
      <c r="B6086" s="13" t="s">
        <v>1162</v>
      </c>
      <c r="C6086" s="22"/>
      <c r="D6086" s="22" t="s">
        <v>10</v>
      </c>
      <c r="E6086" s="22"/>
      <c r="F6086" s="22">
        <f>(0)</f>
      </c>
      <c r="G6086" s="22">
        <f>(C6086 * E6086 + C6086 * E6086 * F6086)</f>
      </c>
    </row>
    <row r="6087">
      <c r="A6087" s="5" t="s">
        <v>1163</v>
      </c>
      <c r="B6087" s="13" t="s">
        <v>1164</v>
      </c>
      <c r="C6087" s="22"/>
      <c r="D6087" s="22" t="s">
        <v>10</v>
      </c>
      <c r="E6087" s="22"/>
      <c r="F6087" s="22">
        <f>(0)</f>
      </c>
      <c r="G6087" s="22">
        <f>(C6087 * E6087 + C6087 * E6087 * F6087)</f>
      </c>
    </row>
    <row r="6088">
      <c r="A6088" s="5" t="s">
        <v>1165</v>
      </c>
      <c r="B6088" s="13" t="s">
        <v>123</v>
      </c>
      <c r="C6088" s="22"/>
      <c r="D6088" s="22" t="s">
        <v>10</v>
      </c>
      <c r="E6088" s="22"/>
      <c r="F6088" s="22">
        <f>(0)</f>
      </c>
      <c r="G6088" s="22">
        <f>(C6088 * E6088 + C6088 * E6088 * F6088)</f>
      </c>
    </row>
    <row r="6089">
      <c r="A6089" s="3"/>
      <c r="B6089" s="11" t="s">
        <v>42</v>
      </c>
      <c r="C6089" s="20"/>
      <c r="D6089" s="20"/>
      <c r="E6089" s="20"/>
      <c r="F6089" s="20"/>
      <c r="G6089" s="20"/>
    </row>
    <row r="6090">
      <c r="A6090" s="5"/>
      <c r="B6090" s="14" t="s">
        <v>1155</v>
      </c>
      <c r="C6090" s="22"/>
      <c r="D6090" s="22" t="s">
        <v>10</v>
      </c>
      <c r="E6090" s="22"/>
      <c r="F6090" s="22">
        <f>(0)</f>
      </c>
      <c r="G6090" s="22">
        <f>(C6090 * E6090 + C6090 * E6090 * F6090)</f>
      </c>
    </row>
    <row r="6091">
      <c r="A6091" s="5"/>
      <c r="B6091" s="14" t="s">
        <v>1156</v>
      </c>
      <c r="C6091" s="22"/>
      <c r="D6091" s="22" t="s">
        <v>10</v>
      </c>
      <c r="E6091" s="22"/>
      <c r="F6091" s="22">
        <f>(0)</f>
      </c>
      <c r="G6091" s="22">
        <f>(C6091 * E6091 + C6091 * E6091 * F6091)</f>
      </c>
    </row>
    <row r="6092">
      <c r="A6092" s="5"/>
      <c r="B6092" s="14" t="s">
        <v>1157</v>
      </c>
      <c r="C6092" s="22"/>
      <c r="D6092" s="22" t="s">
        <v>10</v>
      </c>
      <c r="E6092" s="22"/>
      <c r="F6092" s="22">
        <f>(0)</f>
      </c>
      <c r="G6092" s="22">
        <f>(C6092 * E6092 + C6092 * E6092 * F6092)</f>
      </c>
    </row>
    <row r="6093">
      <c r="A6093" s="3"/>
      <c r="B6093" s="11" t="s">
        <v>68</v>
      </c>
      <c r="C6093" s="20"/>
      <c r="D6093" s="20"/>
      <c r="E6093" s="20"/>
      <c r="F6093" s="20"/>
      <c r="G6093" s="20"/>
    </row>
    <row r="6094">
      <c r="A6094" s="5" t="s">
        <v>1166</v>
      </c>
      <c r="B6094" s="14" t="s">
        <v>70</v>
      </c>
      <c r="C6094" s="22">
        <f>(1)*(1)*(1)*(1)*(1 + (0))</f>
      </c>
      <c r="D6094" s="22" t="s">
        <v>71</v>
      </c>
      <c r="E6094" s="22"/>
      <c r="F6094" s="22">
        <f>(0)</f>
      </c>
      <c r="G6094" s="22">
        <f>(C6094 * E6094 + C6094 * E6094 * F6094)</f>
      </c>
    </row>
    <row r="6095">
      <c r="A6095" s="5" t="s">
        <v>1167</v>
      </c>
      <c r="B6095" s="14" t="s">
        <v>1022</v>
      </c>
      <c r="C6095" s="22">
        <f>(1)*(1)*(1)*(1)*(1 + (0))</f>
      </c>
      <c r="D6095" s="22" t="s">
        <v>71</v>
      </c>
      <c r="E6095" s="22"/>
      <c r="F6095" s="22">
        <f>(0)</f>
      </c>
      <c r="G6095" s="22">
        <f>(C6095 * E6095 + C6095 * E6095 * F6095)</f>
      </c>
    </row>
    <row r="6096">
      <c r="A6096" s="5" t="s">
        <v>1168</v>
      </c>
      <c r="B6096" s="14" t="s">
        <v>1169</v>
      </c>
      <c r="C6096" s="22">
        <f>(1)*(1)*(1)*(1)*(1 + (0))</f>
      </c>
      <c r="D6096" s="22" t="s">
        <v>71</v>
      </c>
      <c r="E6096" s="22"/>
      <c r="F6096" s="22">
        <f>(0)</f>
      </c>
      <c r="G6096" s="22">
        <f>(C6096 * E6096 + C6096 * E6096 * F6096)</f>
      </c>
    </row>
    <row r="6097">
      <c r="A6097" s="5" t="s">
        <v>1170</v>
      </c>
      <c r="B6097" s="14" t="s">
        <v>1071</v>
      </c>
      <c r="C6097" s="22">
        <f>(1)*(1)*(1)*(1)*(1 + (0))</f>
      </c>
      <c r="D6097" s="22" t="s">
        <v>71</v>
      </c>
      <c r="E6097" s="22"/>
      <c r="F6097" s="22">
        <f>(0)</f>
      </c>
      <c r="G6097" s="22">
        <f>(C6097 * E6097 + C6097 * E6097 * F6097)</f>
      </c>
    </row>
    <row r="6098">
      <c r="A6098" s="5" t="s">
        <v>1171</v>
      </c>
      <c r="B6098" s="14" t="s">
        <v>798</v>
      </c>
      <c r="C6098" s="22">
        <f>(1)*(1)*(1)*(1)*(1 + (0))</f>
      </c>
      <c r="D6098" s="22" t="s">
        <v>71</v>
      </c>
      <c r="E6098" s="22"/>
      <c r="F6098" s="22">
        <f>(0)</f>
      </c>
      <c r="G6098" s="22">
        <f>(C6098 * E6098 + C6098 * E6098 * F6098)</f>
      </c>
    </row>
    <row r="6099">
      <c r="A6099" s="5" t="s">
        <v>1172</v>
      </c>
      <c r="B6099" s="14" t="s">
        <v>665</v>
      </c>
      <c r="C6099" s="22">
        <f>(1)*(1)*(1)*(1)*(1 + (0))</f>
      </c>
      <c r="D6099" s="22" t="s">
        <v>71</v>
      </c>
      <c r="E6099" s="22"/>
      <c r="F6099" s="22">
        <f>(0)</f>
      </c>
      <c r="G6099" s="22">
        <f>(C6099 * E6099 + C6099 * E6099 * F6099)</f>
      </c>
    </row>
    <row r="6100">
      <c r="A6100" s="3"/>
      <c r="B6100" s="11" t="s">
        <v>106</v>
      </c>
      <c r="C6100" s="20"/>
      <c r="D6100" s="20"/>
      <c r="E6100" s="20"/>
      <c r="F6100" s="20"/>
      <c r="G6100" s="20"/>
    </row>
    <row r="6101">
      <c r="A6101" s="5"/>
      <c r="B6101" s="14" t="s">
        <v>1173</v>
      </c>
      <c r="C6101" s="22"/>
      <c r="D6101" s="22" t="s">
        <v>10</v>
      </c>
      <c r="E6101" s="22"/>
      <c r="F6101" s="22">
        <f>(0)</f>
      </c>
      <c r="G6101" s="22">
        <f>(C6101 * E6101 + C6101 * E6101 * F6101)</f>
      </c>
    </row>
    <row r="6102">
      <c r="A6102" s="5"/>
      <c r="B6102" s="14" t="s">
        <v>1174</v>
      </c>
      <c r="C6102" s="22"/>
      <c r="D6102" s="22" t="s">
        <v>10</v>
      </c>
      <c r="E6102" s="22"/>
      <c r="F6102" s="22">
        <f>(0)</f>
      </c>
      <c r="G6102" s="22">
        <f>(C6102 * E6102 + C6102 * E6102 * F6102)</f>
      </c>
    </row>
    <row r="6103">
      <c r="A6103" s="5"/>
      <c r="B6103" s="14" t="s">
        <v>1175</v>
      </c>
      <c r="C6103" s="22"/>
      <c r="D6103" s="22" t="s">
        <v>10</v>
      </c>
      <c r="E6103" s="22"/>
      <c r="F6103" s="22">
        <f>(0)</f>
      </c>
      <c r="G6103" s="22">
        <f>(C6103 * E6103 + C6103 * E6103 * F6103)</f>
      </c>
    </row>
    <row r="6104">
      <c r="A6104" s="5"/>
      <c r="B6104" s="14" t="s">
        <v>1176</v>
      </c>
      <c r="C6104" s="22"/>
      <c r="D6104" s="22" t="s">
        <v>10</v>
      </c>
      <c r="E6104" s="22"/>
      <c r="F6104" s="22">
        <f>(0)</f>
      </c>
      <c r="G6104" s="22">
        <f>(C6104 * E6104 + C6104 * E6104 * F6104)</f>
      </c>
    </row>
    <row r="6105">
      <c r="A6105" s="5"/>
      <c r="B6105" s="14" t="s">
        <v>1177</v>
      </c>
      <c r="C6105" s="22"/>
      <c r="D6105" s="22" t="s">
        <v>10</v>
      </c>
      <c r="E6105" s="22"/>
      <c r="F6105" s="22">
        <f>(0)</f>
      </c>
      <c r="G6105" s="22">
        <f>(C6105 * E6105 + C6105 * E6105 * F6105)</f>
      </c>
    </row>
    <row r="6106">
      <c r="A6106" s="5"/>
      <c r="B6106" s="14" t="s">
        <v>1178</v>
      </c>
      <c r="C6106" s="22"/>
      <c r="D6106" s="22" t="s">
        <v>10</v>
      </c>
      <c r="E6106" s="22"/>
      <c r="F6106" s="22">
        <f>(0)</f>
      </c>
      <c r="G6106" s="22">
        <f>(C6106 * E6106 + C6106 * E6106 * F6106)</f>
      </c>
    </row>
    <row r="6107">
      <c r="A6107" s="5"/>
      <c r="B6107" s="14" t="s">
        <v>1179</v>
      </c>
      <c r="C6107" s="22"/>
      <c r="D6107" s="22" t="s">
        <v>10</v>
      </c>
      <c r="E6107" s="22"/>
      <c r="F6107" s="22">
        <f>(0)</f>
      </c>
      <c r="G6107" s="22">
        <f>(C6107 * E6107 + C6107 * E6107 * F6107)</f>
      </c>
    </row>
    <row r="6108">
      <c r="A6108" s="5"/>
      <c r="B6108" s="14" t="s">
        <v>1180</v>
      </c>
      <c r="C6108" s="22"/>
      <c r="D6108" s="22" t="s">
        <v>10</v>
      </c>
      <c r="E6108" s="22"/>
      <c r="F6108" s="22">
        <f>(0)</f>
      </c>
      <c r="G6108" s="22">
        <f>(C6108 * E6108 + C6108 * E6108 * F6108)</f>
      </c>
    </row>
    <row r="6109">
      <c r="A6109" s="5"/>
      <c r="B6109" s="14" t="s">
        <v>1181</v>
      </c>
      <c r="C6109" s="22"/>
      <c r="D6109" s="22" t="s">
        <v>10</v>
      </c>
      <c r="E6109" s="22"/>
      <c r="F6109" s="22">
        <f>(0)</f>
      </c>
      <c r="G6109" s="22">
        <f>(C6109 * E6109 + C6109 * E6109 * F6109)</f>
      </c>
    </row>
    <row r="6110">
      <c r="A6110" s="5"/>
      <c r="B6110" s="14" t="s">
        <v>1182</v>
      </c>
      <c r="C6110" s="22"/>
      <c r="D6110" s="22" t="s">
        <v>10</v>
      </c>
      <c r="E6110" s="22"/>
      <c r="F6110" s="22">
        <f>(0)</f>
      </c>
      <c r="G6110" s="22">
        <f>(C6110 * E6110 + C6110 * E6110 * F6110)</f>
      </c>
    </row>
    <row r="6111">
      <c r="A6111" s="5"/>
      <c r="B6111" s="14" t="s">
        <v>1183</v>
      </c>
      <c r="C6111" s="22"/>
      <c r="D6111" s="22" t="s">
        <v>10</v>
      </c>
      <c r="E6111" s="22"/>
      <c r="F6111" s="22">
        <f>(0)</f>
      </c>
      <c r="G6111" s="22">
        <f>(C6111 * E6111 + C6111 * E6111 * F6111)</f>
      </c>
    </row>
    <row r="6112">
      <c r="A6112" s="5"/>
      <c r="B6112" s="14" t="s">
        <v>1184</v>
      </c>
      <c r="C6112" s="22"/>
      <c r="D6112" s="22" t="s">
        <v>10</v>
      </c>
      <c r="E6112" s="22"/>
      <c r="F6112" s="22">
        <f>(0)</f>
      </c>
      <c r="G6112" s="22">
        <f>(C6112 * E6112 + C6112 * E6112 * F6112)</f>
      </c>
    </row>
    <row r="6113">
      <c r="A6113" s="5"/>
      <c r="B6113" s="14" t="s">
        <v>1185</v>
      </c>
      <c r="C6113" s="22"/>
      <c r="D6113" s="22" t="s">
        <v>10</v>
      </c>
      <c r="E6113" s="22"/>
      <c r="F6113" s="22">
        <f>(0)</f>
      </c>
      <c r="G6113" s="22">
        <f>(C6113 * E6113 + C6113 * E6113 * F6113)</f>
      </c>
    </row>
    <row r="6114">
      <c r="A6114" s="5"/>
      <c r="B6114" s="14" t="s">
        <v>1186</v>
      </c>
      <c r="C6114" s="22"/>
      <c r="D6114" s="22" t="s">
        <v>10</v>
      </c>
      <c r="E6114" s="22"/>
      <c r="F6114" s="22">
        <f>(0)</f>
      </c>
      <c r="G6114" s="22">
        <f>(C6114 * E6114 + C6114 * E6114 * F6114)</f>
      </c>
    </row>
    <row r="6115">
      <c r="A6115" s="5"/>
      <c r="B6115" s="14" t="s">
        <v>1187</v>
      </c>
      <c r="C6115" s="22"/>
      <c r="D6115" s="22" t="s">
        <v>10</v>
      </c>
      <c r="E6115" s="22"/>
      <c r="F6115" s="22">
        <f>(0)</f>
      </c>
      <c r="G6115" s="22">
        <f>(C6115 * E6115 + C6115 * E6115 * F6115)</f>
      </c>
    </row>
    <row r="6116">
      <c r="A6116" s="5"/>
      <c r="B6116" s="14" t="s">
        <v>1188</v>
      </c>
      <c r="C6116" s="22"/>
      <c r="D6116" s="22" t="s">
        <v>10</v>
      </c>
      <c r="E6116" s="22"/>
      <c r="F6116" s="22">
        <f>(0)</f>
      </c>
      <c r="G6116" s="22">
        <f>(C6116 * E6116 + C6116 * E6116 * F6116)</f>
      </c>
    </row>
    <row r="6117">
      <c r="A6117" s="5"/>
      <c r="B6117" s="14" t="s">
        <v>1189</v>
      </c>
      <c r="C6117" s="22"/>
      <c r="D6117" s="22" t="s">
        <v>10</v>
      </c>
      <c r="E6117" s="22"/>
      <c r="F6117" s="22">
        <f>(0)</f>
      </c>
      <c r="G6117" s="22">
        <f>(C6117 * E6117 + C6117 * E6117 * F6117)</f>
      </c>
    </row>
    <row r="6118">
      <c r="A6118" s="5"/>
      <c r="B6118" s="14" t="s">
        <v>1190</v>
      </c>
      <c r="C6118" s="22"/>
      <c r="D6118" s="22" t="s">
        <v>10</v>
      </c>
      <c r="E6118" s="22"/>
      <c r="F6118" s="22">
        <f>(0)</f>
      </c>
      <c r="G6118" s="22">
        <f>(C6118 * E6118 + C6118 * E6118 * F6118)</f>
      </c>
    </row>
    <row r="6119">
      <c r="A6119" s="5"/>
      <c r="B6119" s="14" t="s">
        <v>1191</v>
      </c>
      <c r="C6119" s="22"/>
      <c r="D6119" s="22" t="s">
        <v>10</v>
      </c>
      <c r="E6119" s="22"/>
      <c r="F6119" s="22">
        <f>(0)</f>
      </c>
      <c r="G6119" s="22">
        <f>(C6119 * E6119 + C6119 * E6119 * F6119)</f>
      </c>
    </row>
    <row r="6120">
      <c r="A6120" s="5"/>
      <c r="B6120" s="14" t="s">
        <v>1192</v>
      </c>
      <c r="C6120" s="22"/>
      <c r="D6120" s="22" t="s">
        <v>10</v>
      </c>
      <c r="E6120" s="22"/>
      <c r="F6120" s="22">
        <f>(0)</f>
      </c>
      <c r="G6120" s="22">
        <f>(C6120 * E6120 + C6120 * E6120 * F6120)</f>
      </c>
    </row>
    <row r="6121">
      <c r="A6121" s="5"/>
      <c r="B6121" s="14" t="s">
        <v>1193</v>
      </c>
      <c r="C6121" s="22"/>
      <c r="D6121" s="22" t="s">
        <v>10</v>
      </c>
      <c r="E6121" s="22"/>
      <c r="F6121" s="22">
        <f>(0)</f>
      </c>
      <c r="G6121" s="22">
        <f>(C6121 * E6121 + C6121 * E6121 * F6121)</f>
      </c>
    </row>
    <row r="6122">
      <c r="A6122" s="5"/>
      <c r="B6122" s="14" t="s">
        <v>1194</v>
      </c>
      <c r="C6122" s="22"/>
      <c r="D6122" s="22" t="s">
        <v>10</v>
      </c>
      <c r="E6122" s="22"/>
      <c r="F6122" s="22">
        <f>(0)</f>
      </c>
      <c r="G6122" s="22">
        <f>(C6122 * E6122 + C6122 * E6122 * F6122)</f>
      </c>
    </row>
    <row r="6123">
      <c r="A6123" s="5"/>
      <c r="B6123" s="14" t="s">
        <v>1195</v>
      </c>
      <c r="C6123" s="22"/>
      <c r="D6123" s="22" t="s">
        <v>10</v>
      </c>
      <c r="E6123" s="22"/>
      <c r="F6123" s="22">
        <f>(0)</f>
      </c>
      <c r="G6123" s="22">
        <f>(C6123 * E6123 + C6123 * E6123 * F6123)</f>
      </c>
    </row>
    <row r="6124">
      <c r="A6124" s="5"/>
      <c r="B6124" s="14" t="s">
        <v>1196</v>
      </c>
      <c r="C6124" s="22"/>
      <c r="D6124" s="22" t="s">
        <v>10</v>
      </c>
      <c r="E6124" s="22"/>
      <c r="F6124" s="22">
        <f>(0)</f>
      </c>
      <c r="G6124" s="22">
        <f>(C6124 * E6124 + C6124 * E6124 * F6124)</f>
      </c>
    </row>
    <row r="6125">
      <c r="A6125" s="5"/>
      <c r="B6125" s="14" t="s">
        <v>1197</v>
      </c>
      <c r="C6125" s="22"/>
      <c r="D6125" s="22" t="s">
        <v>10</v>
      </c>
      <c r="E6125" s="22"/>
      <c r="F6125" s="22">
        <f>(0)</f>
      </c>
      <c r="G6125" s="22">
        <f>(C6125 * E6125 + C6125 * E6125 * F6125)</f>
      </c>
    </row>
    <row r="6126">
      <c r="A6126" s="5"/>
      <c r="B6126" s="14" t="s">
        <v>1198</v>
      </c>
      <c r="C6126" s="22"/>
      <c r="D6126" s="22" t="s">
        <v>10</v>
      </c>
      <c r="E6126" s="22"/>
      <c r="F6126" s="22">
        <f>(0)</f>
      </c>
      <c r="G6126" s="22">
        <f>(C6126 * E6126 + C6126 * E6126 * F6126)</f>
      </c>
    </row>
    <row r="6127">
      <c r="A6127" s="3"/>
      <c r="B6127" s="11" t="s">
        <v>1769</v>
      </c>
      <c r="C6127" s="20"/>
      <c r="D6127" s="20"/>
      <c r="E6127" s="20"/>
      <c r="F6127" s="20"/>
      <c r="G6127" s="20"/>
    </row>
    <row r="6128">
      <c r="A6128" s="5"/>
      <c r="B6128" s="14" t="s">
        <v>2221</v>
      </c>
      <c r="C6128" s="22">
        <f>(1)*(1)*(1)*(1)*(1 + (0))</f>
      </c>
      <c r="D6128" s="22" t="s">
        <v>162</v>
      </c>
      <c r="E6128" s="22"/>
      <c r="F6128" s="22">
        <f>(0)</f>
      </c>
      <c r="G6128" s="22">
        <f>(C6128 * E6128 + C6128 * E6128 * F6128)</f>
      </c>
    </row>
    <row r="6129">
      <c r="A6129" s="5"/>
      <c r="B6129" s="14" t="s">
        <v>2222</v>
      </c>
      <c r="C6129" s="22">
        <f>(1)*(1)*(1)*(1)*(1 + (0))</f>
      </c>
      <c r="D6129" s="22" t="s">
        <v>162</v>
      </c>
      <c r="E6129" s="22"/>
      <c r="F6129" s="22">
        <f>(0)</f>
      </c>
      <c r="G6129" s="22">
        <f>(C6129 * E6129 + C6129 * E6129 * F6129)</f>
      </c>
    </row>
    <row r="6130">
      <c r="A6130" s="5"/>
      <c r="B6130" s="14" t="s">
        <v>2223</v>
      </c>
      <c r="C6130" s="22">
        <f>(3)*(1)*(1)*(1)*(1 + (0))</f>
      </c>
      <c r="D6130" s="22" t="s">
        <v>162</v>
      </c>
      <c r="E6130" s="22"/>
      <c r="F6130" s="22">
        <f>(0)</f>
      </c>
      <c r="G6130" s="22">
        <f>(C6130 * E6130 + C6130 * E6130 * F6130)</f>
      </c>
    </row>
    <row r="6131">
      <c r="A6131" s="5"/>
      <c r="B6131" s="14" t="s">
        <v>2224</v>
      </c>
      <c r="C6131" s="22">
        <f>(1)*(1)*(1)*(1)*(1 + (0))</f>
      </c>
      <c r="D6131" s="22" t="s">
        <v>162</v>
      </c>
      <c r="E6131" s="22"/>
      <c r="F6131" s="22">
        <f>(0)</f>
      </c>
      <c r="G6131" s="22">
        <f>(C6131 * E6131 + C6131 * E6131 * F6131)</f>
      </c>
    </row>
    <row r="6132">
      <c r="A6132" s="5"/>
      <c r="B6132" s="14" t="s">
        <v>2225</v>
      </c>
      <c r="C6132" s="22">
        <f>(1)*(1)*(1)*(1)*(1 + (0))</f>
      </c>
      <c r="D6132" s="22" t="s">
        <v>162</v>
      </c>
      <c r="E6132" s="22"/>
      <c r="F6132" s="22">
        <f>(0)</f>
      </c>
      <c r="G6132" s="22">
        <f>(C6132 * E6132 + C6132 * E6132 * F6132)</f>
      </c>
    </row>
    <row r="6133">
      <c r="A6133" s="5"/>
      <c r="B6133" s="14" t="s">
        <v>2226</v>
      </c>
      <c r="C6133" s="22">
        <f>(1)*(1)*(1)*(1)*(1 + (0))</f>
      </c>
      <c r="D6133" s="22" t="s">
        <v>162</v>
      </c>
      <c r="E6133" s="22"/>
      <c r="F6133" s="22">
        <f>(0)</f>
      </c>
      <c r="G6133" s="22">
        <f>(C6133 * E6133 + C6133 * E6133 * F6133)</f>
      </c>
    </row>
    <row r="6134">
      <c r="A6134" s="5"/>
      <c r="B6134" s="14" t="s">
        <v>2227</v>
      </c>
      <c r="C6134" s="22">
        <f>(3)*(1)*(1)*(1)*(1 + (0))</f>
      </c>
      <c r="D6134" s="22" t="s">
        <v>162</v>
      </c>
      <c r="E6134" s="22"/>
      <c r="F6134" s="22">
        <f>(0)</f>
      </c>
      <c r="G6134" s="22">
        <f>(C6134 * E6134 + C6134 * E6134 * F6134)</f>
      </c>
    </row>
    <row r="6135">
      <c r="A6135" s="5"/>
      <c r="B6135" s="14" t="s">
        <v>2228</v>
      </c>
      <c r="C6135" s="22">
        <f>(3)*(1)*(1)*(1)*(1 + (0))</f>
      </c>
      <c r="D6135" s="22" t="s">
        <v>162</v>
      </c>
      <c r="E6135" s="22"/>
      <c r="F6135" s="22">
        <f>(0)</f>
      </c>
      <c r="G6135" s="22">
        <f>(C6135 * E6135 + C6135 * E6135 * F6135)</f>
      </c>
    </row>
    <row r="6136">
      <c r="A6136" s="5"/>
      <c r="B6136" s="14" t="s">
        <v>2229</v>
      </c>
      <c r="C6136" s="22">
        <f>(3)*(1)*(1)*(1)*(1 + (0))</f>
      </c>
      <c r="D6136" s="22" t="s">
        <v>162</v>
      </c>
      <c r="E6136" s="22"/>
      <c r="F6136" s="22">
        <f>(0)</f>
      </c>
      <c r="G6136" s="22">
        <f>(C6136 * E6136 + C6136 * E6136 * F6136)</f>
      </c>
    </row>
    <row r="6137">
      <c r="A6137" s="5"/>
      <c r="B6137" s="14" t="s">
        <v>2230</v>
      </c>
      <c r="C6137" s="22">
        <f>(3)*(1)*(1)*(1)*(1 + (0))</f>
      </c>
      <c r="D6137" s="22" t="s">
        <v>162</v>
      </c>
      <c r="E6137" s="22"/>
      <c r="F6137" s="22">
        <f>(0)</f>
      </c>
      <c r="G6137" s="22">
        <f>(C6137 * E6137 + C6137 * E6137 * F6137)</f>
      </c>
    </row>
    <row r="6138">
      <c r="A6138" s="5"/>
      <c r="B6138" s="14" t="s">
        <v>2231</v>
      </c>
      <c r="C6138" s="22">
        <f>(2)*(1)*(1)*(1)*(1 + (0))</f>
      </c>
      <c r="D6138" s="22" t="s">
        <v>162</v>
      </c>
      <c r="E6138" s="22"/>
      <c r="F6138" s="22">
        <f>(0)</f>
      </c>
      <c r="G6138" s="22">
        <f>(C6138 * E6138 + C6138 * E6138 * F6138)</f>
      </c>
    </row>
    <row r="6139">
      <c r="A6139" s="5"/>
      <c r="B6139" s="14" t="s">
        <v>2232</v>
      </c>
      <c r="C6139" s="22">
        <f>(2)*(1)*(1)*(1)*(1 + (0))</f>
      </c>
      <c r="D6139" s="22" t="s">
        <v>1217</v>
      </c>
      <c r="E6139" s="22"/>
      <c r="F6139" s="22">
        <f>(0)</f>
      </c>
      <c r="G6139" s="22">
        <f>(C6139 * E6139 + C6139 * E6139 * F6139)</f>
      </c>
    </row>
    <row r="6140">
      <c r="A6140" s="5"/>
      <c r="B6140" s="14" t="s">
        <v>2233</v>
      </c>
      <c r="C6140" s="22">
        <f>(1)*(1)*(1)*(1)*(1 + (0))</f>
      </c>
      <c r="D6140" s="22" t="s">
        <v>162</v>
      </c>
      <c r="E6140" s="22"/>
      <c r="F6140" s="22">
        <f>(0)</f>
      </c>
      <c r="G6140" s="22">
        <f>(C6140 * E6140 + C6140 * E6140 * F6140)</f>
      </c>
    </row>
    <row r="6141">
      <c r="A6141" s="5"/>
      <c r="B6141" s="14" t="s">
        <v>2234</v>
      </c>
      <c r="C6141" s="22">
        <f>(1)*(1)*(1)*(1)*(1 + (0))</f>
      </c>
      <c r="D6141" s="22" t="s">
        <v>162</v>
      </c>
      <c r="E6141" s="22"/>
      <c r="F6141" s="22">
        <f>(0)</f>
      </c>
      <c r="G6141" s="22">
        <f>(C6141 * E6141 + C6141 * E6141 * F6141)</f>
      </c>
    </row>
    <row r="6142">
      <c r="A6142" s="2"/>
      <c r="B6142" s="10" t="s">
        <v>1224</v>
      </c>
      <c r="C6142" s="19"/>
      <c r="D6142" s="19"/>
      <c r="E6142" s="19"/>
      <c r="F6142" s="19"/>
      <c r="G6142" s="19"/>
    </row>
    <row r="6143">
      <c r="A6143" s="3"/>
      <c r="B6143" s="11" t="s">
        <v>37</v>
      </c>
      <c r="C6143" s="20"/>
      <c r="D6143" s="20"/>
      <c r="E6143" s="20"/>
      <c r="F6143" s="20"/>
      <c r="G6143" s="20"/>
    </row>
    <row r="6144">
      <c r="A6144" s="5" t="s">
        <v>1225</v>
      </c>
      <c r="B6144" s="14" t="s">
        <v>39</v>
      </c>
      <c r="C6144" s="22"/>
      <c r="D6144" s="22" t="s">
        <v>10</v>
      </c>
      <c r="E6144" s="22"/>
      <c r="F6144" s="22">
        <f>(0)</f>
      </c>
      <c r="G6144" s="22">
        <f>(C6144 * E6144 + C6144 * E6144 * F6144)</f>
      </c>
    </row>
    <row r="6145">
      <c r="A6145" s="5" t="s">
        <v>1226</v>
      </c>
      <c r="B6145" s="14" t="s">
        <v>41</v>
      </c>
      <c r="C6145" s="22"/>
      <c r="D6145" s="22" t="s">
        <v>10</v>
      </c>
      <c r="E6145" s="22"/>
      <c r="F6145" s="22">
        <f>(0)</f>
      </c>
      <c r="G6145" s="22">
        <f>(C6145 * E6145 + C6145 * E6145 * F6145)</f>
      </c>
    </row>
    <row r="6146">
      <c r="A6146" s="3"/>
      <c r="B6146" s="11" t="s">
        <v>42</v>
      </c>
      <c r="C6146" s="20"/>
      <c r="D6146" s="20"/>
      <c r="E6146" s="20"/>
      <c r="F6146" s="20"/>
      <c r="G6146" s="20"/>
    </row>
    <row r="6147">
      <c r="A6147" s="5"/>
      <c r="B6147" s="14" t="s">
        <v>1280</v>
      </c>
      <c r="C6147" s="22"/>
      <c r="D6147" s="22" t="s">
        <v>10</v>
      </c>
      <c r="E6147" s="22"/>
      <c r="F6147" s="22">
        <f>(0)</f>
      </c>
      <c r="G6147" s="22">
        <f>(C6147 * E6147 + C6147 * E6147 * F6147)</f>
      </c>
    </row>
    <row r="6148">
      <c r="A6148" s="5"/>
      <c r="B6148" s="14" t="s">
        <v>1228</v>
      </c>
      <c r="C6148" s="22"/>
      <c r="D6148" s="22" t="s">
        <v>10</v>
      </c>
      <c r="E6148" s="22"/>
      <c r="F6148" s="22">
        <f>(0)</f>
      </c>
      <c r="G6148" s="22">
        <f>(C6148 * E6148 + C6148 * E6148 * F6148)</f>
      </c>
    </row>
    <row r="6149">
      <c r="A6149" s="5"/>
      <c r="B6149" s="14" t="s">
        <v>694</v>
      </c>
      <c r="C6149" s="22"/>
      <c r="D6149" s="22" t="s">
        <v>10</v>
      </c>
      <c r="E6149" s="22"/>
      <c r="F6149" s="22">
        <f>(0)</f>
      </c>
      <c r="G6149" s="22">
        <f>(C6149 * E6149 + C6149 * E6149 * F6149)</f>
      </c>
    </row>
    <row r="6150">
      <c r="A6150" s="3"/>
      <c r="B6150" s="11" t="s">
        <v>44</v>
      </c>
      <c r="C6150" s="20"/>
      <c r="D6150" s="20"/>
      <c r="E6150" s="20"/>
      <c r="F6150" s="20"/>
      <c r="G6150" s="20"/>
    </row>
    <row r="6151">
      <c r="A6151" s="4"/>
      <c r="B6151" s="12" t="s">
        <v>45</v>
      </c>
      <c r="C6151" s="21"/>
      <c r="D6151" s="21"/>
      <c r="E6151" s="21"/>
      <c r="F6151" s="21"/>
      <c r="G6151" s="21"/>
    </row>
    <row r="6152">
      <c r="A6152" s="5" t="s">
        <v>1229</v>
      </c>
      <c r="B6152" s="13" t="s">
        <v>528</v>
      </c>
      <c r="C6152" s="22"/>
      <c r="D6152" s="22" t="s">
        <v>10</v>
      </c>
      <c r="E6152" s="22"/>
      <c r="F6152" s="22">
        <f>(0)</f>
      </c>
      <c r="G6152" s="22">
        <f>(C6152 * E6152 + C6152 * E6152 * F6152)</f>
      </c>
    </row>
    <row r="6153">
      <c r="A6153" s="5" t="s">
        <v>1230</v>
      </c>
      <c r="B6153" s="13" t="s">
        <v>530</v>
      </c>
      <c r="C6153" s="22"/>
      <c r="D6153" s="22" t="s">
        <v>10</v>
      </c>
      <c r="E6153" s="22"/>
      <c r="F6153" s="22">
        <f>(0)</f>
      </c>
      <c r="G6153" s="22">
        <f>(C6153 * E6153 + C6153 * E6153 * F6153)</f>
      </c>
    </row>
    <row r="6154">
      <c r="A6154" s="5" t="s">
        <v>1231</v>
      </c>
      <c r="B6154" s="13" t="s">
        <v>1232</v>
      </c>
      <c r="C6154" s="22"/>
      <c r="D6154" s="22" t="s">
        <v>10</v>
      </c>
      <c r="E6154" s="22"/>
      <c r="F6154" s="22">
        <f>(0)</f>
      </c>
      <c r="G6154" s="22">
        <f>(C6154 * E6154 + C6154 * E6154 * F6154)</f>
      </c>
    </row>
    <row r="6155">
      <c r="A6155" s="5" t="s">
        <v>1233</v>
      </c>
      <c r="B6155" s="13" t="s">
        <v>853</v>
      </c>
      <c r="C6155" s="22"/>
      <c r="D6155" s="22" t="s">
        <v>10</v>
      </c>
      <c r="E6155" s="22"/>
      <c r="F6155" s="22">
        <f>(0)</f>
      </c>
      <c r="G6155" s="22">
        <f>(C6155 * E6155 + C6155 * E6155 * F6155)</f>
      </c>
    </row>
    <row r="6156">
      <c r="A6156" s="5" t="s">
        <v>1234</v>
      </c>
      <c r="B6156" s="13" t="s">
        <v>538</v>
      </c>
      <c r="C6156" s="22"/>
      <c r="D6156" s="22" t="s">
        <v>10</v>
      </c>
      <c r="E6156" s="22"/>
      <c r="F6156" s="22">
        <f>(0)</f>
      </c>
      <c r="G6156" s="22">
        <f>(C6156 * E6156 + C6156 * E6156 * F6156)</f>
      </c>
    </row>
    <row r="6157">
      <c r="A6157" s="5" t="s">
        <v>1235</v>
      </c>
      <c r="B6157" s="13" t="s">
        <v>123</v>
      </c>
      <c r="C6157" s="22"/>
      <c r="D6157" s="22" t="s">
        <v>10</v>
      </c>
      <c r="E6157" s="22"/>
      <c r="F6157" s="22">
        <f>(0)</f>
      </c>
      <c r="G6157" s="22">
        <f>(C6157 * E6157 + C6157 * E6157 * F6157)</f>
      </c>
    </row>
    <row r="6158">
      <c r="A6158" s="3"/>
      <c r="B6158" s="11" t="s">
        <v>68</v>
      </c>
      <c r="C6158" s="20"/>
      <c r="D6158" s="20"/>
      <c r="E6158" s="20"/>
      <c r="F6158" s="20"/>
      <c r="G6158" s="20"/>
    </row>
    <row r="6159">
      <c r="A6159" s="5" t="s">
        <v>1236</v>
      </c>
      <c r="B6159" s="14" t="s">
        <v>543</v>
      </c>
      <c r="C6159" s="22">
        <f>(1)*(1)*(1)*(1)*(1 + (0))</f>
      </c>
      <c r="D6159" s="22" t="s">
        <v>71</v>
      </c>
      <c r="E6159" s="22"/>
      <c r="F6159" s="22">
        <f>(0)</f>
      </c>
      <c r="G6159" s="22">
        <f>(C6159 * E6159 + C6159 * E6159 * F6159)</f>
      </c>
    </row>
    <row r="6160">
      <c r="A6160" s="5" t="s">
        <v>1237</v>
      </c>
      <c r="B6160" s="14" t="s">
        <v>136</v>
      </c>
      <c r="C6160" s="22">
        <f>(1)*(1)*(1)*(1)*(1 + (0))</f>
      </c>
      <c r="D6160" s="22" t="s">
        <v>71</v>
      </c>
      <c r="E6160" s="22"/>
      <c r="F6160" s="22">
        <f>(0)</f>
      </c>
      <c r="G6160" s="22">
        <f>(C6160 * E6160 + C6160 * E6160 * F6160)</f>
      </c>
    </row>
    <row r="6161">
      <c r="A6161" s="5" t="s">
        <v>1238</v>
      </c>
      <c r="B6161" s="14" t="s">
        <v>1239</v>
      </c>
      <c r="C6161" s="22">
        <f>(1)*(1)*(1)*(1)*(1 + (0))</f>
      </c>
      <c r="D6161" s="22" t="s">
        <v>71</v>
      </c>
      <c r="E6161" s="22"/>
      <c r="F6161" s="22">
        <f>(0)</f>
      </c>
      <c r="G6161" s="22">
        <f>(C6161 * E6161 + C6161 * E6161 * F6161)</f>
      </c>
    </row>
    <row r="6162">
      <c r="A6162" s="5" t="s">
        <v>1240</v>
      </c>
      <c r="B6162" s="14" t="s">
        <v>798</v>
      </c>
      <c r="C6162" s="22">
        <f>(1)*(1)*(1)*(1)*(1 + (0))</f>
      </c>
      <c r="D6162" s="22" t="s">
        <v>71</v>
      </c>
      <c r="E6162" s="22"/>
      <c r="F6162" s="22">
        <f>(0)</f>
      </c>
      <c r="G6162" s="22">
        <f>(C6162 * E6162 + C6162 * E6162 * F6162)</f>
      </c>
    </row>
    <row r="6163">
      <c r="A6163" s="5" t="s">
        <v>1241</v>
      </c>
      <c r="B6163" s="14" t="s">
        <v>70</v>
      </c>
      <c r="C6163" s="22">
        <f>(1)*(1)*(1)*(1)*(1 + (0))</f>
      </c>
      <c r="D6163" s="22" t="s">
        <v>71</v>
      </c>
      <c r="E6163" s="22"/>
      <c r="F6163" s="22">
        <f>(0)</f>
      </c>
      <c r="G6163" s="22">
        <f>(C6163 * E6163 + C6163 * E6163 * F6163)</f>
      </c>
    </row>
    <row r="6164">
      <c r="A6164" s="5" t="s">
        <v>1242</v>
      </c>
      <c r="B6164" s="14" t="s">
        <v>665</v>
      </c>
      <c r="C6164" s="22">
        <f>(1)*(1)*(1)*(1)*(1 + (0))</f>
      </c>
      <c r="D6164" s="22" t="s">
        <v>71</v>
      </c>
      <c r="E6164" s="22"/>
      <c r="F6164" s="22">
        <f>(0)</f>
      </c>
      <c r="G6164" s="22">
        <f>(C6164 * E6164 + C6164 * E6164 * F6164)</f>
      </c>
    </row>
    <row r="6165">
      <c r="A6165" s="3"/>
      <c r="B6165" s="11" t="s">
        <v>1249</v>
      </c>
      <c r="C6165" s="20"/>
      <c r="D6165" s="20"/>
      <c r="E6165" s="20"/>
      <c r="F6165" s="20"/>
      <c r="G6165" s="20"/>
    </row>
    <row r="6166">
      <c r="A6166" s="4"/>
      <c r="B6166" s="12" t="s">
        <v>2235</v>
      </c>
      <c r="C6166" s="21"/>
      <c r="D6166" s="21"/>
      <c r="E6166" s="21"/>
      <c r="F6166" s="21"/>
      <c r="G6166" s="21"/>
    </row>
    <row r="6167">
      <c r="A6167" s="5"/>
      <c r="B6167" s="13" t="s">
        <v>2050</v>
      </c>
      <c r="C6167" s="22">
        <f>(26)*(1)*(1)*(1)*(1 + (0))</f>
      </c>
      <c r="D6167" s="22" t="s">
        <v>24</v>
      </c>
      <c r="E6167" s="22"/>
      <c r="F6167" s="22">
        <f>(0)</f>
      </c>
      <c r="G6167" s="22">
        <f>(C6167 * E6167 + C6167 * E6167 * F6167)</f>
      </c>
    </row>
    <row r="6168">
      <c r="A6168" s="3"/>
      <c r="B6168" s="11" t="s">
        <v>1251</v>
      </c>
      <c r="C6168" s="20"/>
      <c r="D6168" s="20"/>
      <c r="E6168" s="20"/>
      <c r="F6168" s="20"/>
      <c r="G6168" s="20"/>
    </row>
    <row r="6169">
      <c r="A6169" s="4"/>
      <c r="B6169" s="12" t="s">
        <v>2235</v>
      </c>
      <c r="C6169" s="21"/>
      <c r="D6169" s="21"/>
      <c r="E6169" s="21"/>
      <c r="F6169" s="21"/>
      <c r="G6169" s="21"/>
    </row>
    <row r="6170">
      <c r="A6170" s="5"/>
      <c r="B6170" s="13" t="s">
        <v>1252</v>
      </c>
      <c r="C6170" s="22">
        <f>(24)*(1)*(1)*(1)*(1 + (0))</f>
      </c>
      <c r="D6170" s="22" t="s">
        <v>153</v>
      </c>
      <c r="E6170" s="22"/>
      <c r="F6170" s="22">
        <f>(0)</f>
      </c>
      <c r="G6170" s="22">
        <f>(C6170 * E6170 + C6170 * E6170 * F6170)</f>
      </c>
    </row>
    <row r="6171">
      <c r="A6171" s="3"/>
      <c r="B6171" s="11" t="s">
        <v>1255</v>
      </c>
      <c r="C6171" s="20"/>
      <c r="D6171" s="20"/>
      <c r="E6171" s="20"/>
      <c r="F6171" s="20"/>
      <c r="G6171" s="20"/>
    </row>
    <row r="6172">
      <c r="A6172" s="4"/>
      <c r="B6172" s="12" t="s">
        <v>2236</v>
      </c>
      <c r="C6172" s="21"/>
      <c r="D6172" s="21"/>
      <c r="E6172" s="21"/>
      <c r="F6172" s="21"/>
      <c r="G6172" s="21"/>
    </row>
    <row r="6173">
      <c r="A6173" s="6"/>
      <c r="B6173" s="15" t="s">
        <v>1260</v>
      </c>
      <c r="C6173" s="23"/>
      <c r="D6173" s="23"/>
      <c r="E6173" s="23"/>
      <c r="F6173" s="23"/>
      <c r="G6173" s="23"/>
    </row>
    <row r="6174">
      <c r="A6174" s="5"/>
      <c r="B6174" s="16" t="s">
        <v>2237</v>
      </c>
      <c r="C6174" s="22">
        <f>(6)*(1)*(1)*(1)*(1 + (0))</f>
      </c>
      <c r="D6174" s="22" t="s">
        <v>162</v>
      </c>
      <c r="E6174" s="22"/>
      <c r="F6174" s="22">
        <f>(0)</f>
      </c>
      <c r="G6174" s="22">
        <f>(C6174 * E6174 + C6174 * E6174 * F6174)</f>
      </c>
    </row>
    <row r="6175">
      <c r="A6175" s="2"/>
      <c r="B6175" s="10" t="s">
        <v>1279</v>
      </c>
      <c r="C6175" s="19"/>
      <c r="D6175" s="19"/>
      <c r="E6175" s="19"/>
      <c r="F6175" s="19"/>
      <c r="G6175" s="19"/>
    </row>
    <row r="6176">
      <c r="A6176" s="3"/>
      <c r="B6176" s="11" t="s">
        <v>37</v>
      </c>
      <c r="C6176" s="20"/>
      <c r="D6176" s="20"/>
      <c r="E6176" s="20"/>
      <c r="F6176" s="20"/>
      <c r="G6176" s="20"/>
    </row>
    <row r="6177">
      <c r="A6177" s="5" t="s">
        <v>1225</v>
      </c>
      <c r="B6177" s="14" t="s">
        <v>39</v>
      </c>
      <c r="C6177" s="22"/>
      <c r="D6177" s="22" t="s">
        <v>10</v>
      </c>
      <c r="E6177" s="22"/>
      <c r="F6177" s="22">
        <f>(0)</f>
      </c>
      <c r="G6177" s="22">
        <f>(C6177 * E6177 + C6177 * E6177 * F6177)</f>
      </c>
    </row>
    <row r="6178">
      <c r="A6178" s="5" t="s">
        <v>1226</v>
      </c>
      <c r="B6178" s="14" t="s">
        <v>41</v>
      </c>
      <c r="C6178" s="22"/>
      <c r="D6178" s="22" t="s">
        <v>10</v>
      </c>
      <c r="E6178" s="22"/>
      <c r="F6178" s="22">
        <f>(0)</f>
      </c>
      <c r="G6178" s="22">
        <f>(C6178 * E6178 + C6178 * E6178 * F6178)</f>
      </c>
    </row>
    <row r="6179">
      <c r="A6179" s="3"/>
      <c r="B6179" s="11" t="s">
        <v>42</v>
      </c>
      <c r="C6179" s="20"/>
      <c r="D6179" s="20"/>
      <c r="E6179" s="20"/>
      <c r="F6179" s="20"/>
      <c r="G6179" s="20"/>
    </row>
    <row r="6180">
      <c r="A6180" s="5"/>
      <c r="B6180" s="14" t="s">
        <v>1280</v>
      </c>
      <c r="C6180" s="22"/>
      <c r="D6180" s="22" t="s">
        <v>10</v>
      </c>
      <c r="E6180" s="22"/>
      <c r="F6180" s="22">
        <f>(0)</f>
      </c>
      <c r="G6180" s="22">
        <f>(C6180 * E6180 + C6180 * E6180 * F6180)</f>
      </c>
    </row>
    <row r="6181">
      <c r="A6181" s="5"/>
      <c r="B6181" s="14" t="s">
        <v>1228</v>
      </c>
      <c r="C6181" s="22"/>
      <c r="D6181" s="22" t="s">
        <v>10</v>
      </c>
      <c r="E6181" s="22"/>
      <c r="F6181" s="22">
        <f>(0)</f>
      </c>
      <c r="G6181" s="22">
        <f>(C6181 * E6181 + C6181 * E6181 * F6181)</f>
      </c>
    </row>
    <row r="6182">
      <c r="A6182" s="5"/>
      <c r="B6182" s="14" t="s">
        <v>694</v>
      </c>
      <c r="C6182" s="22"/>
      <c r="D6182" s="22" t="s">
        <v>10</v>
      </c>
      <c r="E6182" s="22"/>
      <c r="F6182" s="22">
        <f>(0)</f>
      </c>
      <c r="G6182" s="22">
        <f>(C6182 * E6182 + C6182 * E6182 * F6182)</f>
      </c>
    </row>
    <row r="6183">
      <c r="A6183" s="3"/>
      <c r="B6183" s="11" t="s">
        <v>44</v>
      </c>
      <c r="C6183" s="20"/>
      <c r="D6183" s="20"/>
      <c r="E6183" s="20"/>
      <c r="F6183" s="20"/>
      <c r="G6183" s="20"/>
    </row>
    <row r="6184">
      <c r="A6184" s="4"/>
      <c r="B6184" s="12" t="s">
        <v>45</v>
      </c>
      <c r="C6184" s="21"/>
      <c r="D6184" s="21"/>
      <c r="E6184" s="21"/>
      <c r="F6184" s="21"/>
      <c r="G6184" s="21"/>
    </row>
    <row r="6185">
      <c r="A6185" s="5" t="s">
        <v>1229</v>
      </c>
      <c r="B6185" s="13" t="s">
        <v>528</v>
      </c>
      <c r="C6185" s="22"/>
      <c r="D6185" s="22" t="s">
        <v>10</v>
      </c>
      <c r="E6185" s="22"/>
      <c r="F6185" s="22">
        <f>(0)</f>
      </c>
      <c r="G6185" s="22">
        <f>(C6185 * E6185 + C6185 * E6185 * F6185)</f>
      </c>
    </row>
    <row r="6186">
      <c r="A6186" s="5" t="s">
        <v>1230</v>
      </c>
      <c r="B6186" s="13" t="s">
        <v>530</v>
      </c>
      <c r="C6186" s="22"/>
      <c r="D6186" s="22" t="s">
        <v>10</v>
      </c>
      <c r="E6186" s="22"/>
      <c r="F6186" s="22">
        <f>(0)</f>
      </c>
      <c r="G6186" s="22">
        <f>(C6186 * E6186 + C6186 * E6186 * F6186)</f>
      </c>
    </row>
    <row r="6187">
      <c r="A6187" s="5" t="s">
        <v>1231</v>
      </c>
      <c r="B6187" s="13" t="s">
        <v>1232</v>
      </c>
      <c r="C6187" s="22"/>
      <c r="D6187" s="22" t="s">
        <v>10</v>
      </c>
      <c r="E6187" s="22"/>
      <c r="F6187" s="22">
        <f>(0)</f>
      </c>
      <c r="G6187" s="22">
        <f>(C6187 * E6187 + C6187 * E6187 * F6187)</f>
      </c>
    </row>
    <row r="6188">
      <c r="A6188" s="5" t="s">
        <v>1233</v>
      </c>
      <c r="B6188" s="13" t="s">
        <v>853</v>
      </c>
      <c r="C6188" s="22"/>
      <c r="D6188" s="22" t="s">
        <v>10</v>
      </c>
      <c r="E6188" s="22"/>
      <c r="F6188" s="22">
        <f>(0)</f>
      </c>
      <c r="G6188" s="22">
        <f>(C6188 * E6188 + C6188 * E6188 * F6188)</f>
      </c>
    </row>
    <row r="6189">
      <c r="A6189" s="5" t="s">
        <v>1234</v>
      </c>
      <c r="B6189" s="13" t="s">
        <v>538</v>
      </c>
      <c r="C6189" s="22"/>
      <c r="D6189" s="22" t="s">
        <v>10</v>
      </c>
      <c r="E6189" s="22"/>
      <c r="F6189" s="22">
        <f>(0)</f>
      </c>
      <c r="G6189" s="22">
        <f>(C6189 * E6189 + C6189 * E6189 * F6189)</f>
      </c>
    </row>
    <row r="6190">
      <c r="A6190" s="5" t="s">
        <v>1235</v>
      </c>
      <c r="B6190" s="13" t="s">
        <v>123</v>
      </c>
      <c r="C6190" s="22"/>
      <c r="D6190" s="22" t="s">
        <v>10</v>
      </c>
      <c r="E6190" s="22"/>
      <c r="F6190" s="22">
        <f>(0)</f>
      </c>
      <c r="G6190" s="22">
        <f>(C6190 * E6190 + C6190 * E6190 * F6190)</f>
      </c>
    </row>
    <row r="6191">
      <c r="A6191" s="3"/>
      <c r="B6191" s="11" t="s">
        <v>68</v>
      </c>
      <c r="C6191" s="20"/>
      <c r="D6191" s="20"/>
      <c r="E6191" s="20"/>
      <c r="F6191" s="20"/>
      <c r="G6191" s="20"/>
    </row>
    <row r="6192">
      <c r="A6192" s="5" t="s">
        <v>1236</v>
      </c>
      <c r="B6192" s="14" t="s">
        <v>543</v>
      </c>
      <c r="C6192" s="22">
        <f>(1)*(1)*(1)*(1)*(1 + (0))</f>
      </c>
      <c r="D6192" s="22" t="s">
        <v>71</v>
      </c>
      <c r="E6192" s="22"/>
      <c r="F6192" s="22">
        <f>(0)</f>
      </c>
      <c r="G6192" s="22">
        <f>(C6192 * E6192 + C6192 * E6192 * F6192)</f>
      </c>
    </row>
    <row r="6193">
      <c r="A6193" s="5" t="s">
        <v>1237</v>
      </c>
      <c r="B6193" s="14" t="s">
        <v>136</v>
      </c>
      <c r="C6193" s="22">
        <f>(1)*(1)*(1)*(1)*(1 + (0))</f>
      </c>
      <c r="D6193" s="22" t="s">
        <v>71</v>
      </c>
      <c r="E6193" s="22"/>
      <c r="F6193" s="22">
        <f>(0)</f>
      </c>
      <c r="G6193" s="22">
        <f>(C6193 * E6193 + C6193 * E6193 * F6193)</f>
      </c>
    </row>
    <row r="6194">
      <c r="A6194" s="5" t="s">
        <v>1238</v>
      </c>
      <c r="B6194" s="14" t="s">
        <v>1239</v>
      </c>
      <c r="C6194" s="22">
        <f>(1)*(1)*(1)*(1)*(1 + (0))</f>
      </c>
      <c r="D6194" s="22" t="s">
        <v>71</v>
      </c>
      <c r="E6194" s="22"/>
      <c r="F6194" s="22">
        <f>(0)</f>
      </c>
      <c r="G6194" s="22">
        <f>(C6194 * E6194 + C6194 * E6194 * F6194)</f>
      </c>
    </row>
    <row r="6195">
      <c r="A6195" s="5" t="s">
        <v>1240</v>
      </c>
      <c r="B6195" s="14" t="s">
        <v>798</v>
      </c>
      <c r="C6195" s="22">
        <f>(1)*(1)*(1)*(1)*(1 + (0))</f>
      </c>
      <c r="D6195" s="22" t="s">
        <v>71</v>
      </c>
      <c r="E6195" s="22"/>
      <c r="F6195" s="22">
        <f>(0)</f>
      </c>
      <c r="G6195" s="22">
        <f>(C6195 * E6195 + C6195 * E6195 * F6195)</f>
      </c>
    </row>
    <row r="6196">
      <c r="A6196" s="5" t="s">
        <v>1241</v>
      </c>
      <c r="B6196" s="14" t="s">
        <v>70</v>
      </c>
      <c r="C6196" s="22">
        <f>(1)*(1)*(1)*(1)*(1 + (0))</f>
      </c>
      <c r="D6196" s="22" t="s">
        <v>71</v>
      </c>
      <c r="E6196" s="22"/>
      <c r="F6196" s="22">
        <f>(0)</f>
      </c>
      <c r="G6196" s="22">
        <f>(C6196 * E6196 + C6196 * E6196 * F6196)</f>
      </c>
    </row>
    <row r="6197">
      <c r="A6197" s="5" t="s">
        <v>1242</v>
      </c>
      <c r="B6197" s="14" t="s">
        <v>665</v>
      </c>
      <c r="C6197" s="22">
        <f>(1)*(1)*(1)*(1)*(1 + (0))</f>
      </c>
      <c r="D6197" s="22" t="s">
        <v>71</v>
      </c>
      <c r="E6197" s="22"/>
      <c r="F6197" s="22">
        <f>(0)</f>
      </c>
      <c r="G6197" s="22">
        <f>(C6197 * E6197 + C6197 * E6197 * F6197)</f>
      </c>
    </row>
    <row r="6198">
      <c r="A6198" s="3"/>
      <c r="B6198" s="11" t="s">
        <v>2238</v>
      </c>
      <c r="C6198" s="20"/>
      <c r="D6198" s="20"/>
      <c r="E6198" s="20"/>
      <c r="F6198" s="20"/>
      <c r="G6198" s="20"/>
    </row>
    <row r="6199">
      <c r="A6199" s="4"/>
      <c r="B6199" s="12" t="s">
        <v>2235</v>
      </c>
      <c r="C6199" s="21"/>
      <c r="D6199" s="21"/>
      <c r="E6199" s="21"/>
      <c r="F6199" s="21"/>
      <c r="G6199" s="21"/>
    </row>
    <row r="6200">
      <c r="A6200" s="5"/>
      <c r="B6200" s="13" t="s">
        <v>2239</v>
      </c>
      <c r="C6200" s="22">
        <f>(5)*(1)*(1)*(1)*(1 + (0))</f>
      </c>
      <c r="D6200" s="22" t="s">
        <v>153</v>
      </c>
      <c r="E6200" s="22"/>
      <c r="F6200" s="22">
        <f>(0)</f>
      </c>
      <c r="G6200" s="22">
        <f>(C6200 * E6200 + C6200 * E6200 * F6200)</f>
      </c>
    </row>
    <row r="6201">
      <c r="A6201" s="3"/>
      <c r="B6201" s="11" t="s">
        <v>1281</v>
      </c>
      <c r="C6201" s="20"/>
      <c r="D6201" s="20"/>
      <c r="E6201" s="20"/>
      <c r="F6201" s="20"/>
      <c r="G6201" s="20"/>
    </row>
    <row r="6202">
      <c r="A6202" s="4"/>
      <c r="B6202" s="12" t="s">
        <v>2235</v>
      </c>
      <c r="C6202" s="21"/>
      <c r="D6202" s="21"/>
      <c r="E6202" s="21"/>
      <c r="F6202" s="21"/>
      <c r="G6202" s="21"/>
    </row>
    <row r="6203">
      <c r="A6203" s="5"/>
      <c r="B6203" s="13" t="s">
        <v>2240</v>
      </c>
      <c r="C6203" s="22">
        <f>(1)*(1)*(1)*(1)*(1 + (0))</f>
      </c>
      <c r="D6203" s="22" t="s">
        <v>1217</v>
      </c>
      <c r="E6203" s="22"/>
      <c r="F6203" s="22">
        <f>(0)</f>
      </c>
      <c r="G6203" s="22">
        <f>(C6203 * E6203 + C6203 * E6203 * F6203)</f>
      </c>
    </row>
    <row r="6204">
      <c r="A6204" s="2"/>
      <c r="B6204" s="10" t="s">
        <v>1284</v>
      </c>
      <c r="C6204" s="19"/>
      <c r="D6204" s="19"/>
      <c r="E6204" s="19"/>
      <c r="F6204" s="19"/>
      <c r="G6204" s="19"/>
    </row>
    <row r="6205">
      <c r="A6205" s="3"/>
      <c r="B6205" s="11" t="s">
        <v>37</v>
      </c>
      <c r="C6205" s="20"/>
      <c r="D6205" s="20"/>
      <c r="E6205" s="20"/>
      <c r="F6205" s="20"/>
      <c r="G6205" s="20"/>
    </row>
    <row r="6206">
      <c r="A6206" s="5" t="s">
        <v>1285</v>
      </c>
      <c r="B6206" s="14" t="s">
        <v>39</v>
      </c>
      <c r="C6206" s="22"/>
      <c r="D6206" s="22" t="s">
        <v>10</v>
      </c>
      <c r="E6206" s="22"/>
      <c r="F6206" s="22">
        <f>(0)</f>
      </c>
      <c r="G6206" s="22">
        <f>(C6206 * E6206 + C6206 * E6206 * F6206)</f>
      </c>
    </row>
    <row r="6207">
      <c r="A6207" s="5" t="s">
        <v>1286</v>
      </c>
      <c r="B6207" s="14" t="s">
        <v>41</v>
      </c>
      <c r="C6207" s="22"/>
      <c r="D6207" s="22" t="s">
        <v>10</v>
      </c>
      <c r="E6207" s="22"/>
      <c r="F6207" s="22">
        <f>(0)</f>
      </c>
      <c r="G6207" s="22">
        <f>(C6207 * E6207 + C6207 * E6207 * F6207)</f>
      </c>
    </row>
    <row r="6208">
      <c r="A6208" s="3"/>
      <c r="B6208" s="11" t="s">
        <v>42</v>
      </c>
      <c r="C6208" s="20"/>
      <c r="D6208" s="20"/>
      <c r="E6208" s="20"/>
      <c r="F6208" s="20"/>
      <c r="G6208" s="20"/>
    </row>
    <row r="6209">
      <c r="A6209" s="5"/>
      <c r="B6209" s="14" t="s">
        <v>1287</v>
      </c>
      <c r="C6209" s="22"/>
      <c r="D6209" s="22" t="s">
        <v>10</v>
      </c>
      <c r="E6209" s="22"/>
      <c r="F6209" s="22">
        <f>(0)</f>
      </c>
      <c r="G6209" s="22">
        <f>(C6209 * E6209 + C6209 * E6209 * F6209)</f>
      </c>
    </row>
    <row r="6210">
      <c r="A6210" s="5"/>
      <c r="B6210" s="14" t="s">
        <v>1288</v>
      </c>
      <c r="C6210" s="22"/>
      <c r="D6210" s="22" t="s">
        <v>10</v>
      </c>
      <c r="E6210" s="22"/>
      <c r="F6210" s="22">
        <f>(0)</f>
      </c>
      <c r="G6210" s="22">
        <f>(C6210 * E6210 + C6210 * E6210 * F6210)</f>
      </c>
    </row>
    <row r="6211">
      <c r="A6211" s="5"/>
      <c r="B6211" s="14" t="s">
        <v>1289</v>
      </c>
      <c r="C6211" s="22"/>
      <c r="D6211" s="22" t="s">
        <v>10</v>
      </c>
      <c r="E6211" s="22"/>
      <c r="F6211" s="22">
        <f>(0)</f>
      </c>
      <c r="G6211" s="22">
        <f>(C6211 * E6211 + C6211 * E6211 * F6211)</f>
      </c>
    </row>
    <row r="6212">
      <c r="A6212" s="5"/>
      <c r="B6212" s="14" t="s">
        <v>1290</v>
      </c>
      <c r="C6212" s="22"/>
      <c r="D6212" s="22" t="s">
        <v>10</v>
      </c>
      <c r="E6212" s="22"/>
      <c r="F6212" s="22">
        <f>(0)</f>
      </c>
      <c r="G6212" s="22">
        <f>(C6212 * E6212 + C6212 * E6212 * F6212)</f>
      </c>
    </row>
    <row r="6213">
      <c r="A6213" s="3"/>
      <c r="B6213" s="11" t="s">
        <v>44</v>
      </c>
      <c r="C6213" s="20"/>
      <c r="D6213" s="20"/>
      <c r="E6213" s="20"/>
      <c r="F6213" s="20"/>
      <c r="G6213" s="20"/>
    </row>
    <row r="6214">
      <c r="A6214" s="4"/>
      <c r="B6214" s="12" t="s">
        <v>45</v>
      </c>
      <c r="C6214" s="21"/>
      <c r="D6214" s="21"/>
      <c r="E6214" s="21"/>
      <c r="F6214" s="21"/>
      <c r="G6214" s="21"/>
    </row>
    <row r="6215">
      <c r="A6215" s="5" t="s">
        <v>1291</v>
      </c>
      <c r="B6215" s="13" t="s">
        <v>767</v>
      </c>
      <c r="C6215" s="22"/>
      <c r="D6215" s="22" t="s">
        <v>10</v>
      </c>
      <c r="E6215" s="22"/>
      <c r="F6215" s="22">
        <f>(0)</f>
      </c>
      <c r="G6215" s="22">
        <f>(C6215 * E6215 + C6215 * E6215 * F6215)</f>
      </c>
    </row>
    <row r="6216">
      <c r="A6216" s="5" t="s">
        <v>1292</v>
      </c>
      <c r="B6216" s="13" t="s">
        <v>123</v>
      </c>
      <c r="C6216" s="22"/>
      <c r="D6216" s="22" t="s">
        <v>10</v>
      </c>
      <c r="E6216" s="22"/>
      <c r="F6216" s="22">
        <f>(0)</f>
      </c>
      <c r="G6216" s="22">
        <f>(C6216 * E6216 + C6216 * E6216 * F6216)</f>
      </c>
    </row>
    <row r="6217">
      <c r="A6217" s="3"/>
      <c r="B6217" s="11" t="s">
        <v>68</v>
      </c>
      <c r="C6217" s="20"/>
      <c r="D6217" s="20"/>
      <c r="E6217" s="20"/>
      <c r="F6217" s="20"/>
      <c r="G6217" s="20"/>
    </row>
    <row r="6218">
      <c r="A6218" s="5" t="s">
        <v>1293</v>
      </c>
      <c r="B6218" s="14" t="s">
        <v>230</v>
      </c>
      <c r="C6218" s="22">
        <f>(1)*(1)*(1)*(1)*(1 + (0))</f>
      </c>
      <c r="D6218" s="22" t="s">
        <v>71</v>
      </c>
      <c r="E6218" s="22"/>
      <c r="F6218" s="22">
        <f>(0)</f>
      </c>
      <c r="G6218" s="22">
        <f>(C6218 * E6218 + C6218 * E6218 * F6218)</f>
      </c>
    </row>
    <row r="6219">
      <c r="A6219" s="5" t="s">
        <v>1294</v>
      </c>
      <c r="B6219" s="14" t="s">
        <v>70</v>
      </c>
      <c r="C6219" s="22">
        <f>(1)*(1)*(1)*(1)*(1 + (0))</f>
      </c>
      <c r="D6219" s="22" t="s">
        <v>71</v>
      </c>
      <c r="E6219" s="22"/>
      <c r="F6219" s="22">
        <f>(0)</f>
      </c>
      <c r="G6219" s="22">
        <f>(C6219 * E6219 + C6219 * E6219 * F6219)</f>
      </c>
    </row>
    <row r="6220">
      <c r="A6220" s="5" t="s">
        <v>1295</v>
      </c>
      <c r="B6220" s="14" t="s">
        <v>906</v>
      </c>
      <c r="C6220" s="22">
        <f>(1)*(1)*(1)*(1)*(1 + (0))</f>
      </c>
      <c r="D6220" s="22" t="s">
        <v>71</v>
      </c>
      <c r="E6220" s="22"/>
      <c r="F6220" s="22">
        <f>(0)</f>
      </c>
      <c r="G6220" s="22">
        <f>(C6220 * E6220 + C6220 * E6220 * F6220)</f>
      </c>
    </row>
    <row r="6221">
      <c r="A6221" s="5" t="s">
        <v>1296</v>
      </c>
      <c r="B6221" s="14" t="s">
        <v>665</v>
      </c>
      <c r="C6221" s="22">
        <f>(1)*(1)*(1)*(1)*(1 + (0))</f>
      </c>
      <c r="D6221" s="22" t="s">
        <v>71</v>
      </c>
      <c r="E6221" s="22"/>
      <c r="F6221" s="22">
        <f>(0)</f>
      </c>
      <c r="G6221" s="22">
        <f>(C6221 * E6221 + C6221 * E6221 * F6221)</f>
      </c>
    </row>
    <row r="6222">
      <c r="A6222" s="3"/>
      <c r="B6222" s="11" t="s">
        <v>1297</v>
      </c>
      <c r="C6222" s="20"/>
      <c r="D6222" s="20"/>
      <c r="E6222" s="20"/>
      <c r="F6222" s="20"/>
      <c r="G6222" s="20"/>
    </row>
    <row r="6223">
      <c r="A6223" s="4"/>
      <c r="B6223" s="12" t="s">
        <v>2241</v>
      </c>
      <c r="C6223" s="21"/>
      <c r="D6223" s="21"/>
      <c r="E6223" s="21"/>
      <c r="F6223" s="21"/>
      <c r="G6223" s="21"/>
    </row>
    <row r="6224">
      <c r="A6224" s="5"/>
      <c r="B6224" s="13" t="s">
        <v>1299</v>
      </c>
      <c r="C6224" s="22">
        <f>(5)*(1)*(1)*(1)*(1 + (0))</f>
      </c>
      <c r="D6224" s="22" t="s">
        <v>153</v>
      </c>
      <c r="E6224" s="22"/>
      <c r="F6224" s="22">
        <f>(0)</f>
      </c>
      <c r="G6224" s="22">
        <f>(C6224 * E6224 + C6224 * E6224 * F6224)</f>
      </c>
    </row>
    <row r="6225">
      <c r="A6225" s="2"/>
      <c r="B6225" s="10" t="s">
        <v>1301</v>
      </c>
      <c r="C6225" s="19"/>
      <c r="D6225" s="19"/>
      <c r="E6225" s="19"/>
      <c r="F6225" s="19"/>
      <c r="G6225" s="19"/>
    </row>
    <row r="6226">
      <c r="A6226" s="3"/>
      <c r="B6226" s="11" t="s">
        <v>37</v>
      </c>
      <c r="C6226" s="20"/>
      <c r="D6226" s="20"/>
      <c r="E6226" s="20"/>
      <c r="F6226" s="20"/>
      <c r="G6226" s="20"/>
    </row>
    <row r="6227">
      <c r="A6227" s="5" t="s">
        <v>1302</v>
      </c>
      <c r="B6227" s="14" t="s">
        <v>39</v>
      </c>
      <c r="C6227" s="22"/>
      <c r="D6227" s="22" t="s">
        <v>10</v>
      </c>
      <c r="E6227" s="22"/>
      <c r="F6227" s="22">
        <f>(0)</f>
      </c>
      <c r="G6227" s="22">
        <f>(C6227 * E6227 + C6227 * E6227 * F6227)</f>
      </c>
    </row>
    <row r="6228">
      <c r="A6228" s="5" t="s">
        <v>1303</v>
      </c>
      <c r="B6228" s="14" t="s">
        <v>41</v>
      </c>
      <c r="C6228" s="22"/>
      <c r="D6228" s="22" t="s">
        <v>10</v>
      </c>
      <c r="E6228" s="22"/>
      <c r="F6228" s="22">
        <f>(0)</f>
      </c>
      <c r="G6228" s="22">
        <f>(C6228 * E6228 + C6228 * E6228 * F6228)</f>
      </c>
    </row>
    <row r="6229">
      <c r="A6229" s="3"/>
      <c r="B6229" s="11" t="s">
        <v>42</v>
      </c>
      <c r="C6229" s="20"/>
      <c r="D6229" s="20"/>
      <c r="E6229" s="20"/>
      <c r="F6229" s="20"/>
      <c r="G6229" s="20"/>
    </row>
    <row r="6230">
      <c r="A6230" s="5"/>
      <c r="B6230" s="14" t="s">
        <v>1009</v>
      </c>
      <c r="C6230" s="22"/>
      <c r="D6230" s="22" t="s">
        <v>10</v>
      </c>
      <c r="E6230" s="22"/>
      <c r="F6230" s="22">
        <f>(0)</f>
      </c>
      <c r="G6230" s="22">
        <f>(C6230 * E6230 + C6230 * E6230 * F6230)</f>
      </c>
    </row>
    <row r="6231">
      <c r="A6231" s="5"/>
      <c r="B6231" s="14" t="s">
        <v>762</v>
      </c>
      <c r="C6231" s="22"/>
      <c r="D6231" s="22" t="s">
        <v>10</v>
      </c>
      <c r="E6231" s="22"/>
      <c r="F6231" s="22">
        <f>(0)</f>
      </c>
      <c r="G6231" s="22">
        <f>(C6231 * E6231 + C6231 * E6231 * F6231)</f>
      </c>
    </row>
    <row r="6232">
      <c r="A6232" s="5"/>
      <c r="B6232" s="14" t="s">
        <v>763</v>
      </c>
      <c r="C6232" s="22"/>
      <c r="D6232" s="22" t="s">
        <v>10</v>
      </c>
      <c r="E6232" s="22"/>
      <c r="F6232" s="22">
        <f>(0)</f>
      </c>
      <c r="G6232" s="22">
        <f>(C6232 * E6232 + C6232 * E6232 * F6232)</f>
      </c>
    </row>
    <row r="6233">
      <c r="A6233" s="5"/>
      <c r="B6233" s="14" t="s">
        <v>1010</v>
      </c>
      <c r="C6233" s="22"/>
      <c r="D6233" s="22" t="s">
        <v>10</v>
      </c>
      <c r="E6233" s="22"/>
      <c r="F6233" s="22">
        <f>(0)</f>
      </c>
      <c r="G6233" s="22">
        <f>(C6233 * E6233 + C6233 * E6233 * F6233)</f>
      </c>
    </row>
    <row r="6234">
      <c r="A6234" s="5"/>
      <c r="B6234" s="14" t="s">
        <v>2242</v>
      </c>
      <c r="C6234" s="22"/>
      <c r="D6234" s="22" t="s">
        <v>10</v>
      </c>
      <c r="E6234" s="22"/>
      <c r="F6234" s="22">
        <f>(0)</f>
      </c>
      <c r="G6234" s="22">
        <f>(C6234 * E6234 + C6234 * E6234 * F6234)</f>
      </c>
    </row>
    <row r="6235">
      <c r="A6235" s="3"/>
      <c r="B6235" s="11" t="s">
        <v>44</v>
      </c>
      <c r="C6235" s="20"/>
      <c r="D6235" s="20"/>
      <c r="E6235" s="20"/>
      <c r="F6235" s="20"/>
      <c r="G6235" s="20"/>
    </row>
    <row r="6236">
      <c r="A6236" s="4"/>
      <c r="B6236" s="12" t="s">
        <v>45</v>
      </c>
      <c r="C6236" s="21"/>
      <c r="D6236" s="21"/>
      <c r="E6236" s="21"/>
      <c r="F6236" s="21"/>
      <c r="G6236" s="21"/>
    </row>
    <row r="6237">
      <c r="A6237" s="5" t="s">
        <v>1305</v>
      </c>
      <c r="B6237" s="13" t="s">
        <v>1306</v>
      </c>
      <c r="C6237" s="22"/>
      <c r="D6237" s="22" t="s">
        <v>10</v>
      </c>
      <c r="E6237" s="22"/>
      <c r="F6237" s="22">
        <f>(0)</f>
      </c>
      <c r="G6237" s="22">
        <f>(C6237 * E6237 + C6237 * E6237 * F6237)</f>
      </c>
    </row>
    <row r="6238">
      <c r="A6238" s="5" t="s">
        <v>1307</v>
      </c>
      <c r="B6238" s="13" t="s">
        <v>1308</v>
      </c>
      <c r="C6238" s="22"/>
      <c r="D6238" s="22" t="s">
        <v>10</v>
      </c>
      <c r="E6238" s="22"/>
      <c r="F6238" s="22">
        <f>(0)</f>
      </c>
      <c r="G6238" s="22">
        <f>(C6238 * E6238 + C6238 * E6238 * F6238)</f>
      </c>
    </row>
    <row r="6239">
      <c r="A6239" s="5" t="s">
        <v>1309</v>
      </c>
      <c r="B6239" s="13" t="s">
        <v>1310</v>
      </c>
      <c r="C6239" s="22"/>
      <c r="D6239" s="22" t="s">
        <v>10</v>
      </c>
      <c r="E6239" s="22"/>
      <c r="F6239" s="22">
        <f>(0)</f>
      </c>
      <c r="G6239" s="22">
        <f>(C6239 * E6239 + C6239 * E6239 * F6239)</f>
      </c>
    </row>
    <row r="6240">
      <c r="A6240" s="5" t="s">
        <v>1311</v>
      </c>
      <c r="B6240" s="13" t="s">
        <v>1312</v>
      </c>
      <c r="C6240" s="22"/>
      <c r="D6240" s="22" t="s">
        <v>10</v>
      </c>
      <c r="E6240" s="22"/>
      <c r="F6240" s="22">
        <f>(0)</f>
      </c>
      <c r="G6240" s="22">
        <f>(C6240 * E6240 + C6240 * E6240 * F6240)</f>
      </c>
    </row>
    <row r="6241">
      <c r="A6241" s="5" t="s">
        <v>1313</v>
      </c>
      <c r="B6241" s="13" t="s">
        <v>1314</v>
      </c>
      <c r="C6241" s="22"/>
      <c r="D6241" s="22" t="s">
        <v>10</v>
      </c>
      <c r="E6241" s="22"/>
      <c r="F6241" s="22">
        <f>(0)</f>
      </c>
      <c r="G6241" s="22">
        <f>(C6241 * E6241 + C6241 * E6241 * F6241)</f>
      </c>
    </row>
    <row r="6242">
      <c r="A6242" s="5" t="s">
        <v>1315</v>
      </c>
      <c r="B6242" s="13" t="s">
        <v>1316</v>
      </c>
      <c r="C6242" s="22"/>
      <c r="D6242" s="22" t="s">
        <v>10</v>
      </c>
      <c r="E6242" s="22"/>
      <c r="F6242" s="22">
        <f>(0)</f>
      </c>
      <c r="G6242" s="22">
        <f>(C6242 * E6242 + C6242 * E6242 * F6242)</f>
      </c>
    </row>
    <row r="6243">
      <c r="A6243" s="5" t="s">
        <v>1317</v>
      </c>
      <c r="B6243" s="13" t="s">
        <v>1318</v>
      </c>
      <c r="C6243" s="22"/>
      <c r="D6243" s="22" t="s">
        <v>10</v>
      </c>
      <c r="E6243" s="22"/>
      <c r="F6243" s="22">
        <f>(0)</f>
      </c>
      <c r="G6243" s="22">
        <f>(C6243 * E6243 + C6243 * E6243 * F6243)</f>
      </c>
    </row>
    <row r="6244">
      <c r="A6244" s="5" t="s">
        <v>1319</v>
      </c>
      <c r="B6244" s="13" t="s">
        <v>123</v>
      </c>
      <c r="C6244" s="22"/>
      <c r="D6244" s="22" t="s">
        <v>10</v>
      </c>
      <c r="E6244" s="22"/>
      <c r="F6244" s="22">
        <f>(0)</f>
      </c>
      <c r="G6244" s="22">
        <f>(C6244 * E6244 + C6244 * E6244 * F6244)</f>
      </c>
    </row>
    <row r="6245">
      <c r="A6245" s="3"/>
      <c r="B6245" s="11" t="s">
        <v>68</v>
      </c>
      <c r="C6245" s="20"/>
      <c r="D6245" s="20"/>
      <c r="E6245" s="20"/>
      <c r="F6245" s="20"/>
      <c r="G6245" s="20"/>
    </row>
    <row r="6246">
      <c r="A6246" s="5" t="s">
        <v>1320</v>
      </c>
      <c r="B6246" s="14" t="s">
        <v>75</v>
      </c>
      <c r="C6246" s="22">
        <f>(1)*(1)*(1)*(1)*(1 + (0))</f>
      </c>
      <c r="D6246" s="22" t="s">
        <v>71</v>
      </c>
      <c r="E6246" s="22"/>
      <c r="F6246" s="22">
        <f>(0)</f>
      </c>
      <c r="G6246" s="22">
        <f>(C6246 * E6246 + C6246 * E6246 * F6246)</f>
      </c>
    </row>
    <row r="6247">
      <c r="A6247" s="5" t="s">
        <v>1321</v>
      </c>
      <c r="B6247" s="14" t="s">
        <v>1322</v>
      </c>
      <c r="C6247" s="22">
        <f>(1)*(1)*(1)*(1)*(1 + (0))</f>
      </c>
      <c r="D6247" s="22" t="s">
        <v>71</v>
      </c>
      <c r="E6247" s="22"/>
      <c r="F6247" s="22">
        <f>(0)</f>
      </c>
      <c r="G6247" s="22">
        <f>(C6247 * E6247 + C6247 * E6247 * F6247)</f>
      </c>
    </row>
    <row r="6248">
      <c r="A6248" s="5" t="s">
        <v>1323</v>
      </c>
      <c r="B6248" s="14" t="s">
        <v>1324</v>
      </c>
      <c r="C6248" s="22">
        <f>(1)*(1)*(1)*(1)*(1 + (0))</f>
      </c>
      <c r="D6248" s="22" t="s">
        <v>71</v>
      </c>
      <c r="E6248" s="22"/>
      <c r="F6248" s="22">
        <f>(0)</f>
      </c>
      <c r="G6248" s="22">
        <f>(C6248 * E6248 + C6248 * E6248 * F6248)</f>
      </c>
    </row>
    <row r="6249">
      <c r="A6249" s="5" t="s">
        <v>1325</v>
      </c>
      <c r="B6249" s="14" t="s">
        <v>230</v>
      </c>
      <c r="C6249" s="22">
        <f>(1)*(1)*(1)*(1)*(1 + (0))</f>
      </c>
      <c r="D6249" s="22" t="s">
        <v>71</v>
      </c>
      <c r="E6249" s="22"/>
      <c r="F6249" s="22">
        <f>(0)</f>
      </c>
      <c r="G6249" s="22">
        <f>(C6249 * E6249 + C6249 * E6249 * F6249)</f>
      </c>
    </row>
    <row r="6250">
      <c r="A6250" s="5" t="s">
        <v>1326</v>
      </c>
      <c r="B6250" s="14" t="s">
        <v>800</v>
      </c>
      <c r="C6250" s="22">
        <f>(1)*(1)*(1)*(1)*(1 + (0))</f>
      </c>
      <c r="D6250" s="22" t="s">
        <v>71</v>
      </c>
      <c r="E6250" s="22"/>
      <c r="F6250" s="22">
        <f>(0)</f>
      </c>
      <c r="G6250" s="22">
        <f>(C6250 * E6250 + C6250 * E6250 * F6250)</f>
      </c>
    </row>
    <row r="6251">
      <c r="A6251" s="5" t="s">
        <v>1327</v>
      </c>
      <c r="B6251" s="14" t="s">
        <v>73</v>
      </c>
      <c r="C6251" s="22">
        <f>(1)*(1)*(1)*(1)*(1 + (0))</f>
      </c>
      <c r="D6251" s="22" t="s">
        <v>71</v>
      </c>
      <c r="E6251" s="22"/>
      <c r="F6251" s="22">
        <f>(0)</f>
      </c>
      <c r="G6251" s="22">
        <f>(C6251 * E6251 + C6251 * E6251 * F6251)</f>
      </c>
    </row>
    <row r="6252">
      <c r="A6252" s="5" t="s">
        <v>1328</v>
      </c>
      <c r="B6252" s="14" t="s">
        <v>70</v>
      </c>
      <c r="C6252" s="22">
        <f>(1)*(1)*(1)*(1)*(1 + (0))</f>
      </c>
      <c r="D6252" s="22" t="s">
        <v>71</v>
      </c>
      <c r="E6252" s="22"/>
      <c r="F6252" s="22">
        <f>(0)</f>
      </c>
      <c r="G6252" s="22">
        <f>(C6252 * E6252 + C6252 * E6252 * F6252)</f>
      </c>
    </row>
    <row r="6253">
      <c r="A6253" s="5" t="s">
        <v>1329</v>
      </c>
      <c r="B6253" s="14" t="s">
        <v>1330</v>
      </c>
      <c r="C6253" s="22">
        <f>(1)*(1)*(1)*(1)*(1 + (0))</f>
      </c>
      <c r="D6253" s="22" t="s">
        <v>71</v>
      </c>
      <c r="E6253" s="22"/>
      <c r="F6253" s="22">
        <f>(0)</f>
      </c>
      <c r="G6253" s="22">
        <f>(C6253 * E6253 + C6253 * E6253 * F6253)</f>
      </c>
    </row>
    <row r="6254">
      <c r="A6254" s="5" t="s">
        <v>1331</v>
      </c>
      <c r="B6254" s="14" t="s">
        <v>665</v>
      </c>
      <c r="C6254" s="22">
        <f>(1)*(1)*(1)*(1)*(1 + (0))</f>
      </c>
      <c r="D6254" s="22" t="s">
        <v>71</v>
      </c>
      <c r="E6254" s="22"/>
      <c r="F6254" s="22">
        <f>(0)</f>
      </c>
      <c r="G6254" s="22">
        <f>(C6254 * E6254 + C6254 * E6254 * F6254)</f>
      </c>
    </row>
    <row r="6255">
      <c r="A6255" s="3"/>
      <c r="B6255" s="11" t="s">
        <v>106</v>
      </c>
      <c r="C6255" s="20"/>
      <c r="D6255" s="20"/>
      <c r="E6255" s="20"/>
      <c r="F6255" s="20"/>
      <c r="G6255" s="20"/>
    </row>
    <row r="6256">
      <c r="A6256" s="5"/>
      <c r="B6256" s="14" t="s">
        <v>1751</v>
      </c>
      <c r="C6256" s="22"/>
      <c r="D6256" s="22" t="s">
        <v>1333</v>
      </c>
      <c r="E6256" s="22"/>
      <c r="F6256" s="22">
        <f>(0)</f>
      </c>
      <c r="G6256" s="22">
        <f>(C6256 * E6256 + C6256 * E6256 * F6256)</f>
      </c>
    </row>
    <row r="6257">
      <c r="A6257" s="5"/>
      <c r="B6257" s="14" t="s">
        <v>1334</v>
      </c>
      <c r="C6257" s="22"/>
      <c r="D6257" s="22" t="s">
        <v>1335</v>
      </c>
      <c r="E6257" s="22"/>
      <c r="F6257" s="22">
        <f>(0)</f>
      </c>
      <c r="G6257" s="22">
        <f>(C6257 * E6257 + C6257 * E6257 * F6257)</f>
      </c>
    </row>
    <row r="6258">
      <c r="A6258" s="3"/>
      <c r="B6258" s="11" t="s">
        <v>1336</v>
      </c>
      <c r="C6258" s="20"/>
      <c r="D6258" s="20"/>
      <c r="E6258" s="20"/>
      <c r="F6258" s="20"/>
      <c r="G6258" s="20"/>
    </row>
    <row r="6259">
      <c r="A6259" s="4"/>
      <c r="B6259" s="12" t="s">
        <v>1337</v>
      </c>
      <c r="C6259" s="21"/>
      <c r="D6259" s="21"/>
      <c r="E6259" s="21"/>
      <c r="F6259" s="21"/>
      <c r="G6259" s="21"/>
    </row>
    <row r="6260">
      <c r="A6260" s="6"/>
      <c r="B6260" s="15" t="s">
        <v>1338</v>
      </c>
      <c r="C6260" s="23"/>
      <c r="D6260" s="23"/>
      <c r="E6260" s="23"/>
      <c r="F6260" s="23"/>
      <c r="G6260" s="23"/>
    </row>
    <row r="6261">
      <c r="A6261" s="5"/>
      <c r="B6261" s="16" t="s">
        <v>1339</v>
      </c>
      <c r="C6261" s="22"/>
      <c r="D6261" s="22"/>
      <c r="E6261" s="22"/>
      <c r="F6261" s="22"/>
      <c r="G6261" s="22"/>
    </row>
    <row r="6262">
      <c r="A6262" s="5"/>
      <c r="B6262" s="17" t="s">
        <v>32</v>
      </c>
      <c r="C6262" s="22">
        <f>(41)*(1)*(1)*(1)*(1 + (0))</f>
      </c>
      <c r="D6262" s="22" t="s">
        <v>24</v>
      </c>
      <c r="E6262" s="22"/>
      <c r="F6262" s="22">
        <f>(0)</f>
      </c>
      <c r="G6262" s="22">
        <f>(C6262 * E6262 + C6262 * E6262 * F6262)</f>
      </c>
    </row>
    <row r="6263">
      <c r="A6263" s="5"/>
      <c r="B6263" s="16" t="s">
        <v>2243</v>
      </c>
      <c r="C6263" s="22"/>
      <c r="D6263" s="22"/>
      <c r="E6263" s="22"/>
      <c r="F6263" s="22"/>
      <c r="G6263" s="22"/>
    </row>
    <row r="6264">
      <c r="A6264" s="5"/>
      <c r="B6264" s="17" t="s">
        <v>32</v>
      </c>
      <c r="C6264" s="22">
        <f>(69)*(1)*(1)*(1)*(1 + (0))</f>
      </c>
      <c r="D6264" s="22" t="s">
        <v>24</v>
      </c>
      <c r="E6264" s="22"/>
      <c r="F6264" s="22">
        <f>(0)</f>
      </c>
      <c r="G6264" s="22">
        <f>(C6264 * E6264 + C6264 * E6264 * F6264)</f>
      </c>
    </row>
    <row r="6265">
      <c r="A6265" s="5"/>
      <c r="B6265" s="16" t="s">
        <v>1340</v>
      </c>
      <c r="C6265" s="22"/>
      <c r="D6265" s="22"/>
      <c r="E6265" s="22"/>
      <c r="F6265" s="22"/>
      <c r="G6265" s="22"/>
    </row>
    <row r="6266">
      <c r="A6266" s="5"/>
      <c r="B6266" s="17" t="s">
        <v>32</v>
      </c>
      <c r="C6266" s="22">
        <f>(36)*(1)*(1)*(1)*(1 + (0))</f>
      </c>
      <c r="D6266" s="22" t="s">
        <v>24</v>
      </c>
      <c r="E6266" s="22"/>
      <c r="F6266" s="22">
        <f>(0)</f>
      </c>
      <c r="G6266" s="22">
        <f>(C6266 * E6266 + C6266 * E6266 * F6266)</f>
      </c>
    </row>
    <row r="6267">
      <c r="A6267" s="5"/>
      <c r="B6267" s="16" t="s">
        <v>1341</v>
      </c>
      <c r="C6267" s="22"/>
      <c r="D6267" s="22"/>
      <c r="E6267" s="22"/>
      <c r="F6267" s="22"/>
      <c r="G6267" s="22"/>
    </row>
    <row r="6268">
      <c r="A6268" s="5"/>
      <c r="B6268" s="17" t="s">
        <v>32</v>
      </c>
      <c r="C6268" s="22">
        <f>(6)*(1)*(1)*(1)*(1 + (0))</f>
      </c>
      <c r="D6268" s="22" t="s">
        <v>24</v>
      </c>
      <c r="E6268" s="22"/>
      <c r="F6268" s="22">
        <f>(0)</f>
      </c>
      <c r="G6268" s="22">
        <f>(C6268 * E6268 + C6268 * E6268 * F6268)</f>
      </c>
    </row>
    <row r="6269">
      <c r="A6269" s="5"/>
      <c r="B6269" s="16" t="s">
        <v>1343</v>
      </c>
      <c r="C6269" s="22"/>
      <c r="D6269" s="22"/>
      <c r="E6269" s="22"/>
      <c r="F6269" s="22"/>
      <c r="G6269" s="22"/>
    </row>
    <row r="6270">
      <c r="A6270" s="5"/>
      <c r="B6270" s="17" t="s">
        <v>32</v>
      </c>
      <c r="C6270" s="22">
        <f>(65)*(1)*(1)*(1)*(1 + (0))</f>
      </c>
      <c r="D6270" s="22" t="s">
        <v>24</v>
      </c>
      <c r="E6270" s="22"/>
      <c r="F6270" s="22">
        <f>(0)</f>
      </c>
      <c r="G6270" s="22">
        <f>(C6270 * E6270 + C6270 * E6270 * F6270)</f>
      </c>
    </row>
    <row r="6271">
      <c r="A6271" s="6"/>
      <c r="B6271" s="15" t="s">
        <v>2055</v>
      </c>
      <c r="C6271" s="23"/>
      <c r="D6271" s="23"/>
      <c r="E6271" s="23"/>
      <c r="F6271" s="23"/>
      <c r="G6271" s="23"/>
    </row>
    <row r="6272">
      <c r="A6272" s="5"/>
      <c r="B6272" s="16" t="s">
        <v>2056</v>
      </c>
      <c r="C6272" s="22"/>
      <c r="D6272" s="22"/>
      <c r="E6272" s="22"/>
      <c r="F6272" s="22"/>
      <c r="G6272" s="22"/>
    </row>
    <row r="6273">
      <c r="A6273" s="5"/>
      <c r="B6273" s="17" t="s">
        <v>32</v>
      </c>
      <c r="C6273" s="22">
        <f>(104)*(1)*(1)*(1)*(1 + (0))</f>
      </c>
      <c r="D6273" s="22" t="s">
        <v>24</v>
      </c>
      <c r="E6273" s="22"/>
      <c r="F6273" s="22">
        <f>(0)</f>
      </c>
      <c r="G6273" s="22">
        <f>(C6273 * E6273 + C6273 * E6273 * F6273)</f>
      </c>
    </row>
    <row r="6274">
      <c r="A6274" s="4"/>
      <c r="B6274" s="12" t="s">
        <v>1346</v>
      </c>
      <c r="C6274" s="21"/>
      <c r="D6274" s="21"/>
      <c r="E6274" s="21"/>
      <c r="F6274" s="21"/>
      <c r="G6274" s="21"/>
    </row>
    <row r="6275">
      <c r="A6275" s="6"/>
      <c r="B6275" s="15" t="s">
        <v>1347</v>
      </c>
      <c r="C6275" s="23"/>
      <c r="D6275" s="23"/>
      <c r="E6275" s="23"/>
      <c r="F6275" s="23"/>
      <c r="G6275" s="23"/>
    </row>
    <row r="6276">
      <c r="A6276" s="5"/>
      <c r="B6276" s="16" t="s">
        <v>32</v>
      </c>
      <c r="C6276" s="22">
        <f>(8)*(1)*(1)*(1)*(1 + (0))</f>
      </c>
      <c r="D6276" s="22" t="s">
        <v>24</v>
      </c>
      <c r="E6276" s="22"/>
      <c r="F6276" s="22">
        <f>(0)</f>
      </c>
      <c r="G6276" s="22">
        <f>(C6276 * E6276 + C6276 * E6276 * F6276)</f>
      </c>
    </row>
    <row r="6277">
      <c r="A6277" s="4"/>
      <c r="B6277" s="12" t="s">
        <v>1348</v>
      </c>
      <c r="C6277" s="21"/>
      <c r="D6277" s="21"/>
      <c r="E6277" s="21"/>
      <c r="F6277" s="21"/>
      <c r="G6277" s="21"/>
    </row>
    <row r="6278">
      <c r="A6278" s="6"/>
      <c r="B6278" s="15" t="s">
        <v>1349</v>
      </c>
      <c r="C6278" s="23"/>
      <c r="D6278" s="23"/>
      <c r="E6278" s="23"/>
      <c r="F6278" s="23"/>
      <c r="G6278" s="23"/>
    </row>
    <row r="6279">
      <c r="A6279" s="5"/>
      <c r="B6279" s="16" t="s">
        <v>32</v>
      </c>
      <c r="C6279" s="22">
        <f>(47)*(1)*(1)*(1)*(1 + (0))</f>
      </c>
      <c r="D6279" s="22" t="s">
        <v>153</v>
      </c>
      <c r="E6279" s="22"/>
      <c r="F6279" s="22">
        <f>(0)</f>
      </c>
      <c r="G6279" s="22">
        <f>(C6279 * E6279 + C6279 * E6279 * F6279)</f>
      </c>
    </row>
    <row r="6280">
      <c r="A6280" s="3"/>
      <c r="B6280" s="11" t="s">
        <v>1350</v>
      </c>
      <c r="C6280" s="20"/>
      <c r="D6280" s="20"/>
      <c r="E6280" s="20"/>
      <c r="F6280" s="20"/>
      <c r="G6280" s="20"/>
    </row>
    <row r="6281">
      <c r="A6281" s="4"/>
      <c r="B6281" s="12" t="s">
        <v>1351</v>
      </c>
      <c r="C6281" s="21"/>
      <c r="D6281" s="21"/>
      <c r="E6281" s="21"/>
      <c r="F6281" s="21"/>
      <c r="G6281" s="21"/>
    </row>
    <row r="6282">
      <c r="A6282" s="5"/>
      <c r="B6282" s="13" t="s">
        <v>2187</v>
      </c>
      <c r="C6282" s="22">
        <f>(645)*(1)*(1)*(1)*(1 + (0))</f>
      </c>
      <c r="D6282" s="22" t="s">
        <v>24</v>
      </c>
      <c r="E6282" s="22"/>
      <c r="F6282" s="22">
        <f>(0)</f>
      </c>
      <c r="G6282" s="22">
        <f>(C6282 * E6282 + C6282 * E6282 * F6282)</f>
      </c>
    </row>
    <row r="6283">
      <c r="A6283" s="3"/>
      <c r="B6283" s="11" t="s">
        <v>1352</v>
      </c>
      <c r="C6283" s="20"/>
      <c r="D6283" s="20"/>
      <c r="E6283" s="20"/>
      <c r="F6283" s="20"/>
      <c r="G6283" s="20"/>
    </row>
    <row r="6284">
      <c r="A6284" s="4"/>
      <c r="B6284" s="12" t="s">
        <v>2244</v>
      </c>
      <c r="C6284" s="21"/>
      <c r="D6284" s="21"/>
      <c r="E6284" s="21"/>
      <c r="F6284" s="21"/>
      <c r="G6284" s="21"/>
    </row>
    <row r="6285">
      <c r="A6285" s="5"/>
      <c r="B6285" s="13" t="s">
        <v>2151</v>
      </c>
      <c r="C6285" s="22">
        <f>(3)*(1)*(1)*(1)*(1 + (0))</f>
      </c>
      <c r="D6285" s="22" t="s">
        <v>24</v>
      </c>
      <c r="E6285" s="22"/>
      <c r="F6285" s="22">
        <f>(0)</f>
      </c>
      <c r="G6285" s="22">
        <f>(C6285 * E6285 + C6285 * E6285 * F6285)</f>
      </c>
    </row>
    <row r="6286">
      <c r="A6286" s="3"/>
      <c r="B6286" s="11" t="s">
        <v>1355</v>
      </c>
      <c r="C6286" s="20"/>
      <c r="D6286" s="20"/>
      <c r="E6286" s="20"/>
      <c r="F6286" s="20"/>
      <c r="G6286" s="20"/>
    </row>
    <row r="6287">
      <c r="A6287" s="4"/>
      <c r="B6287" s="12" t="s">
        <v>1711</v>
      </c>
      <c r="C6287" s="21"/>
      <c r="D6287" s="21"/>
      <c r="E6287" s="21"/>
      <c r="F6287" s="21"/>
      <c r="G6287" s="21"/>
    </row>
    <row r="6288">
      <c r="A6288" s="6"/>
      <c r="B6288" s="15" t="s">
        <v>1356</v>
      </c>
      <c r="C6288" s="23"/>
      <c r="D6288" s="23"/>
      <c r="E6288" s="23"/>
      <c r="F6288" s="23"/>
      <c r="G6288" s="23"/>
    </row>
    <row r="6289">
      <c r="A6289" s="5"/>
      <c r="B6289" s="16" t="s">
        <v>1358</v>
      </c>
      <c r="C6289" s="22">
        <f>(2)*(1)*(1)*(1)*(1 + (0))</f>
      </c>
      <c r="D6289" s="22" t="s">
        <v>162</v>
      </c>
      <c r="E6289" s="22"/>
      <c r="F6289" s="22">
        <f>(0)</f>
      </c>
      <c r="G6289" s="22">
        <f>(C6289 * E6289 + C6289 * E6289 * F6289)</f>
      </c>
    </row>
    <row r="6290">
      <c r="A6290" s="3"/>
      <c r="B6290" s="11" t="s">
        <v>1359</v>
      </c>
      <c r="C6290" s="20"/>
      <c r="D6290" s="20"/>
      <c r="E6290" s="20"/>
      <c r="F6290" s="20"/>
      <c r="G6290" s="20"/>
    </row>
    <row r="6291">
      <c r="A6291" s="4"/>
      <c r="B6291" s="12" t="s">
        <v>1711</v>
      </c>
      <c r="C6291" s="21"/>
      <c r="D6291" s="21"/>
      <c r="E6291" s="21"/>
      <c r="F6291" s="21"/>
      <c r="G6291" s="21"/>
    </row>
    <row r="6292">
      <c r="A6292" s="6"/>
      <c r="B6292" s="15" t="s">
        <v>1360</v>
      </c>
      <c r="C6292" s="23"/>
      <c r="D6292" s="23"/>
      <c r="E6292" s="23"/>
      <c r="F6292" s="23"/>
      <c r="G6292" s="23"/>
    </row>
    <row r="6293">
      <c r="A6293" s="5"/>
      <c r="B6293" s="16" t="s">
        <v>1357</v>
      </c>
      <c r="C6293" s="22">
        <f>(2)*(1)*(1)*(1)*(1 + (0))</f>
      </c>
      <c r="D6293" s="22" t="s">
        <v>162</v>
      </c>
      <c r="E6293" s="22"/>
      <c r="F6293" s="22">
        <f>(0)</f>
      </c>
      <c r="G6293" s="22">
        <f>(C6293 * E6293 + C6293 * E6293 * F6293)</f>
      </c>
    </row>
    <row r="6294">
      <c r="A6294" s="5"/>
      <c r="B6294" s="16" t="s">
        <v>1358</v>
      </c>
      <c r="C6294" s="22">
        <f>(12)*(1)*(1)*(1)*(1 + (0))</f>
      </c>
      <c r="D6294" s="22" t="s">
        <v>162</v>
      </c>
      <c r="E6294" s="22"/>
      <c r="F6294" s="22">
        <f>(0)</f>
      </c>
      <c r="G6294" s="22">
        <f>(C6294 * E6294 + C6294 * E6294 * F6294)</f>
      </c>
    </row>
    <row r="6295">
      <c r="A6295" s="2"/>
      <c r="B6295" s="10" t="s">
        <v>1361</v>
      </c>
      <c r="C6295" s="19"/>
      <c r="D6295" s="19"/>
      <c r="E6295" s="19"/>
      <c r="F6295" s="19"/>
      <c r="G6295" s="19"/>
    </row>
    <row r="6296">
      <c r="A6296" s="3"/>
      <c r="B6296" s="11" t="s">
        <v>37</v>
      </c>
      <c r="C6296" s="20"/>
      <c r="D6296" s="20"/>
      <c r="E6296" s="20"/>
      <c r="F6296" s="20"/>
      <c r="G6296" s="20"/>
    </row>
    <row r="6297">
      <c r="A6297" s="5" t="s">
        <v>1285</v>
      </c>
      <c r="B6297" s="14" t="s">
        <v>39</v>
      </c>
      <c r="C6297" s="22"/>
      <c r="D6297" s="22" t="s">
        <v>10</v>
      </c>
      <c r="E6297" s="22"/>
      <c r="F6297" s="22">
        <f>(0)</f>
      </c>
      <c r="G6297" s="22">
        <f>(C6297 * E6297 + C6297 * E6297 * F6297)</f>
      </c>
    </row>
    <row r="6298">
      <c r="A6298" s="5" t="s">
        <v>1286</v>
      </c>
      <c r="B6298" s="14" t="s">
        <v>41</v>
      </c>
      <c r="C6298" s="22"/>
      <c r="D6298" s="22" t="s">
        <v>10</v>
      </c>
      <c r="E6298" s="22"/>
      <c r="F6298" s="22">
        <f>(0)</f>
      </c>
      <c r="G6298" s="22">
        <f>(C6298 * E6298 + C6298 * E6298 * F6298)</f>
      </c>
    </row>
    <row r="6299">
      <c r="A6299" s="3"/>
      <c r="B6299" s="11" t="s">
        <v>42</v>
      </c>
      <c r="C6299" s="20"/>
      <c r="D6299" s="20"/>
      <c r="E6299" s="20"/>
      <c r="F6299" s="20"/>
      <c r="G6299" s="20"/>
    </row>
    <row r="6300">
      <c r="A6300" s="5"/>
      <c r="B6300" s="14" t="s">
        <v>1287</v>
      </c>
      <c r="C6300" s="22"/>
      <c r="D6300" s="22" t="s">
        <v>10</v>
      </c>
      <c r="E6300" s="22"/>
      <c r="F6300" s="22">
        <f>(0)</f>
      </c>
      <c r="G6300" s="22">
        <f>(C6300 * E6300 + C6300 * E6300 * F6300)</f>
      </c>
    </row>
    <row r="6301">
      <c r="A6301" s="5"/>
      <c r="B6301" s="14" t="s">
        <v>1288</v>
      </c>
      <c r="C6301" s="22"/>
      <c r="D6301" s="22" t="s">
        <v>10</v>
      </c>
      <c r="E6301" s="22"/>
      <c r="F6301" s="22">
        <f>(0)</f>
      </c>
      <c r="G6301" s="22">
        <f>(C6301 * E6301 + C6301 * E6301 * F6301)</f>
      </c>
    </row>
    <row r="6302">
      <c r="A6302" s="5"/>
      <c r="B6302" s="14" t="s">
        <v>1289</v>
      </c>
      <c r="C6302" s="22"/>
      <c r="D6302" s="22" t="s">
        <v>10</v>
      </c>
      <c r="E6302" s="22"/>
      <c r="F6302" s="22">
        <f>(0)</f>
      </c>
      <c r="G6302" s="22">
        <f>(C6302 * E6302 + C6302 * E6302 * F6302)</f>
      </c>
    </row>
    <row r="6303">
      <c r="A6303" s="5"/>
      <c r="B6303" s="14" t="s">
        <v>1290</v>
      </c>
      <c r="C6303" s="22"/>
      <c r="D6303" s="22" t="s">
        <v>10</v>
      </c>
      <c r="E6303" s="22"/>
      <c r="F6303" s="22">
        <f>(0)</f>
      </c>
      <c r="G6303" s="22">
        <f>(C6303 * E6303 + C6303 * E6303 * F6303)</f>
      </c>
    </row>
    <row r="6304">
      <c r="A6304" s="3"/>
      <c r="B6304" s="11" t="s">
        <v>44</v>
      </c>
      <c r="C6304" s="20"/>
      <c r="D6304" s="20"/>
      <c r="E6304" s="20"/>
      <c r="F6304" s="20"/>
      <c r="G6304" s="20"/>
    </row>
    <row r="6305">
      <c r="A6305" s="4"/>
      <c r="B6305" s="12" t="s">
        <v>45</v>
      </c>
      <c r="C6305" s="21"/>
      <c r="D6305" s="21"/>
      <c r="E6305" s="21"/>
      <c r="F6305" s="21"/>
      <c r="G6305" s="21"/>
    </row>
    <row r="6306">
      <c r="A6306" s="5" t="s">
        <v>1291</v>
      </c>
      <c r="B6306" s="13" t="s">
        <v>767</v>
      </c>
      <c r="C6306" s="22"/>
      <c r="D6306" s="22" t="s">
        <v>10</v>
      </c>
      <c r="E6306" s="22"/>
      <c r="F6306" s="22">
        <f>(0)</f>
      </c>
      <c r="G6306" s="22">
        <f>(C6306 * E6306 + C6306 * E6306 * F6306)</f>
      </c>
    </row>
    <row r="6307">
      <c r="A6307" s="5" t="s">
        <v>1292</v>
      </c>
      <c r="B6307" s="13" t="s">
        <v>123</v>
      </c>
      <c r="C6307" s="22"/>
      <c r="D6307" s="22" t="s">
        <v>10</v>
      </c>
      <c r="E6307" s="22"/>
      <c r="F6307" s="22">
        <f>(0)</f>
      </c>
      <c r="G6307" s="22">
        <f>(C6307 * E6307 + C6307 * E6307 * F6307)</f>
      </c>
    </row>
    <row r="6308">
      <c r="A6308" s="3"/>
      <c r="B6308" s="11" t="s">
        <v>68</v>
      </c>
      <c r="C6308" s="20"/>
      <c r="D6308" s="20"/>
      <c r="E6308" s="20"/>
      <c r="F6308" s="20"/>
      <c r="G6308" s="20"/>
    </row>
    <row r="6309">
      <c r="A6309" s="5" t="s">
        <v>1293</v>
      </c>
      <c r="B6309" s="14" t="s">
        <v>230</v>
      </c>
      <c r="C6309" s="22">
        <f>(1)*(1)*(1)*(1)*(1 + (0))</f>
      </c>
      <c r="D6309" s="22" t="s">
        <v>71</v>
      </c>
      <c r="E6309" s="22"/>
      <c r="F6309" s="22">
        <f>(0)</f>
      </c>
      <c r="G6309" s="22">
        <f>(C6309 * E6309 + C6309 * E6309 * F6309)</f>
      </c>
    </row>
    <row r="6310">
      <c r="A6310" s="5" t="s">
        <v>1294</v>
      </c>
      <c r="B6310" s="14" t="s">
        <v>70</v>
      </c>
      <c r="C6310" s="22">
        <f>(1)*(1)*(1)*(1)*(1 + (0))</f>
      </c>
      <c r="D6310" s="22" t="s">
        <v>71</v>
      </c>
      <c r="E6310" s="22"/>
      <c r="F6310" s="22">
        <f>(0)</f>
      </c>
      <c r="G6310" s="22">
        <f>(C6310 * E6310 + C6310 * E6310 * F6310)</f>
      </c>
    </row>
    <row r="6311">
      <c r="A6311" s="5" t="s">
        <v>1295</v>
      </c>
      <c r="B6311" s="14" t="s">
        <v>906</v>
      </c>
      <c r="C6311" s="22">
        <f>(1)*(1)*(1)*(1)*(1 + (0))</f>
      </c>
      <c r="D6311" s="22" t="s">
        <v>71</v>
      </c>
      <c r="E6311" s="22"/>
      <c r="F6311" s="22">
        <f>(0)</f>
      </c>
      <c r="G6311" s="22">
        <f>(C6311 * E6311 + C6311 * E6311 * F6311)</f>
      </c>
    </row>
    <row r="6312">
      <c r="A6312" s="5" t="s">
        <v>1296</v>
      </c>
      <c r="B6312" s="14" t="s">
        <v>665</v>
      </c>
      <c r="C6312" s="22">
        <f>(1)*(1)*(1)*(1)*(1 + (0))</f>
      </c>
      <c r="D6312" s="22" t="s">
        <v>71</v>
      </c>
      <c r="E6312" s="22"/>
      <c r="F6312" s="22">
        <f>(0)</f>
      </c>
      <c r="G6312" s="22">
        <f>(C6312 * E6312 + C6312 * E6312 * F6312)</f>
      </c>
    </row>
    <row r="6313">
      <c r="A6313" s="3"/>
      <c r="B6313" s="11" t="s">
        <v>1362</v>
      </c>
      <c r="C6313" s="20"/>
      <c r="D6313" s="20"/>
      <c r="E6313" s="20"/>
      <c r="F6313" s="20"/>
      <c r="G6313" s="20"/>
    </row>
    <row r="6314">
      <c r="A6314" s="4"/>
      <c r="B6314" s="12" t="s">
        <v>1361</v>
      </c>
      <c r="C6314" s="21"/>
      <c r="D6314" s="21"/>
      <c r="E6314" s="21"/>
      <c r="F6314" s="21"/>
      <c r="G6314" s="21"/>
    </row>
    <row r="6315">
      <c r="A6315" s="5"/>
      <c r="B6315" s="13" t="s">
        <v>1363</v>
      </c>
      <c r="C6315" s="22">
        <f>(29)*(1)*(1)*(1)*(1 + (0))</f>
      </c>
      <c r="D6315" s="22" t="s">
        <v>153</v>
      </c>
      <c r="E6315" s="22"/>
      <c r="F6315" s="22">
        <f>(0)</f>
      </c>
      <c r="G6315" s="22">
        <f>(C6315 * E6315 + C6315 * E6315 * F6315)</f>
      </c>
    </row>
    <row r="6316">
      <c r="A6316" s="2"/>
      <c r="B6316" s="10" t="s">
        <v>1366</v>
      </c>
      <c r="C6316" s="19"/>
      <c r="D6316" s="19"/>
      <c r="E6316" s="19"/>
      <c r="F6316" s="19"/>
      <c r="G6316" s="19"/>
    </row>
    <row r="6317">
      <c r="A6317" s="3"/>
      <c r="B6317" s="11" t="s">
        <v>37</v>
      </c>
      <c r="C6317" s="20"/>
      <c r="D6317" s="20"/>
      <c r="E6317" s="20"/>
      <c r="F6317" s="20"/>
      <c r="G6317" s="20"/>
    </row>
    <row r="6318">
      <c r="A6318" s="5" t="s">
        <v>1367</v>
      </c>
      <c r="B6318" s="14" t="s">
        <v>39</v>
      </c>
      <c r="C6318" s="22"/>
      <c r="D6318" s="22" t="s">
        <v>10</v>
      </c>
      <c r="E6318" s="22"/>
      <c r="F6318" s="22">
        <f>(0)</f>
      </c>
      <c r="G6318" s="22">
        <f>(C6318 * E6318 + C6318 * E6318 * F6318)</f>
      </c>
    </row>
    <row r="6319">
      <c r="A6319" s="5" t="s">
        <v>1368</v>
      </c>
      <c r="B6319" s="14" t="s">
        <v>41</v>
      </c>
      <c r="C6319" s="22"/>
      <c r="D6319" s="22" t="s">
        <v>10</v>
      </c>
      <c r="E6319" s="22"/>
      <c r="F6319" s="22">
        <f>(0)</f>
      </c>
      <c r="G6319" s="22">
        <f>(C6319 * E6319 + C6319 * E6319 * F6319)</f>
      </c>
    </row>
    <row r="6320">
      <c r="A6320" s="3"/>
      <c r="B6320" s="11" t="s">
        <v>42</v>
      </c>
      <c r="C6320" s="20"/>
      <c r="D6320" s="20"/>
      <c r="E6320" s="20"/>
      <c r="F6320" s="20"/>
      <c r="G6320" s="20"/>
    </row>
    <row r="6321">
      <c r="A6321" s="5"/>
      <c r="B6321" s="14" t="s">
        <v>1369</v>
      </c>
      <c r="C6321" s="22"/>
      <c r="D6321" s="22" t="s">
        <v>10</v>
      </c>
      <c r="E6321" s="22"/>
      <c r="F6321" s="22">
        <f>(0)</f>
      </c>
      <c r="G6321" s="22">
        <f>(C6321 * E6321 + C6321 * E6321 * F6321)</f>
      </c>
    </row>
    <row r="6322">
      <c r="A6322" s="5"/>
      <c r="B6322" s="14" t="s">
        <v>1370</v>
      </c>
      <c r="C6322" s="22"/>
      <c r="D6322" s="22" t="s">
        <v>10</v>
      </c>
      <c r="E6322" s="22"/>
      <c r="F6322" s="22">
        <f>(0)</f>
      </c>
      <c r="G6322" s="22">
        <f>(C6322 * E6322 + C6322 * E6322 * F6322)</f>
      </c>
    </row>
    <row r="6323">
      <c r="A6323" s="5"/>
      <c r="B6323" s="14" t="s">
        <v>1371</v>
      </c>
      <c r="C6323" s="22"/>
      <c r="D6323" s="22" t="s">
        <v>10</v>
      </c>
      <c r="E6323" s="22"/>
      <c r="F6323" s="22">
        <f>(0)</f>
      </c>
      <c r="G6323" s="22">
        <f>(C6323 * E6323 + C6323 * E6323 * F6323)</f>
      </c>
    </row>
    <row r="6324">
      <c r="A6324" s="5"/>
      <c r="B6324" s="14" t="s">
        <v>1372</v>
      </c>
      <c r="C6324" s="22"/>
      <c r="D6324" s="22" t="s">
        <v>10</v>
      </c>
      <c r="E6324" s="22"/>
      <c r="F6324" s="22">
        <f>(0)</f>
      </c>
      <c r="G6324" s="22">
        <f>(C6324 * E6324 + C6324 * E6324 * F6324)</f>
      </c>
    </row>
    <row r="6325">
      <c r="A6325" s="3"/>
      <c r="B6325" s="11" t="s">
        <v>44</v>
      </c>
      <c r="C6325" s="20"/>
      <c r="D6325" s="20"/>
      <c r="E6325" s="20"/>
      <c r="F6325" s="20"/>
      <c r="G6325" s="20"/>
    </row>
    <row r="6326">
      <c r="A6326" s="4"/>
      <c r="B6326" s="12" t="s">
        <v>45</v>
      </c>
      <c r="C6326" s="21"/>
      <c r="D6326" s="21"/>
      <c r="E6326" s="21"/>
      <c r="F6326" s="21"/>
      <c r="G6326" s="21"/>
    </row>
    <row r="6327">
      <c r="A6327" s="5" t="s">
        <v>1373</v>
      </c>
      <c r="B6327" s="13" t="s">
        <v>1374</v>
      </c>
      <c r="C6327" s="22"/>
      <c r="D6327" s="22" t="s">
        <v>10</v>
      </c>
      <c r="E6327" s="22"/>
      <c r="F6327" s="22">
        <f>(0)</f>
      </c>
      <c r="G6327" s="22">
        <f>(C6327 * E6327 + C6327 * E6327 * F6327)</f>
      </c>
    </row>
    <row r="6328">
      <c r="A6328" s="5" t="s">
        <v>1375</v>
      </c>
      <c r="B6328" s="13" t="s">
        <v>1376</v>
      </c>
      <c r="C6328" s="22"/>
      <c r="D6328" s="22" t="s">
        <v>10</v>
      </c>
      <c r="E6328" s="22"/>
      <c r="F6328" s="22">
        <f>(0)</f>
      </c>
      <c r="G6328" s="22">
        <f>(C6328 * E6328 + C6328 * E6328 * F6328)</f>
      </c>
    </row>
    <row r="6329">
      <c r="A6329" s="5" t="s">
        <v>1377</v>
      </c>
      <c r="B6329" s="13" t="s">
        <v>853</v>
      </c>
      <c r="C6329" s="22"/>
      <c r="D6329" s="22" t="s">
        <v>10</v>
      </c>
      <c r="E6329" s="22"/>
      <c r="F6329" s="22">
        <f>(0)</f>
      </c>
      <c r="G6329" s="22">
        <f>(C6329 * E6329 + C6329 * E6329 * F6329)</f>
      </c>
    </row>
    <row r="6330">
      <c r="A6330" s="5" t="s">
        <v>1378</v>
      </c>
      <c r="B6330" s="13" t="s">
        <v>123</v>
      </c>
      <c r="C6330" s="22"/>
      <c r="D6330" s="22" t="s">
        <v>10</v>
      </c>
      <c r="E6330" s="22"/>
      <c r="F6330" s="22">
        <f>(0)</f>
      </c>
      <c r="G6330" s="22">
        <f>(C6330 * E6330 + C6330 * E6330 * F6330)</f>
      </c>
    </row>
    <row r="6331">
      <c r="A6331" s="3"/>
      <c r="B6331" s="11" t="s">
        <v>68</v>
      </c>
      <c r="C6331" s="20"/>
      <c r="D6331" s="20"/>
      <c r="E6331" s="20"/>
      <c r="F6331" s="20"/>
      <c r="G6331" s="20"/>
    </row>
    <row r="6332">
      <c r="A6332" s="5" t="s">
        <v>1379</v>
      </c>
      <c r="B6332" s="14" t="s">
        <v>70</v>
      </c>
      <c r="C6332" s="22"/>
      <c r="D6332" s="22" t="s">
        <v>71</v>
      </c>
      <c r="E6332" s="22"/>
      <c r="F6332" s="22">
        <f>(0)</f>
      </c>
      <c r="G6332" s="22">
        <f>(C6332 * E6332 + C6332 * E6332 * F6332)</f>
      </c>
    </row>
    <row r="6333">
      <c r="A6333" s="5" t="s">
        <v>1380</v>
      </c>
      <c r="B6333" s="14" t="s">
        <v>230</v>
      </c>
      <c r="C6333" s="22"/>
      <c r="D6333" s="22" t="s">
        <v>71</v>
      </c>
      <c r="E6333" s="22"/>
      <c r="F6333" s="22">
        <f>(0)</f>
      </c>
      <c r="G6333" s="22">
        <f>(C6333 * E6333 + C6333 * E6333 * F6333)</f>
      </c>
    </row>
    <row r="6334">
      <c r="A6334" s="5" t="s">
        <v>1381</v>
      </c>
      <c r="B6334" s="14" t="s">
        <v>136</v>
      </c>
      <c r="C6334" s="22"/>
      <c r="D6334" s="22" t="s">
        <v>71</v>
      </c>
      <c r="E6334" s="22"/>
      <c r="F6334" s="22">
        <f>(0)</f>
      </c>
      <c r="G6334" s="22">
        <f>(C6334 * E6334 + C6334 * E6334 * F6334)</f>
      </c>
    </row>
    <row r="6335">
      <c r="A6335" s="5" t="s">
        <v>1382</v>
      </c>
      <c r="B6335" s="14" t="s">
        <v>816</v>
      </c>
      <c r="C6335" s="22"/>
      <c r="D6335" s="22" t="s">
        <v>71</v>
      </c>
      <c r="E6335" s="22"/>
      <c r="F6335" s="22">
        <f>(0)</f>
      </c>
      <c r="G6335" s="22">
        <f>(C6335 * E6335 + C6335 * E6335 * F6335)</f>
      </c>
    </row>
    <row r="6336">
      <c r="A6336" s="5" t="s">
        <v>1383</v>
      </c>
      <c r="B6336" s="14" t="s">
        <v>665</v>
      </c>
      <c r="C6336" s="22"/>
      <c r="D6336" s="22" t="s">
        <v>71</v>
      </c>
      <c r="E6336" s="22"/>
      <c r="F6336" s="22">
        <f>(0)</f>
      </c>
      <c r="G6336" s="22">
        <f>(C6336 * E6336 + C6336 * E6336 * F6336)</f>
      </c>
    </row>
    <row r="6337">
      <c r="A6337" s="5" t="s">
        <v>1384</v>
      </c>
      <c r="B6337" s="14" t="s">
        <v>1385</v>
      </c>
      <c r="C6337" s="22"/>
      <c r="D6337" s="22" t="s">
        <v>71</v>
      </c>
      <c r="E6337" s="22"/>
      <c r="F6337" s="22">
        <f>(0)</f>
      </c>
      <c r="G6337" s="22">
        <f>(C6337 * E6337 + C6337 * E6337 * F6337)</f>
      </c>
    </row>
    <row r="6338">
      <c r="A6338" s="3"/>
      <c r="B6338" s="11" t="s">
        <v>106</v>
      </c>
      <c r="C6338" s="20"/>
      <c r="D6338" s="20"/>
      <c r="E6338" s="20"/>
      <c r="F6338" s="20"/>
      <c r="G6338" s="20"/>
    </row>
    <row r="6339">
      <c r="A6339" s="5"/>
      <c r="B6339" s="14" t="s">
        <v>1386</v>
      </c>
      <c r="C6339" s="22"/>
      <c r="D6339" s="22" t="s">
        <v>10</v>
      </c>
      <c r="E6339" s="22"/>
      <c r="F6339" s="22">
        <f>(0)</f>
      </c>
      <c r="G6339" s="22">
        <f>(C6339 * E6339 + C6339 * E6339 * F6339)</f>
      </c>
    </row>
    <row r="6340">
      <c r="A6340" s="5"/>
      <c r="B6340" s="14" t="s">
        <v>1387</v>
      </c>
      <c r="C6340" s="22"/>
      <c r="D6340" s="22" t="s">
        <v>10</v>
      </c>
      <c r="E6340" s="22"/>
      <c r="F6340" s="22">
        <f>(0)</f>
      </c>
      <c r="G6340" s="22">
        <f>(C6340 * E6340 + C6340 * E6340 * F6340)</f>
      </c>
    </row>
    <row r="6341">
      <c r="A6341" s="3"/>
      <c r="B6341" s="11" t="s">
        <v>1388</v>
      </c>
      <c r="C6341" s="20"/>
      <c r="D6341" s="20"/>
      <c r="E6341" s="20"/>
      <c r="F6341" s="20"/>
      <c r="G6341" s="20"/>
    </row>
    <row r="6342">
      <c r="A6342" s="5"/>
      <c r="B6342" s="14" t="s">
        <v>1390</v>
      </c>
      <c r="C6342" s="22">
        <f>(1)*(1)*(1)*(1)*(1 + (0))</f>
      </c>
      <c r="D6342" s="22" t="s">
        <v>162</v>
      </c>
      <c r="E6342" s="22"/>
      <c r="F6342" s="22">
        <f>(0)</f>
      </c>
      <c r="G6342" s="22">
        <f>(C6342 * E6342 + C6342 * E6342 * F6342)</f>
      </c>
    </row>
    <row r="6343">
      <c r="A6343" s="3"/>
      <c r="B6343" s="11" t="s">
        <v>1392</v>
      </c>
      <c r="C6343" s="20"/>
      <c r="D6343" s="20"/>
      <c r="E6343" s="20"/>
      <c r="F6343" s="20"/>
      <c r="G6343" s="20"/>
    </row>
    <row r="6344">
      <c r="A6344" s="5"/>
      <c r="B6344" s="14" t="s">
        <v>1393</v>
      </c>
      <c r="C6344" s="22">
        <f>(1)*(1)*(1)*(1)*(1 + (0))</f>
      </c>
      <c r="D6344" s="22" t="s">
        <v>162</v>
      </c>
      <c r="E6344" s="22"/>
      <c r="F6344" s="22">
        <f>(0)</f>
      </c>
      <c r="G6344" s="22">
        <f>(C6344 * E6344 + C6344 * E6344 * F6344)</f>
      </c>
    </row>
    <row r="6345">
      <c r="A6345" s="3"/>
      <c r="B6345" s="11" t="s">
        <v>2059</v>
      </c>
      <c r="C6345" s="20"/>
      <c r="D6345" s="20"/>
      <c r="E6345" s="20"/>
      <c r="F6345" s="20"/>
      <c r="G6345" s="20"/>
    </row>
    <row r="6346">
      <c r="A6346" s="5"/>
      <c r="B6346" s="14" t="s">
        <v>2060</v>
      </c>
      <c r="C6346" s="22">
        <f>(2)*(1)*(1)*(1)*(1 + (0))</f>
      </c>
      <c r="D6346" s="22" t="s">
        <v>162</v>
      </c>
      <c r="E6346" s="22"/>
      <c r="F6346" s="22">
        <f>(0)</f>
      </c>
      <c r="G6346" s="22">
        <f>(C6346 * E6346 + C6346 * E6346 * F6346)</f>
      </c>
    </row>
    <row r="6347">
      <c r="A6347" s="3"/>
      <c r="B6347" s="11" t="s">
        <v>1397</v>
      </c>
      <c r="C6347" s="20"/>
      <c r="D6347" s="20"/>
      <c r="E6347" s="20"/>
      <c r="F6347" s="20"/>
      <c r="G6347" s="20"/>
    </row>
    <row r="6348">
      <c r="A6348" s="4"/>
      <c r="B6348" s="12" t="s">
        <v>1398</v>
      </c>
      <c r="C6348" s="21"/>
      <c r="D6348" s="21"/>
      <c r="E6348" s="21"/>
      <c r="F6348" s="21"/>
      <c r="G6348" s="21"/>
    </row>
    <row r="6349">
      <c r="A6349" s="6"/>
      <c r="B6349" s="15" t="s">
        <v>1793</v>
      </c>
      <c r="C6349" s="23"/>
      <c r="D6349" s="23"/>
      <c r="E6349" s="23"/>
      <c r="F6349" s="23"/>
      <c r="G6349" s="23"/>
    </row>
    <row r="6350">
      <c r="A6350" s="5"/>
      <c r="B6350" s="16" t="s">
        <v>2062</v>
      </c>
      <c r="C6350" s="22">
        <f>(3)*(1)*(1)*(1)*(1 + (0))</f>
      </c>
      <c r="D6350" s="22" t="s">
        <v>162</v>
      </c>
      <c r="E6350" s="22"/>
      <c r="F6350" s="22">
        <f>(0)</f>
      </c>
      <c r="G6350" s="22">
        <f>(C6350 * E6350 + C6350 * E6350 * F6350)</f>
      </c>
    </row>
    <row r="6351">
      <c r="A6351" s="5"/>
      <c r="B6351" s="16" t="s">
        <v>1420</v>
      </c>
      <c r="C6351" s="22">
        <f>(1)*(1)*(1)*(1)*(1 + (0))</f>
      </c>
      <c r="D6351" s="22" t="s">
        <v>162</v>
      </c>
      <c r="E6351" s="22"/>
      <c r="F6351" s="22">
        <f>(0)</f>
      </c>
      <c r="G6351" s="22">
        <f>(C6351 * E6351 + C6351 * E6351 * F6351)</f>
      </c>
    </row>
    <row r="6352">
      <c r="A6352" s="5"/>
      <c r="B6352" s="16" t="s">
        <v>1421</v>
      </c>
      <c r="C6352" s="22">
        <f>(1)*(1)*(1)*(1)*(1 + (0))</f>
      </c>
      <c r="D6352" s="22" t="s">
        <v>162</v>
      </c>
      <c r="E6352" s="22"/>
      <c r="F6352" s="22">
        <f>(0)</f>
      </c>
      <c r="G6352" s="22">
        <f>(C6352 * E6352 + C6352 * E6352 * F6352)</f>
      </c>
    </row>
    <row r="6353">
      <c r="A6353" s="5"/>
      <c r="B6353" s="14" t="s">
        <v>1436</v>
      </c>
      <c r="C6353" s="22">
        <f>(1)*(1)*(1)*(1)*(1 + (0))</f>
      </c>
      <c r="D6353" s="22" t="s">
        <v>606</v>
      </c>
      <c r="E6353" s="22"/>
      <c r="F6353" s="22">
        <f>(0)</f>
      </c>
      <c r="G6353" s="22">
        <f>(C6353 * E6353 + C6353 * E6353 * F6353)</f>
      </c>
    </row>
    <row r="6354">
      <c r="A6354" s="5"/>
      <c r="B6354" s="7" t="s">
        <v>1437</v>
      </c>
      <c r="C6354" s="22"/>
      <c r="D6354" s="22"/>
      <c r="E6354" s="22"/>
      <c r="F6354" s="22">
        <f>(0)</f>
      </c>
      <c r="G6354" s="22">
        <f>(C6354 * E6354 + C6354 * E6354 * F6354)</f>
      </c>
    </row>
    <row r="6355">
      <c r="A6355" s="5"/>
      <c r="B6355" s="7" t="s">
        <v>1438</v>
      </c>
      <c r="C6355" s="22"/>
      <c r="D6355" s="22"/>
      <c r="E6355" s="22"/>
      <c r="F6355" s="22">
        <f>(0)</f>
      </c>
      <c r="G6355" s="22">
        <f>(C6355 * E6355 + C6355 * E6355 * F6355)</f>
      </c>
    </row>
    <row r="6356">
      <c r="A6356" s="5"/>
      <c r="B6356" s="7" t="s">
        <v>1439</v>
      </c>
      <c r="C6356" s="22"/>
      <c r="D6356" s="22"/>
      <c r="E6356" s="22"/>
      <c r="F6356" s="22">
        <f>(0)</f>
      </c>
      <c r="G6356" s="22">
        <f>(C6356 * E6356 + C6356 * E6356 * F6356)</f>
      </c>
    </row>
    <row r="6357">
      <c r="A6357" s="5"/>
      <c r="B6357" s="7" t="s">
        <v>1440</v>
      </c>
      <c r="C6357" s="22"/>
      <c r="D6357" s="22"/>
      <c r="E6357" s="22"/>
      <c r="F6357" s="22">
        <f>(0)</f>
      </c>
      <c r="G6357" s="22">
        <f>(C6357 * E6357 + C6357 * E6357 * F6357)</f>
      </c>
    </row>
    <row r="6358">
      <c r="A6358" s="2"/>
      <c r="B6358" s="10" t="s">
        <v>1441</v>
      </c>
      <c r="C6358" s="19"/>
      <c r="D6358" s="19"/>
      <c r="E6358" s="19"/>
      <c r="F6358" s="19"/>
      <c r="G6358" s="19"/>
    </row>
    <row r="6359">
      <c r="A6359" s="3"/>
      <c r="B6359" s="11" t="s">
        <v>37</v>
      </c>
      <c r="C6359" s="20"/>
      <c r="D6359" s="20"/>
      <c r="E6359" s="20"/>
      <c r="F6359" s="20"/>
      <c r="G6359" s="20"/>
    </row>
    <row r="6360">
      <c r="A6360" s="5" t="s">
        <v>1285</v>
      </c>
      <c r="B6360" s="14" t="s">
        <v>39</v>
      </c>
      <c r="C6360" s="22"/>
      <c r="D6360" s="22" t="s">
        <v>10</v>
      </c>
      <c r="E6360" s="22"/>
      <c r="F6360" s="22">
        <f>(0)</f>
      </c>
      <c r="G6360" s="22">
        <f>(C6360 * E6360 + C6360 * E6360 * F6360)</f>
      </c>
    </row>
    <row r="6361">
      <c r="A6361" s="5" t="s">
        <v>1286</v>
      </c>
      <c r="B6361" s="14" t="s">
        <v>41</v>
      </c>
      <c r="C6361" s="22"/>
      <c r="D6361" s="22" t="s">
        <v>10</v>
      </c>
      <c r="E6361" s="22"/>
      <c r="F6361" s="22">
        <f>(0)</f>
      </c>
      <c r="G6361" s="22">
        <f>(C6361 * E6361 + C6361 * E6361 * F6361)</f>
      </c>
    </row>
    <row r="6362">
      <c r="A6362" s="3"/>
      <c r="B6362" s="11" t="s">
        <v>42</v>
      </c>
      <c r="C6362" s="20"/>
      <c r="D6362" s="20"/>
      <c r="E6362" s="20"/>
      <c r="F6362" s="20"/>
      <c r="G6362" s="20"/>
    </row>
    <row r="6363">
      <c r="A6363" s="5"/>
      <c r="B6363" s="14" t="s">
        <v>1287</v>
      </c>
      <c r="C6363" s="22"/>
      <c r="D6363" s="22" t="s">
        <v>10</v>
      </c>
      <c r="E6363" s="22"/>
      <c r="F6363" s="22">
        <f>(0)</f>
      </c>
      <c r="G6363" s="22">
        <f>(C6363 * E6363 + C6363 * E6363 * F6363)</f>
      </c>
    </row>
    <row r="6364">
      <c r="A6364" s="5"/>
      <c r="B6364" s="14" t="s">
        <v>1288</v>
      </c>
      <c r="C6364" s="22"/>
      <c r="D6364" s="22" t="s">
        <v>10</v>
      </c>
      <c r="E6364" s="22"/>
      <c r="F6364" s="22">
        <f>(0)</f>
      </c>
      <c r="G6364" s="22">
        <f>(C6364 * E6364 + C6364 * E6364 * F6364)</f>
      </c>
    </row>
    <row r="6365">
      <c r="A6365" s="5"/>
      <c r="B6365" s="14" t="s">
        <v>1289</v>
      </c>
      <c r="C6365" s="22"/>
      <c r="D6365" s="22" t="s">
        <v>10</v>
      </c>
      <c r="E6365" s="22"/>
      <c r="F6365" s="22">
        <f>(0)</f>
      </c>
      <c r="G6365" s="22">
        <f>(C6365 * E6365 + C6365 * E6365 * F6365)</f>
      </c>
    </row>
    <row r="6366">
      <c r="A6366" s="5"/>
      <c r="B6366" s="14" t="s">
        <v>1290</v>
      </c>
      <c r="C6366" s="22"/>
      <c r="D6366" s="22" t="s">
        <v>10</v>
      </c>
      <c r="E6366" s="22"/>
      <c r="F6366" s="22">
        <f>(0)</f>
      </c>
      <c r="G6366" s="22">
        <f>(C6366 * E6366 + C6366 * E6366 * F6366)</f>
      </c>
    </row>
    <row r="6367">
      <c r="A6367" s="3"/>
      <c r="B6367" s="11" t="s">
        <v>44</v>
      </c>
      <c r="C6367" s="20"/>
      <c r="D6367" s="20"/>
      <c r="E6367" s="20"/>
      <c r="F6367" s="20"/>
      <c r="G6367" s="20"/>
    </row>
    <row r="6368">
      <c r="A6368" s="4"/>
      <c r="B6368" s="12" t="s">
        <v>45</v>
      </c>
      <c r="C6368" s="21"/>
      <c r="D6368" s="21"/>
      <c r="E6368" s="21"/>
      <c r="F6368" s="21"/>
      <c r="G6368" s="21"/>
    </row>
    <row r="6369">
      <c r="A6369" s="5" t="s">
        <v>1291</v>
      </c>
      <c r="B6369" s="13" t="s">
        <v>767</v>
      </c>
      <c r="C6369" s="22"/>
      <c r="D6369" s="22" t="s">
        <v>10</v>
      </c>
      <c r="E6369" s="22"/>
      <c r="F6369" s="22">
        <f>(0)</f>
      </c>
      <c r="G6369" s="22">
        <f>(C6369 * E6369 + C6369 * E6369 * F6369)</f>
      </c>
    </row>
    <row r="6370">
      <c r="A6370" s="5" t="s">
        <v>1292</v>
      </c>
      <c r="B6370" s="13" t="s">
        <v>123</v>
      </c>
      <c r="C6370" s="22"/>
      <c r="D6370" s="22" t="s">
        <v>10</v>
      </c>
      <c r="E6370" s="22"/>
      <c r="F6370" s="22">
        <f>(0)</f>
      </c>
      <c r="G6370" s="22">
        <f>(C6370 * E6370 + C6370 * E6370 * F6370)</f>
      </c>
    </row>
    <row r="6371">
      <c r="A6371" s="3"/>
      <c r="B6371" s="11" t="s">
        <v>68</v>
      </c>
      <c r="C6371" s="20"/>
      <c r="D6371" s="20"/>
      <c r="E6371" s="20"/>
      <c r="F6371" s="20"/>
      <c r="G6371" s="20"/>
    </row>
    <row r="6372">
      <c r="A6372" s="5" t="s">
        <v>1293</v>
      </c>
      <c r="B6372" s="14" t="s">
        <v>230</v>
      </c>
      <c r="C6372" s="22">
        <f>(1)*(1)*(1)*(1)*(1 + (0))</f>
      </c>
      <c r="D6372" s="22" t="s">
        <v>71</v>
      </c>
      <c r="E6372" s="22"/>
      <c r="F6372" s="22">
        <f>(0)</f>
      </c>
      <c r="G6372" s="22">
        <f>(C6372 * E6372 + C6372 * E6372 * F6372)</f>
      </c>
    </row>
    <row r="6373">
      <c r="A6373" s="5" t="s">
        <v>1294</v>
      </c>
      <c r="B6373" s="14" t="s">
        <v>70</v>
      </c>
      <c r="C6373" s="22">
        <f>(1)*(1)*(1)*(1)*(1 + (0))</f>
      </c>
      <c r="D6373" s="22" t="s">
        <v>71</v>
      </c>
      <c r="E6373" s="22"/>
      <c r="F6373" s="22">
        <f>(0)</f>
      </c>
      <c r="G6373" s="22">
        <f>(C6373 * E6373 + C6373 * E6373 * F6373)</f>
      </c>
    </row>
    <row r="6374">
      <c r="A6374" s="5" t="s">
        <v>1295</v>
      </c>
      <c r="B6374" s="14" t="s">
        <v>906</v>
      </c>
      <c r="C6374" s="22">
        <f>(1)*(1)*(1)*(1)*(1 + (0))</f>
      </c>
      <c r="D6374" s="22" t="s">
        <v>71</v>
      </c>
      <c r="E6374" s="22"/>
      <c r="F6374" s="22">
        <f>(0)</f>
      </c>
      <c r="G6374" s="22">
        <f>(C6374 * E6374 + C6374 * E6374 * F6374)</f>
      </c>
    </row>
    <row r="6375">
      <c r="A6375" s="5" t="s">
        <v>1296</v>
      </c>
      <c r="B6375" s="14" t="s">
        <v>665</v>
      </c>
      <c r="C6375" s="22">
        <f>(1)*(1)*(1)*(1)*(1 + (0))</f>
      </c>
      <c r="D6375" s="22" t="s">
        <v>71</v>
      </c>
      <c r="E6375" s="22"/>
      <c r="F6375" s="22">
        <f>(0)</f>
      </c>
      <c r="G6375" s="22">
        <f>(C6375 * E6375 + C6375 * E6375 * F6375)</f>
      </c>
    </row>
    <row r="6376">
      <c r="A6376" s="3"/>
      <c r="B6376" s="11" t="s">
        <v>2245</v>
      </c>
      <c r="C6376" s="20"/>
      <c r="D6376" s="20"/>
      <c r="E6376" s="20"/>
      <c r="F6376" s="20"/>
      <c r="G6376" s="20"/>
    </row>
    <row r="6377">
      <c r="A6377" s="5"/>
      <c r="B6377" s="14" t="s">
        <v>2246</v>
      </c>
      <c r="C6377" s="22">
        <f>(1)*(1)*(1)*(1)*(1 + (0))</f>
      </c>
      <c r="D6377" s="22" t="s">
        <v>162</v>
      </c>
      <c r="E6377" s="22"/>
      <c r="F6377" s="22">
        <f>(0)</f>
      </c>
      <c r="G6377" s="22">
        <f>(C6377 * E6377 + C6377 * E6377 * F6377)</f>
      </c>
    </row>
    <row r="6378">
      <c r="A6378" s="3"/>
      <c r="B6378" s="11" t="s">
        <v>1442</v>
      </c>
      <c r="C6378" s="20"/>
      <c r="D6378" s="20"/>
      <c r="E6378" s="20"/>
      <c r="F6378" s="20"/>
      <c r="G6378" s="20"/>
    </row>
    <row r="6379">
      <c r="A6379" s="5"/>
      <c r="B6379" s="14" t="s">
        <v>1795</v>
      </c>
      <c r="C6379" s="22">
        <f>(3)*(1)*(1)*(1)*(1 + (0))</f>
      </c>
      <c r="D6379" s="22" t="s">
        <v>162</v>
      </c>
      <c r="E6379" s="22"/>
      <c r="F6379" s="22">
        <f>(0)</f>
      </c>
      <c r="G6379" s="22">
        <f>(C6379 * E6379 + C6379 * E6379 * F6379)</f>
      </c>
    </row>
    <row r="6380">
      <c r="A6380" s="5"/>
      <c r="B6380" s="7" t="s">
        <v>1452</v>
      </c>
      <c r="C6380" s="22"/>
      <c r="D6380" s="22"/>
      <c r="E6380" s="22"/>
      <c r="F6380" s="22">
        <f>(0)</f>
      </c>
      <c r="G6380" s="22">
        <f>(C6380 * E6380 + C6380 * E6380 * F6380)</f>
      </c>
    </row>
    <row r="6381">
      <c r="A6381" s="5"/>
      <c r="B6381" s="7" t="s">
        <v>1453</v>
      </c>
      <c r="C6381" s="22"/>
      <c r="D6381" s="22"/>
      <c r="E6381" s="22"/>
      <c r="F6381" s="22">
        <f>(0)</f>
      </c>
      <c r="G6381" s="22">
        <f>(C6381 * E6381 + C6381 * E6381 * F6381)</f>
      </c>
    </row>
    <row r="6382">
      <c r="A6382" s="2"/>
      <c r="B6382" s="10" t="s">
        <v>1454</v>
      </c>
      <c r="C6382" s="19"/>
      <c r="D6382" s="19"/>
      <c r="E6382" s="19"/>
      <c r="F6382" s="19"/>
      <c r="G6382" s="19"/>
    </row>
    <row r="6383">
      <c r="A6383" s="3"/>
      <c r="B6383" s="11" t="s">
        <v>37</v>
      </c>
      <c r="C6383" s="20"/>
      <c r="D6383" s="20"/>
      <c r="E6383" s="20"/>
      <c r="F6383" s="20"/>
      <c r="G6383" s="20"/>
    </row>
    <row r="6384">
      <c r="A6384" s="5" t="s">
        <v>1285</v>
      </c>
      <c r="B6384" s="14" t="s">
        <v>39</v>
      </c>
      <c r="C6384" s="22"/>
      <c r="D6384" s="22" t="s">
        <v>10</v>
      </c>
      <c r="E6384" s="22"/>
      <c r="F6384" s="22">
        <f>(0)</f>
      </c>
      <c r="G6384" s="22">
        <f>(C6384 * E6384 + C6384 * E6384 * F6384)</f>
      </c>
    </row>
    <row r="6385">
      <c r="A6385" s="5" t="s">
        <v>1286</v>
      </c>
      <c r="B6385" s="14" t="s">
        <v>41</v>
      </c>
      <c r="C6385" s="22"/>
      <c r="D6385" s="22" t="s">
        <v>10</v>
      </c>
      <c r="E6385" s="22"/>
      <c r="F6385" s="22">
        <f>(0)</f>
      </c>
      <c r="G6385" s="22">
        <f>(C6385 * E6385 + C6385 * E6385 * F6385)</f>
      </c>
    </row>
    <row r="6386">
      <c r="A6386" s="3"/>
      <c r="B6386" s="11" t="s">
        <v>42</v>
      </c>
      <c r="C6386" s="20"/>
      <c r="D6386" s="20"/>
      <c r="E6386" s="20"/>
      <c r="F6386" s="20"/>
      <c r="G6386" s="20"/>
    </row>
    <row r="6387">
      <c r="A6387" s="5"/>
      <c r="B6387" s="14" t="s">
        <v>1287</v>
      </c>
      <c r="C6387" s="22"/>
      <c r="D6387" s="22" t="s">
        <v>10</v>
      </c>
      <c r="E6387" s="22"/>
      <c r="F6387" s="22">
        <f>(0)</f>
      </c>
      <c r="G6387" s="22">
        <f>(C6387 * E6387 + C6387 * E6387 * F6387)</f>
      </c>
    </row>
    <row r="6388">
      <c r="A6388" s="5"/>
      <c r="B6388" s="14" t="s">
        <v>1288</v>
      </c>
      <c r="C6388" s="22"/>
      <c r="D6388" s="22" t="s">
        <v>10</v>
      </c>
      <c r="E6388" s="22"/>
      <c r="F6388" s="22">
        <f>(0)</f>
      </c>
      <c r="G6388" s="22">
        <f>(C6388 * E6388 + C6388 * E6388 * F6388)</f>
      </c>
    </row>
    <row r="6389">
      <c r="A6389" s="5"/>
      <c r="B6389" s="14" t="s">
        <v>1289</v>
      </c>
      <c r="C6389" s="22"/>
      <c r="D6389" s="22" t="s">
        <v>10</v>
      </c>
      <c r="E6389" s="22"/>
      <c r="F6389" s="22">
        <f>(0)</f>
      </c>
      <c r="G6389" s="22">
        <f>(C6389 * E6389 + C6389 * E6389 * F6389)</f>
      </c>
    </row>
    <row r="6390">
      <c r="A6390" s="5"/>
      <c r="B6390" s="14" t="s">
        <v>1290</v>
      </c>
      <c r="C6390" s="22"/>
      <c r="D6390" s="22" t="s">
        <v>10</v>
      </c>
      <c r="E6390" s="22"/>
      <c r="F6390" s="22">
        <f>(0)</f>
      </c>
      <c r="G6390" s="22">
        <f>(C6390 * E6390 + C6390 * E6390 * F6390)</f>
      </c>
    </row>
    <row r="6391">
      <c r="A6391" s="3"/>
      <c r="B6391" s="11" t="s">
        <v>44</v>
      </c>
      <c r="C6391" s="20"/>
      <c r="D6391" s="20"/>
      <c r="E6391" s="20"/>
      <c r="F6391" s="20"/>
      <c r="G6391" s="20"/>
    </row>
    <row r="6392">
      <c r="A6392" s="4"/>
      <c r="B6392" s="12" t="s">
        <v>45</v>
      </c>
      <c r="C6392" s="21"/>
      <c r="D6392" s="21"/>
      <c r="E6392" s="21"/>
      <c r="F6392" s="21"/>
      <c r="G6392" s="21"/>
    </row>
    <row r="6393">
      <c r="A6393" s="5" t="s">
        <v>1291</v>
      </c>
      <c r="B6393" s="13" t="s">
        <v>767</v>
      </c>
      <c r="C6393" s="22"/>
      <c r="D6393" s="22" t="s">
        <v>10</v>
      </c>
      <c r="E6393" s="22"/>
      <c r="F6393" s="22">
        <f>(0)</f>
      </c>
      <c r="G6393" s="22">
        <f>(C6393 * E6393 + C6393 * E6393 * F6393)</f>
      </c>
    </row>
    <row r="6394">
      <c r="A6394" s="5" t="s">
        <v>1292</v>
      </c>
      <c r="B6394" s="13" t="s">
        <v>123</v>
      </c>
      <c r="C6394" s="22"/>
      <c r="D6394" s="22" t="s">
        <v>10</v>
      </c>
      <c r="E6394" s="22"/>
      <c r="F6394" s="22">
        <f>(0)</f>
      </c>
      <c r="G6394" s="22">
        <f>(C6394 * E6394 + C6394 * E6394 * F6394)</f>
      </c>
    </row>
    <row r="6395">
      <c r="A6395" s="3"/>
      <c r="B6395" s="11" t="s">
        <v>68</v>
      </c>
      <c r="C6395" s="20"/>
      <c r="D6395" s="20"/>
      <c r="E6395" s="20"/>
      <c r="F6395" s="20"/>
      <c r="G6395" s="20"/>
    </row>
    <row r="6396">
      <c r="A6396" s="5" t="s">
        <v>1293</v>
      </c>
      <c r="B6396" s="14" t="s">
        <v>230</v>
      </c>
      <c r="C6396" s="22">
        <f>(1)*(1)*(1)*(1)*(1 + (0))</f>
      </c>
      <c r="D6396" s="22" t="s">
        <v>71</v>
      </c>
      <c r="E6396" s="22"/>
      <c r="F6396" s="22">
        <f>(0)</f>
      </c>
      <c r="G6396" s="22">
        <f>(C6396 * E6396 + C6396 * E6396 * F6396)</f>
      </c>
    </row>
    <row r="6397">
      <c r="A6397" s="5" t="s">
        <v>1294</v>
      </c>
      <c r="B6397" s="14" t="s">
        <v>70</v>
      </c>
      <c r="C6397" s="22">
        <f>(1)*(1)*(1)*(1)*(1 + (0))</f>
      </c>
      <c r="D6397" s="22" t="s">
        <v>71</v>
      </c>
      <c r="E6397" s="22"/>
      <c r="F6397" s="22">
        <f>(0)</f>
      </c>
      <c r="G6397" s="22">
        <f>(C6397 * E6397 + C6397 * E6397 * F6397)</f>
      </c>
    </row>
    <row r="6398">
      <c r="A6398" s="5" t="s">
        <v>1295</v>
      </c>
      <c r="B6398" s="14" t="s">
        <v>906</v>
      </c>
      <c r="C6398" s="22">
        <f>(1)*(1)*(1)*(1)*(1 + (0))</f>
      </c>
      <c r="D6398" s="22" t="s">
        <v>71</v>
      </c>
      <c r="E6398" s="22"/>
      <c r="F6398" s="22">
        <f>(0)</f>
      </c>
      <c r="G6398" s="22">
        <f>(C6398 * E6398 + C6398 * E6398 * F6398)</f>
      </c>
    </row>
    <row r="6399">
      <c r="A6399" s="5" t="s">
        <v>1296</v>
      </c>
      <c r="B6399" s="14" t="s">
        <v>665</v>
      </c>
      <c r="C6399" s="22">
        <f>(1)*(1)*(1)*(1)*(1 + (0))</f>
      </c>
      <c r="D6399" s="22" t="s">
        <v>71</v>
      </c>
      <c r="E6399" s="22"/>
      <c r="F6399" s="22">
        <f>(0)</f>
      </c>
      <c r="G6399" s="22">
        <f>(C6399 * E6399 + C6399 * E6399 * F6399)</f>
      </c>
    </row>
    <row r="6400">
      <c r="A6400" s="3"/>
      <c r="B6400" s="11" t="s">
        <v>106</v>
      </c>
      <c r="C6400" s="20"/>
      <c r="D6400" s="20"/>
      <c r="E6400" s="20"/>
      <c r="F6400" s="20"/>
      <c r="G6400" s="20"/>
    </row>
    <row r="6401">
      <c r="A6401" s="5"/>
      <c r="B6401" s="14" t="s">
        <v>1456</v>
      </c>
      <c r="C6401" s="22"/>
      <c r="D6401" s="22" t="s">
        <v>1335</v>
      </c>
      <c r="E6401" s="22"/>
      <c r="F6401" s="22">
        <f>(0)</f>
      </c>
      <c r="G6401" s="22">
        <f>(C6401 * E6401 + C6401 * E6401 * F6401)</f>
      </c>
    </row>
    <row r="6402">
      <c r="A6402" s="5"/>
      <c r="B6402" s="14" t="s">
        <v>1457</v>
      </c>
      <c r="C6402" s="22"/>
      <c r="D6402" s="22" t="s">
        <v>1335</v>
      </c>
      <c r="E6402" s="22"/>
      <c r="F6402" s="22">
        <f>(0)</f>
      </c>
      <c r="G6402" s="22">
        <f>(C6402 * E6402 + C6402 * E6402 * F6402)</f>
      </c>
    </row>
    <row r="6403">
      <c r="A6403" s="5"/>
      <c r="B6403" s="14" t="s">
        <v>1458</v>
      </c>
      <c r="C6403" s="22"/>
      <c r="D6403" s="22" t="s">
        <v>1335</v>
      </c>
      <c r="E6403" s="22"/>
      <c r="F6403" s="22">
        <f>(0)</f>
      </c>
      <c r="G6403" s="22">
        <f>(C6403 * E6403 + C6403 * E6403 * F6403)</f>
      </c>
    </row>
    <row r="6404">
      <c r="A6404" s="5"/>
      <c r="B6404" s="14" t="s">
        <v>1459</v>
      </c>
      <c r="C6404" s="22"/>
      <c r="D6404" s="22" t="s">
        <v>1335</v>
      </c>
      <c r="E6404" s="22"/>
      <c r="F6404" s="22">
        <f>(0)</f>
      </c>
      <c r="G6404" s="22">
        <f>(C6404 * E6404 + C6404 * E6404 * F6404)</f>
      </c>
    </row>
    <row r="6405">
      <c r="A6405" s="3"/>
      <c r="B6405" s="11" t="s">
        <v>1460</v>
      </c>
      <c r="C6405" s="20"/>
      <c r="D6405" s="20"/>
      <c r="E6405" s="20"/>
      <c r="F6405" s="20"/>
      <c r="G6405" s="20"/>
    </row>
    <row r="6406">
      <c r="A6406" s="4"/>
      <c r="B6406" s="12" t="s">
        <v>1467</v>
      </c>
      <c r="C6406" s="21"/>
      <c r="D6406" s="21"/>
      <c r="E6406" s="21"/>
      <c r="F6406" s="21"/>
      <c r="G6406" s="21"/>
    </row>
    <row r="6407">
      <c r="A6407" s="6"/>
      <c r="B6407" s="15" t="s">
        <v>1468</v>
      </c>
      <c r="C6407" s="23"/>
      <c r="D6407" s="23"/>
      <c r="E6407" s="23"/>
      <c r="F6407" s="23"/>
      <c r="G6407" s="23"/>
    </row>
    <row r="6408">
      <c r="A6408" s="5"/>
      <c r="B6408" s="16" t="s">
        <v>2247</v>
      </c>
      <c r="C6408" s="22">
        <f>(1)*(1)*(1)*(1)*(1 + (0))</f>
      </c>
      <c r="D6408" s="22" t="s">
        <v>162</v>
      </c>
      <c r="E6408" s="22"/>
      <c r="F6408" s="22">
        <f>(0)</f>
      </c>
      <c r="G6408" s="22">
        <f>(C6408 * E6408 + C6408 * E6408 * F6408)</f>
      </c>
    </row>
    <row r="6409">
      <c r="A6409" s="5"/>
      <c r="B6409" s="16" t="s">
        <v>2071</v>
      </c>
      <c r="C6409" s="22">
        <f>(1)*(1)*(1)*(1)*(1 + (0))</f>
      </c>
      <c r="D6409" s="22" t="s">
        <v>162</v>
      </c>
      <c r="E6409" s="22"/>
      <c r="F6409" s="22">
        <f>(0)</f>
      </c>
      <c r="G6409" s="22">
        <f>(C6409 * E6409 + C6409 * E6409 * F6409)</f>
      </c>
    </row>
    <row r="6410">
      <c r="A6410" s="5"/>
      <c r="B6410" s="16" t="s">
        <v>1799</v>
      </c>
      <c r="C6410" s="22">
        <f>(1)*(1)*(1)*(1)*(1 + (0))</f>
      </c>
      <c r="D6410" s="22" t="s">
        <v>162</v>
      </c>
      <c r="E6410" s="22"/>
      <c r="F6410" s="22">
        <f>(0)</f>
      </c>
      <c r="G6410" s="22">
        <f>(C6410 * E6410 + C6410 * E6410 * F6410)</f>
      </c>
    </row>
    <row r="6411">
      <c r="A6411" s="5"/>
      <c r="B6411" s="16" t="s">
        <v>1800</v>
      </c>
      <c r="C6411" s="22">
        <f>(1)*(1)*(1)*(1)*(1 + (0))</f>
      </c>
      <c r="D6411" s="22" t="s">
        <v>162</v>
      </c>
      <c r="E6411" s="22"/>
      <c r="F6411" s="22">
        <f>(0)</f>
      </c>
      <c r="G6411" s="22">
        <f>(C6411 * E6411 + C6411 * E6411 * F6411)</f>
      </c>
    </row>
    <row r="6412">
      <c r="A6412" s="5"/>
      <c r="B6412" s="16" t="s">
        <v>2073</v>
      </c>
      <c r="C6412" s="22">
        <f>(1)*(1)*(1)*(1)*(1 + (0))</f>
      </c>
      <c r="D6412" s="22" t="s">
        <v>162</v>
      </c>
      <c r="E6412" s="22"/>
      <c r="F6412" s="22">
        <f>(0)</f>
      </c>
      <c r="G6412" s="22">
        <f>(C6412 * E6412 + C6412 * E6412 * F6412)</f>
      </c>
    </row>
    <row r="6413">
      <c r="A6413" s="5"/>
      <c r="B6413" s="16" t="s">
        <v>1801</v>
      </c>
      <c r="C6413" s="22">
        <f>(1)*(1)*(1)*(1)*(1 + (0))</f>
      </c>
      <c r="D6413" s="22" t="s">
        <v>162</v>
      </c>
      <c r="E6413" s="22"/>
      <c r="F6413" s="22">
        <f>(0)</f>
      </c>
      <c r="G6413" s="22">
        <f>(C6413 * E6413 + C6413 * E6413 * F6413)</f>
      </c>
    </row>
    <row r="6414">
      <c r="A6414" s="5"/>
      <c r="B6414" s="16" t="s">
        <v>1477</v>
      </c>
      <c r="C6414" s="22">
        <f>(3)*(1)*(1)*(1)*(1 + (0))</f>
      </c>
      <c r="D6414" s="22" t="s">
        <v>162</v>
      </c>
      <c r="E6414" s="22"/>
      <c r="F6414" s="22">
        <f>(0)</f>
      </c>
      <c r="G6414" s="22">
        <f>(C6414 * E6414 + C6414 * E6414 * F6414)</f>
      </c>
    </row>
    <row r="6415">
      <c r="A6415" s="5"/>
      <c r="B6415" s="16" t="s">
        <v>2248</v>
      </c>
      <c r="C6415" s="22">
        <f>(2)*(1)*(1)*(1)*(1 + (0))</f>
      </c>
      <c r="D6415" s="22" t="s">
        <v>162</v>
      </c>
      <c r="E6415" s="22"/>
      <c r="F6415" s="22">
        <f>(0)</f>
      </c>
      <c r="G6415" s="22">
        <f>(C6415 * E6415 + C6415 * E6415 * F6415)</f>
      </c>
    </row>
    <row r="6416">
      <c r="A6416" s="5"/>
      <c r="B6416" s="16" t="s">
        <v>2249</v>
      </c>
      <c r="C6416" s="22">
        <f>(6)*(1)*(1)*(1)*(1 + (0))</f>
      </c>
      <c r="D6416" s="22" t="s">
        <v>162</v>
      </c>
      <c r="E6416" s="22"/>
      <c r="F6416" s="22">
        <f>(0)</f>
      </c>
      <c r="G6416" s="22">
        <f>(C6416 * E6416 + C6416 * E6416 * F6416)</f>
      </c>
    </row>
    <row r="6417">
      <c r="A6417" s="5"/>
      <c r="B6417" s="16" t="s">
        <v>2250</v>
      </c>
      <c r="C6417" s="22">
        <f>(1)*(1)*(1)*(1)*(1 + (0))</f>
      </c>
      <c r="D6417" s="22" t="s">
        <v>162</v>
      </c>
      <c r="E6417" s="22"/>
      <c r="F6417" s="22">
        <f>(0)</f>
      </c>
      <c r="G6417" s="22">
        <f>(C6417 * E6417 + C6417 * E6417 * F6417)</f>
      </c>
    </row>
    <row r="6418">
      <c r="A6418" s="6"/>
      <c r="B6418" s="15" t="s">
        <v>1479</v>
      </c>
      <c r="C6418" s="23"/>
      <c r="D6418" s="23"/>
      <c r="E6418" s="23"/>
      <c r="F6418" s="23"/>
      <c r="G6418" s="23"/>
    </row>
    <row r="6419">
      <c r="A6419" s="5"/>
      <c r="B6419" s="16" t="s">
        <v>1805</v>
      </c>
      <c r="C6419" s="22">
        <f>(1)*(1)*(1)*(1)*(1 + (0))</f>
      </c>
      <c r="D6419" s="22" t="s">
        <v>162</v>
      </c>
      <c r="E6419" s="22"/>
      <c r="F6419" s="22">
        <f>(0)</f>
      </c>
      <c r="G6419" s="22">
        <f>(C6419 * E6419 + C6419 * E6419 * F6419)</f>
      </c>
    </row>
    <row r="6420">
      <c r="A6420" s="5"/>
      <c r="B6420" s="16" t="s">
        <v>2251</v>
      </c>
      <c r="C6420" s="22">
        <f>(9)*(1)*(1)*(1)*(1 + (0))</f>
      </c>
      <c r="D6420" s="22" t="s">
        <v>162</v>
      </c>
      <c r="E6420" s="22"/>
      <c r="F6420" s="22">
        <f>(0)</f>
      </c>
      <c r="G6420" s="22">
        <f>(C6420 * E6420 + C6420 * E6420 * F6420)</f>
      </c>
    </row>
    <row r="6421">
      <c r="A6421" s="5"/>
      <c r="B6421" s="16" t="s">
        <v>1482</v>
      </c>
      <c r="C6421" s="22">
        <f>(13)*(1)*(1)*(1)*(1 + (0))</f>
      </c>
      <c r="D6421" s="22" t="s">
        <v>162</v>
      </c>
      <c r="E6421" s="22"/>
      <c r="F6421" s="22">
        <f>(0)</f>
      </c>
      <c r="G6421" s="22">
        <f>(C6421 * E6421 + C6421 * E6421 * F6421)</f>
      </c>
    </row>
    <row r="6422">
      <c r="A6422" s="5"/>
      <c r="B6422" s="16" t="s">
        <v>2252</v>
      </c>
      <c r="C6422" s="22">
        <f>(1)*(1)*(1)*(1)*(1 + (0))</f>
      </c>
      <c r="D6422" s="22" t="s">
        <v>162</v>
      </c>
      <c r="E6422" s="22"/>
      <c r="F6422" s="22">
        <f>(0)</f>
      </c>
      <c r="G6422" s="22">
        <f>(C6422 * E6422 + C6422 * E6422 * F6422)</f>
      </c>
    </row>
    <row r="6423">
      <c r="A6423" s="5"/>
      <c r="B6423" s="16" t="s">
        <v>2253</v>
      </c>
      <c r="C6423" s="22">
        <f>(1)*(1)*(1)*(1)*(1 + (0))</f>
      </c>
      <c r="D6423" s="22" t="s">
        <v>162</v>
      </c>
      <c r="E6423" s="22"/>
      <c r="F6423" s="22">
        <f>(0)</f>
      </c>
      <c r="G6423" s="22">
        <f>(C6423 * E6423 + C6423 * E6423 * F6423)</f>
      </c>
    </row>
    <row r="6424">
      <c r="A6424" s="5"/>
      <c r="B6424" s="16" t="s">
        <v>1807</v>
      </c>
      <c r="C6424" s="22">
        <f>(1)*(1)*(1)*(1)*(1 + (0))</f>
      </c>
      <c r="D6424" s="22" t="s">
        <v>162</v>
      </c>
      <c r="E6424" s="22"/>
      <c r="F6424" s="22">
        <f>(0)</f>
      </c>
      <c r="G6424" s="22">
        <f>(C6424 * E6424 + C6424 * E6424 * F6424)</f>
      </c>
    </row>
    <row r="6425">
      <c r="A6425" s="5"/>
      <c r="B6425" s="16" t="s">
        <v>2078</v>
      </c>
      <c r="C6425" s="22">
        <f>(1)*(1)*(1)*(1)*(1 + (0))</f>
      </c>
      <c r="D6425" s="22" t="s">
        <v>162</v>
      </c>
      <c r="E6425" s="22"/>
      <c r="F6425" s="22">
        <f>(0)</f>
      </c>
      <c r="G6425" s="22">
        <f>(C6425 * E6425 + C6425 * E6425 * F6425)</f>
      </c>
    </row>
    <row r="6426">
      <c r="A6426" s="5"/>
      <c r="B6426" s="16"/>
      <c r="C6426" s="22"/>
      <c r="D6426" s="22"/>
      <c r="E6426" s="22"/>
      <c r="F6426" s="22">
        <f>(0)</f>
      </c>
      <c r="G6426" s="22">
        <f>(C6426 * E6426 + C6426 * E6426 * F6426)</f>
      </c>
    </row>
    <row r="6427">
      <c r="A6427" s="5"/>
      <c r="B6427" s="16" t="s">
        <v>2080</v>
      </c>
      <c r="C6427" s="22">
        <f>(2)*(1)*(1)*(1)*(1 + (0))</f>
      </c>
      <c r="D6427" s="22" t="s">
        <v>162</v>
      </c>
      <c r="E6427" s="22"/>
      <c r="F6427" s="22">
        <f>(0)</f>
      </c>
      <c r="G6427" s="22">
        <f>(C6427 * E6427 + C6427 * E6427 * F6427)</f>
      </c>
    </row>
    <row r="6428">
      <c r="A6428" s="6"/>
      <c r="B6428" s="15" t="s">
        <v>1489</v>
      </c>
      <c r="C6428" s="23"/>
      <c r="D6428" s="23"/>
      <c r="E6428" s="23"/>
      <c r="F6428" s="23"/>
      <c r="G6428" s="23"/>
    </row>
    <row r="6429">
      <c r="A6429" s="5"/>
      <c r="B6429" s="16" t="s">
        <v>1492</v>
      </c>
      <c r="C6429" s="22">
        <f>(1)*(1)*(1)*(1)*(1 + (0))</f>
      </c>
      <c r="D6429" s="22" t="s">
        <v>162</v>
      </c>
      <c r="E6429" s="22"/>
      <c r="F6429" s="22">
        <f>(0)</f>
      </c>
      <c r="G6429" s="22">
        <f>(C6429 * E6429 + C6429 * E6429 * F6429)</f>
      </c>
    </row>
    <row r="6430">
      <c r="A6430" s="5"/>
      <c r="B6430" s="16" t="s">
        <v>2254</v>
      </c>
      <c r="C6430" s="22">
        <f>(1)*(1)*(1)*(1)*(1 + (0))</f>
      </c>
      <c r="D6430" s="22" t="s">
        <v>162</v>
      </c>
      <c r="E6430" s="22"/>
      <c r="F6430" s="22">
        <f>(0)</f>
      </c>
      <c r="G6430" s="22">
        <f>(C6430 * E6430 + C6430 * E6430 * F6430)</f>
      </c>
    </row>
    <row r="6431">
      <c r="A6431" s="5"/>
      <c r="B6431" s="16" t="s">
        <v>2255</v>
      </c>
      <c r="C6431" s="22">
        <f>(9)*(1)*(1)*(1)*(1 + (0))</f>
      </c>
      <c r="D6431" s="22" t="s">
        <v>162</v>
      </c>
      <c r="E6431" s="22"/>
      <c r="F6431" s="22">
        <f>(0)</f>
      </c>
      <c r="G6431" s="22">
        <f>(C6431 * E6431 + C6431 * E6431 * F6431)</f>
      </c>
    </row>
    <row r="6432">
      <c r="A6432" s="6"/>
      <c r="B6432" s="15" t="s">
        <v>1493</v>
      </c>
      <c r="C6432" s="23"/>
      <c r="D6432" s="23"/>
      <c r="E6432" s="23"/>
      <c r="F6432" s="23"/>
      <c r="G6432" s="23"/>
    </row>
    <row r="6433">
      <c r="A6433" s="5"/>
      <c r="B6433" s="16" t="s">
        <v>1494</v>
      </c>
      <c r="C6433" s="22">
        <f>(2)*(1)*(1)*(1)*(1 + (0))</f>
      </c>
      <c r="D6433" s="22" t="s">
        <v>162</v>
      </c>
      <c r="E6433" s="22"/>
      <c r="F6433" s="22">
        <f>(0)</f>
      </c>
      <c r="G6433" s="22">
        <f>(C6433 * E6433 + C6433 * E6433 * F6433)</f>
      </c>
    </row>
    <row r="6434">
      <c r="A6434" s="5"/>
      <c r="B6434" s="16" t="s">
        <v>2256</v>
      </c>
      <c r="C6434" s="22">
        <f>(1)*(1)*(1)*(1)*(1 + (0))</f>
      </c>
      <c r="D6434" s="22" t="s">
        <v>162</v>
      </c>
      <c r="E6434" s="22"/>
      <c r="F6434" s="22">
        <f>(0)</f>
      </c>
      <c r="G6434" s="22">
        <f>(C6434 * E6434 + C6434 * E6434 * F6434)</f>
      </c>
    </row>
    <row r="6435">
      <c r="A6435" s="6"/>
      <c r="B6435" s="15" t="s">
        <v>2083</v>
      </c>
      <c r="C6435" s="23"/>
      <c r="D6435" s="23"/>
      <c r="E6435" s="23"/>
      <c r="F6435" s="23"/>
      <c r="G6435" s="23"/>
    </row>
    <row r="6436">
      <c r="A6436" s="5"/>
      <c r="B6436" s="16" t="s">
        <v>1497</v>
      </c>
      <c r="C6436" s="22">
        <f>(7)*(1)*(1)*(1)*(1 + (0))</f>
      </c>
      <c r="D6436" s="22" t="s">
        <v>162</v>
      </c>
      <c r="E6436" s="22"/>
      <c r="F6436" s="22">
        <f>(0)</f>
      </c>
      <c r="G6436" s="22">
        <f>(C6436 * E6436 + C6436 * E6436 * F6436)</f>
      </c>
    </row>
    <row r="6437">
      <c r="A6437" s="4"/>
      <c r="B6437" s="12" t="s">
        <v>1499</v>
      </c>
      <c r="C6437" s="21"/>
      <c r="D6437" s="21"/>
      <c r="E6437" s="21"/>
      <c r="F6437" s="21"/>
      <c r="G6437" s="21"/>
    </row>
    <row r="6438">
      <c r="A6438" s="6"/>
      <c r="B6438" s="15" t="s">
        <v>1500</v>
      </c>
      <c r="C6438" s="23"/>
      <c r="D6438" s="23"/>
      <c r="E6438" s="23"/>
      <c r="F6438" s="23"/>
      <c r="G6438" s="23"/>
    </row>
    <row r="6439">
      <c r="A6439" s="5"/>
      <c r="B6439" s="16" t="s">
        <v>1501</v>
      </c>
      <c r="C6439" s="22">
        <f>(10)*(1)*(1)*(1)*(1 + (0))</f>
      </c>
      <c r="D6439" s="22" t="s">
        <v>162</v>
      </c>
      <c r="E6439" s="22"/>
      <c r="F6439" s="22">
        <f>(0)</f>
      </c>
      <c r="G6439" s="22">
        <f>(C6439 * E6439 + C6439 * E6439 * F6439)</f>
      </c>
    </row>
    <row r="6440">
      <c r="A6440" s="5"/>
      <c r="B6440" s="16" t="s">
        <v>1502</v>
      </c>
      <c r="C6440" s="22">
        <f>(1)*(1)*(1)*(1)*(1 + (0))</f>
      </c>
      <c r="D6440" s="22" t="s">
        <v>162</v>
      </c>
      <c r="E6440" s="22"/>
      <c r="F6440" s="22">
        <f>(0)</f>
      </c>
      <c r="G6440" s="22">
        <f>(C6440 * E6440 + C6440 * E6440 * F6440)</f>
      </c>
    </row>
    <row r="6441">
      <c r="A6441" s="5"/>
      <c r="B6441" s="16" t="s">
        <v>1503</v>
      </c>
      <c r="C6441" s="22">
        <f>(10)*(1)*(1)*(1)*(1 + (0))</f>
      </c>
      <c r="D6441" s="22" t="s">
        <v>162</v>
      </c>
      <c r="E6441" s="22"/>
      <c r="F6441" s="22">
        <f>(0)</f>
      </c>
      <c r="G6441" s="22">
        <f>(C6441 * E6441 + C6441 * E6441 * F6441)</f>
      </c>
    </row>
    <row r="6442">
      <c r="A6442" s="5"/>
      <c r="B6442" s="16" t="s">
        <v>1817</v>
      </c>
      <c r="C6442" s="22">
        <f>(15)*(1)*(1)*(1)*(1 + (0))</f>
      </c>
      <c r="D6442" s="22" t="s">
        <v>162</v>
      </c>
      <c r="E6442" s="22"/>
      <c r="F6442" s="22">
        <f>(0)</f>
      </c>
      <c r="G6442" s="22">
        <f>(C6442 * E6442 + C6442 * E6442 * F6442)</f>
      </c>
    </row>
    <row r="6443">
      <c r="A6443" s="5"/>
      <c r="B6443" s="16" t="s">
        <v>2084</v>
      </c>
      <c r="C6443" s="22">
        <f>(1)*(1)*(1)*(1)*(1 + (0))</f>
      </c>
      <c r="D6443" s="22" t="s">
        <v>162</v>
      </c>
      <c r="E6443" s="22"/>
      <c r="F6443" s="22">
        <f>(0)</f>
      </c>
      <c r="G6443" s="22">
        <f>(C6443 * E6443 + C6443 * E6443 * F6443)</f>
      </c>
    </row>
    <row r="6444">
      <c r="A6444" s="6"/>
      <c r="B6444" s="15" t="s">
        <v>1507</v>
      </c>
      <c r="C6444" s="23"/>
      <c r="D6444" s="23"/>
      <c r="E6444" s="23"/>
      <c r="F6444" s="23"/>
      <c r="G6444" s="23"/>
    </row>
    <row r="6445">
      <c r="A6445" s="5"/>
      <c r="B6445" s="16" t="s">
        <v>1819</v>
      </c>
      <c r="C6445" s="22">
        <f>(1)*(1)*(1)*(1)*(1 + (0))</f>
      </c>
      <c r="D6445" s="22" t="s">
        <v>162</v>
      </c>
      <c r="E6445" s="22"/>
      <c r="F6445" s="22">
        <f>(0)</f>
      </c>
      <c r="G6445" s="22">
        <f>(C6445 * E6445 + C6445 * E6445 * F6445)</f>
      </c>
    </row>
    <row r="6446">
      <c r="A6446" s="5"/>
      <c r="B6446" s="16" t="s">
        <v>2085</v>
      </c>
      <c r="C6446" s="22">
        <f>(1)*(1)*(1)*(1)*(1 + (0))</f>
      </c>
      <c r="D6446" s="22" t="s">
        <v>162</v>
      </c>
      <c r="E6446" s="22"/>
      <c r="F6446" s="22">
        <f>(0)</f>
      </c>
      <c r="G6446" s="22">
        <f>(C6446 * E6446 + C6446 * E6446 * F6446)</f>
      </c>
    </row>
    <row r="6447">
      <c r="A6447" s="6"/>
      <c r="B6447" s="15" t="s">
        <v>1511</v>
      </c>
      <c r="C6447" s="23"/>
      <c r="D6447" s="23"/>
      <c r="E6447" s="23"/>
      <c r="F6447" s="23"/>
      <c r="G6447" s="23"/>
    </row>
    <row r="6448">
      <c r="A6448" s="5"/>
      <c r="B6448" s="16" t="s">
        <v>1512</v>
      </c>
      <c r="C6448" s="22">
        <f>(1)*(1)*(1)*(1)*(1 + (0))</f>
      </c>
      <c r="D6448" s="22" t="s">
        <v>162</v>
      </c>
      <c r="E6448" s="22"/>
      <c r="F6448" s="22">
        <f>(0)</f>
      </c>
      <c r="G6448" s="22">
        <f>(C6448 * E6448 + C6448 * E6448 * F6448)</f>
      </c>
    </row>
    <row r="6449">
      <c r="A6449" s="5"/>
      <c r="B6449" s="16" t="s">
        <v>2086</v>
      </c>
      <c r="C6449" s="22">
        <f>(1)*(1)*(1)*(1)*(1 + (0))</f>
      </c>
      <c r="D6449" s="22" t="s">
        <v>162</v>
      </c>
      <c r="E6449" s="22"/>
      <c r="F6449" s="22">
        <f>(0)</f>
      </c>
      <c r="G6449" s="22">
        <f>(C6449 * E6449 + C6449 * E6449 * F6449)</f>
      </c>
    </row>
    <row r="6450">
      <c r="A6450" s="5"/>
      <c r="B6450" s="16" t="s">
        <v>1820</v>
      </c>
      <c r="C6450" s="22">
        <f>(2)*(1)*(1)*(1)*(1 + (0))</f>
      </c>
      <c r="D6450" s="22" t="s">
        <v>162</v>
      </c>
      <c r="E6450" s="22"/>
      <c r="F6450" s="22">
        <f>(0)</f>
      </c>
      <c r="G6450" s="22">
        <f>(C6450 * E6450 + C6450 * E6450 * F6450)</f>
      </c>
    </row>
    <row r="6451">
      <c r="A6451" s="5"/>
      <c r="B6451" s="16" t="s">
        <v>1506</v>
      </c>
      <c r="C6451" s="22">
        <f>(2)*(1)*(1)*(1)*(1 + (0))</f>
      </c>
      <c r="D6451" s="22" t="s">
        <v>162</v>
      </c>
      <c r="E6451" s="22"/>
      <c r="F6451" s="22">
        <f>(0)</f>
      </c>
      <c r="G6451" s="22">
        <f>(C6451 * E6451 + C6451 * E6451 * F6451)</f>
      </c>
    </row>
    <row r="6452">
      <c r="A6452" s="5"/>
      <c r="B6452" s="16" t="s">
        <v>2087</v>
      </c>
      <c r="C6452" s="22">
        <f>(1)*(1)*(1)*(1)*(1 + (0))</f>
      </c>
      <c r="D6452" s="22" t="s">
        <v>162</v>
      </c>
      <c r="E6452" s="22"/>
      <c r="F6452" s="22">
        <f>(0)</f>
      </c>
      <c r="G6452" s="22">
        <f>(C6452 * E6452 + C6452 * E6452 * F6452)</f>
      </c>
    </row>
    <row r="6453">
      <c r="A6453" s="6"/>
      <c r="B6453" s="15" t="s">
        <v>1516</v>
      </c>
      <c r="C6453" s="23"/>
      <c r="D6453" s="23"/>
      <c r="E6453" s="23"/>
      <c r="F6453" s="23"/>
      <c r="G6453" s="23"/>
    </row>
    <row r="6454">
      <c r="A6454" s="5"/>
      <c r="B6454" s="16" t="s">
        <v>1517</v>
      </c>
      <c r="C6454" s="22">
        <f>(1)*(1)*(1)*(1)*(1 + (0))</f>
      </c>
      <c r="D6454" s="22" t="s">
        <v>162</v>
      </c>
      <c r="E6454" s="22"/>
      <c r="F6454" s="22">
        <f>(0)</f>
      </c>
      <c r="G6454" s="22">
        <f>(C6454 * E6454 + C6454 * E6454 * F6454)</f>
      </c>
    </row>
    <row r="6455">
      <c r="A6455" s="5"/>
      <c r="B6455" s="16" t="s">
        <v>1518</v>
      </c>
      <c r="C6455" s="22">
        <f>(2)*(1)*(1)*(1)*(1 + (0))</f>
      </c>
      <c r="D6455" s="22" t="s">
        <v>162</v>
      </c>
      <c r="E6455" s="22"/>
      <c r="F6455" s="22">
        <f>(0)</f>
      </c>
      <c r="G6455" s="22">
        <f>(C6455 * E6455 + C6455 * E6455 * F6455)</f>
      </c>
    </row>
    <row r="6456">
      <c r="A6456" s="5"/>
      <c r="B6456" s="16" t="s">
        <v>2088</v>
      </c>
      <c r="C6456" s="22">
        <f>(4)*(1)*(1)*(1)*(1 + (0))</f>
      </c>
      <c r="D6456" s="22" t="s">
        <v>162</v>
      </c>
      <c r="E6456" s="22"/>
      <c r="F6456" s="22">
        <f>(0)</f>
      </c>
      <c r="G6456" s="22">
        <f>(C6456 * E6456 + C6456 * E6456 * F6456)</f>
      </c>
    </row>
    <row r="6457">
      <c r="A6457" s="6"/>
      <c r="B6457" s="15" t="s">
        <v>1520</v>
      </c>
      <c r="C6457" s="23"/>
      <c r="D6457" s="23"/>
      <c r="E6457" s="23"/>
      <c r="F6457" s="23"/>
      <c r="G6457" s="23"/>
    </row>
    <row r="6458">
      <c r="A6458" s="5"/>
      <c r="B6458" s="16" t="s">
        <v>1521</v>
      </c>
      <c r="C6458" s="22">
        <f>(1)*(1)*(1)*(1)*(1 + (0))</f>
      </c>
      <c r="D6458" s="22" t="s">
        <v>162</v>
      </c>
      <c r="E6458" s="22"/>
      <c r="F6458" s="22">
        <f>(0)</f>
      </c>
      <c r="G6458" s="22">
        <f>(C6458 * E6458 + C6458 * E6458 * F6458)</f>
      </c>
    </row>
    <row r="6459">
      <c r="A6459" s="6"/>
      <c r="B6459" s="15" t="s">
        <v>1523</v>
      </c>
      <c r="C6459" s="23"/>
      <c r="D6459" s="23"/>
      <c r="E6459" s="23"/>
      <c r="F6459" s="23"/>
      <c r="G6459" s="23"/>
    </row>
    <row r="6460">
      <c r="A6460" s="5"/>
      <c r="B6460" s="16" t="s">
        <v>2089</v>
      </c>
      <c r="C6460" s="22">
        <f>(1)*(1)*(1)*(1)*(1 + (0))</f>
      </c>
      <c r="D6460" s="22" t="s">
        <v>162</v>
      </c>
      <c r="E6460" s="22"/>
      <c r="F6460" s="22">
        <f>(0)</f>
      </c>
      <c r="G6460" s="22">
        <f>(C6460 * E6460 + C6460 * E6460 * F6460)</f>
      </c>
    </row>
    <row r="6461">
      <c r="A6461" s="5"/>
      <c r="B6461" s="16" t="s">
        <v>1525</v>
      </c>
      <c r="C6461" s="22">
        <f>(3)*(1)*(1)*(1)*(1 + (0))</f>
      </c>
      <c r="D6461" s="22" t="s">
        <v>162</v>
      </c>
      <c r="E6461" s="22"/>
      <c r="F6461" s="22">
        <f>(0)</f>
      </c>
      <c r="G6461" s="22">
        <f>(C6461 * E6461 + C6461 * E6461 * F6461)</f>
      </c>
    </row>
    <row r="6462">
      <c r="A6462" s="6"/>
      <c r="B6462" s="15" t="s">
        <v>1822</v>
      </c>
      <c r="C6462" s="23"/>
      <c r="D6462" s="23"/>
      <c r="E6462" s="23"/>
      <c r="F6462" s="23"/>
      <c r="G6462" s="23"/>
    </row>
    <row r="6463">
      <c r="A6463" s="5"/>
      <c r="B6463" s="16" t="s">
        <v>2257</v>
      </c>
      <c r="C6463" s="22">
        <f>(2)*(1)*(1)*(1)*(1 + (0))</f>
      </c>
      <c r="D6463" s="22" t="s">
        <v>162</v>
      </c>
      <c r="E6463" s="22"/>
      <c r="F6463" s="22">
        <f>(0)</f>
      </c>
      <c r="G6463" s="22">
        <f>(C6463 * E6463 + C6463 * E6463 * F6463)</f>
      </c>
    </row>
    <row r="6464">
      <c r="A6464" s="4"/>
      <c r="B6464" s="12" t="s">
        <v>1527</v>
      </c>
      <c r="C6464" s="21"/>
      <c r="D6464" s="21"/>
      <c r="E6464" s="21"/>
      <c r="F6464" s="21"/>
      <c r="G6464" s="21"/>
    </row>
    <row r="6465">
      <c r="A6465" s="5"/>
      <c r="B6465" s="13" t="s">
        <v>1528</v>
      </c>
      <c r="C6465" s="22">
        <f>(1)*(1)*(1)*(1)*(1 + (0))</f>
      </c>
      <c r="D6465" s="22" t="s">
        <v>162</v>
      </c>
      <c r="E6465" s="22"/>
      <c r="F6465" s="22">
        <f>(0)</f>
      </c>
      <c r="G6465" s="22">
        <f>(C6465 * E6465 + C6465 * E6465 * F6465)</f>
      </c>
    </row>
    <row r="6466">
      <c r="A6466" s="6"/>
      <c r="B6466" s="15" t="s">
        <v>2091</v>
      </c>
      <c r="C6466" s="23"/>
      <c r="D6466" s="23"/>
      <c r="E6466" s="23"/>
      <c r="F6466" s="23"/>
      <c r="G6466" s="23"/>
    </row>
    <row r="6467">
      <c r="A6467" s="5"/>
      <c r="B6467" s="16" t="s">
        <v>2095</v>
      </c>
      <c r="C6467" s="22">
        <f>(2)*(1)*(1)*(1)*(1 + (0))</f>
      </c>
      <c r="D6467" s="22" t="s">
        <v>162</v>
      </c>
      <c r="E6467" s="22"/>
      <c r="F6467" s="22">
        <f>(0)</f>
      </c>
      <c r="G6467" s="22">
        <f>(C6467 * E6467 + C6467 * E6467 * F6467)</f>
      </c>
    </row>
    <row r="6468">
      <c r="A6468" s="5"/>
      <c r="B6468" s="16" t="s">
        <v>2092</v>
      </c>
      <c r="C6468" s="22">
        <f>(1)*(1)*(1)*(1)*(1 + (0))</f>
      </c>
      <c r="D6468" s="22" t="s">
        <v>162</v>
      </c>
      <c r="E6468" s="22"/>
      <c r="F6468" s="22">
        <f>(0)</f>
      </c>
      <c r="G6468" s="22">
        <f>(C6468 * E6468 + C6468 * E6468 * F6468)</f>
      </c>
    </row>
    <row r="6469">
      <c r="A6469" s="5"/>
      <c r="B6469" s="16" t="s">
        <v>2094</v>
      </c>
      <c r="C6469" s="22">
        <f>(2)*(1)*(1)*(1)*(1 + (0))</f>
      </c>
      <c r="D6469" s="22" t="s">
        <v>162</v>
      </c>
      <c r="E6469" s="22"/>
      <c r="F6469" s="22">
        <f>(0)</f>
      </c>
      <c r="G6469" s="22">
        <f>(C6469 * E6469 + C6469 * E6469 * F6469)</f>
      </c>
    </row>
    <row r="6470">
      <c r="A6470" s="5"/>
      <c r="B6470" s="16" t="s">
        <v>2098</v>
      </c>
      <c r="C6470" s="22">
        <f>(1)*(1)*(1)*(1)*(1 + (0))</f>
      </c>
      <c r="D6470" s="22" t="s">
        <v>162</v>
      </c>
      <c r="E6470" s="22"/>
      <c r="F6470" s="22">
        <f>(0)</f>
      </c>
      <c r="G6470" s="22">
        <f>(C6470 * E6470 + C6470 * E6470 * F6470)</f>
      </c>
    </row>
    <row r="6471">
      <c r="A6471" s="5"/>
      <c r="B6471" s="16" t="s">
        <v>2258</v>
      </c>
      <c r="C6471" s="22">
        <f>(1)*(1)*(1)*(1)*(1 + (0))</f>
      </c>
      <c r="D6471" s="22" t="s">
        <v>162</v>
      </c>
      <c r="E6471" s="22"/>
      <c r="F6471" s="22">
        <f>(0)</f>
      </c>
      <c r="G6471" s="22">
        <f>(C6471 * E6471 + C6471 * E6471 * F6471)</f>
      </c>
    </row>
    <row r="6472">
      <c r="A6472" s="5"/>
      <c r="B6472" s="16" t="s">
        <v>2097</v>
      </c>
      <c r="C6472" s="22">
        <f>(1)*(1)*(1)*(1)*(1 + (0))</f>
      </c>
      <c r="D6472" s="22" t="s">
        <v>162</v>
      </c>
      <c r="E6472" s="22"/>
      <c r="F6472" s="22">
        <f>(0)</f>
      </c>
      <c r="G6472" s="22">
        <f>(C6472 * E6472 + C6472 * E6472 * F6472)</f>
      </c>
    </row>
    <row r="6473">
      <c r="A6473" s="5"/>
      <c r="B6473" s="16" t="s">
        <v>1532</v>
      </c>
      <c r="C6473" s="22">
        <f>(3)*(1)*(1)*(1)*(1 + (0))</f>
      </c>
      <c r="D6473" s="22" t="s">
        <v>162</v>
      </c>
      <c r="E6473" s="22"/>
      <c r="F6473" s="22">
        <f>(0)</f>
      </c>
      <c r="G6473" s="22">
        <f>(C6473 * E6473 + C6473 * E6473 * F6473)</f>
      </c>
    </row>
    <row r="6474">
      <c r="A6474" s="6"/>
      <c r="B6474" s="15" t="s">
        <v>1824</v>
      </c>
      <c r="C6474" s="23"/>
      <c r="D6474" s="23"/>
      <c r="E6474" s="23"/>
      <c r="F6474" s="23"/>
      <c r="G6474" s="23"/>
    </row>
    <row r="6475">
      <c r="A6475" s="5"/>
      <c r="B6475" s="16" t="s">
        <v>2259</v>
      </c>
      <c r="C6475" s="22">
        <f>(1)*(1)*(1)*(1)*(1 + (0))</f>
      </c>
      <c r="D6475" s="22" t="s">
        <v>162</v>
      </c>
      <c r="E6475" s="22"/>
      <c r="F6475" s="22">
        <f>(0)</f>
      </c>
      <c r="G6475" s="22">
        <f>(C6475 * E6475 + C6475 * E6475 * F6475)</f>
      </c>
    </row>
    <row r="6476">
      <c r="A6476" s="2"/>
      <c r="B6476" s="10" t="s">
        <v>1533</v>
      </c>
      <c r="C6476" s="19"/>
      <c r="D6476" s="19"/>
      <c r="E6476" s="19"/>
      <c r="F6476" s="19"/>
      <c r="G6476" s="19"/>
    </row>
    <row r="6477">
      <c r="A6477" s="3"/>
      <c r="B6477" s="11" t="s">
        <v>37</v>
      </c>
      <c r="C6477" s="20"/>
      <c r="D6477" s="20"/>
      <c r="E6477" s="20"/>
      <c r="F6477" s="20"/>
      <c r="G6477" s="20"/>
    </row>
    <row r="6478">
      <c r="A6478" s="5" t="s">
        <v>1285</v>
      </c>
      <c r="B6478" s="14" t="s">
        <v>39</v>
      </c>
      <c r="C6478" s="22"/>
      <c r="D6478" s="22" t="s">
        <v>10</v>
      </c>
      <c r="E6478" s="22"/>
      <c r="F6478" s="22">
        <f>(0)</f>
      </c>
      <c r="G6478" s="22">
        <f>(C6478 * E6478 + C6478 * E6478 * F6478)</f>
      </c>
    </row>
    <row r="6479">
      <c r="A6479" s="5" t="s">
        <v>1286</v>
      </c>
      <c r="B6479" s="14" t="s">
        <v>41</v>
      </c>
      <c r="C6479" s="22"/>
      <c r="D6479" s="22" t="s">
        <v>10</v>
      </c>
      <c r="E6479" s="22"/>
      <c r="F6479" s="22">
        <f>(0)</f>
      </c>
      <c r="G6479" s="22">
        <f>(C6479 * E6479 + C6479 * E6479 * F6479)</f>
      </c>
    </row>
    <row r="6480">
      <c r="A6480" s="3"/>
      <c r="B6480" s="11" t="s">
        <v>42</v>
      </c>
      <c r="C6480" s="20"/>
      <c r="D6480" s="20"/>
      <c r="E6480" s="20"/>
      <c r="F6480" s="20"/>
      <c r="G6480" s="20"/>
    </row>
    <row r="6481">
      <c r="A6481" s="5"/>
      <c r="B6481" s="14" t="s">
        <v>1287</v>
      </c>
      <c r="C6481" s="22"/>
      <c r="D6481" s="22" t="s">
        <v>10</v>
      </c>
      <c r="E6481" s="22"/>
      <c r="F6481" s="22">
        <f>(0)</f>
      </c>
      <c r="G6481" s="22">
        <f>(C6481 * E6481 + C6481 * E6481 * F6481)</f>
      </c>
    </row>
    <row r="6482">
      <c r="A6482" s="5"/>
      <c r="B6482" s="14" t="s">
        <v>1288</v>
      </c>
      <c r="C6482" s="22"/>
      <c r="D6482" s="22" t="s">
        <v>10</v>
      </c>
      <c r="E6482" s="22"/>
      <c r="F6482" s="22">
        <f>(0)</f>
      </c>
      <c r="G6482" s="22">
        <f>(C6482 * E6482 + C6482 * E6482 * F6482)</f>
      </c>
    </row>
    <row r="6483">
      <c r="A6483" s="5"/>
      <c r="B6483" s="14" t="s">
        <v>1289</v>
      </c>
      <c r="C6483" s="22"/>
      <c r="D6483" s="22" t="s">
        <v>10</v>
      </c>
      <c r="E6483" s="22"/>
      <c r="F6483" s="22">
        <f>(0)</f>
      </c>
      <c r="G6483" s="22">
        <f>(C6483 * E6483 + C6483 * E6483 * F6483)</f>
      </c>
    </row>
    <row r="6484">
      <c r="A6484" s="5"/>
      <c r="B6484" s="14" t="s">
        <v>1290</v>
      </c>
      <c r="C6484" s="22"/>
      <c r="D6484" s="22" t="s">
        <v>10</v>
      </c>
      <c r="E6484" s="22"/>
      <c r="F6484" s="22">
        <f>(0)</f>
      </c>
      <c r="G6484" s="22">
        <f>(C6484 * E6484 + C6484 * E6484 * F6484)</f>
      </c>
    </row>
    <row r="6485">
      <c r="A6485" s="3"/>
      <c r="B6485" s="11" t="s">
        <v>44</v>
      </c>
      <c r="C6485" s="20"/>
      <c r="D6485" s="20"/>
      <c r="E6485" s="20"/>
      <c r="F6485" s="20"/>
      <c r="G6485" s="20"/>
    </row>
    <row r="6486">
      <c r="A6486" s="4"/>
      <c r="B6486" s="12" t="s">
        <v>45</v>
      </c>
      <c r="C6486" s="21"/>
      <c r="D6486" s="21"/>
      <c r="E6486" s="21"/>
      <c r="F6486" s="21"/>
      <c r="G6486" s="21"/>
    </row>
    <row r="6487">
      <c r="A6487" s="5" t="s">
        <v>1291</v>
      </c>
      <c r="B6487" s="13" t="s">
        <v>767</v>
      </c>
      <c r="C6487" s="22"/>
      <c r="D6487" s="22" t="s">
        <v>10</v>
      </c>
      <c r="E6487" s="22"/>
      <c r="F6487" s="22">
        <f>(0)</f>
      </c>
      <c r="G6487" s="22">
        <f>(C6487 * E6487 + C6487 * E6487 * F6487)</f>
      </c>
    </row>
    <row r="6488">
      <c r="A6488" s="5" t="s">
        <v>1292</v>
      </c>
      <c r="B6488" s="13" t="s">
        <v>123</v>
      </c>
      <c r="C6488" s="22"/>
      <c r="D6488" s="22" t="s">
        <v>10</v>
      </c>
      <c r="E6488" s="22"/>
      <c r="F6488" s="22">
        <f>(0)</f>
      </c>
      <c r="G6488" s="22">
        <f>(C6488 * E6488 + C6488 * E6488 * F6488)</f>
      </c>
    </row>
    <row r="6489">
      <c r="A6489" s="3"/>
      <c r="B6489" s="11" t="s">
        <v>68</v>
      </c>
      <c r="C6489" s="20"/>
      <c r="D6489" s="20"/>
      <c r="E6489" s="20"/>
      <c r="F6489" s="20"/>
      <c r="G6489" s="20"/>
    </row>
    <row r="6490">
      <c r="A6490" s="5" t="s">
        <v>1293</v>
      </c>
      <c r="B6490" s="14" t="s">
        <v>230</v>
      </c>
      <c r="C6490" s="22">
        <f>(1)*(1)*(1)*(1)*(1 + (0))</f>
      </c>
      <c r="D6490" s="22" t="s">
        <v>71</v>
      </c>
      <c r="E6490" s="22"/>
      <c r="F6490" s="22">
        <f>(0)</f>
      </c>
      <c r="G6490" s="22">
        <f>(C6490 * E6490 + C6490 * E6490 * F6490)</f>
      </c>
    </row>
    <row r="6491">
      <c r="A6491" s="5" t="s">
        <v>1294</v>
      </c>
      <c r="B6491" s="14" t="s">
        <v>70</v>
      </c>
      <c r="C6491" s="22">
        <f>(1)*(1)*(1)*(1)*(1 + (0))</f>
      </c>
      <c r="D6491" s="22" t="s">
        <v>71</v>
      </c>
      <c r="E6491" s="22"/>
      <c r="F6491" s="22">
        <f>(0)</f>
      </c>
      <c r="G6491" s="22">
        <f>(C6491 * E6491 + C6491 * E6491 * F6491)</f>
      </c>
    </row>
    <row r="6492">
      <c r="A6492" s="5" t="s">
        <v>1295</v>
      </c>
      <c r="B6492" s="14" t="s">
        <v>906</v>
      </c>
      <c r="C6492" s="22">
        <f>(1)*(1)*(1)*(1)*(1 + (0))</f>
      </c>
      <c r="D6492" s="22" t="s">
        <v>71</v>
      </c>
      <c r="E6492" s="22"/>
      <c r="F6492" s="22">
        <f>(0)</f>
      </c>
      <c r="G6492" s="22">
        <f>(C6492 * E6492 + C6492 * E6492 * F6492)</f>
      </c>
    </row>
    <row r="6493">
      <c r="A6493" s="5" t="s">
        <v>1296</v>
      </c>
      <c r="B6493" s="14" t="s">
        <v>665</v>
      </c>
      <c r="C6493" s="22">
        <f>(1)*(1)*(1)*(1)*(1 + (0))</f>
      </c>
      <c r="D6493" s="22" t="s">
        <v>71</v>
      </c>
      <c r="E6493" s="22"/>
      <c r="F6493" s="22">
        <f>(0)</f>
      </c>
      <c r="G6493" s="22">
        <f>(C6493 * E6493 + C6493 * E6493 * F6493)</f>
      </c>
    </row>
    <row r="6494">
      <c r="A6494" s="3"/>
      <c r="B6494" s="11" t="s">
        <v>106</v>
      </c>
      <c r="C6494" s="20"/>
      <c r="D6494" s="20"/>
      <c r="E6494" s="20"/>
      <c r="F6494" s="20"/>
      <c r="G6494" s="20"/>
    </row>
    <row r="6495">
      <c r="A6495" s="5"/>
      <c r="B6495" s="14" t="s">
        <v>1455</v>
      </c>
      <c r="C6495" s="22"/>
      <c r="D6495" s="22" t="s">
        <v>1335</v>
      </c>
      <c r="E6495" s="22"/>
      <c r="F6495" s="22">
        <f>(0)</f>
      </c>
      <c r="G6495" s="22">
        <f>(C6495 * E6495 + C6495 * E6495 * F6495)</f>
      </c>
    </row>
    <row r="6496">
      <c r="A6496" s="3"/>
      <c r="B6496" s="11" t="s">
        <v>1534</v>
      </c>
      <c r="C6496" s="20"/>
      <c r="D6496" s="20"/>
      <c r="E6496" s="20"/>
      <c r="F6496" s="20"/>
      <c r="G6496" s="20"/>
    </row>
    <row r="6497">
      <c r="A6497" s="4"/>
      <c r="B6497" s="12" t="s">
        <v>1461</v>
      </c>
      <c r="C6497" s="21"/>
      <c r="D6497" s="21"/>
      <c r="E6497" s="21"/>
      <c r="F6497" s="21"/>
      <c r="G6497" s="21"/>
    </row>
    <row r="6498">
      <c r="A6498" s="6"/>
      <c r="B6498" s="15" t="s">
        <v>1535</v>
      </c>
      <c r="C6498" s="23"/>
      <c r="D6498" s="23"/>
      <c r="E6498" s="23"/>
      <c r="F6498" s="23"/>
      <c r="G6498" s="23"/>
    </row>
    <row r="6499">
      <c r="A6499" s="5"/>
      <c r="B6499" s="16" t="s">
        <v>2260</v>
      </c>
      <c r="C6499" s="22">
        <f>(20)*(1)*(1)*(1)*(1 + (0))</f>
      </c>
      <c r="D6499" s="22" t="s">
        <v>162</v>
      </c>
      <c r="E6499" s="22"/>
      <c r="F6499" s="22">
        <f>(0)</f>
      </c>
      <c r="G6499" s="22">
        <f>(C6499 * E6499 + C6499 * E6499 * F6499)</f>
      </c>
    </row>
    <row r="6500">
      <c r="A6500" s="5"/>
      <c r="B6500" s="16" t="s">
        <v>2261</v>
      </c>
      <c r="C6500" s="22">
        <f>(1)*(1)*(1)*(1)*(1 + (0))</f>
      </c>
      <c r="D6500" s="22" t="s">
        <v>162</v>
      </c>
      <c r="E6500" s="22"/>
      <c r="F6500" s="22">
        <f>(0)</f>
      </c>
      <c r="G6500" s="22">
        <f>(C6500 * E6500 + C6500 * E6500 * F6500)</f>
      </c>
    </row>
    <row r="6501">
      <c r="A6501" s="5"/>
      <c r="B6501" s="16" t="s">
        <v>2262</v>
      </c>
      <c r="C6501" s="22">
        <f>(1)*(1)*(1)*(1)*(1 + (0))</f>
      </c>
      <c r="D6501" s="22" t="s">
        <v>162</v>
      </c>
      <c r="E6501" s="22"/>
      <c r="F6501" s="22">
        <f>(0)</f>
      </c>
      <c r="G6501" s="22">
        <f>(C6501 * E6501 + C6501 * E6501 * F6501)</f>
      </c>
    </row>
    <row r="6502">
      <c r="A6502" s="5"/>
      <c r="B6502" s="16" t="s">
        <v>2263</v>
      </c>
      <c r="C6502" s="22">
        <f>(6)*(1)*(1)*(1)*(1 + (0))</f>
      </c>
      <c r="D6502" s="22" t="s">
        <v>162</v>
      </c>
      <c r="E6502" s="22"/>
      <c r="F6502" s="22">
        <f>(0)</f>
      </c>
      <c r="G6502" s="22">
        <f>(C6502 * E6502 + C6502 * E6502 * F6502)</f>
      </c>
    </row>
    <row r="6503">
      <c r="A6503" s="5"/>
      <c r="B6503" s="16" t="s">
        <v>2264</v>
      </c>
      <c r="C6503" s="22">
        <f>(3)*(1)*(1)*(1)*(1 + (0))</f>
      </c>
      <c r="D6503" s="22" t="s">
        <v>162</v>
      </c>
      <c r="E6503" s="22"/>
      <c r="F6503" s="22">
        <f>(0)</f>
      </c>
      <c r="G6503" s="22">
        <f>(C6503 * E6503 + C6503 * E6503 * F6503)</f>
      </c>
    </row>
    <row r="6504">
      <c r="A6504" s="5"/>
      <c r="B6504" s="16" t="s">
        <v>2265</v>
      </c>
      <c r="C6504" s="22">
        <f>(4)*(1)*(1)*(1)*(1 + (0))</f>
      </c>
      <c r="D6504" s="22" t="s">
        <v>162</v>
      </c>
      <c r="E6504" s="22"/>
      <c r="F6504" s="22">
        <f>(0)</f>
      </c>
      <c r="G6504" s="22">
        <f>(C6504 * E6504 + C6504 * E6504 * F6504)</f>
      </c>
    </row>
    <row r="6505">
      <c r="A6505" s="6"/>
      <c r="B6505" s="15" t="s">
        <v>1553</v>
      </c>
      <c r="C6505" s="23"/>
      <c r="D6505" s="23"/>
      <c r="E6505" s="23"/>
      <c r="F6505" s="23"/>
      <c r="G6505" s="23"/>
    </row>
    <row r="6506">
      <c r="A6506" s="5"/>
      <c r="B6506" s="16" t="s">
        <v>2266</v>
      </c>
      <c r="C6506" s="22">
        <f>(4)*(1)*(1)*(1)*(1 + (0))</f>
      </c>
      <c r="D6506" s="22" t="s">
        <v>162</v>
      </c>
      <c r="E6506" s="22"/>
      <c r="F6506" s="22">
        <f>(0)</f>
      </c>
      <c r="G6506" s="22">
        <f>(C6506 * E6506 + C6506 * E6506 * F6506)</f>
      </c>
    </row>
    <row r="6507">
      <c r="A6507" s="5"/>
      <c r="B6507" s="16" t="s">
        <v>2267</v>
      </c>
      <c r="C6507" s="22">
        <f>(1)*(1)*(1)*(1)*(1 + (0))</f>
      </c>
      <c r="D6507" s="22" t="s">
        <v>162</v>
      </c>
      <c r="E6507" s="22"/>
      <c r="F6507" s="22">
        <f>(0)</f>
      </c>
      <c r="G6507" s="22">
        <f>(C6507 * E6507 + C6507 * E6507 * F6507)</f>
      </c>
    </row>
    <row r="6508">
      <c r="A6508" s="5"/>
      <c r="B6508" s="16" t="s">
        <v>2268</v>
      </c>
      <c r="C6508" s="22">
        <f>(8)*(1)*(1)*(1)*(1 + (0))</f>
      </c>
      <c r="D6508" s="22" t="s">
        <v>162</v>
      </c>
      <c r="E6508" s="22"/>
      <c r="F6508" s="22">
        <f>(0)</f>
      </c>
      <c r="G6508" s="22">
        <f>(C6508 * E6508 + C6508 * E6508 * F6508)</f>
      </c>
    </row>
    <row r="6509">
      <c r="A6509" s="5"/>
      <c r="B6509" s="16" t="s">
        <v>2269</v>
      </c>
      <c r="C6509" s="22">
        <f>(1)*(1)*(1)*(1)*(1 + (0))</f>
      </c>
      <c r="D6509" s="22" t="s">
        <v>162</v>
      </c>
      <c r="E6509" s="22"/>
      <c r="F6509" s="22">
        <f>(0)</f>
      </c>
      <c r="G6509" s="22">
        <f>(C6509 * E6509 + C6509 * E6509 * F6509)</f>
      </c>
    </row>
    <row r="6510">
      <c r="A6510" s="5"/>
      <c r="B6510" s="16" t="s">
        <v>2270</v>
      </c>
      <c r="C6510" s="22">
        <f>(2)*(1)*(1)*(1)*(1 + (0))</f>
      </c>
      <c r="D6510" s="22" t="s">
        <v>162</v>
      </c>
      <c r="E6510" s="22"/>
      <c r="F6510" s="22">
        <f>(0)</f>
      </c>
      <c r="G6510" s="22">
        <f>(C6510 * E6510 + C6510 * E6510 * F6510)</f>
      </c>
    </row>
    <row r="6511">
      <c r="A6511" s="5"/>
      <c r="B6511" s="16" t="s">
        <v>2271</v>
      </c>
      <c r="C6511" s="22">
        <f>(1)*(1)*(1)*(1)*(1 + (0))</f>
      </c>
      <c r="D6511" s="22" t="s">
        <v>162</v>
      </c>
      <c r="E6511" s="22"/>
      <c r="F6511" s="22">
        <f>(0)</f>
      </c>
      <c r="G6511" s="22">
        <f>(C6511 * E6511 + C6511 * E6511 * F6511)</f>
      </c>
    </row>
    <row r="6512">
      <c r="A6512" s="5"/>
      <c r="B6512" s="16" t="s">
        <v>2272</v>
      </c>
      <c r="C6512" s="22">
        <f>(1)*(1)*(1)*(1)*(1 + (0))</f>
      </c>
      <c r="D6512" s="22" t="s">
        <v>162</v>
      </c>
      <c r="E6512" s="22"/>
      <c r="F6512" s="22">
        <f>(0)</f>
      </c>
      <c r="G6512" s="22">
        <f>(C6512 * E6512 + C6512 * E6512 * F6512)</f>
      </c>
    </row>
    <row r="6513">
      <c r="A6513" s="6"/>
      <c r="B6513" s="15" t="s">
        <v>1462</v>
      </c>
      <c r="C6513" s="23"/>
      <c r="D6513" s="23"/>
      <c r="E6513" s="23"/>
      <c r="F6513" s="23"/>
      <c r="G6513" s="23"/>
    </row>
    <row r="6514">
      <c r="A6514" s="5"/>
      <c r="B6514" s="16" t="s">
        <v>2273</v>
      </c>
      <c r="C6514" s="22">
        <f>(1)*(1)*(1)*(1)*(1 + (0))</f>
      </c>
      <c r="D6514" s="22" t="s">
        <v>162</v>
      </c>
      <c r="E6514" s="22"/>
      <c r="F6514" s="22">
        <f>(0)</f>
      </c>
      <c r="G6514" s="22">
        <f>(C6514 * E6514 + C6514 * E6514 * F6514)</f>
      </c>
    </row>
    <row r="6515">
      <c r="A6515" s="5"/>
      <c r="B6515" s="16" t="s">
        <v>2274</v>
      </c>
      <c r="C6515" s="22">
        <f>(2)*(1)*(1)*(1)*(1 + (0))</f>
      </c>
      <c r="D6515" s="22" t="s">
        <v>162</v>
      </c>
      <c r="E6515" s="22"/>
      <c r="F6515" s="22">
        <f>(0)</f>
      </c>
      <c r="G6515" s="22">
        <f>(C6515 * E6515 + C6515 * E6515 * F6515)</f>
      </c>
    </row>
    <row r="6516">
      <c r="A6516" s="5"/>
      <c r="B6516" s="16" t="s">
        <v>2275</v>
      </c>
      <c r="C6516" s="22">
        <f>(1)*(1)*(1)*(1)*(1 + (0))</f>
      </c>
      <c r="D6516" s="22" t="s">
        <v>162</v>
      </c>
      <c r="E6516" s="22"/>
      <c r="F6516" s="22">
        <f>(0)</f>
      </c>
      <c r="G6516" s="22">
        <f>(C6516 * E6516 + C6516 * E6516 * F6516)</f>
      </c>
    </row>
    <row r="6517">
      <c r="A6517" s="5"/>
      <c r="B6517" s="16" t="s">
        <v>2276</v>
      </c>
      <c r="C6517" s="22">
        <f>(6)*(1)*(1)*(1)*(1 + (0))</f>
      </c>
      <c r="D6517" s="22" t="s">
        <v>162</v>
      </c>
      <c r="E6517" s="22"/>
      <c r="F6517" s="22">
        <f>(0)</f>
      </c>
      <c r="G6517" s="22">
        <f>(C6517 * E6517 + C6517 * E6517 * F6517)</f>
      </c>
    </row>
    <row r="6518">
      <c r="A6518" s="5"/>
      <c r="B6518" s="16" t="s">
        <v>2277</v>
      </c>
      <c r="C6518" s="22">
        <f>(3)*(1)*(1)*(1)*(1 + (0))</f>
      </c>
      <c r="D6518" s="22" t="s">
        <v>162</v>
      </c>
      <c r="E6518" s="22"/>
      <c r="F6518" s="22">
        <f>(0)</f>
      </c>
      <c r="G6518" s="22">
        <f>(C6518 * E6518 + C6518 * E6518 * F6518)</f>
      </c>
    </row>
    <row r="6519">
      <c r="A6519" s="5"/>
      <c r="B6519" s="16" t="s">
        <v>2110</v>
      </c>
      <c r="C6519" s="22">
        <f>(1)*(1)*(1)*(1)*(1 + (0))</f>
      </c>
      <c r="D6519" s="22" t="s">
        <v>162</v>
      </c>
      <c r="E6519" s="22"/>
      <c r="F6519" s="22">
        <f>(0)</f>
      </c>
      <c r="G6519" s="22">
        <f>(C6519 * E6519 + C6519 * E6519 * F6519)</f>
      </c>
    </row>
    <row r="6520">
      <c r="A6520" s="5"/>
      <c r="B6520" s="16" t="s">
        <v>2278</v>
      </c>
      <c r="C6520" s="22">
        <f>(1)*(1)*(1)*(1)*(1 + (0))</f>
      </c>
      <c r="D6520" s="22" t="s">
        <v>162</v>
      </c>
      <c r="E6520" s="22"/>
      <c r="F6520" s="22">
        <f>(0)</f>
      </c>
      <c r="G6520" s="22">
        <f>(C6520 * E6520 + C6520 * E6520 * F6520)</f>
      </c>
    </row>
    <row r="6521">
      <c r="A6521" s="4"/>
      <c r="B6521" s="12" t="s">
        <v>1527</v>
      </c>
      <c r="C6521" s="21"/>
      <c r="D6521" s="21"/>
      <c r="E6521" s="21"/>
      <c r="F6521" s="21"/>
      <c r="G6521" s="21"/>
    </row>
    <row r="6522">
      <c r="A6522" s="5"/>
      <c r="B6522" s="13" t="s">
        <v>2279</v>
      </c>
      <c r="C6522" s="22">
        <f>(1)*(1)*(1)*(1)*(1 + (0))</f>
      </c>
      <c r="D6522" s="22" t="s">
        <v>162</v>
      </c>
      <c r="E6522" s="22"/>
      <c r="F6522" s="22">
        <f>(0)</f>
      </c>
      <c r="G6522" s="22">
        <f>(C6522 * E6522 + C6522 * E6522 * F6522)</f>
      </c>
    </row>
    <row r="6523">
      <c r="A6523" s="4"/>
      <c r="B6523" s="12" t="s">
        <v>1582</v>
      </c>
      <c r="C6523" s="21"/>
      <c r="D6523" s="21"/>
      <c r="E6523" s="21"/>
      <c r="F6523" s="21"/>
      <c r="G6523" s="21"/>
    </row>
    <row r="6524">
      <c r="A6524" s="6"/>
      <c r="B6524" s="15" t="s">
        <v>2280</v>
      </c>
      <c r="C6524" s="23"/>
      <c r="D6524" s="23"/>
      <c r="E6524" s="23"/>
      <c r="F6524" s="23"/>
      <c r="G6524" s="23"/>
    </row>
    <row r="6525">
      <c r="A6525" s="5"/>
      <c r="B6525" s="16" t="s">
        <v>2281</v>
      </c>
      <c r="C6525" s="22">
        <f>(1)*(1)*(1)*(1)*(1 + (0))</f>
      </c>
      <c r="D6525" s="22" t="s">
        <v>162</v>
      </c>
      <c r="E6525" s="22"/>
      <c r="F6525" s="22">
        <f>(0)</f>
      </c>
      <c r="G6525" s="22">
        <f>(C6525 * E6525 + C6525 * E6525 * F6525)</f>
      </c>
    </row>
    <row r="6526">
      <c r="A6526" s="5"/>
      <c r="B6526" s="16" t="s">
        <v>2282</v>
      </c>
      <c r="C6526" s="22">
        <f>(1)*(1)*(1)*(1)*(1 + (0))</f>
      </c>
      <c r="D6526" s="22" t="s">
        <v>162</v>
      </c>
      <c r="E6526" s="22"/>
      <c r="F6526" s="22">
        <f>(0)</f>
      </c>
      <c r="G6526" s="22">
        <f>(C6526 * E6526 + C6526 * E6526 * F6526)</f>
      </c>
    </row>
    <row r="6527">
      <c r="A6527" s="5"/>
      <c r="B6527" s="16" t="s">
        <v>2283</v>
      </c>
      <c r="C6527" s="22">
        <f>(1)*(1)*(1)*(1)*(1 + (0))</f>
      </c>
      <c r="D6527" s="22" t="s">
        <v>162</v>
      </c>
      <c r="E6527" s="22"/>
      <c r="F6527" s="22">
        <f>(0)</f>
      </c>
      <c r="G6527" s="22">
        <f>(C6527 * E6527 + C6527 * E6527 * F6527)</f>
      </c>
    </row>
    <row r="6528">
      <c r="A6528" s="5"/>
      <c r="B6528" s="16" t="s">
        <v>2284</v>
      </c>
      <c r="C6528" s="22">
        <f>(2)*(1)*(1)*(1)*(1 + (0))</f>
      </c>
      <c r="D6528" s="22" t="s">
        <v>162</v>
      </c>
      <c r="E6528" s="22"/>
      <c r="F6528" s="22">
        <f>(0)</f>
      </c>
      <c r="G6528" s="22">
        <f>(C6528 * E6528 + C6528 * E6528 * F6528)</f>
      </c>
    </row>
    <row r="6529">
      <c r="A6529" s="5"/>
      <c r="B6529" s="16" t="s">
        <v>2285</v>
      </c>
      <c r="C6529" s="22">
        <f>(2)*(1)*(1)*(1)*(1 + (0))</f>
      </c>
      <c r="D6529" s="22" t="s">
        <v>162</v>
      </c>
      <c r="E6529" s="22"/>
      <c r="F6529" s="22">
        <f>(0)</f>
      </c>
      <c r="G6529" s="22">
        <f>(C6529 * E6529 + C6529 * E6529 * F6529)</f>
      </c>
    </row>
    <row r="6530">
      <c r="A6530" s="5"/>
      <c r="B6530" s="16" t="s">
        <v>2286</v>
      </c>
      <c r="C6530" s="22">
        <f>(2)*(1)*(1)*(1)*(1 + (0))</f>
      </c>
      <c r="D6530" s="22" t="s">
        <v>162</v>
      </c>
      <c r="E6530" s="22"/>
      <c r="F6530" s="22">
        <f>(0)</f>
      </c>
      <c r="G6530" s="22">
        <f>(C6530 * E6530 + C6530 * E6530 * F6530)</f>
      </c>
    </row>
    <row r="6531">
      <c r="A6531" s="2"/>
      <c r="B6531" s="10" t="s">
        <v>1841</v>
      </c>
      <c r="C6531" s="19"/>
      <c r="D6531" s="19"/>
      <c r="E6531" s="19"/>
      <c r="F6531" s="19"/>
      <c r="G6531" s="19"/>
    </row>
    <row r="6532">
      <c r="A6532" s="3"/>
      <c r="B6532" s="11" t="s">
        <v>37</v>
      </c>
      <c r="C6532" s="20"/>
      <c r="D6532" s="20"/>
      <c r="E6532" s="20"/>
      <c r="F6532" s="20"/>
      <c r="G6532" s="20"/>
    </row>
    <row r="6533">
      <c r="A6533" s="5" t="s">
        <v>1285</v>
      </c>
      <c r="B6533" s="14" t="s">
        <v>39</v>
      </c>
      <c r="C6533" s="22"/>
      <c r="D6533" s="22" t="s">
        <v>10</v>
      </c>
      <c r="E6533" s="22"/>
      <c r="F6533" s="22">
        <f>(0)</f>
      </c>
      <c r="G6533" s="22">
        <f>(C6533 * E6533 + C6533 * E6533 * F6533)</f>
      </c>
    </row>
    <row r="6534">
      <c r="A6534" s="5" t="s">
        <v>1286</v>
      </c>
      <c r="B6534" s="14" t="s">
        <v>41</v>
      </c>
      <c r="C6534" s="22"/>
      <c r="D6534" s="22" t="s">
        <v>10</v>
      </c>
      <c r="E6534" s="22"/>
      <c r="F6534" s="22">
        <f>(0)</f>
      </c>
      <c r="G6534" s="22">
        <f>(C6534 * E6534 + C6534 * E6534 * F6534)</f>
      </c>
    </row>
    <row r="6535">
      <c r="A6535" s="3"/>
      <c r="B6535" s="11" t="s">
        <v>42</v>
      </c>
      <c r="C6535" s="20"/>
      <c r="D6535" s="20"/>
      <c r="E6535" s="20"/>
      <c r="F6535" s="20"/>
      <c r="G6535" s="20"/>
    </row>
    <row r="6536">
      <c r="A6536" s="5"/>
      <c r="B6536" s="14" t="s">
        <v>2287</v>
      </c>
      <c r="C6536" s="22"/>
      <c r="D6536" s="22" t="s">
        <v>10</v>
      </c>
      <c r="E6536" s="22"/>
      <c r="F6536" s="22">
        <f>(0)</f>
      </c>
      <c r="G6536" s="22">
        <f>(C6536 * E6536 + C6536 * E6536 * F6536)</f>
      </c>
    </row>
    <row r="6537">
      <c r="A6537" s="5"/>
      <c r="B6537" s="14" t="s">
        <v>1288</v>
      </c>
      <c r="C6537" s="22"/>
      <c r="D6537" s="22" t="s">
        <v>10</v>
      </c>
      <c r="E6537" s="22"/>
      <c r="F6537" s="22">
        <f>(0)</f>
      </c>
      <c r="G6537" s="22">
        <f>(C6537 * E6537 + C6537 * E6537 * F6537)</f>
      </c>
    </row>
    <row r="6538">
      <c r="A6538" s="5"/>
      <c r="B6538" s="14" t="s">
        <v>1289</v>
      </c>
      <c r="C6538" s="22"/>
      <c r="D6538" s="22" t="s">
        <v>10</v>
      </c>
      <c r="E6538" s="22"/>
      <c r="F6538" s="22">
        <f>(0)</f>
      </c>
      <c r="G6538" s="22">
        <f>(C6538 * E6538 + C6538 * E6538 * F6538)</f>
      </c>
    </row>
    <row r="6539">
      <c r="A6539" s="5"/>
      <c r="B6539" s="14" t="s">
        <v>1290</v>
      </c>
      <c r="C6539" s="22"/>
      <c r="D6539" s="22" t="s">
        <v>10</v>
      </c>
      <c r="E6539" s="22"/>
      <c r="F6539" s="22">
        <f>(0)</f>
      </c>
      <c r="G6539" s="22">
        <f>(C6539 * E6539 + C6539 * E6539 * F6539)</f>
      </c>
    </row>
    <row r="6540">
      <c r="A6540" s="3"/>
      <c r="B6540" s="11" t="s">
        <v>44</v>
      </c>
      <c r="C6540" s="20"/>
      <c r="D6540" s="20"/>
      <c r="E6540" s="20"/>
      <c r="F6540" s="20"/>
      <c r="G6540" s="20"/>
    </row>
    <row r="6541">
      <c r="A6541" s="4"/>
      <c r="B6541" s="12" t="s">
        <v>45</v>
      </c>
      <c r="C6541" s="21"/>
      <c r="D6541" s="21"/>
      <c r="E6541" s="21"/>
      <c r="F6541" s="21"/>
      <c r="G6541" s="21"/>
    </row>
    <row r="6542">
      <c r="A6542" s="5" t="s">
        <v>1291</v>
      </c>
      <c r="B6542" s="13" t="s">
        <v>767</v>
      </c>
      <c r="C6542" s="22"/>
      <c r="D6542" s="22" t="s">
        <v>10</v>
      </c>
      <c r="E6542" s="22"/>
      <c r="F6542" s="22">
        <f>(0)</f>
      </c>
      <c r="G6542" s="22">
        <f>(C6542 * E6542 + C6542 * E6542 * F6542)</f>
      </c>
    </row>
    <row r="6543">
      <c r="A6543" s="5" t="s">
        <v>1292</v>
      </c>
      <c r="B6543" s="13" t="s">
        <v>123</v>
      </c>
      <c r="C6543" s="22"/>
      <c r="D6543" s="22" t="s">
        <v>10</v>
      </c>
      <c r="E6543" s="22"/>
      <c r="F6543" s="22">
        <f>(0)</f>
      </c>
      <c r="G6543" s="22">
        <f>(C6543 * E6543 + C6543 * E6543 * F6543)</f>
      </c>
    </row>
    <row r="6544">
      <c r="A6544" s="3"/>
      <c r="B6544" s="11" t="s">
        <v>68</v>
      </c>
      <c r="C6544" s="20"/>
      <c r="D6544" s="20"/>
      <c r="E6544" s="20"/>
      <c r="F6544" s="20"/>
      <c r="G6544" s="20"/>
    </row>
    <row r="6545">
      <c r="A6545" s="5" t="s">
        <v>1293</v>
      </c>
      <c r="B6545" s="14" t="s">
        <v>230</v>
      </c>
      <c r="C6545" s="22">
        <f>(1)*(1)*(1)*(1)*(1 + (0))</f>
      </c>
      <c r="D6545" s="22" t="s">
        <v>71</v>
      </c>
      <c r="E6545" s="22"/>
      <c r="F6545" s="22">
        <f>(0)</f>
      </c>
      <c r="G6545" s="22">
        <f>(C6545 * E6545 + C6545 * E6545 * F6545)</f>
      </c>
    </row>
    <row r="6546">
      <c r="A6546" s="5" t="s">
        <v>1294</v>
      </c>
      <c r="B6546" s="14" t="s">
        <v>70</v>
      </c>
      <c r="C6546" s="22">
        <f>(1)*(1)*(1)*(1)*(1 + (0))</f>
      </c>
      <c r="D6546" s="22" t="s">
        <v>71</v>
      </c>
      <c r="E6546" s="22"/>
      <c r="F6546" s="22">
        <f>(0)</f>
      </c>
      <c r="G6546" s="22">
        <f>(C6546 * E6546 + C6546 * E6546 * F6546)</f>
      </c>
    </row>
    <row r="6547">
      <c r="A6547" s="5" t="s">
        <v>1295</v>
      </c>
      <c r="B6547" s="14" t="s">
        <v>906</v>
      </c>
      <c r="C6547" s="22">
        <f>(1)*(1)*(1)*(1)*(1 + (0))</f>
      </c>
      <c r="D6547" s="22" t="s">
        <v>71</v>
      </c>
      <c r="E6547" s="22"/>
      <c r="F6547" s="22">
        <f>(0)</f>
      </c>
      <c r="G6547" s="22">
        <f>(C6547 * E6547 + C6547 * E6547 * F6547)</f>
      </c>
    </row>
    <row r="6548">
      <c r="A6548" s="5" t="s">
        <v>1296</v>
      </c>
      <c r="B6548" s="14" t="s">
        <v>665</v>
      </c>
      <c r="C6548" s="22">
        <f>(1)*(1)*(1)*(1)*(1 + (0))</f>
      </c>
      <c r="D6548" s="22" t="s">
        <v>71</v>
      </c>
      <c r="E6548" s="22"/>
      <c r="F6548" s="22">
        <f>(0)</f>
      </c>
      <c r="G6548" s="22">
        <f>(C6548 * E6548 + C6548 * E6548 * F6548)</f>
      </c>
    </row>
    <row r="6549">
      <c r="A6549" s="3"/>
      <c r="B6549" s="11" t="s">
        <v>1587</v>
      </c>
      <c r="C6549" s="20"/>
      <c r="D6549" s="20"/>
      <c r="E6549" s="20"/>
      <c r="F6549" s="20"/>
      <c r="G6549" s="20"/>
    </row>
    <row r="6550">
      <c r="A6550" s="4"/>
      <c r="B6550" s="12" t="s">
        <v>1461</v>
      </c>
      <c r="C6550" s="21"/>
      <c r="D6550" s="21"/>
      <c r="E6550" s="21"/>
      <c r="F6550" s="21"/>
      <c r="G6550" s="21"/>
    </row>
    <row r="6551">
      <c r="A6551" s="6"/>
      <c r="B6551" s="15" t="s">
        <v>1535</v>
      </c>
      <c r="C6551" s="23"/>
      <c r="D6551" s="23"/>
      <c r="E6551" s="23"/>
      <c r="F6551" s="23"/>
      <c r="G6551" s="23"/>
    </row>
    <row r="6552">
      <c r="A6552" s="5"/>
      <c r="B6552" s="16" t="s">
        <v>2288</v>
      </c>
      <c r="C6552" s="22">
        <f>(4)*(1)*(1)*(1)*(1 + (0))</f>
      </c>
      <c r="D6552" s="22" t="s">
        <v>162</v>
      </c>
      <c r="E6552" s="22"/>
      <c r="F6552" s="22">
        <f>(0)</f>
      </c>
      <c r="G6552" s="22">
        <f>(C6552 * E6552 + C6552 * E6552 * F6552)</f>
      </c>
    </row>
    <row r="6553">
      <c r="A6553" s="5"/>
      <c r="B6553" s="16" t="s">
        <v>2289</v>
      </c>
      <c r="C6553" s="22">
        <f>(11)*(1)*(1)*(1)*(1 + (0))</f>
      </c>
      <c r="D6553" s="22" t="s">
        <v>162</v>
      </c>
      <c r="E6553" s="22"/>
      <c r="F6553" s="22">
        <f>(0)</f>
      </c>
      <c r="G6553" s="22">
        <f>(C6553 * E6553 + C6553 * E6553 * F6553)</f>
      </c>
    </row>
    <row r="6554">
      <c r="A6554" s="6"/>
      <c r="B6554" s="15" t="s">
        <v>1553</v>
      </c>
      <c r="C6554" s="23"/>
      <c r="D6554" s="23"/>
      <c r="E6554" s="23"/>
      <c r="F6554" s="23"/>
      <c r="G6554" s="23"/>
    </row>
    <row r="6555">
      <c r="A6555" s="5"/>
      <c r="B6555" s="16" t="s">
        <v>2269</v>
      </c>
      <c r="C6555" s="22">
        <f>(1)*(1)*(1)*(1)*(1 + (0))</f>
      </c>
      <c r="D6555" s="22" t="s">
        <v>162</v>
      </c>
      <c r="E6555" s="22"/>
      <c r="F6555" s="22">
        <f>(0)</f>
      </c>
      <c r="G6555" s="22">
        <f>(C6555 * E6555 + C6555 * E6555 * F6555)</f>
      </c>
    </row>
    <row r="6556">
      <c r="A6556" s="5"/>
      <c r="B6556" s="7"/>
      <c r="C6556" s="22"/>
      <c r="D6556" s="22"/>
      <c r="E6556" s="22"/>
      <c r="F6556" s="22">
        <f>(0)</f>
      </c>
      <c r="G6556" s="22">
        <f>(C6556 * E6556 + C6556 * E6556 * F6556)</f>
      </c>
    </row>
    <row r="6557">
      <c r="A6557" s="5"/>
      <c r="B6557" s="7"/>
      <c r="C6557" s="22"/>
      <c r="D6557" s="22"/>
      <c r="E6557" s="22"/>
      <c r="F6557" s="22">
        <f>(0)</f>
      </c>
      <c r="G6557" s="22">
        <f>(C6557 * E6557 + C6557 * E6557 * F6557)</f>
      </c>
    </row>
    <row r="6558">
      <c r="A6558" s="5"/>
      <c r="B6558" s="7" t="s">
        <v>33</v>
      </c>
      <c r="C6558" s="22"/>
      <c r="D6558" s="22"/>
      <c r="E6558" s="22"/>
      <c r="F6558" s="22">
        <f>(0)</f>
      </c>
      <c r="G6558" s="22">
        <f>(C6558 * E6558 + C6558 * E6558 * F6558)</f>
      </c>
    </row>
    <row r="6559">
      <c r="A6559" s="2"/>
      <c r="B6559" s="10" t="s">
        <v>2290</v>
      </c>
      <c r="C6559" s="19"/>
      <c r="D6559" s="19"/>
      <c r="E6559" s="19"/>
      <c r="F6559" s="19"/>
      <c r="G6559" s="19"/>
    </row>
    <row r="6560">
      <c r="A6560" s="3"/>
      <c r="B6560" s="11" t="s">
        <v>37</v>
      </c>
      <c r="C6560" s="20"/>
      <c r="D6560" s="20"/>
      <c r="E6560" s="20"/>
      <c r="F6560" s="20"/>
      <c r="G6560" s="20"/>
    </row>
    <row r="6561">
      <c r="A6561" s="5"/>
      <c r="B6561" s="14" t="s">
        <v>39</v>
      </c>
      <c r="C6561" s="22"/>
      <c r="D6561" s="22" t="s">
        <v>10</v>
      </c>
      <c r="E6561" s="22"/>
      <c r="F6561" s="22">
        <f>(0)</f>
      </c>
      <c r="G6561" s="22">
        <f>(C6561 * E6561 + C6561 * E6561 * F6561)</f>
      </c>
    </row>
    <row r="6562">
      <c r="A6562" s="5"/>
      <c r="B6562" s="14" t="s">
        <v>41</v>
      </c>
      <c r="C6562" s="22"/>
      <c r="D6562" s="22" t="s">
        <v>10</v>
      </c>
      <c r="E6562" s="22"/>
      <c r="F6562" s="22">
        <f>(0)</f>
      </c>
      <c r="G6562" s="22">
        <f>(C6562 * E6562 + C6562 * E6562 * F6562)</f>
      </c>
    </row>
    <row r="6563">
      <c r="A6563" s="5"/>
      <c r="B6563" s="14" t="s">
        <v>2291</v>
      </c>
      <c r="C6563" s="22"/>
      <c r="D6563" s="22" t="s">
        <v>10</v>
      </c>
      <c r="E6563" s="22"/>
      <c r="F6563" s="22">
        <f>(0)</f>
      </c>
      <c r="G6563" s="22">
        <f>(C6563 * E6563 + C6563 * E6563 * F6563)</f>
      </c>
    </row>
    <row r="6564">
      <c r="A6564" s="3"/>
      <c r="B6564" s="11" t="s">
        <v>42</v>
      </c>
      <c r="C6564" s="20"/>
      <c r="D6564" s="20"/>
      <c r="E6564" s="20"/>
      <c r="F6564" s="20"/>
      <c r="G6564" s="20"/>
    </row>
    <row r="6565">
      <c r="A6565" s="5"/>
      <c r="B6565" s="14" t="s">
        <v>2292</v>
      </c>
      <c r="C6565" s="22"/>
      <c r="D6565" s="22" t="s">
        <v>10</v>
      </c>
      <c r="E6565" s="22"/>
      <c r="F6565" s="22">
        <f>(0)</f>
      </c>
      <c r="G6565" s="22">
        <f>(C6565 * E6565 + C6565 * E6565 * F6565)</f>
      </c>
    </row>
    <row r="6566">
      <c r="A6566" s="5"/>
      <c r="B6566" s="14" t="s">
        <v>2293</v>
      </c>
      <c r="C6566" s="22"/>
      <c r="D6566" s="22" t="s">
        <v>10</v>
      </c>
      <c r="E6566" s="22"/>
      <c r="F6566" s="22">
        <f>(0)</f>
      </c>
      <c r="G6566" s="22">
        <f>(C6566 * E6566 + C6566 * E6566 * F6566)</f>
      </c>
    </row>
    <row r="6567">
      <c r="A6567" s="3"/>
      <c r="B6567" s="11" t="s">
        <v>44</v>
      </c>
      <c r="C6567" s="20"/>
      <c r="D6567" s="20"/>
      <c r="E6567" s="20"/>
      <c r="F6567" s="20"/>
      <c r="G6567" s="20"/>
    </row>
    <row r="6568">
      <c r="A6568" s="4"/>
      <c r="B6568" s="12" t="s">
        <v>45</v>
      </c>
      <c r="C6568" s="21"/>
      <c r="D6568" s="21"/>
      <c r="E6568" s="21"/>
      <c r="F6568" s="21"/>
      <c r="G6568" s="21"/>
    </row>
    <row r="6569">
      <c r="A6569" s="5"/>
      <c r="B6569" s="13" t="s">
        <v>2294</v>
      </c>
      <c r="C6569" s="22"/>
      <c r="D6569" s="22" t="s">
        <v>10</v>
      </c>
      <c r="E6569" s="22"/>
      <c r="F6569" s="22">
        <f>(0)</f>
      </c>
      <c r="G6569" s="22">
        <f>(C6569 * E6569 + C6569 * E6569 * F6569)</f>
      </c>
    </row>
    <row r="6570">
      <c r="A6570" s="5"/>
      <c r="B6570" s="13" t="s">
        <v>2295</v>
      </c>
      <c r="C6570" s="22"/>
      <c r="D6570" s="22" t="s">
        <v>10</v>
      </c>
      <c r="E6570" s="22"/>
      <c r="F6570" s="22">
        <f>(0)</f>
      </c>
      <c r="G6570" s="22">
        <f>(C6570 * E6570 + C6570 * E6570 * F6570)</f>
      </c>
    </row>
    <row r="6571">
      <c r="A6571" s="5"/>
      <c r="B6571" s="13" t="s">
        <v>2296</v>
      </c>
      <c r="C6571" s="22"/>
      <c r="D6571" s="22" t="s">
        <v>10</v>
      </c>
      <c r="E6571" s="22"/>
      <c r="F6571" s="22">
        <f>(0)</f>
      </c>
      <c r="G6571" s="22">
        <f>(C6571 * E6571 + C6571 * E6571 * F6571)</f>
      </c>
    </row>
    <row r="6572">
      <c r="A6572" s="5"/>
      <c r="B6572" s="13" t="s">
        <v>2297</v>
      </c>
      <c r="C6572" s="22"/>
      <c r="D6572" s="22" t="s">
        <v>10</v>
      </c>
      <c r="E6572" s="22"/>
      <c r="F6572" s="22">
        <f>(0)</f>
      </c>
      <c r="G6572" s="22">
        <f>(C6572 * E6572 + C6572 * E6572 * F6572)</f>
      </c>
    </row>
    <row r="6573">
      <c r="A6573" s="5"/>
      <c r="B6573" s="13" t="s">
        <v>2298</v>
      </c>
      <c r="C6573" s="22"/>
      <c r="D6573" s="22" t="s">
        <v>10</v>
      </c>
      <c r="E6573" s="22"/>
      <c r="F6573" s="22">
        <f>(0)</f>
      </c>
      <c r="G6573" s="22">
        <f>(C6573 * E6573 + C6573 * E6573 * F6573)</f>
      </c>
    </row>
    <row r="6574">
      <c r="A6574" s="5"/>
      <c r="B6574" s="13" t="s">
        <v>2299</v>
      </c>
      <c r="C6574" s="22"/>
      <c r="D6574" s="22" t="s">
        <v>10</v>
      </c>
      <c r="E6574" s="22"/>
      <c r="F6574" s="22">
        <f>(0)</f>
      </c>
      <c r="G6574" s="22">
        <f>(C6574 * E6574 + C6574 * E6574 * F6574)</f>
      </c>
    </row>
    <row r="6575">
      <c r="A6575" s="5"/>
      <c r="B6575" s="13" t="s">
        <v>65</v>
      </c>
      <c r="C6575" s="22"/>
      <c r="D6575" s="22" t="s">
        <v>10</v>
      </c>
      <c r="E6575" s="22"/>
      <c r="F6575" s="22">
        <f>(0)</f>
      </c>
      <c r="G6575" s="22">
        <f>(C6575 * E6575 + C6575 * E6575 * F6575)</f>
      </c>
    </row>
    <row r="6576">
      <c r="A6576" s="5"/>
      <c r="B6576" s="13" t="s">
        <v>654</v>
      </c>
      <c r="C6576" s="22"/>
      <c r="D6576" s="22" t="s">
        <v>10</v>
      </c>
      <c r="E6576" s="22"/>
      <c r="F6576" s="22">
        <f>(0)</f>
      </c>
      <c r="G6576" s="22">
        <f>(C6576 * E6576 + C6576 * E6576 * F6576)</f>
      </c>
    </row>
    <row r="6577">
      <c r="A6577" s="3"/>
      <c r="B6577" s="11" t="s">
        <v>68</v>
      </c>
      <c r="C6577" s="20"/>
      <c r="D6577" s="20"/>
      <c r="E6577" s="20"/>
      <c r="F6577" s="20"/>
      <c r="G6577" s="20"/>
    </row>
    <row r="6578">
      <c r="A6578" s="5"/>
      <c r="B6578" s="14" t="s">
        <v>2300</v>
      </c>
      <c r="C6578" s="22">
        <f>(1)*(1)*(1)*(1)*(1 + (0))</f>
      </c>
      <c r="D6578" s="22" t="s">
        <v>71</v>
      </c>
      <c r="E6578" s="22"/>
      <c r="F6578" s="22">
        <f>(0)</f>
      </c>
      <c r="G6578" s="22">
        <f>(C6578 * E6578 + C6578 * E6578 * F6578)</f>
      </c>
    </row>
    <row r="6579">
      <c r="A6579" s="5"/>
      <c r="B6579" s="14" t="s">
        <v>2301</v>
      </c>
      <c r="C6579" s="22">
        <f>(1)*(1)*(1)*(1)*(1 + (0))</f>
      </c>
      <c r="D6579" s="22" t="s">
        <v>71</v>
      </c>
      <c r="E6579" s="22"/>
      <c r="F6579" s="22">
        <f>(0)</f>
      </c>
      <c r="G6579" s="22">
        <f>(C6579 * E6579 + C6579 * E6579 * F6579)</f>
      </c>
    </row>
    <row r="6580">
      <c r="A6580" s="5"/>
      <c r="B6580" s="14" t="s">
        <v>2302</v>
      </c>
      <c r="C6580" s="22">
        <f>(1)*(1)*(1)*(1)*(1 + (0))</f>
      </c>
      <c r="D6580" s="22" t="s">
        <v>71</v>
      </c>
      <c r="E6580" s="22"/>
      <c r="F6580" s="22">
        <f>(0)</f>
      </c>
      <c r="G6580" s="22">
        <f>(C6580 * E6580 + C6580 * E6580 * F6580)</f>
      </c>
    </row>
    <row r="6581">
      <c r="A6581" s="5"/>
      <c r="B6581" s="14" t="s">
        <v>2303</v>
      </c>
      <c r="C6581" s="22">
        <f>(1)*(1)*(1)*(1)*(1 + (0))</f>
      </c>
      <c r="D6581" s="22" t="s">
        <v>71</v>
      </c>
      <c r="E6581" s="22"/>
      <c r="F6581" s="22">
        <f>(0)</f>
      </c>
      <c r="G6581" s="22">
        <f>(C6581 * E6581 + C6581 * E6581 * F6581)</f>
      </c>
    </row>
    <row r="6582">
      <c r="A6582" s="5"/>
      <c r="B6582" s="14" t="s">
        <v>2304</v>
      </c>
      <c r="C6582" s="22">
        <f>(1)*(1)*(1)*(1)*(1 + (0))</f>
      </c>
      <c r="D6582" s="22" t="s">
        <v>71</v>
      </c>
      <c r="E6582" s="22"/>
      <c r="F6582" s="22">
        <f>(0)</f>
      </c>
      <c r="G6582" s="22">
        <f>(C6582 * E6582 + C6582 * E6582 * F6582)</f>
      </c>
    </row>
    <row r="6583">
      <c r="A6583" s="5"/>
      <c r="B6583" s="14" t="s">
        <v>2305</v>
      </c>
      <c r="C6583" s="22">
        <f>(1)*(1)*(1)*(1)*(1 + (0))</f>
      </c>
      <c r="D6583" s="22" t="s">
        <v>71</v>
      </c>
      <c r="E6583" s="22"/>
      <c r="F6583" s="22">
        <f>(0)</f>
      </c>
      <c r="G6583" s="22">
        <f>(C6583 * E6583 + C6583 * E6583 * F6583)</f>
      </c>
    </row>
    <row r="6584">
      <c r="A6584" s="5"/>
      <c r="B6584" s="14" t="s">
        <v>2306</v>
      </c>
      <c r="C6584" s="22">
        <f>(1)*(1)*(1)*(1)*(1 + (0))</f>
      </c>
      <c r="D6584" s="22" t="s">
        <v>71</v>
      </c>
      <c r="E6584" s="22"/>
      <c r="F6584" s="22">
        <f>(0)</f>
      </c>
      <c r="G6584" s="22">
        <f>(C6584 * E6584 + C6584 * E6584 * F6584)</f>
      </c>
    </row>
    <row r="6585">
      <c r="A6585" s="5"/>
      <c r="B6585" s="14" t="s">
        <v>70</v>
      </c>
      <c r="C6585" s="22">
        <f>(1)*(1)*(1)*(1)*(1 + (0))</f>
      </c>
      <c r="D6585" s="22" t="s">
        <v>71</v>
      </c>
      <c r="E6585" s="22"/>
      <c r="F6585" s="22">
        <f>(0)</f>
      </c>
      <c r="G6585" s="22">
        <f>(C6585 * E6585 + C6585 * E6585 * F6585)</f>
      </c>
    </row>
    <row r="6586">
      <c r="A6586" s="5"/>
      <c r="B6586" s="14" t="s">
        <v>73</v>
      </c>
      <c r="C6586" s="22">
        <f>(1)*(1)*(1)*(1)*(1 + (0))</f>
      </c>
      <c r="D6586" s="22" t="s">
        <v>71</v>
      </c>
      <c r="E6586" s="22"/>
      <c r="F6586" s="22">
        <f>(0)</f>
      </c>
      <c r="G6586" s="22">
        <f>(C6586 * E6586 + C6586 * E6586 * F6586)</f>
      </c>
    </row>
    <row r="6587">
      <c r="A6587" s="5"/>
      <c r="B6587" s="14" t="s">
        <v>2307</v>
      </c>
      <c r="C6587" s="22">
        <f>(1)*(1)*(1)*(1)*(1 + (0))</f>
      </c>
      <c r="D6587" s="22" t="s">
        <v>71</v>
      </c>
      <c r="E6587" s="22"/>
      <c r="F6587" s="22">
        <f>(0)</f>
      </c>
      <c r="G6587" s="22">
        <f>(C6587 * E6587 + C6587 * E6587 * F6587)</f>
      </c>
    </row>
    <row r="6588">
      <c r="A6588" s="5"/>
      <c r="B6588" s="14" t="s">
        <v>95</v>
      </c>
      <c r="C6588" s="22">
        <f>(1)*(1)*(1)*(1)*(1 + (0))</f>
      </c>
      <c r="D6588" s="22" t="s">
        <v>71</v>
      </c>
      <c r="E6588" s="22"/>
      <c r="F6588" s="22">
        <f>(0)</f>
      </c>
      <c r="G6588" s="22">
        <f>(C6588 * E6588 + C6588 * E6588 * F6588)</f>
      </c>
    </row>
    <row r="6589">
      <c r="A6589" s="5"/>
      <c r="B6589" s="14" t="s">
        <v>85</v>
      </c>
      <c r="C6589" s="22">
        <f>(1)*(1)*(1)*(1)*(1 + (0))</f>
      </c>
      <c r="D6589" s="22" t="s">
        <v>71</v>
      </c>
      <c r="E6589" s="22"/>
      <c r="F6589" s="22">
        <f>(0)</f>
      </c>
      <c r="G6589" s="22">
        <f>(C6589 * E6589 + C6589 * E6589 * F6589)</f>
      </c>
    </row>
    <row r="6590">
      <c r="A6590" s="5"/>
      <c r="B6590" s="14" t="s">
        <v>2308</v>
      </c>
      <c r="C6590" s="22">
        <f>(1)*(1)*(1)*(1)*(1 + (0))</f>
      </c>
      <c r="D6590" s="22" t="s">
        <v>71</v>
      </c>
      <c r="E6590" s="22"/>
      <c r="F6590" s="22">
        <f>(0)</f>
      </c>
      <c r="G6590" s="22">
        <f>(C6590 * E6590 + C6590 * E6590 * F6590)</f>
      </c>
    </row>
    <row r="6591">
      <c r="A6591" s="5"/>
      <c r="B6591" s="14" t="s">
        <v>2309</v>
      </c>
      <c r="C6591" s="22">
        <f>(1)*(1)*(1)*(1)*(1 + (0))</f>
      </c>
      <c r="D6591" s="22" t="s">
        <v>71</v>
      </c>
      <c r="E6591" s="22"/>
      <c r="F6591" s="22">
        <f>(0)</f>
      </c>
      <c r="G6591" s="22">
        <f>(C6591 * E6591 + C6591 * E6591 * F6591)</f>
      </c>
    </row>
    <row r="6592">
      <c r="A6592" s="5"/>
      <c r="B6592" s="14" t="s">
        <v>2310</v>
      </c>
      <c r="C6592" s="22">
        <f>(1)*(1)*(1)*(1)*(1 + (0))</f>
      </c>
      <c r="D6592" s="22" t="s">
        <v>71</v>
      </c>
      <c r="E6592" s="22"/>
      <c r="F6592" s="22">
        <f>(0)</f>
      </c>
      <c r="G6592" s="22">
        <f>(C6592 * E6592 + C6592 * E6592 * F6592)</f>
      </c>
    </row>
    <row r="6593">
      <c r="A6593" s="5"/>
      <c r="B6593" s="14" t="s">
        <v>2311</v>
      </c>
      <c r="C6593" s="22">
        <f>(1)*(1)*(1)*(1)*(1 + (0))</f>
      </c>
      <c r="D6593" s="22" t="s">
        <v>71</v>
      </c>
      <c r="E6593" s="22"/>
      <c r="F6593" s="22">
        <f>(0)</f>
      </c>
      <c r="G6593" s="22">
        <f>(C6593 * E6593 + C6593 * E6593 * F6593)</f>
      </c>
    </row>
    <row r="6594">
      <c r="A6594" s="5"/>
      <c r="B6594" s="14" t="s">
        <v>2312</v>
      </c>
      <c r="C6594" s="22">
        <f>(1)*(1)*(1)*(1)*(1 + (0))</f>
      </c>
      <c r="D6594" s="22" t="s">
        <v>71</v>
      </c>
      <c r="E6594" s="22"/>
      <c r="F6594" s="22">
        <f>(0)</f>
      </c>
      <c r="G6594" s="22">
        <f>(C6594 * E6594 + C6594 * E6594 * F6594)</f>
      </c>
    </row>
    <row r="6595">
      <c r="A6595" s="5"/>
      <c r="B6595" s="14" t="s">
        <v>2313</v>
      </c>
      <c r="C6595" s="22">
        <f>(1)*(1)*(1)*(1)*(1 + (0))</f>
      </c>
      <c r="D6595" s="22" t="s">
        <v>71</v>
      </c>
      <c r="E6595" s="22"/>
      <c r="F6595" s="22">
        <f>(0)</f>
      </c>
      <c r="G6595" s="22">
        <f>(C6595 * E6595 + C6595 * E6595 * F6595)</f>
      </c>
    </row>
    <row r="6596">
      <c r="A6596" s="5"/>
      <c r="B6596" s="14" t="s">
        <v>2314</v>
      </c>
      <c r="C6596" s="22">
        <f>(1)*(1)*(1)*(1)*(1 + (0))</f>
      </c>
      <c r="D6596" s="22" t="s">
        <v>71</v>
      </c>
      <c r="E6596" s="22"/>
      <c r="F6596" s="22">
        <f>(0)</f>
      </c>
      <c r="G6596" s="22">
        <f>(C6596 * E6596 + C6596 * E6596 * F6596)</f>
      </c>
    </row>
    <row r="6597">
      <c r="A6597" s="3"/>
      <c r="B6597" s="11" t="s">
        <v>106</v>
      </c>
      <c r="C6597" s="20"/>
      <c r="D6597" s="20"/>
      <c r="E6597" s="20"/>
      <c r="F6597" s="20"/>
      <c r="G6597" s="20"/>
    </row>
    <row r="6598">
      <c r="A6598" s="5"/>
      <c r="B6598" s="14" t="s">
        <v>2315</v>
      </c>
      <c r="C6598" s="22"/>
      <c r="D6598" s="22" t="s">
        <v>10</v>
      </c>
      <c r="E6598" s="22"/>
      <c r="F6598" s="22">
        <f>(0)</f>
      </c>
      <c r="G6598" s="22">
        <f>(C6598 * E6598 + C6598 * E6598 * F6598)</f>
      </c>
    </row>
    <row r="6599">
      <c r="A6599" s="3"/>
      <c r="B6599" s="11" t="s">
        <v>2316</v>
      </c>
      <c r="C6599" s="20"/>
      <c r="D6599" s="20"/>
      <c r="E6599" s="20"/>
      <c r="F6599" s="20"/>
      <c r="G6599" s="20"/>
    </row>
    <row r="6600">
      <c r="A6600" s="5"/>
      <c r="B6600" s="14" t="s">
        <v>2317</v>
      </c>
      <c r="C6600" s="22">
        <f>(11)*(1)*(1)*(1)*(1 + (0))</f>
      </c>
      <c r="D6600" s="22" t="s">
        <v>153</v>
      </c>
      <c r="E6600" s="22"/>
      <c r="F6600" s="22">
        <f>(0)</f>
      </c>
      <c r="G6600" s="22">
        <f>(C6600 * E6600 + C6600 * E6600 * F6600)</f>
      </c>
    </row>
    <row r="6601">
      <c r="A6601" s="5"/>
      <c r="B6601" s="14" t="s">
        <v>2318</v>
      </c>
      <c r="C6601" s="22">
        <f>(7)*(1)*(1)*(1)*(1 + (0))</f>
      </c>
      <c r="D6601" s="22" t="s">
        <v>153</v>
      </c>
      <c r="E6601" s="22"/>
      <c r="F6601" s="22">
        <f>(0)</f>
      </c>
      <c r="G6601" s="22">
        <f>(C6601 * E6601 + C6601 * E6601 * F6601)</f>
      </c>
    </row>
    <row r="6602">
      <c r="A6602" s="2"/>
      <c r="B6602" s="10" t="s">
        <v>2319</v>
      </c>
      <c r="C6602" s="19"/>
      <c r="D6602" s="19"/>
      <c r="E6602" s="19"/>
      <c r="F6602" s="19"/>
      <c r="G6602" s="19"/>
    </row>
    <row r="6603">
      <c r="A6603" s="3"/>
      <c r="B6603" s="11" t="s">
        <v>37</v>
      </c>
      <c r="C6603" s="20"/>
      <c r="D6603" s="20"/>
      <c r="E6603" s="20"/>
      <c r="F6603" s="20"/>
      <c r="G6603" s="20"/>
    </row>
    <row r="6604">
      <c r="A6604" s="5" t="s">
        <v>38</v>
      </c>
      <c r="B6604" s="14" t="s">
        <v>39</v>
      </c>
      <c r="C6604" s="22"/>
      <c r="D6604" s="22" t="s">
        <v>10</v>
      </c>
      <c r="E6604" s="22"/>
      <c r="F6604" s="22">
        <f>(0)</f>
      </c>
      <c r="G6604" s="22">
        <f>(C6604 * E6604 + C6604 * E6604 * F6604)</f>
      </c>
    </row>
    <row r="6605">
      <c r="A6605" s="5" t="s">
        <v>40</v>
      </c>
      <c r="B6605" s="14" t="s">
        <v>41</v>
      </c>
      <c r="C6605" s="22"/>
      <c r="D6605" s="22" t="s">
        <v>10</v>
      </c>
      <c r="E6605" s="22"/>
      <c r="F6605" s="22">
        <f>(0)</f>
      </c>
      <c r="G6605" s="22">
        <f>(C6605 * E6605 + C6605 * E6605 * F6605)</f>
      </c>
    </row>
    <row r="6606">
      <c r="A6606" s="3"/>
      <c r="B6606" s="11" t="s">
        <v>42</v>
      </c>
      <c r="C6606" s="20"/>
      <c r="D6606" s="20"/>
      <c r="E6606" s="20"/>
      <c r="F6606" s="20"/>
      <c r="G6606" s="20"/>
    </row>
    <row r="6607">
      <c r="A6607" s="5"/>
      <c r="B6607" s="14" t="s">
        <v>2292</v>
      </c>
      <c r="C6607" s="22"/>
      <c r="D6607" s="22" t="s">
        <v>10</v>
      </c>
      <c r="E6607" s="22"/>
      <c r="F6607" s="22">
        <f>(0)</f>
      </c>
      <c r="G6607" s="22">
        <f>(C6607 * E6607 + C6607 * E6607 * F6607)</f>
      </c>
    </row>
    <row r="6608">
      <c r="A6608" s="5"/>
      <c r="B6608" s="14" t="s">
        <v>2320</v>
      </c>
      <c r="C6608" s="22"/>
      <c r="D6608" s="22" t="s">
        <v>10</v>
      </c>
      <c r="E6608" s="22"/>
      <c r="F6608" s="22">
        <f>(0)</f>
      </c>
      <c r="G6608" s="22">
        <f>(C6608 * E6608 + C6608 * E6608 * F6608)</f>
      </c>
    </row>
    <row r="6609">
      <c r="A6609" s="3"/>
      <c r="B6609" s="11" t="s">
        <v>44</v>
      </c>
      <c r="C6609" s="20"/>
      <c r="D6609" s="20"/>
      <c r="E6609" s="20"/>
      <c r="F6609" s="20"/>
      <c r="G6609" s="20"/>
    </row>
    <row r="6610">
      <c r="A6610" s="4"/>
      <c r="B6610" s="12" t="s">
        <v>45</v>
      </c>
      <c r="C6610" s="21"/>
      <c r="D6610" s="21"/>
      <c r="E6610" s="21"/>
      <c r="F6610" s="21"/>
      <c r="G6610" s="21"/>
    </row>
    <row r="6611">
      <c r="A6611" s="5" t="s">
        <v>46</v>
      </c>
      <c r="B6611" s="13" t="s">
        <v>47</v>
      </c>
      <c r="C6611" s="22"/>
      <c r="D6611" s="22" t="s">
        <v>10</v>
      </c>
      <c r="E6611" s="22"/>
      <c r="F6611" s="22">
        <f>(0)</f>
      </c>
      <c r="G6611" s="22">
        <f>(C6611 * E6611 + C6611 * E6611 * F6611)</f>
      </c>
    </row>
    <row r="6612">
      <c r="A6612" s="5" t="s">
        <v>48</v>
      </c>
      <c r="B6612" s="13" t="s">
        <v>49</v>
      </c>
      <c r="C6612" s="22"/>
      <c r="D6612" s="22" t="s">
        <v>10</v>
      </c>
      <c r="E6612" s="22"/>
      <c r="F6612" s="22">
        <f>(0)</f>
      </c>
      <c r="G6612" s="22">
        <f>(C6612 * E6612 + C6612 * E6612 * F6612)</f>
      </c>
    </row>
    <row r="6613">
      <c r="A6613" s="5" t="s">
        <v>50</v>
      </c>
      <c r="B6613" s="13" t="s">
        <v>51</v>
      </c>
      <c r="C6613" s="22"/>
      <c r="D6613" s="22" t="s">
        <v>10</v>
      </c>
      <c r="E6613" s="22"/>
      <c r="F6613" s="22">
        <f>(0)</f>
      </c>
      <c r="G6613" s="22">
        <f>(C6613 * E6613 + C6613 * E6613 * F6613)</f>
      </c>
    </row>
    <row r="6614">
      <c r="A6614" s="5" t="s">
        <v>52</v>
      </c>
      <c r="B6614" s="13" t="s">
        <v>53</v>
      </c>
      <c r="C6614" s="22"/>
      <c r="D6614" s="22" t="s">
        <v>10</v>
      </c>
      <c r="E6614" s="22"/>
      <c r="F6614" s="22">
        <f>(0)</f>
      </c>
      <c r="G6614" s="22">
        <f>(C6614 * E6614 + C6614 * E6614 * F6614)</f>
      </c>
    </row>
    <row r="6615">
      <c r="A6615" s="5" t="s">
        <v>54</v>
      </c>
      <c r="B6615" s="13" t="s">
        <v>55</v>
      </c>
      <c r="C6615" s="22"/>
      <c r="D6615" s="22" t="s">
        <v>10</v>
      </c>
      <c r="E6615" s="22"/>
      <c r="F6615" s="22">
        <f>(0)</f>
      </c>
      <c r="G6615" s="22">
        <f>(C6615 * E6615 + C6615 * E6615 * F6615)</f>
      </c>
    </row>
    <row r="6616">
      <c r="A6616" s="5" t="s">
        <v>56</v>
      </c>
      <c r="B6616" s="13" t="s">
        <v>57</v>
      </c>
      <c r="C6616" s="22"/>
      <c r="D6616" s="22" t="s">
        <v>10</v>
      </c>
      <c r="E6616" s="22"/>
      <c r="F6616" s="22">
        <f>(0)</f>
      </c>
      <c r="G6616" s="22">
        <f>(C6616 * E6616 + C6616 * E6616 * F6616)</f>
      </c>
    </row>
    <row r="6617">
      <c r="A6617" s="5" t="s">
        <v>58</v>
      </c>
      <c r="B6617" s="13" t="s">
        <v>59</v>
      </c>
      <c r="C6617" s="22"/>
      <c r="D6617" s="22" t="s">
        <v>10</v>
      </c>
      <c r="E6617" s="22"/>
      <c r="F6617" s="22">
        <f>(0)</f>
      </c>
      <c r="G6617" s="22">
        <f>(C6617 * E6617 + C6617 * E6617 * F6617)</f>
      </c>
    </row>
    <row r="6618">
      <c r="A6618" s="5" t="s">
        <v>60</v>
      </c>
      <c r="B6618" s="13" t="s">
        <v>61</v>
      </c>
      <c r="C6618" s="22"/>
      <c r="D6618" s="22" t="s">
        <v>10</v>
      </c>
      <c r="E6618" s="22"/>
      <c r="F6618" s="22">
        <f>(0)</f>
      </c>
      <c r="G6618" s="22">
        <f>(C6618 * E6618 + C6618 * E6618 * F6618)</f>
      </c>
    </row>
    <row r="6619">
      <c r="A6619" s="5" t="s">
        <v>62</v>
      </c>
      <c r="B6619" s="13" t="s">
        <v>63</v>
      </c>
      <c r="C6619" s="22"/>
      <c r="D6619" s="22" t="s">
        <v>10</v>
      </c>
      <c r="E6619" s="22"/>
      <c r="F6619" s="22">
        <f>(0)</f>
      </c>
      <c r="G6619" s="22">
        <f>(C6619 * E6619 + C6619 * E6619 * F6619)</f>
      </c>
    </row>
    <row r="6620">
      <c r="A6620" s="5" t="s">
        <v>64</v>
      </c>
      <c r="B6620" s="13" t="s">
        <v>65</v>
      </c>
      <c r="C6620" s="22"/>
      <c r="D6620" s="22" t="s">
        <v>10</v>
      </c>
      <c r="E6620" s="22"/>
      <c r="F6620" s="22">
        <f>(0)</f>
      </c>
      <c r="G6620" s="22">
        <f>(C6620 * E6620 + C6620 * E6620 * F6620)</f>
      </c>
    </row>
    <row r="6621">
      <c r="A6621" s="5" t="s">
        <v>66</v>
      </c>
      <c r="B6621" s="13" t="s">
        <v>67</v>
      </c>
      <c r="C6621" s="22"/>
      <c r="D6621" s="22" t="s">
        <v>10</v>
      </c>
      <c r="E6621" s="22"/>
      <c r="F6621" s="22">
        <f>(0)</f>
      </c>
      <c r="G6621" s="22">
        <f>(C6621 * E6621 + C6621 * E6621 * F6621)</f>
      </c>
    </row>
    <row r="6622">
      <c r="A6622" s="3"/>
      <c r="B6622" s="11" t="s">
        <v>68</v>
      </c>
      <c r="C6622" s="20"/>
      <c r="D6622" s="20"/>
      <c r="E6622" s="20"/>
      <c r="F6622" s="20"/>
      <c r="G6622" s="20"/>
    </row>
    <row r="6623">
      <c r="A6623" s="5" t="s">
        <v>69</v>
      </c>
      <c r="B6623" s="14" t="s">
        <v>70</v>
      </c>
      <c r="C6623" s="22">
        <f>(1)*(1)*(1)*(1)*(1 + (0))</f>
      </c>
      <c r="D6623" s="22" t="s">
        <v>71</v>
      </c>
      <c r="E6623" s="22"/>
      <c r="F6623" s="22">
        <f>(0)</f>
      </c>
      <c r="G6623" s="22">
        <f>(C6623 * E6623 + C6623 * E6623 * F6623)</f>
      </c>
    </row>
    <row r="6624">
      <c r="A6624" s="5" t="s">
        <v>72</v>
      </c>
      <c r="B6624" s="14" t="s">
        <v>73</v>
      </c>
      <c r="C6624" s="22">
        <f>(1)*(1)*(1)*(1)*(1 + (0))</f>
      </c>
      <c r="D6624" s="22" t="s">
        <v>71</v>
      </c>
      <c r="E6624" s="22"/>
      <c r="F6624" s="22">
        <f>(0)</f>
      </c>
      <c r="G6624" s="22">
        <f>(C6624 * E6624 + C6624 * E6624 * F6624)</f>
      </c>
    </row>
    <row r="6625">
      <c r="A6625" s="5" t="s">
        <v>74</v>
      </c>
      <c r="B6625" s="14" t="s">
        <v>75</v>
      </c>
      <c r="C6625" s="22">
        <f>(1)*(1)*(1)*(1)*(1 + (0))</f>
      </c>
      <c r="D6625" s="22" t="s">
        <v>71</v>
      </c>
      <c r="E6625" s="22"/>
      <c r="F6625" s="22">
        <f>(0)</f>
      </c>
      <c r="G6625" s="22">
        <f>(C6625 * E6625 + C6625 * E6625 * F6625)</f>
      </c>
    </row>
    <row r="6626">
      <c r="A6626" s="5" t="s">
        <v>76</v>
      </c>
      <c r="B6626" s="14" t="s">
        <v>77</v>
      </c>
      <c r="C6626" s="22">
        <f>(1)*(1)*(1)*(1)*(1 + (0))</f>
      </c>
      <c r="D6626" s="22" t="s">
        <v>71</v>
      </c>
      <c r="E6626" s="22"/>
      <c r="F6626" s="22">
        <f>(0)</f>
      </c>
      <c r="G6626" s="22">
        <f>(C6626 * E6626 + C6626 * E6626 * F6626)</f>
      </c>
    </row>
    <row r="6627">
      <c r="A6627" s="5" t="s">
        <v>78</v>
      </c>
      <c r="B6627" s="14" t="s">
        <v>79</v>
      </c>
      <c r="C6627" s="22">
        <f>(1)*(1)*(1)*(1)*(1 + (0))</f>
      </c>
      <c r="D6627" s="22" t="s">
        <v>71</v>
      </c>
      <c r="E6627" s="22"/>
      <c r="F6627" s="22">
        <f>(0)</f>
      </c>
      <c r="G6627" s="22">
        <f>(C6627 * E6627 + C6627 * E6627 * F6627)</f>
      </c>
    </row>
    <row r="6628">
      <c r="A6628" s="5" t="s">
        <v>80</v>
      </c>
      <c r="B6628" s="14" t="s">
        <v>81</v>
      </c>
      <c r="C6628" s="22">
        <f>(1)*(1)*(1)*(1)*(1 + (0))</f>
      </c>
      <c r="D6628" s="22" t="s">
        <v>71</v>
      </c>
      <c r="E6628" s="22"/>
      <c r="F6628" s="22">
        <f>(0)</f>
      </c>
      <c r="G6628" s="22">
        <f>(C6628 * E6628 + C6628 * E6628 * F6628)</f>
      </c>
    </row>
    <row r="6629">
      <c r="A6629" s="5" t="s">
        <v>82</v>
      </c>
      <c r="B6629" s="14" t="s">
        <v>83</v>
      </c>
      <c r="C6629" s="22">
        <f>(1)*(1)*(1)*(1)*(1 + (0))</f>
      </c>
      <c r="D6629" s="22" t="s">
        <v>71</v>
      </c>
      <c r="E6629" s="22"/>
      <c r="F6629" s="22">
        <f>(0)</f>
      </c>
      <c r="G6629" s="22">
        <f>(C6629 * E6629 + C6629 * E6629 * F6629)</f>
      </c>
    </row>
    <row r="6630">
      <c r="A6630" s="5" t="s">
        <v>84</v>
      </c>
      <c r="B6630" s="14" t="s">
        <v>85</v>
      </c>
      <c r="C6630" s="22">
        <f>(1)*(1)*(1)*(1)*(1 + (0))</f>
      </c>
      <c r="D6630" s="22" t="s">
        <v>71</v>
      </c>
      <c r="E6630" s="22"/>
      <c r="F6630" s="22">
        <f>(0)</f>
      </c>
      <c r="G6630" s="22">
        <f>(C6630 * E6630 + C6630 * E6630 * F6630)</f>
      </c>
    </row>
    <row r="6631">
      <c r="A6631" s="5" t="s">
        <v>86</v>
      </c>
      <c r="B6631" s="14" t="s">
        <v>87</v>
      </c>
      <c r="C6631" s="22">
        <f>(1)*(1)*(1)*(1)*(1 + (0))</f>
      </c>
      <c r="D6631" s="22" t="s">
        <v>71</v>
      </c>
      <c r="E6631" s="22"/>
      <c r="F6631" s="22">
        <f>(0)</f>
      </c>
      <c r="G6631" s="22">
        <f>(C6631 * E6631 + C6631 * E6631 * F6631)</f>
      </c>
    </row>
    <row r="6632">
      <c r="A6632" s="5" t="s">
        <v>88</v>
      </c>
      <c r="B6632" s="14" t="s">
        <v>89</v>
      </c>
      <c r="C6632" s="22">
        <f>(1)*(1)*(1)*(1)*(1 + (0))</f>
      </c>
      <c r="D6632" s="22" t="s">
        <v>71</v>
      </c>
      <c r="E6632" s="22"/>
      <c r="F6632" s="22">
        <f>(0)</f>
      </c>
      <c r="G6632" s="22">
        <f>(C6632 * E6632 + C6632 * E6632 * F6632)</f>
      </c>
    </row>
    <row r="6633">
      <c r="A6633" s="5" t="s">
        <v>90</v>
      </c>
      <c r="B6633" s="14" t="s">
        <v>91</v>
      </c>
      <c r="C6633" s="22">
        <f>(1)*(1)*(1)*(1)*(1 + (0))</f>
      </c>
      <c r="D6633" s="22" t="s">
        <v>71</v>
      </c>
      <c r="E6633" s="22"/>
      <c r="F6633" s="22">
        <f>(0)</f>
      </c>
      <c r="G6633" s="22">
        <f>(C6633 * E6633 + C6633 * E6633 * F6633)</f>
      </c>
    </row>
    <row r="6634">
      <c r="A6634" s="5" t="s">
        <v>92</v>
      </c>
      <c r="B6634" s="14" t="s">
        <v>93</v>
      </c>
      <c r="C6634" s="22">
        <f>(1)*(1)*(1)*(1)*(1 + (0))</f>
      </c>
      <c r="D6634" s="22" t="s">
        <v>71</v>
      </c>
      <c r="E6634" s="22"/>
      <c r="F6634" s="22">
        <f>(0)</f>
      </c>
      <c r="G6634" s="22">
        <f>(C6634 * E6634 + C6634 * E6634 * F6634)</f>
      </c>
    </row>
    <row r="6635">
      <c r="A6635" s="5" t="s">
        <v>94</v>
      </c>
      <c r="B6635" s="14" t="s">
        <v>95</v>
      </c>
      <c r="C6635" s="22">
        <f>(1)*(1)*(1)*(1)*(1 + (0))</f>
      </c>
      <c r="D6635" s="22" t="s">
        <v>71</v>
      </c>
      <c r="E6635" s="22"/>
      <c r="F6635" s="22">
        <f>(0)</f>
      </c>
      <c r="G6635" s="22">
        <f>(C6635 * E6635 + C6635 * E6635 * F6635)</f>
      </c>
    </row>
    <row r="6636">
      <c r="A6636" s="5" t="s">
        <v>96</v>
      </c>
      <c r="B6636" s="14" t="s">
        <v>97</v>
      </c>
      <c r="C6636" s="22">
        <f>(1)*(1)*(1)*(1)*(1 + (0))</f>
      </c>
      <c r="D6636" s="22" t="s">
        <v>71</v>
      </c>
      <c r="E6636" s="22"/>
      <c r="F6636" s="22">
        <f>(0)</f>
      </c>
      <c r="G6636" s="22">
        <f>(C6636 * E6636 + C6636 * E6636 * F6636)</f>
      </c>
    </row>
    <row r="6637">
      <c r="A6637" s="5" t="s">
        <v>98</v>
      </c>
      <c r="B6637" s="14" t="s">
        <v>2321</v>
      </c>
      <c r="C6637" s="22">
        <f>(1)*(1)*(1)*(1)*(1 + (0))</f>
      </c>
      <c r="D6637" s="22" t="s">
        <v>71</v>
      </c>
      <c r="E6637" s="22"/>
      <c r="F6637" s="22">
        <f>(0)</f>
      </c>
      <c r="G6637" s="22">
        <f>(C6637 * E6637 + C6637 * E6637 * F6637)</f>
      </c>
    </row>
    <row r="6638">
      <c r="A6638" s="5" t="s">
        <v>100</v>
      </c>
      <c r="B6638" s="14" t="s">
        <v>101</v>
      </c>
      <c r="C6638" s="22">
        <f>(1)*(1)*(1)*(1)*(1 + (0))</f>
      </c>
      <c r="D6638" s="22" t="s">
        <v>71</v>
      </c>
      <c r="E6638" s="22"/>
      <c r="F6638" s="22">
        <f>(0)</f>
      </c>
      <c r="G6638" s="22">
        <f>(C6638 * E6638 + C6638 * E6638 * F6638)</f>
      </c>
    </row>
    <row r="6639">
      <c r="A6639" s="5" t="s">
        <v>102</v>
      </c>
      <c r="B6639" s="14" t="s">
        <v>103</v>
      </c>
      <c r="C6639" s="22">
        <f>(1)*(1)*(1)*(1)*(1 + (0))</f>
      </c>
      <c r="D6639" s="22" t="s">
        <v>71</v>
      </c>
      <c r="E6639" s="22"/>
      <c r="F6639" s="22">
        <f>(0)</f>
      </c>
      <c r="G6639" s="22">
        <f>(C6639 * E6639 + C6639 * E6639 * F6639)</f>
      </c>
    </row>
    <row r="6640">
      <c r="A6640" s="5" t="s">
        <v>104</v>
      </c>
      <c r="B6640" s="14" t="s">
        <v>105</v>
      </c>
      <c r="C6640" s="22">
        <f>(1)*(1)*(1)*(1)*(1 + (0))</f>
      </c>
      <c r="D6640" s="22" t="s">
        <v>71</v>
      </c>
      <c r="E6640" s="22"/>
      <c r="F6640" s="22">
        <f>(0)</f>
      </c>
      <c r="G6640" s="22">
        <f>(C6640 * E6640 + C6640 * E6640 * F6640)</f>
      </c>
    </row>
    <row r="6641">
      <c r="A6641" s="3"/>
      <c r="B6641" s="11" t="s">
        <v>106</v>
      </c>
      <c r="C6641" s="20"/>
      <c r="D6641" s="20"/>
      <c r="E6641" s="20"/>
      <c r="F6641" s="20"/>
      <c r="G6641" s="20"/>
    </row>
    <row r="6642">
      <c r="A6642" s="5"/>
      <c r="B6642" s="14" t="s">
        <v>2322</v>
      </c>
      <c r="C6642" s="22"/>
      <c r="D6642" s="22" t="s">
        <v>10</v>
      </c>
      <c r="E6642" s="22"/>
      <c r="F6642" s="22">
        <f>(0)</f>
      </c>
      <c r="G6642" s="22">
        <f>(C6642 * E6642 + C6642 * E6642 * F6642)</f>
      </c>
    </row>
    <row r="6643">
      <c r="A6643" s="5"/>
      <c r="B6643" s="14" t="s">
        <v>2323</v>
      </c>
      <c r="C6643" s="22"/>
      <c r="D6643" s="22" t="s">
        <v>10</v>
      </c>
      <c r="E6643" s="22"/>
      <c r="F6643" s="22">
        <f>(0)</f>
      </c>
      <c r="G6643" s="22">
        <f>(C6643 * E6643 + C6643 * E6643 * F6643)</f>
      </c>
    </row>
    <row r="6644">
      <c r="A6644" s="5"/>
      <c r="B6644" s="14" t="s">
        <v>2324</v>
      </c>
      <c r="C6644" s="22"/>
      <c r="D6644" s="22" t="s">
        <v>10</v>
      </c>
      <c r="E6644" s="22"/>
      <c r="F6644" s="22">
        <f>(0)</f>
      </c>
      <c r="G6644" s="22">
        <f>(C6644 * E6644 + C6644 * E6644 * F6644)</f>
      </c>
    </row>
    <row r="6645">
      <c r="A6645" s="5"/>
      <c r="B6645" s="14" t="s">
        <v>2325</v>
      </c>
      <c r="C6645" s="22"/>
      <c r="D6645" s="22" t="s">
        <v>10</v>
      </c>
      <c r="E6645" s="22"/>
      <c r="F6645" s="22">
        <f>(0)</f>
      </c>
      <c r="G6645" s="22">
        <f>(C6645 * E6645 + C6645 * E6645 * F6645)</f>
      </c>
    </row>
    <row r="6646">
      <c r="A6646" s="3"/>
      <c r="B6646" s="11" t="s">
        <v>2326</v>
      </c>
      <c r="C6646" s="20"/>
      <c r="D6646" s="20"/>
      <c r="E6646" s="20"/>
      <c r="F6646" s="20"/>
      <c r="G6646" s="20"/>
    </row>
    <row r="6647">
      <c r="A6647" s="5"/>
      <c r="B6647" s="14" t="s">
        <v>2327</v>
      </c>
      <c r="C6647" s="22">
        <f>(1)*(1)*(1)*(1)*(1 + (0))</f>
      </c>
      <c r="D6647" s="22" t="s">
        <v>71</v>
      </c>
      <c r="E6647" s="22"/>
      <c r="F6647" s="22">
        <f>(0)</f>
      </c>
      <c r="G6647" s="22">
        <f>(C6647 * E6647 + C6647 * E6647 * F6647)</f>
      </c>
    </row>
    <row r="6648">
      <c r="A6648" s="5"/>
      <c r="B6648" s="14" t="s">
        <v>2328</v>
      </c>
      <c r="C6648" s="22">
        <f>(1)*(1)*(1)*(1)*(1 + (0))</f>
      </c>
      <c r="D6648" s="22" t="s">
        <v>71</v>
      </c>
      <c r="E6648" s="22"/>
      <c r="F6648" s="22">
        <f>(0)</f>
      </c>
      <c r="G6648" s="22">
        <f>(C6648 * E6648 + C6648 * E6648 * F6648)</f>
      </c>
    </row>
    <row r="6649">
      <c r="A6649" s="3"/>
      <c r="B6649" s="11" t="s">
        <v>2329</v>
      </c>
      <c r="C6649" s="20"/>
      <c r="D6649" s="20"/>
      <c r="E6649" s="20"/>
      <c r="F6649" s="20"/>
      <c r="G6649" s="20"/>
    </row>
    <row r="6650">
      <c r="A6650" s="5"/>
      <c r="B6650" s="14" t="s">
        <v>2330</v>
      </c>
      <c r="C6650" s="22">
        <f>(464)*(1)*(1)*(1)*(1 + (0))</f>
      </c>
      <c r="D6650" s="22" t="s">
        <v>153</v>
      </c>
      <c r="E6650" s="22"/>
      <c r="F6650" s="22">
        <f>(0)</f>
      </c>
      <c r="G6650" s="22">
        <f>(C6650 * E6650 + C6650 * E6650 * F6650)</f>
      </c>
    </row>
    <row r="6651">
      <c r="A6651" s="5"/>
      <c r="B6651" s="14" t="s">
        <v>2331</v>
      </c>
      <c r="C6651" s="22">
        <f>(708)*(1)*(1)*(1)*(1 + (0))</f>
      </c>
      <c r="D6651" s="22" t="s">
        <v>153</v>
      </c>
      <c r="E6651" s="22"/>
      <c r="F6651" s="22">
        <f>(0)</f>
      </c>
      <c r="G6651" s="22">
        <f>(C6651 * E6651 + C6651 * E6651 * F6651)</f>
      </c>
    </row>
    <row r="6652">
      <c r="A6652" s="5"/>
      <c r="B6652" s="14" t="s">
        <v>2332</v>
      </c>
      <c r="C6652" s="22">
        <f>(34)*(1)*(1)*(1)*(1 + (0))</f>
      </c>
      <c r="D6652" s="22" t="s">
        <v>162</v>
      </c>
      <c r="E6652" s="22"/>
      <c r="F6652" s="22">
        <f>(0)</f>
      </c>
      <c r="G6652" s="22">
        <f>(C6652 * E6652 + C6652 * E6652 * F6652)</f>
      </c>
    </row>
    <row r="6653">
      <c r="A6653" s="5"/>
      <c r="B6653" s="14" t="s">
        <v>2333</v>
      </c>
      <c r="C6653" s="22">
        <f>(1)*(1)*(1)*(1)*(1 + (0))</f>
      </c>
      <c r="D6653" s="22" t="s">
        <v>162</v>
      </c>
      <c r="E6653" s="22"/>
      <c r="F6653" s="22">
        <f>(0)</f>
      </c>
      <c r="G6653" s="22">
        <f>(C6653 * E6653 + C6653 * E6653 * F6653)</f>
      </c>
    </row>
    <row r="6654">
      <c r="A6654" s="5"/>
      <c r="B6654" s="14" t="s">
        <v>2334</v>
      </c>
      <c r="C6654" s="22">
        <f>(1)*(1)*(1)*(1)*(1 + (0))</f>
      </c>
      <c r="D6654" s="22" t="s">
        <v>162</v>
      </c>
      <c r="E6654" s="22"/>
      <c r="F6654" s="22">
        <f>(0)</f>
      </c>
      <c r="G6654" s="22">
        <f>(C6654 * E6654 + C6654 * E6654 * F6654)</f>
      </c>
    </row>
    <row r="6655">
      <c r="A6655" s="5"/>
      <c r="B6655" s="14" t="s">
        <v>2335</v>
      </c>
      <c r="C6655" s="22">
        <f>(1)*(1)*(1)*(1)*(1 + (0))</f>
      </c>
      <c r="D6655" s="22" t="s">
        <v>162</v>
      </c>
      <c r="E6655" s="22"/>
      <c r="F6655" s="22">
        <f>(0)</f>
      </c>
      <c r="G6655" s="22">
        <f>(C6655 * E6655 + C6655 * E6655 * F6655)</f>
      </c>
    </row>
    <row r="6656">
      <c r="A6656" s="5"/>
      <c r="B6656" s="14" t="s">
        <v>2336</v>
      </c>
      <c r="C6656" s="22">
        <f>(10)*(1)*(1)*(1)*(1 + (0))</f>
      </c>
      <c r="D6656" s="22" t="s">
        <v>162</v>
      </c>
      <c r="E6656" s="22"/>
      <c r="F6656" s="22">
        <f>(0)</f>
      </c>
      <c r="G6656" s="22">
        <f>(C6656 * E6656 + C6656 * E6656 * F6656)</f>
      </c>
    </row>
    <row r="6657">
      <c r="A6657" s="5"/>
      <c r="B6657" s="14" t="s">
        <v>2337</v>
      </c>
      <c r="C6657" s="22">
        <f>(23)*(1)*(1)*(1)*(1 + (0))</f>
      </c>
      <c r="D6657" s="22" t="s">
        <v>153</v>
      </c>
      <c r="E6657" s="22"/>
      <c r="F6657" s="22">
        <f>(0)</f>
      </c>
      <c r="G6657" s="22">
        <f>(C6657 * E6657 + C6657 * E6657 * F6657)</f>
      </c>
    </row>
    <row r="6658">
      <c r="A6658" s="3"/>
      <c r="B6658" s="11" t="s">
        <v>2338</v>
      </c>
      <c r="C6658" s="20"/>
      <c r="D6658" s="20"/>
      <c r="E6658" s="20"/>
      <c r="F6658" s="20"/>
      <c r="G6658" s="20"/>
    </row>
    <row r="6659">
      <c r="A6659" s="5"/>
      <c r="B6659" s="14" t="s">
        <v>2339</v>
      </c>
      <c r="C6659" s="22">
        <f>(1201)*(1)*(1)*(1)*(1 + (0))</f>
      </c>
      <c r="D6659" s="22" t="s">
        <v>111</v>
      </c>
      <c r="E6659" s="22"/>
      <c r="F6659" s="22">
        <f>(0)</f>
      </c>
      <c r="G6659" s="22">
        <f>(C6659 * E6659 + C6659 * E6659 * F6659)</f>
      </c>
    </row>
    <row r="6660">
      <c r="A6660" s="5"/>
      <c r="B6660" s="14" t="s">
        <v>2340</v>
      </c>
      <c r="C6660" s="22">
        <f>(1201)*(1)*(1)*(1)*(1 + (0))</f>
      </c>
      <c r="D6660" s="22" t="s">
        <v>111</v>
      </c>
      <c r="E6660" s="22"/>
      <c r="F6660" s="22">
        <f>(0)</f>
      </c>
      <c r="G6660" s="22">
        <f>(C6660 * E6660 + C6660 * E6660 * F6660)</f>
      </c>
    </row>
    <row r="6661">
      <c r="A6661" s="5"/>
      <c r="B6661" s="14" t="s">
        <v>2341</v>
      </c>
      <c r="C6661" s="22">
        <f>(5873)*(1)*(1)*(1)*(1 + (0))</f>
      </c>
      <c r="D6661" s="22" t="s">
        <v>111</v>
      </c>
      <c r="E6661" s="22"/>
      <c r="F6661" s="22">
        <f>(0)</f>
      </c>
      <c r="G6661" s="22">
        <f>(C6661 * E6661 + C6661 * E6661 * F6661)</f>
      </c>
    </row>
    <row r="6662">
      <c r="A6662" s="3"/>
      <c r="B6662" s="11" t="s">
        <v>2342</v>
      </c>
      <c r="C6662" s="20"/>
      <c r="D6662" s="20"/>
      <c r="E6662" s="20"/>
      <c r="F6662" s="20"/>
      <c r="G6662" s="20"/>
    </row>
    <row r="6663">
      <c r="A6663" s="4"/>
      <c r="B6663" s="12" t="s">
        <v>2343</v>
      </c>
      <c r="C6663" s="21"/>
      <c r="D6663" s="21"/>
      <c r="E6663" s="21"/>
      <c r="F6663" s="21"/>
      <c r="G6663" s="21"/>
    </row>
    <row r="6664">
      <c r="A6664" s="5"/>
      <c r="B6664" s="13" t="s">
        <v>2344</v>
      </c>
      <c r="C6664" s="22">
        <f>(12844)*(1)*(1)*(1)*(1 + (0))</f>
      </c>
      <c r="D6664" s="22" t="s">
        <v>24</v>
      </c>
      <c r="E6664" s="22"/>
      <c r="F6664" s="22">
        <f>(0)</f>
      </c>
      <c r="G6664" s="22">
        <f>(C6664 * E6664 + C6664 * E6664 * F6664)</f>
      </c>
    </row>
    <row r="6665">
      <c r="A6665" s="5"/>
      <c r="B6665" s="7" t="s">
        <v>2345</v>
      </c>
      <c r="C6665" s="22"/>
      <c r="D6665" s="22"/>
      <c r="E6665" s="22"/>
      <c r="F6665" s="22">
        <f>(0)</f>
      </c>
      <c r="G6665" s="22">
        <f>(C6665 * E6665 + C6665 * E6665 * F6665)</f>
      </c>
    </row>
    <row r="6666">
      <c r="A6666" s="2"/>
      <c r="B6666" s="10" t="s">
        <v>36</v>
      </c>
      <c r="C6666" s="19"/>
      <c r="D6666" s="19"/>
      <c r="E6666" s="19"/>
      <c r="F6666" s="19"/>
      <c r="G6666" s="19"/>
    </row>
    <row r="6667">
      <c r="A6667" s="3"/>
      <c r="B6667" s="11" t="s">
        <v>37</v>
      </c>
      <c r="C6667" s="20"/>
      <c r="D6667" s="20"/>
      <c r="E6667" s="20"/>
      <c r="F6667" s="20"/>
      <c r="G6667" s="20"/>
    </row>
    <row r="6668">
      <c r="A6668" s="5" t="s">
        <v>38</v>
      </c>
      <c r="B6668" s="14" t="s">
        <v>39</v>
      </c>
      <c r="C6668" s="22"/>
      <c r="D6668" s="22" t="s">
        <v>10</v>
      </c>
      <c r="E6668" s="22"/>
      <c r="F6668" s="22">
        <f>(0)</f>
      </c>
      <c r="G6668" s="22">
        <f>(C6668 * E6668 + C6668 * E6668 * F6668)</f>
      </c>
    </row>
    <row r="6669">
      <c r="A6669" s="5" t="s">
        <v>40</v>
      </c>
      <c r="B6669" s="14" t="s">
        <v>41</v>
      </c>
      <c r="C6669" s="22"/>
      <c r="D6669" s="22" t="s">
        <v>10</v>
      </c>
      <c r="E6669" s="22"/>
      <c r="F6669" s="22">
        <f>(0)</f>
      </c>
      <c r="G6669" s="22">
        <f>(C6669 * E6669 + C6669 * E6669 * F6669)</f>
      </c>
    </row>
    <row r="6670">
      <c r="A6670" s="3"/>
      <c r="B6670" s="11" t="s">
        <v>42</v>
      </c>
      <c r="C6670" s="20"/>
      <c r="D6670" s="20"/>
      <c r="E6670" s="20"/>
      <c r="F6670" s="20"/>
      <c r="G6670" s="20"/>
    </row>
    <row r="6671">
      <c r="A6671" s="5"/>
      <c r="B6671" s="14" t="s">
        <v>119</v>
      </c>
      <c r="C6671" s="22"/>
      <c r="D6671" s="22" t="s">
        <v>10</v>
      </c>
      <c r="E6671" s="22"/>
      <c r="F6671" s="22">
        <f>(0)</f>
      </c>
      <c r="G6671" s="22">
        <f>(C6671 * E6671 + C6671 * E6671 * F6671)</f>
      </c>
    </row>
    <row r="6672">
      <c r="A6672" s="3"/>
      <c r="B6672" s="11" t="s">
        <v>44</v>
      </c>
      <c r="C6672" s="20"/>
      <c r="D6672" s="20"/>
      <c r="E6672" s="20"/>
      <c r="F6672" s="20"/>
      <c r="G6672" s="20"/>
    </row>
    <row r="6673">
      <c r="A6673" s="4"/>
      <c r="B6673" s="12" t="s">
        <v>45</v>
      </c>
      <c r="C6673" s="21"/>
      <c r="D6673" s="21"/>
      <c r="E6673" s="21"/>
      <c r="F6673" s="21"/>
      <c r="G6673" s="21"/>
    </row>
    <row r="6674">
      <c r="A6674" s="5" t="s">
        <v>46</v>
      </c>
      <c r="B6674" s="13" t="s">
        <v>47</v>
      </c>
      <c r="C6674" s="22"/>
      <c r="D6674" s="22" t="s">
        <v>10</v>
      </c>
      <c r="E6674" s="22"/>
      <c r="F6674" s="22">
        <f>(0)</f>
      </c>
      <c r="G6674" s="22">
        <f>(C6674 * E6674 + C6674 * E6674 * F6674)</f>
      </c>
    </row>
    <row r="6675">
      <c r="A6675" s="5" t="s">
        <v>48</v>
      </c>
      <c r="B6675" s="13" t="s">
        <v>49</v>
      </c>
      <c r="C6675" s="22"/>
      <c r="D6675" s="22" t="s">
        <v>10</v>
      </c>
      <c r="E6675" s="22"/>
      <c r="F6675" s="22">
        <f>(0)</f>
      </c>
      <c r="G6675" s="22">
        <f>(C6675 * E6675 + C6675 * E6675 * F6675)</f>
      </c>
    </row>
    <row r="6676">
      <c r="A6676" s="5" t="s">
        <v>50</v>
      </c>
      <c r="B6676" s="13" t="s">
        <v>51</v>
      </c>
      <c r="C6676" s="22"/>
      <c r="D6676" s="22" t="s">
        <v>10</v>
      </c>
      <c r="E6676" s="22"/>
      <c r="F6676" s="22">
        <f>(0)</f>
      </c>
      <c r="G6676" s="22">
        <f>(C6676 * E6676 + C6676 * E6676 * F6676)</f>
      </c>
    </row>
    <row r="6677">
      <c r="A6677" s="5" t="s">
        <v>52</v>
      </c>
      <c r="B6677" s="13" t="s">
        <v>53</v>
      </c>
      <c r="C6677" s="22"/>
      <c r="D6677" s="22" t="s">
        <v>10</v>
      </c>
      <c r="E6677" s="22"/>
      <c r="F6677" s="22">
        <f>(0)</f>
      </c>
      <c r="G6677" s="22">
        <f>(C6677 * E6677 + C6677 * E6677 * F6677)</f>
      </c>
    </row>
    <row r="6678">
      <c r="A6678" s="5" t="s">
        <v>54</v>
      </c>
      <c r="B6678" s="13" t="s">
        <v>55</v>
      </c>
      <c r="C6678" s="22"/>
      <c r="D6678" s="22" t="s">
        <v>10</v>
      </c>
      <c r="E6678" s="22"/>
      <c r="F6678" s="22">
        <f>(0)</f>
      </c>
      <c r="G6678" s="22">
        <f>(C6678 * E6678 + C6678 * E6678 * F6678)</f>
      </c>
    </row>
    <row r="6679">
      <c r="A6679" s="5" t="s">
        <v>56</v>
      </c>
      <c r="B6679" s="13" t="s">
        <v>57</v>
      </c>
      <c r="C6679" s="22"/>
      <c r="D6679" s="22" t="s">
        <v>10</v>
      </c>
      <c r="E6679" s="22"/>
      <c r="F6679" s="22">
        <f>(0)</f>
      </c>
      <c r="G6679" s="22">
        <f>(C6679 * E6679 + C6679 * E6679 * F6679)</f>
      </c>
    </row>
    <row r="6680">
      <c r="A6680" s="5" t="s">
        <v>58</v>
      </c>
      <c r="B6680" s="13" t="s">
        <v>59</v>
      </c>
      <c r="C6680" s="22"/>
      <c r="D6680" s="22" t="s">
        <v>10</v>
      </c>
      <c r="E6680" s="22"/>
      <c r="F6680" s="22">
        <f>(0)</f>
      </c>
      <c r="G6680" s="22">
        <f>(C6680 * E6680 + C6680 * E6680 * F6680)</f>
      </c>
    </row>
    <row r="6681">
      <c r="A6681" s="5" t="s">
        <v>60</v>
      </c>
      <c r="B6681" s="13" t="s">
        <v>61</v>
      </c>
      <c r="C6681" s="22"/>
      <c r="D6681" s="22" t="s">
        <v>10</v>
      </c>
      <c r="E6681" s="22"/>
      <c r="F6681" s="22">
        <f>(0)</f>
      </c>
      <c r="G6681" s="22">
        <f>(C6681 * E6681 + C6681 * E6681 * F6681)</f>
      </c>
    </row>
    <row r="6682">
      <c r="A6682" s="5" t="s">
        <v>62</v>
      </c>
      <c r="B6682" s="13" t="s">
        <v>63</v>
      </c>
      <c r="C6682" s="22"/>
      <c r="D6682" s="22" t="s">
        <v>10</v>
      </c>
      <c r="E6682" s="22"/>
      <c r="F6682" s="22">
        <f>(0)</f>
      </c>
      <c r="G6682" s="22">
        <f>(C6682 * E6682 + C6682 * E6682 * F6682)</f>
      </c>
    </row>
    <row r="6683">
      <c r="A6683" s="5" t="s">
        <v>64</v>
      </c>
      <c r="B6683" s="13" t="s">
        <v>65</v>
      </c>
      <c r="C6683" s="22"/>
      <c r="D6683" s="22" t="s">
        <v>10</v>
      </c>
      <c r="E6683" s="22"/>
      <c r="F6683" s="22">
        <f>(0)</f>
      </c>
      <c r="G6683" s="22">
        <f>(C6683 * E6683 + C6683 * E6683 * F6683)</f>
      </c>
    </row>
    <row r="6684">
      <c r="A6684" s="5" t="s">
        <v>66</v>
      </c>
      <c r="B6684" s="13" t="s">
        <v>67</v>
      </c>
      <c r="C6684" s="22"/>
      <c r="D6684" s="22" t="s">
        <v>10</v>
      </c>
      <c r="E6684" s="22"/>
      <c r="F6684" s="22">
        <f>(0)</f>
      </c>
      <c r="G6684" s="22">
        <f>(C6684 * E6684 + C6684 * E6684 * F6684)</f>
      </c>
    </row>
    <row r="6685">
      <c r="A6685" s="3"/>
      <c r="B6685" s="11" t="s">
        <v>68</v>
      </c>
      <c r="C6685" s="20"/>
      <c r="D6685" s="20"/>
      <c r="E6685" s="20"/>
      <c r="F6685" s="20"/>
      <c r="G6685" s="20"/>
    </row>
    <row r="6686">
      <c r="A6686" s="5" t="s">
        <v>69</v>
      </c>
      <c r="B6686" s="14" t="s">
        <v>70</v>
      </c>
      <c r="C6686" s="22">
        <f>(1)*(1)*(1)*(1)*(1 + (0))</f>
      </c>
      <c r="D6686" s="22" t="s">
        <v>71</v>
      </c>
      <c r="E6686" s="22"/>
      <c r="F6686" s="22">
        <f>(0)</f>
      </c>
      <c r="G6686" s="22">
        <f>(C6686 * E6686 + C6686 * E6686 * F6686)</f>
      </c>
    </row>
    <row r="6687">
      <c r="A6687" s="5" t="s">
        <v>72</v>
      </c>
      <c r="B6687" s="14" t="s">
        <v>73</v>
      </c>
      <c r="C6687" s="22">
        <f>(1)*(1)*(1)*(1)*(1 + (0))</f>
      </c>
      <c r="D6687" s="22" t="s">
        <v>71</v>
      </c>
      <c r="E6687" s="22"/>
      <c r="F6687" s="22">
        <f>(0)</f>
      </c>
      <c r="G6687" s="22">
        <f>(C6687 * E6687 + C6687 * E6687 * F6687)</f>
      </c>
    </row>
    <row r="6688">
      <c r="A6688" s="5" t="s">
        <v>74</v>
      </c>
      <c r="B6688" s="14" t="s">
        <v>75</v>
      </c>
      <c r="C6688" s="22">
        <f>(1)*(1)*(1)*(1)*(1 + (0))</f>
      </c>
      <c r="D6688" s="22" t="s">
        <v>71</v>
      </c>
      <c r="E6688" s="22"/>
      <c r="F6688" s="22">
        <f>(0)</f>
      </c>
      <c r="G6688" s="22">
        <f>(C6688 * E6688 + C6688 * E6688 * F6688)</f>
      </c>
    </row>
    <row r="6689">
      <c r="A6689" s="5" t="s">
        <v>76</v>
      </c>
      <c r="B6689" s="14" t="s">
        <v>77</v>
      </c>
      <c r="C6689" s="22">
        <f>(1)*(1)*(1)*(1)*(1 + (0))</f>
      </c>
      <c r="D6689" s="22" t="s">
        <v>71</v>
      </c>
      <c r="E6689" s="22"/>
      <c r="F6689" s="22">
        <f>(0)</f>
      </c>
      <c r="G6689" s="22">
        <f>(C6689 * E6689 + C6689 * E6689 * F6689)</f>
      </c>
    </row>
    <row r="6690">
      <c r="A6690" s="5" t="s">
        <v>78</v>
      </c>
      <c r="B6690" s="14" t="s">
        <v>79</v>
      </c>
      <c r="C6690" s="22">
        <f>(1)*(1)*(1)*(1)*(1 + (0))</f>
      </c>
      <c r="D6690" s="22" t="s">
        <v>71</v>
      </c>
      <c r="E6690" s="22"/>
      <c r="F6690" s="22">
        <f>(0)</f>
      </c>
      <c r="G6690" s="22">
        <f>(C6690 * E6690 + C6690 * E6690 * F6690)</f>
      </c>
    </row>
    <row r="6691">
      <c r="A6691" s="5" t="s">
        <v>80</v>
      </c>
      <c r="B6691" s="14" t="s">
        <v>81</v>
      </c>
      <c r="C6691" s="22">
        <f>(1)*(1)*(1)*(1)*(1 + (0))</f>
      </c>
      <c r="D6691" s="22" t="s">
        <v>71</v>
      </c>
      <c r="E6691" s="22"/>
      <c r="F6691" s="22">
        <f>(0)</f>
      </c>
      <c r="G6691" s="22">
        <f>(C6691 * E6691 + C6691 * E6691 * F6691)</f>
      </c>
    </row>
    <row r="6692">
      <c r="A6692" s="5" t="s">
        <v>82</v>
      </c>
      <c r="B6692" s="14" t="s">
        <v>83</v>
      </c>
      <c r="C6692" s="22">
        <f>(1)*(1)*(1)*(1)*(1 + (0))</f>
      </c>
      <c r="D6692" s="22" t="s">
        <v>71</v>
      </c>
      <c r="E6692" s="22"/>
      <c r="F6692" s="22">
        <f>(0)</f>
      </c>
      <c r="G6692" s="22">
        <f>(C6692 * E6692 + C6692 * E6692 * F6692)</f>
      </c>
    </row>
    <row r="6693">
      <c r="A6693" s="5" t="s">
        <v>84</v>
      </c>
      <c r="B6693" s="14" t="s">
        <v>85</v>
      </c>
      <c r="C6693" s="22">
        <f>(1)*(1)*(1)*(1)*(1 + (0))</f>
      </c>
      <c r="D6693" s="22" t="s">
        <v>71</v>
      </c>
      <c r="E6693" s="22"/>
      <c r="F6693" s="22">
        <f>(0)</f>
      </c>
      <c r="G6693" s="22">
        <f>(C6693 * E6693 + C6693 * E6693 * F6693)</f>
      </c>
    </row>
    <row r="6694">
      <c r="A6694" s="5" t="s">
        <v>86</v>
      </c>
      <c r="B6694" s="14" t="s">
        <v>87</v>
      </c>
      <c r="C6694" s="22">
        <f>(1)*(1)*(1)*(1)*(1 + (0))</f>
      </c>
      <c r="D6694" s="22" t="s">
        <v>71</v>
      </c>
      <c r="E6694" s="22"/>
      <c r="F6694" s="22">
        <f>(0)</f>
      </c>
      <c r="G6694" s="22">
        <f>(C6694 * E6694 + C6694 * E6694 * F6694)</f>
      </c>
    </row>
    <row r="6695">
      <c r="A6695" s="5" t="s">
        <v>88</v>
      </c>
      <c r="B6695" s="14" t="s">
        <v>89</v>
      </c>
      <c r="C6695" s="22">
        <f>(1)*(1)*(1)*(1)*(1 + (0))</f>
      </c>
      <c r="D6695" s="22" t="s">
        <v>71</v>
      </c>
      <c r="E6695" s="22"/>
      <c r="F6695" s="22">
        <f>(0)</f>
      </c>
      <c r="G6695" s="22">
        <f>(C6695 * E6695 + C6695 * E6695 * F6695)</f>
      </c>
    </row>
    <row r="6696">
      <c r="A6696" s="5" t="s">
        <v>90</v>
      </c>
      <c r="B6696" s="14" t="s">
        <v>91</v>
      </c>
      <c r="C6696" s="22">
        <f>(1)*(1)*(1)*(1)*(1 + (0))</f>
      </c>
      <c r="D6696" s="22" t="s">
        <v>71</v>
      </c>
      <c r="E6696" s="22"/>
      <c r="F6696" s="22">
        <f>(0)</f>
      </c>
      <c r="G6696" s="22">
        <f>(C6696 * E6696 + C6696 * E6696 * F6696)</f>
      </c>
    </row>
    <row r="6697">
      <c r="A6697" s="5" t="s">
        <v>92</v>
      </c>
      <c r="B6697" s="14" t="s">
        <v>93</v>
      </c>
      <c r="C6697" s="22">
        <f>(1)*(1)*(1)*(1)*(1 + (0))</f>
      </c>
      <c r="D6697" s="22" t="s">
        <v>71</v>
      </c>
      <c r="E6697" s="22"/>
      <c r="F6697" s="22">
        <f>(0)</f>
      </c>
      <c r="G6697" s="22">
        <f>(C6697 * E6697 + C6697 * E6697 * F6697)</f>
      </c>
    </row>
    <row r="6698">
      <c r="A6698" s="5" t="s">
        <v>94</v>
      </c>
      <c r="B6698" s="14" t="s">
        <v>95</v>
      </c>
      <c r="C6698" s="22">
        <f>(1)*(1)*(1)*(1)*(1 + (0))</f>
      </c>
      <c r="D6698" s="22" t="s">
        <v>71</v>
      </c>
      <c r="E6698" s="22"/>
      <c r="F6698" s="22">
        <f>(0)</f>
      </c>
      <c r="G6698" s="22">
        <f>(C6698 * E6698 + C6698 * E6698 * F6698)</f>
      </c>
    </row>
    <row r="6699">
      <c r="A6699" s="5" t="s">
        <v>96</v>
      </c>
      <c r="B6699" s="14" t="s">
        <v>97</v>
      </c>
      <c r="C6699" s="22">
        <f>(1)*(1)*(1)*(1)*(1 + (0))</f>
      </c>
      <c r="D6699" s="22" t="s">
        <v>71</v>
      </c>
      <c r="E6699" s="22"/>
      <c r="F6699" s="22">
        <f>(0)</f>
      </c>
      <c r="G6699" s="22">
        <f>(C6699 * E6699 + C6699 * E6699 * F6699)</f>
      </c>
    </row>
    <row r="6700">
      <c r="A6700" s="5" t="s">
        <v>98</v>
      </c>
      <c r="B6700" s="14" t="s">
        <v>99</v>
      </c>
      <c r="C6700" s="22">
        <f>(1)*(1)*(1)*(1)*(1 + (0))</f>
      </c>
      <c r="D6700" s="22" t="s">
        <v>71</v>
      </c>
      <c r="E6700" s="22"/>
      <c r="F6700" s="22">
        <f>(0)</f>
      </c>
      <c r="G6700" s="22">
        <f>(C6700 * E6700 + C6700 * E6700 * F6700)</f>
      </c>
    </row>
    <row r="6701">
      <c r="A6701" s="5" t="s">
        <v>100</v>
      </c>
      <c r="B6701" s="14" t="s">
        <v>101</v>
      </c>
      <c r="C6701" s="22">
        <f>(1)*(1)*(1)*(1)*(1 + (0))</f>
      </c>
      <c r="D6701" s="22" t="s">
        <v>71</v>
      </c>
      <c r="E6701" s="22"/>
      <c r="F6701" s="22">
        <f>(0)</f>
      </c>
      <c r="G6701" s="22">
        <f>(C6701 * E6701 + C6701 * E6701 * F6701)</f>
      </c>
    </row>
    <row r="6702">
      <c r="A6702" s="5" t="s">
        <v>102</v>
      </c>
      <c r="B6702" s="14" t="s">
        <v>103</v>
      </c>
      <c r="C6702" s="22">
        <f>(1)*(1)*(1)*(1)*(1 + (0))</f>
      </c>
      <c r="D6702" s="22" t="s">
        <v>71</v>
      </c>
      <c r="E6702" s="22"/>
      <c r="F6702" s="22">
        <f>(0)</f>
      </c>
      <c r="G6702" s="22">
        <f>(C6702 * E6702 + C6702 * E6702 * F6702)</f>
      </c>
    </row>
    <row r="6703">
      <c r="A6703" s="5" t="s">
        <v>104</v>
      </c>
      <c r="B6703" s="14" t="s">
        <v>105</v>
      </c>
      <c r="C6703" s="22">
        <f>(1)*(1)*(1)*(1)*(1 + (0))</f>
      </c>
      <c r="D6703" s="22" t="s">
        <v>71</v>
      </c>
      <c r="E6703" s="22"/>
      <c r="F6703" s="22">
        <f>(0)</f>
      </c>
      <c r="G6703" s="22">
        <f>(C6703 * E6703 + C6703 * E6703 * F6703)</f>
      </c>
    </row>
    <row r="6704">
      <c r="A6704" s="3"/>
      <c r="B6704" s="11" t="s">
        <v>106</v>
      </c>
      <c r="C6704" s="20"/>
      <c r="D6704" s="20"/>
      <c r="E6704" s="20"/>
      <c r="F6704" s="20"/>
      <c r="G6704" s="20"/>
    </row>
    <row r="6705">
      <c r="A6705" s="5"/>
      <c r="B6705" s="14" t="s">
        <v>107</v>
      </c>
      <c r="C6705" s="22"/>
      <c r="D6705" s="22" t="s">
        <v>10</v>
      </c>
      <c r="E6705" s="22"/>
      <c r="F6705" s="22">
        <f>(0)</f>
      </c>
      <c r="G6705" s="22">
        <f>(C6705 * E6705 + C6705 * E6705 * F6705)</f>
      </c>
    </row>
    <row r="6706">
      <c r="A6706" s="3"/>
      <c r="B6706" s="11" t="s">
        <v>108</v>
      </c>
      <c r="C6706" s="20"/>
      <c r="D6706" s="20"/>
      <c r="E6706" s="20"/>
      <c r="F6706" s="20"/>
      <c r="G6706" s="20"/>
    </row>
    <row r="6707">
      <c r="A6707" s="4"/>
      <c r="B6707" s="12" t="s">
        <v>109</v>
      </c>
      <c r="C6707" s="21"/>
      <c r="D6707" s="21"/>
      <c r="E6707" s="21"/>
      <c r="F6707" s="21"/>
      <c r="G6707" s="21"/>
    </row>
    <row r="6708">
      <c r="A6708" s="5"/>
      <c r="B6708" s="13" t="s">
        <v>110</v>
      </c>
      <c r="C6708" s="22">
        <f>(2)*(1)*(1)*(1)*(1 + (0))</f>
      </c>
      <c r="D6708" s="22" t="s">
        <v>111</v>
      </c>
      <c r="E6708" s="22"/>
      <c r="F6708" s="22">
        <f>(0)</f>
      </c>
      <c r="G6708" s="22">
        <f>(C6708 * E6708 + C6708 * E6708 * F6708)</f>
      </c>
    </row>
    <row r="6709">
      <c r="A6709" s="5"/>
      <c r="B6709" s="13" t="s">
        <v>1843</v>
      </c>
      <c r="C6709" s="22">
        <f>(7)*(1)*(1)*(1)*(1 + (0))</f>
      </c>
      <c r="D6709" s="22" t="s">
        <v>111</v>
      </c>
      <c r="E6709" s="22"/>
      <c r="F6709" s="22">
        <f>(0)</f>
      </c>
      <c r="G6709" s="22">
        <f>(C6709 * E6709 + C6709 * E6709 * F6709)</f>
      </c>
    </row>
    <row r="6710">
      <c r="A6710" s="5"/>
      <c r="B6710" s="13" t="s">
        <v>114</v>
      </c>
      <c r="C6710" s="22">
        <f>(7)*(1)*(1)*(1)*(1 + (0))</f>
      </c>
      <c r="D6710" s="22" t="s">
        <v>111</v>
      </c>
      <c r="E6710" s="22"/>
      <c r="F6710" s="22">
        <f>(0)</f>
      </c>
      <c r="G6710" s="22">
        <f>(C6710 * E6710 + C6710 * E6710 * F6710)</f>
      </c>
    </row>
    <row r="6711">
      <c r="A6711" s="2"/>
      <c r="B6711" s="10" t="s">
        <v>115</v>
      </c>
      <c r="C6711" s="19"/>
      <c r="D6711" s="19"/>
      <c r="E6711" s="19"/>
      <c r="F6711" s="19"/>
      <c r="G6711" s="19"/>
    </row>
    <row r="6712">
      <c r="A6712" s="3"/>
      <c r="B6712" s="11" t="s">
        <v>37</v>
      </c>
      <c r="C6712" s="20"/>
      <c r="D6712" s="20"/>
      <c r="E6712" s="20"/>
      <c r="F6712" s="20"/>
      <c r="G6712" s="20"/>
    </row>
    <row r="6713">
      <c r="A6713" s="5" t="s">
        <v>116</v>
      </c>
      <c r="B6713" s="14" t="s">
        <v>39</v>
      </c>
      <c r="C6713" s="22"/>
      <c r="D6713" s="22" t="s">
        <v>10</v>
      </c>
      <c r="E6713" s="22"/>
      <c r="F6713" s="22">
        <f>(0)</f>
      </c>
      <c r="G6713" s="22">
        <f>(C6713 * E6713 + C6713 * E6713 * F6713)</f>
      </c>
    </row>
    <row r="6714">
      <c r="A6714" s="5" t="s">
        <v>117</v>
      </c>
      <c r="B6714" s="14" t="s">
        <v>41</v>
      </c>
      <c r="C6714" s="22"/>
      <c r="D6714" s="22" t="s">
        <v>10</v>
      </c>
      <c r="E6714" s="22"/>
      <c r="F6714" s="22">
        <f>(0)</f>
      </c>
      <c r="G6714" s="22">
        <f>(C6714 * E6714 + C6714 * E6714 * F6714)</f>
      </c>
    </row>
    <row r="6715">
      <c r="A6715" s="3"/>
      <c r="B6715" s="11" t="s">
        <v>42</v>
      </c>
      <c r="C6715" s="20"/>
      <c r="D6715" s="20"/>
      <c r="E6715" s="20"/>
      <c r="F6715" s="20"/>
      <c r="G6715" s="20"/>
    </row>
    <row r="6716">
      <c r="A6716" s="5"/>
      <c r="B6716" s="14" t="s">
        <v>118</v>
      </c>
      <c r="C6716" s="22"/>
      <c r="D6716" s="22" t="s">
        <v>10</v>
      </c>
      <c r="E6716" s="22"/>
      <c r="F6716" s="22">
        <f>(0)</f>
      </c>
      <c r="G6716" s="22">
        <f>(C6716 * E6716 + C6716 * E6716 * F6716)</f>
      </c>
    </row>
    <row r="6717">
      <c r="A6717" s="5"/>
      <c r="B6717" s="14" t="s">
        <v>119</v>
      </c>
      <c r="C6717" s="22"/>
      <c r="D6717" s="22" t="s">
        <v>10</v>
      </c>
      <c r="E6717" s="22"/>
      <c r="F6717" s="22">
        <f>(0)</f>
      </c>
      <c r="G6717" s="22">
        <f>(C6717 * E6717 + C6717 * E6717 * F6717)</f>
      </c>
    </row>
    <row r="6718">
      <c r="A6718" s="3"/>
      <c r="B6718" s="11" t="s">
        <v>44</v>
      </c>
      <c r="C6718" s="20"/>
      <c r="D6718" s="20"/>
      <c r="E6718" s="20"/>
      <c r="F6718" s="20"/>
      <c r="G6718" s="20"/>
    </row>
    <row r="6719">
      <c r="A6719" s="4"/>
      <c r="B6719" s="12" t="s">
        <v>45</v>
      </c>
      <c r="C6719" s="21"/>
      <c r="D6719" s="21"/>
      <c r="E6719" s="21"/>
      <c r="F6719" s="21"/>
      <c r="G6719" s="21"/>
    </row>
    <row r="6720">
      <c r="A6720" s="5" t="s">
        <v>120</v>
      </c>
      <c r="B6720" s="13" t="s">
        <v>121</v>
      </c>
      <c r="C6720" s="22"/>
      <c r="D6720" s="22" t="s">
        <v>10</v>
      </c>
      <c r="E6720" s="22"/>
      <c r="F6720" s="22">
        <f>(0)</f>
      </c>
      <c r="G6720" s="22">
        <f>(C6720 * E6720 + C6720 * E6720 * F6720)</f>
      </c>
    </row>
    <row r="6721">
      <c r="A6721" s="5" t="s">
        <v>122</v>
      </c>
      <c r="B6721" s="13" t="s">
        <v>123</v>
      </c>
      <c r="C6721" s="22"/>
      <c r="D6721" s="22" t="s">
        <v>10</v>
      </c>
      <c r="E6721" s="22"/>
      <c r="F6721" s="22">
        <f>(0)</f>
      </c>
      <c r="G6721" s="22">
        <f>(C6721 * E6721 + C6721 * E6721 * F6721)</f>
      </c>
    </row>
    <row r="6722">
      <c r="A6722" s="5" t="s">
        <v>124</v>
      </c>
      <c r="B6722" s="13" t="s">
        <v>125</v>
      </c>
      <c r="C6722" s="22"/>
      <c r="D6722" s="22" t="s">
        <v>10</v>
      </c>
      <c r="E6722" s="22"/>
      <c r="F6722" s="22">
        <f>(0)</f>
      </c>
      <c r="G6722" s="22">
        <f>(C6722 * E6722 + C6722 * E6722 * F6722)</f>
      </c>
    </row>
    <row r="6723">
      <c r="A6723" s="5" t="s">
        <v>126</v>
      </c>
      <c r="B6723" s="13" t="s">
        <v>127</v>
      </c>
      <c r="C6723" s="22"/>
      <c r="D6723" s="22" t="s">
        <v>10</v>
      </c>
      <c r="E6723" s="22"/>
      <c r="F6723" s="22">
        <f>(0)</f>
      </c>
      <c r="G6723" s="22">
        <f>(C6723 * E6723 + C6723 * E6723 * F6723)</f>
      </c>
    </row>
    <row r="6724">
      <c r="A6724" s="3"/>
      <c r="B6724" s="11" t="s">
        <v>68</v>
      </c>
      <c r="C6724" s="20"/>
      <c r="D6724" s="20"/>
      <c r="E6724" s="20"/>
      <c r="F6724" s="20"/>
      <c r="G6724" s="20"/>
    </row>
    <row r="6725">
      <c r="A6725" s="5" t="s">
        <v>128</v>
      </c>
      <c r="B6725" s="14" t="s">
        <v>129</v>
      </c>
      <c r="C6725" s="22">
        <f>(1)*(1)*(1)*(1)*(1 + (0))</f>
      </c>
      <c r="D6725" s="22" t="s">
        <v>71</v>
      </c>
      <c r="E6725" s="22"/>
      <c r="F6725" s="22">
        <f>(0)</f>
      </c>
      <c r="G6725" s="22">
        <f>(C6725 * E6725 + C6725 * E6725 * F6725)</f>
      </c>
    </row>
    <row r="6726">
      <c r="A6726" s="5" t="s">
        <v>130</v>
      </c>
      <c r="B6726" s="14" t="s">
        <v>131</v>
      </c>
      <c r="C6726" s="22">
        <f>(1)*(1)*(1)*(1)*(1 + (0))</f>
      </c>
      <c r="D6726" s="22" t="s">
        <v>71</v>
      </c>
      <c r="E6726" s="22"/>
      <c r="F6726" s="22">
        <f>(0)</f>
      </c>
      <c r="G6726" s="22">
        <f>(C6726 * E6726 + C6726 * E6726 * F6726)</f>
      </c>
    </row>
    <row r="6727">
      <c r="A6727" s="5" t="s">
        <v>132</v>
      </c>
      <c r="B6727" s="14" t="s">
        <v>73</v>
      </c>
      <c r="C6727" s="22">
        <f>(1)*(1)*(1)*(1)*(1 + (0))</f>
      </c>
      <c r="D6727" s="22" t="s">
        <v>71</v>
      </c>
      <c r="E6727" s="22"/>
      <c r="F6727" s="22">
        <f>(0)</f>
      </c>
      <c r="G6727" s="22">
        <f>(C6727 * E6727 + C6727 * E6727 * F6727)</f>
      </c>
    </row>
    <row r="6728">
      <c r="A6728" s="5" t="s">
        <v>133</v>
      </c>
      <c r="B6728" s="14" t="s">
        <v>134</v>
      </c>
      <c r="C6728" s="22">
        <f>(1)*(1)*(1)*(1)*(1 + (0))</f>
      </c>
      <c r="D6728" s="22" t="s">
        <v>71</v>
      </c>
      <c r="E6728" s="22"/>
      <c r="F6728" s="22">
        <f>(0)</f>
      </c>
      <c r="G6728" s="22">
        <f>(C6728 * E6728 + C6728 * E6728 * F6728)</f>
      </c>
    </row>
    <row r="6729">
      <c r="A6729" s="5" t="s">
        <v>135</v>
      </c>
      <c r="B6729" s="14" t="s">
        <v>136</v>
      </c>
      <c r="C6729" s="22">
        <f>(1)*(1)*(1)*(1)*(1 + (0))</f>
      </c>
      <c r="D6729" s="22" t="s">
        <v>71</v>
      </c>
      <c r="E6729" s="22"/>
      <c r="F6729" s="22">
        <f>(0)</f>
      </c>
      <c r="G6729" s="22">
        <f>(C6729 * E6729 + C6729 * E6729 * F6729)</f>
      </c>
    </row>
    <row r="6730">
      <c r="A6730" s="5" t="s">
        <v>137</v>
      </c>
      <c r="B6730" s="14" t="s">
        <v>138</v>
      </c>
      <c r="C6730" s="22">
        <f>(1)*(1)*(1)*(1)*(1 + (0))</f>
      </c>
      <c r="D6730" s="22" t="s">
        <v>71</v>
      </c>
      <c r="E6730" s="22"/>
      <c r="F6730" s="22">
        <f>(0)</f>
      </c>
      <c r="G6730" s="22">
        <f>(C6730 * E6730 + C6730 * E6730 * F6730)</f>
      </c>
    </row>
    <row r="6731">
      <c r="A6731" s="5" t="s">
        <v>139</v>
      </c>
      <c r="B6731" s="14" t="s">
        <v>140</v>
      </c>
      <c r="C6731" s="22">
        <f>(1)*(1)*(1)*(1)*(1 + (0))</f>
      </c>
      <c r="D6731" s="22" t="s">
        <v>71</v>
      </c>
      <c r="E6731" s="22"/>
      <c r="F6731" s="22">
        <f>(0)</f>
      </c>
      <c r="G6731" s="22">
        <f>(C6731 * E6731 + C6731 * E6731 * F6731)</f>
      </c>
    </row>
    <row r="6732">
      <c r="A6732" s="5" t="s">
        <v>141</v>
      </c>
      <c r="B6732" s="14" t="s">
        <v>142</v>
      </c>
      <c r="C6732" s="22">
        <f>(1)*(1)*(1)*(1)*(1 + (0))</f>
      </c>
      <c r="D6732" s="22" t="s">
        <v>71</v>
      </c>
      <c r="E6732" s="22"/>
      <c r="F6732" s="22">
        <f>(0)</f>
      </c>
      <c r="G6732" s="22">
        <f>(C6732 * E6732 + C6732 * E6732 * F6732)</f>
      </c>
    </row>
    <row r="6733">
      <c r="A6733" s="5" t="s">
        <v>143</v>
      </c>
      <c r="B6733" s="14" t="s">
        <v>144</v>
      </c>
      <c r="C6733" s="22">
        <f>(1)*(1)*(1)*(1)*(1 + (0))</f>
      </c>
      <c r="D6733" s="22" t="s">
        <v>71</v>
      </c>
      <c r="E6733" s="22"/>
      <c r="F6733" s="22">
        <f>(0)</f>
      </c>
      <c r="G6733" s="22">
        <f>(C6733 * E6733 + C6733 * E6733 * F6733)</f>
      </c>
    </row>
    <row r="6734">
      <c r="A6734" s="5" t="s">
        <v>145</v>
      </c>
      <c r="B6734" s="14" t="s">
        <v>146</v>
      </c>
      <c r="C6734" s="22">
        <f>(1)*(1)*(1)*(1)*(1 + (0))</f>
      </c>
      <c r="D6734" s="22" t="s">
        <v>71</v>
      </c>
      <c r="E6734" s="22"/>
      <c r="F6734" s="22">
        <f>(0)</f>
      </c>
      <c r="G6734" s="22">
        <f>(C6734 * E6734 + C6734 * E6734 * F6734)</f>
      </c>
    </row>
    <row r="6735">
      <c r="A6735" s="5" t="s">
        <v>147</v>
      </c>
      <c r="B6735" s="14" t="s">
        <v>148</v>
      </c>
      <c r="C6735" s="22">
        <f>(1)*(1)*(1)*(1)*(1 + (0))</f>
      </c>
      <c r="D6735" s="22" t="s">
        <v>71</v>
      </c>
      <c r="E6735" s="22"/>
      <c r="F6735" s="22">
        <f>(0)</f>
      </c>
      <c r="G6735" s="22">
        <f>(C6735 * E6735 + C6735 * E6735 * F6735)</f>
      </c>
    </row>
    <row r="6736">
      <c r="A6736" s="5"/>
      <c r="B6736" s="14" t="s">
        <v>149</v>
      </c>
      <c r="C6736" s="22">
        <f>(1)*(1)*(1)*(1)*(1 + (0))</f>
      </c>
      <c r="D6736" s="22" t="s">
        <v>71</v>
      </c>
      <c r="E6736" s="22"/>
      <c r="F6736" s="22">
        <f>(0)</f>
      </c>
      <c r="G6736" s="22">
        <f>(C6736 * E6736 + C6736 * E6736 * F6736)</f>
      </c>
    </row>
    <row r="6737">
      <c r="A6737" s="3"/>
      <c r="B6737" s="11" t="s">
        <v>150</v>
      </c>
      <c r="C6737" s="20"/>
      <c r="D6737" s="20"/>
      <c r="E6737" s="20"/>
      <c r="F6737" s="20"/>
      <c r="G6737" s="20"/>
    </row>
    <row r="6738">
      <c r="A6738" s="4"/>
      <c r="B6738" s="12" t="s">
        <v>151</v>
      </c>
      <c r="C6738" s="21"/>
      <c r="D6738" s="21"/>
      <c r="E6738" s="21"/>
      <c r="F6738" s="21"/>
      <c r="G6738" s="21"/>
    </row>
    <row r="6739">
      <c r="A6739" s="5"/>
      <c r="B6739" s="13" t="s">
        <v>152</v>
      </c>
      <c r="C6739" s="22">
        <f>(33)*(1)*(1)*(1)*(1 + (0))</f>
      </c>
      <c r="D6739" s="22" t="s">
        <v>153</v>
      </c>
      <c r="E6739" s="22"/>
      <c r="F6739" s="22">
        <f>(0)</f>
      </c>
      <c r="G6739" s="22">
        <f>(C6739 * E6739 + C6739 * E6739 * F6739)</f>
      </c>
    </row>
    <row r="6740">
      <c r="A6740" s="5"/>
      <c r="B6740" s="13" t="s">
        <v>154</v>
      </c>
      <c r="C6740" s="22">
        <f>(83)*(1)*(1)*(1)*(1 + (0))</f>
      </c>
      <c r="D6740" s="22" t="s">
        <v>153</v>
      </c>
      <c r="E6740" s="22"/>
      <c r="F6740" s="22">
        <f>(0)</f>
      </c>
      <c r="G6740" s="22">
        <f>(C6740 * E6740 + C6740 * E6740 * F6740)</f>
      </c>
    </row>
    <row r="6741">
      <c r="A6741" s="5"/>
      <c r="B6741" s="13" t="s">
        <v>155</v>
      </c>
      <c r="C6741" s="22">
        <f>(17)*(1)*(1)*(1)*(1 + (0))</f>
      </c>
      <c r="D6741" s="22" t="s">
        <v>153</v>
      </c>
      <c r="E6741" s="22"/>
      <c r="F6741" s="22">
        <f>(0)</f>
      </c>
      <c r="G6741" s="22">
        <f>(C6741 * E6741 + C6741 * E6741 * F6741)</f>
      </c>
    </row>
    <row r="6742">
      <c r="A6742" s="4"/>
      <c r="B6742" s="12" t="s">
        <v>160</v>
      </c>
      <c r="C6742" s="21"/>
      <c r="D6742" s="21"/>
      <c r="E6742" s="21"/>
      <c r="F6742" s="21"/>
      <c r="G6742" s="21"/>
    </row>
    <row r="6743">
      <c r="A6743" s="5"/>
      <c r="B6743" s="13" t="s">
        <v>161</v>
      </c>
      <c r="C6743" s="22">
        <f>(2)*(1)*(1)*(1)*(1 + (0))</f>
      </c>
      <c r="D6743" s="22" t="s">
        <v>162</v>
      </c>
      <c r="E6743" s="22"/>
      <c r="F6743" s="22">
        <f>(0)</f>
      </c>
      <c r="G6743" s="22">
        <f>(C6743 * E6743 + C6743 * E6743 * F6743)</f>
      </c>
    </row>
    <row r="6744">
      <c r="A6744" s="5"/>
      <c r="B6744" s="13" t="s">
        <v>163</v>
      </c>
      <c r="C6744" s="22">
        <f>(5)*(1)*(1)*(1)*(1 + (0))</f>
      </c>
      <c r="D6744" s="22" t="s">
        <v>162</v>
      </c>
      <c r="E6744" s="22"/>
      <c r="F6744" s="22">
        <f>(0)</f>
      </c>
      <c r="G6744" s="22">
        <f>(C6744 * E6744 + C6744 * E6744 * F6744)</f>
      </c>
    </row>
    <row r="6745">
      <c r="A6745" s="5"/>
      <c r="B6745" s="13" t="s">
        <v>164</v>
      </c>
      <c r="C6745" s="22">
        <f>(1)*(1)*(1)*(1)*(1 + (0))</f>
      </c>
      <c r="D6745" s="22" t="s">
        <v>162</v>
      </c>
      <c r="E6745" s="22"/>
      <c r="F6745" s="22">
        <f>(0)</f>
      </c>
      <c r="G6745" s="22">
        <f>(C6745 * E6745 + C6745 * E6745 * F6745)</f>
      </c>
    </row>
    <row r="6746">
      <c r="A6746" s="4"/>
      <c r="B6746" s="12" t="s">
        <v>169</v>
      </c>
      <c r="C6746" s="21"/>
      <c r="D6746" s="21"/>
      <c r="E6746" s="21"/>
      <c r="F6746" s="21"/>
      <c r="G6746" s="21"/>
    </row>
    <row r="6747">
      <c r="A6747" s="6"/>
      <c r="B6747" s="15" t="s">
        <v>170</v>
      </c>
      <c r="C6747" s="23"/>
      <c r="D6747" s="23"/>
      <c r="E6747" s="23"/>
      <c r="F6747" s="23"/>
      <c r="G6747" s="23"/>
    </row>
    <row r="6748">
      <c r="A6748" s="5"/>
      <c r="B6748" s="16" t="s">
        <v>2346</v>
      </c>
      <c r="C6748" s="22">
        <f>(10)*(1)*(1)*(1)*(1 + (0))</f>
      </c>
      <c r="D6748" s="22" t="s">
        <v>111</v>
      </c>
      <c r="E6748" s="22"/>
      <c r="F6748" s="22">
        <f>(0)</f>
      </c>
      <c r="G6748" s="22">
        <f>(C6748 * E6748 + C6748 * E6748 * F6748)</f>
      </c>
    </row>
    <row r="6749">
      <c r="A6749" s="5"/>
      <c r="B6749" s="16" t="s">
        <v>2347</v>
      </c>
      <c r="C6749" s="22">
        <f>(24)*(1)*(1)*(1)*(1 + (0))</f>
      </c>
      <c r="D6749" s="22" t="s">
        <v>111</v>
      </c>
      <c r="E6749" s="22"/>
      <c r="F6749" s="22">
        <f>(0)</f>
      </c>
      <c r="G6749" s="22">
        <f>(C6749 * E6749 + C6749 * E6749 * F6749)</f>
      </c>
    </row>
    <row r="6750">
      <c r="A6750" s="5"/>
      <c r="B6750" s="16" t="s">
        <v>2348</v>
      </c>
      <c r="C6750" s="22">
        <f>(11)*(1)*(1)*(1)*(1 + (0))</f>
      </c>
      <c r="D6750" s="22" t="s">
        <v>111</v>
      </c>
      <c r="E6750" s="22"/>
      <c r="F6750" s="22">
        <f>(0)</f>
      </c>
      <c r="G6750" s="22">
        <f>(C6750 * E6750 + C6750 * E6750 * F6750)</f>
      </c>
    </row>
    <row r="6751">
      <c r="A6751" s="4"/>
      <c r="B6751" s="12" t="s">
        <v>178</v>
      </c>
      <c r="C6751" s="21"/>
      <c r="D6751" s="21"/>
      <c r="E6751" s="21"/>
      <c r="F6751" s="21"/>
      <c r="G6751" s="21"/>
    </row>
    <row r="6752">
      <c r="A6752" s="6"/>
      <c r="B6752" s="15" t="s">
        <v>179</v>
      </c>
      <c r="C6752" s="23"/>
      <c r="D6752" s="23"/>
      <c r="E6752" s="23"/>
      <c r="F6752" s="23"/>
      <c r="G6752" s="23"/>
    </row>
    <row r="6753">
      <c r="A6753" s="5"/>
      <c r="B6753" s="16" t="s">
        <v>180</v>
      </c>
      <c r="C6753" s="22"/>
      <c r="D6753" s="22"/>
      <c r="E6753" s="22"/>
      <c r="F6753" s="22"/>
      <c r="G6753" s="22"/>
    </row>
    <row r="6754">
      <c r="A6754" s="5"/>
      <c r="B6754" s="17" t="s">
        <v>181</v>
      </c>
      <c r="C6754" s="22">
        <f>(0.93258)*(1)*(1)*(1)*(1 + (0))</f>
      </c>
      <c r="D6754" s="22" t="s">
        <v>182</v>
      </c>
      <c r="E6754" s="22"/>
      <c r="F6754" s="22">
        <f>(0)</f>
      </c>
      <c r="G6754" s="22">
        <f>(C6754 * E6754 + C6754 * E6754 * F6754)</f>
      </c>
    </row>
    <row r="6755">
      <c r="A6755" s="5"/>
      <c r="B6755" s="17" t="s">
        <v>183</v>
      </c>
      <c r="C6755" s="22">
        <f>(2.33145)*(1)*(1)*(1)*(1 + (0))</f>
      </c>
      <c r="D6755" s="22" t="s">
        <v>182</v>
      </c>
      <c r="E6755" s="22"/>
      <c r="F6755" s="22">
        <f>(0)</f>
      </c>
      <c r="G6755" s="22">
        <f>(C6755 * E6755 + C6755 * E6755 * F6755)</f>
      </c>
    </row>
    <row r="6756">
      <c r="A6756" s="5"/>
      <c r="B6756" s="17" t="s">
        <v>184</v>
      </c>
      <c r="C6756" s="22">
        <f>(1.0491525)*(1)*(1)*(1)*(1 + (0))</f>
      </c>
      <c r="D6756" s="22" t="s">
        <v>182</v>
      </c>
      <c r="E6756" s="22"/>
      <c r="F6756" s="22">
        <f>(0)</f>
      </c>
      <c r="G6756" s="22">
        <f>(C6756 * E6756 + C6756 * E6756 * F6756)</f>
      </c>
    </row>
    <row r="6757">
      <c r="A6757" s="4"/>
      <c r="B6757" s="12" t="s">
        <v>189</v>
      </c>
      <c r="C6757" s="21"/>
      <c r="D6757" s="21"/>
      <c r="E6757" s="21"/>
      <c r="F6757" s="21"/>
      <c r="G6757" s="21"/>
    </row>
    <row r="6758">
      <c r="A6758" s="5"/>
      <c r="B6758" s="13" t="s">
        <v>190</v>
      </c>
      <c r="C6758" s="22">
        <f>(10)*(1)*(1)*(1)*(1 + (0))</f>
      </c>
      <c r="D6758" s="22" t="s">
        <v>111</v>
      </c>
      <c r="E6758" s="22"/>
      <c r="F6758" s="22">
        <f>(0)</f>
      </c>
      <c r="G6758" s="22">
        <f>(C6758 * E6758 + C6758 * E6758 * F6758)</f>
      </c>
    </row>
    <row r="6759">
      <c r="A6759" s="5"/>
      <c r="B6759" s="13" t="s">
        <v>191</v>
      </c>
      <c r="C6759" s="22">
        <f>(24)*(1)*(1)*(1)*(1 + (0))</f>
      </c>
      <c r="D6759" s="22" t="s">
        <v>111</v>
      </c>
      <c r="E6759" s="22"/>
      <c r="F6759" s="22">
        <f>(0)</f>
      </c>
      <c r="G6759" s="22">
        <f>(C6759 * E6759 + C6759 * E6759 * F6759)</f>
      </c>
    </row>
    <row r="6760">
      <c r="A6760" s="5"/>
      <c r="B6760" s="13" t="s">
        <v>192</v>
      </c>
      <c r="C6760" s="22">
        <f>(11)*(1)*(1)*(1)*(1 + (0))</f>
      </c>
      <c r="D6760" s="22" t="s">
        <v>111</v>
      </c>
      <c r="E6760" s="22"/>
      <c r="F6760" s="22">
        <f>(0)</f>
      </c>
      <c r="G6760" s="22">
        <f>(C6760 * E6760 + C6760 * E6760 * F6760)</f>
      </c>
    </row>
    <row r="6761">
      <c r="A6761" s="4"/>
      <c r="B6761" s="12" t="s">
        <v>197</v>
      </c>
      <c r="C6761" s="21"/>
      <c r="D6761" s="21"/>
      <c r="E6761" s="21"/>
      <c r="F6761" s="21"/>
      <c r="G6761" s="21"/>
    </row>
    <row r="6762">
      <c r="A6762" s="6"/>
      <c r="B6762" s="15" t="s">
        <v>198</v>
      </c>
      <c r="C6762" s="23"/>
      <c r="D6762" s="23"/>
      <c r="E6762" s="23"/>
      <c r="F6762" s="23"/>
      <c r="G6762" s="23"/>
    </row>
    <row r="6763">
      <c r="A6763" s="5"/>
      <c r="B6763" s="16" t="s">
        <v>199</v>
      </c>
      <c r="C6763" s="22">
        <f>(2)*(1)*(1)*(1)*(1 + (0))</f>
      </c>
      <c r="D6763" s="22" t="s">
        <v>162</v>
      </c>
      <c r="E6763" s="22"/>
      <c r="F6763" s="22">
        <f>(0)</f>
      </c>
      <c r="G6763" s="22">
        <f>(C6763 * E6763 + C6763 * E6763 * F6763)</f>
      </c>
    </row>
    <row r="6764">
      <c r="A6764" s="5"/>
      <c r="B6764" s="16" t="s">
        <v>200</v>
      </c>
      <c r="C6764" s="22">
        <f>(5)*(1)*(1)*(1)*(1 + (0))</f>
      </c>
      <c r="D6764" s="22" t="s">
        <v>162</v>
      </c>
      <c r="E6764" s="22"/>
      <c r="F6764" s="22">
        <f>(0)</f>
      </c>
      <c r="G6764" s="22">
        <f>(C6764 * E6764 + C6764 * E6764 * F6764)</f>
      </c>
    </row>
    <row r="6765">
      <c r="A6765" s="5"/>
      <c r="B6765" s="16" t="s">
        <v>201</v>
      </c>
      <c r="C6765" s="22">
        <f>(1)*(1)*(1)*(1)*(1 + (0))</f>
      </c>
      <c r="D6765" s="22" t="s">
        <v>162</v>
      </c>
      <c r="E6765" s="22"/>
      <c r="F6765" s="22">
        <f>(0)</f>
      </c>
      <c r="G6765" s="22">
        <f>(C6765 * E6765 + C6765 * E6765 * F6765)</f>
      </c>
    </row>
    <row r="6766">
      <c r="A6766" s="6"/>
      <c r="B6766" s="15" t="s">
        <v>206</v>
      </c>
      <c r="C6766" s="23"/>
      <c r="D6766" s="23"/>
      <c r="E6766" s="23"/>
      <c r="F6766" s="23"/>
      <c r="G6766" s="23"/>
    </row>
    <row r="6767">
      <c r="A6767" s="5"/>
      <c r="B6767" s="16" t="s">
        <v>199</v>
      </c>
      <c r="C6767" s="22">
        <f>(2)*(1)*(1)*(1)*(1 + (0))</f>
      </c>
      <c r="D6767" s="22" t="s">
        <v>162</v>
      </c>
      <c r="E6767" s="22"/>
      <c r="F6767" s="22">
        <f>(0)</f>
      </c>
      <c r="G6767" s="22">
        <f>(C6767 * E6767 + C6767 * E6767 * F6767)</f>
      </c>
    </row>
    <row r="6768">
      <c r="A6768" s="5"/>
      <c r="B6768" s="16" t="s">
        <v>200</v>
      </c>
      <c r="C6768" s="22">
        <f>(5)*(1)*(1)*(1)*(1 + (0))</f>
      </c>
      <c r="D6768" s="22" t="s">
        <v>162</v>
      </c>
      <c r="E6768" s="22"/>
      <c r="F6768" s="22">
        <f>(0)</f>
      </c>
      <c r="G6768" s="22">
        <f>(C6768 * E6768 + C6768 * E6768 * F6768)</f>
      </c>
    </row>
    <row r="6769">
      <c r="A6769" s="5"/>
      <c r="B6769" s="16" t="s">
        <v>201</v>
      </c>
      <c r="C6769" s="22">
        <f>(1)*(1)*(1)*(1)*(1 + (0))</f>
      </c>
      <c r="D6769" s="22" t="s">
        <v>162</v>
      </c>
      <c r="E6769" s="22"/>
      <c r="F6769" s="22">
        <f>(0)</f>
      </c>
      <c r="G6769" s="22">
        <f>(C6769 * E6769 + C6769 * E6769 * F6769)</f>
      </c>
    </row>
    <row r="6770">
      <c r="A6770" s="2"/>
      <c r="B6770" s="10" t="s">
        <v>207</v>
      </c>
      <c r="C6770" s="19"/>
      <c r="D6770" s="19"/>
      <c r="E6770" s="19"/>
      <c r="F6770" s="19"/>
      <c r="G6770" s="19"/>
    </row>
    <row r="6771">
      <c r="A6771" s="3"/>
      <c r="B6771" s="11" t="s">
        <v>37</v>
      </c>
      <c r="C6771" s="20"/>
      <c r="D6771" s="20"/>
      <c r="E6771" s="20"/>
      <c r="F6771" s="20"/>
      <c r="G6771" s="20"/>
    </row>
    <row r="6772">
      <c r="A6772" s="5" t="s">
        <v>208</v>
      </c>
      <c r="B6772" s="14" t="s">
        <v>39</v>
      </c>
      <c r="C6772" s="22"/>
      <c r="D6772" s="22" t="s">
        <v>10</v>
      </c>
      <c r="E6772" s="22"/>
      <c r="F6772" s="22">
        <f>(0)</f>
      </c>
      <c r="G6772" s="22">
        <f>(C6772 * E6772 + C6772 * E6772 * F6772)</f>
      </c>
    </row>
    <row r="6773">
      <c r="A6773" s="5" t="s">
        <v>209</v>
      </c>
      <c r="B6773" s="14" t="s">
        <v>41</v>
      </c>
      <c r="C6773" s="22"/>
      <c r="D6773" s="22" t="s">
        <v>10</v>
      </c>
      <c r="E6773" s="22"/>
      <c r="F6773" s="22">
        <f>(0)</f>
      </c>
      <c r="G6773" s="22">
        <f>(C6773 * E6773 + C6773 * E6773 * F6773)</f>
      </c>
    </row>
    <row r="6774">
      <c r="A6774" s="3"/>
      <c r="B6774" s="11" t="s">
        <v>42</v>
      </c>
      <c r="C6774" s="20"/>
      <c r="D6774" s="20"/>
      <c r="E6774" s="20"/>
      <c r="F6774" s="20"/>
      <c r="G6774" s="20"/>
    </row>
    <row r="6775">
      <c r="A6775" s="5"/>
      <c r="B6775" s="14" t="s">
        <v>118</v>
      </c>
      <c r="C6775" s="22"/>
      <c r="D6775" s="22" t="s">
        <v>10</v>
      </c>
      <c r="E6775" s="22"/>
      <c r="F6775" s="22">
        <f>(0)</f>
      </c>
      <c r="G6775" s="22">
        <f>(C6775 * E6775 + C6775 * E6775 * F6775)</f>
      </c>
    </row>
    <row r="6776">
      <c r="A6776" s="5"/>
      <c r="B6776" s="14" t="s">
        <v>2349</v>
      </c>
      <c r="C6776" s="22"/>
      <c r="D6776" s="22" t="s">
        <v>10</v>
      </c>
      <c r="E6776" s="22"/>
      <c r="F6776" s="22">
        <f>(0)</f>
      </c>
      <c r="G6776" s="22">
        <f>(C6776 * E6776 + C6776 * E6776 * F6776)</f>
      </c>
    </row>
    <row r="6777">
      <c r="A6777" s="3"/>
      <c r="B6777" s="11" t="s">
        <v>44</v>
      </c>
      <c r="C6777" s="20"/>
      <c r="D6777" s="20"/>
      <c r="E6777" s="20"/>
      <c r="F6777" s="20"/>
      <c r="G6777" s="20"/>
    </row>
    <row r="6778">
      <c r="A6778" s="4"/>
      <c r="B6778" s="12" t="s">
        <v>45</v>
      </c>
      <c r="C6778" s="21"/>
      <c r="D6778" s="21"/>
      <c r="E6778" s="21"/>
      <c r="F6778" s="21"/>
      <c r="G6778" s="21"/>
    </row>
    <row r="6779">
      <c r="A6779" s="5" t="s">
        <v>211</v>
      </c>
      <c r="B6779" s="13" t="s">
        <v>212</v>
      </c>
      <c r="C6779" s="22"/>
      <c r="D6779" s="22" t="s">
        <v>10</v>
      </c>
      <c r="E6779" s="22"/>
      <c r="F6779" s="22">
        <f>(0)</f>
      </c>
      <c r="G6779" s="22">
        <f>(C6779 * E6779 + C6779 * E6779 * F6779)</f>
      </c>
    </row>
    <row r="6780">
      <c r="A6780" s="5" t="s">
        <v>213</v>
      </c>
      <c r="B6780" s="13" t="s">
        <v>214</v>
      </c>
      <c r="C6780" s="22"/>
      <c r="D6780" s="22" t="s">
        <v>10</v>
      </c>
      <c r="E6780" s="22"/>
      <c r="F6780" s="22">
        <f>(0)</f>
      </c>
      <c r="G6780" s="22">
        <f>(C6780 * E6780 + C6780 * E6780 * F6780)</f>
      </c>
    </row>
    <row r="6781">
      <c r="A6781" s="5" t="s">
        <v>215</v>
      </c>
      <c r="B6781" s="13" t="s">
        <v>216</v>
      </c>
      <c r="C6781" s="22"/>
      <c r="D6781" s="22" t="s">
        <v>10</v>
      </c>
      <c r="E6781" s="22"/>
      <c r="F6781" s="22">
        <f>(0)</f>
      </c>
      <c r="G6781" s="22">
        <f>(C6781 * E6781 + C6781 * E6781 * F6781)</f>
      </c>
    </row>
    <row r="6782">
      <c r="A6782" s="5" t="s">
        <v>217</v>
      </c>
      <c r="B6782" s="13" t="s">
        <v>218</v>
      </c>
      <c r="C6782" s="22"/>
      <c r="D6782" s="22" t="s">
        <v>10</v>
      </c>
      <c r="E6782" s="22"/>
      <c r="F6782" s="22">
        <f>(0)</f>
      </c>
      <c r="G6782" s="22">
        <f>(C6782 * E6782 + C6782 * E6782 * F6782)</f>
      </c>
    </row>
    <row r="6783">
      <c r="A6783" s="5" t="s">
        <v>219</v>
      </c>
      <c r="B6783" s="13" t="s">
        <v>220</v>
      </c>
      <c r="C6783" s="22"/>
      <c r="D6783" s="22" t="s">
        <v>10</v>
      </c>
      <c r="E6783" s="22"/>
      <c r="F6783" s="22">
        <f>(0)</f>
      </c>
      <c r="G6783" s="22">
        <f>(C6783 * E6783 + C6783 * E6783 * F6783)</f>
      </c>
    </row>
    <row r="6784">
      <c r="A6784" s="5" t="s">
        <v>221</v>
      </c>
      <c r="B6784" s="13" t="s">
        <v>123</v>
      </c>
      <c r="C6784" s="22"/>
      <c r="D6784" s="22" t="s">
        <v>10</v>
      </c>
      <c r="E6784" s="22"/>
      <c r="F6784" s="22">
        <f>(0)</f>
      </c>
      <c r="G6784" s="22">
        <f>(C6784 * E6784 + C6784 * E6784 * F6784)</f>
      </c>
    </row>
    <row r="6785">
      <c r="A6785" s="3"/>
      <c r="B6785" s="11" t="s">
        <v>68</v>
      </c>
      <c r="C6785" s="20"/>
      <c r="D6785" s="20"/>
      <c r="E6785" s="20"/>
      <c r="F6785" s="20"/>
      <c r="G6785" s="20"/>
    </row>
    <row r="6786">
      <c r="A6786" s="5" t="s">
        <v>222</v>
      </c>
      <c r="B6786" s="14" t="s">
        <v>223</v>
      </c>
      <c r="C6786" s="22">
        <f>(1)*(1)*(1)*(1)*(1 + (0))</f>
      </c>
      <c r="D6786" s="22" t="s">
        <v>71</v>
      </c>
      <c r="E6786" s="22"/>
      <c r="F6786" s="22">
        <f>(0)</f>
      </c>
      <c r="G6786" s="22">
        <f>(C6786 * E6786 + C6786 * E6786 * F6786)</f>
      </c>
    </row>
    <row r="6787">
      <c r="A6787" s="5" t="s">
        <v>224</v>
      </c>
      <c r="B6787" s="14" t="s">
        <v>70</v>
      </c>
      <c r="C6787" s="22">
        <f>(1)*(1)*(1)*(1)*(1 + (0))</f>
      </c>
      <c r="D6787" s="22" t="s">
        <v>71</v>
      </c>
      <c r="E6787" s="22"/>
      <c r="F6787" s="22">
        <f>(0)</f>
      </c>
      <c r="G6787" s="22">
        <f>(C6787 * E6787 + C6787 * E6787 * F6787)</f>
      </c>
    </row>
    <row r="6788">
      <c r="A6788" s="5" t="s">
        <v>225</v>
      </c>
      <c r="B6788" s="14" t="s">
        <v>73</v>
      </c>
      <c r="C6788" s="22">
        <f>(1)*(1)*(1)*(1)*(1 + (0))</f>
      </c>
      <c r="D6788" s="22" t="s">
        <v>71</v>
      </c>
      <c r="E6788" s="22"/>
      <c r="F6788" s="22">
        <f>(0)</f>
      </c>
      <c r="G6788" s="22">
        <f>(C6788 * E6788 + C6788 * E6788 * F6788)</f>
      </c>
    </row>
    <row r="6789">
      <c r="A6789" s="5" t="s">
        <v>226</v>
      </c>
      <c r="B6789" s="14" t="s">
        <v>134</v>
      </c>
      <c r="C6789" s="22">
        <f>(1)*(1)*(1)*(1)*(1 + (0))</f>
      </c>
      <c r="D6789" s="22" t="s">
        <v>71</v>
      </c>
      <c r="E6789" s="22"/>
      <c r="F6789" s="22">
        <f>(0)</f>
      </c>
      <c r="G6789" s="22">
        <f>(C6789 * E6789 + C6789 * E6789 * F6789)</f>
      </c>
    </row>
    <row r="6790">
      <c r="A6790" s="5" t="s">
        <v>227</v>
      </c>
      <c r="B6790" s="14" t="s">
        <v>228</v>
      </c>
      <c r="C6790" s="22">
        <f>(1)*(1)*(1)*(1)*(1 + (0))</f>
      </c>
      <c r="D6790" s="22" t="s">
        <v>71</v>
      </c>
      <c r="E6790" s="22"/>
      <c r="F6790" s="22">
        <f>(0)</f>
      </c>
      <c r="G6790" s="22">
        <f>(C6790 * E6790 + C6790 * E6790 * F6790)</f>
      </c>
    </row>
    <row r="6791">
      <c r="A6791" s="5" t="s">
        <v>229</v>
      </c>
      <c r="B6791" s="14" t="s">
        <v>230</v>
      </c>
      <c r="C6791" s="22">
        <f>(1)*(1)*(1)*(1)*(1 + (0))</f>
      </c>
      <c r="D6791" s="22" t="s">
        <v>71</v>
      </c>
      <c r="E6791" s="22"/>
      <c r="F6791" s="22">
        <f>(0)</f>
      </c>
      <c r="G6791" s="22">
        <f>(C6791 * E6791 + C6791 * E6791 * F6791)</f>
      </c>
    </row>
    <row r="6792">
      <c r="A6792" s="5" t="s">
        <v>231</v>
      </c>
      <c r="B6792" s="14" t="s">
        <v>232</v>
      </c>
      <c r="C6792" s="22">
        <f>(1)*(1)*(1)*(1)*(1 + (0))</f>
      </c>
      <c r="D6792" s="22" t="s">
        <v>71</v>
      </c>
      <c r="E6792" s="22"/>
      <c r="F6792" s="22">
        <f>(0)</f>
      </c>
      <c r="G6792" s="22">
        <f>(C6792 * E6792 + C6792 * E6792 * F6792)</f>
      </c>
    </row>
    <row r="6793">
      <c r="A6793" s="5" t="s">
        <v>233</v>
      </c>
      <c r="B6793" s="14" t="s">
        <v>234</v>
      </c>
      <c r="C6793" s="22">
        <f>(1)*(1)*(1)*(1)*(1 + (0))</f>
      </c>
      <c r="D6793" s="22" t="s">
        <v>71</v>
      </c>
      <c r="E6793" s="22"/>
      <c r="F6793" s="22">
        <f>(0)</f>
      </c>
      <c r="G6793" s="22">
        <f>(C6793 * E6793 + C6793 * E6793 * F6793)</f>
      </c>
    </row>
    <row r="6794">
      <c r="A6794" s="5" t="s">
        <v>235</v>
      </c>
      <c r="B6794" s="14" t="s">
        <v>236</v>
      </c>
      <c r="C6794" s="22">
        <f>(1)*(1)*(1)*(1)*(1 + (0))</f>
      </c>
      <c r="D6794" s="22" t="s">
        <v>71</v>
      </c>
      <c r="E6794" s="22"/>
      <c r="F6794" s="22">
        <f>(0)</f>
      </c>
      <c r="G6794" s="22">
        <f>(C6794 * E6794 + C6794 * E6794 * F6794)</f>
      </c>
    </row>
    <row r="6795">
      <c r="A6795" s="5" t="s">
        <v>237</v>
      </c>
      <c r="B6795" s="14" t="s">
        <v>238</v>
      </c>
      <c r="C6795" s="22">
        <f>(1)*(1)*(1)*(1)*(1 + (0))</f>
      </c>
      <c r="D6795" s="22" t="s">
        <v>71</v>
      </c>
      <c r="E6795" s="22"/>
      <c r="F6795" s="22">
        <f>(0)</f>
      </c>
      <c r="G6795" s="22">
        <f>(C6795 * E6795 + C6795 * E6795 * F6795)</f>
      </c>
    </row>
    <row r="6796">
      <c r="A6796" s="5" t="s">
        <v>239</v>
      </c>
      <c r="B6796" s="14" t="s">
        <v>240</v>
      </c>
      <c r="C6796" s="22">
        <f>(1)*(1)*(1)*(1)*(1 + (0))</f>
      </c>
      <c r="D6796" s="22" t="s">
        <v>71</v>
      </c>
      <c r="E6796" s="22"/>
      <c r="F6796" s="22">
        <f>(0)</f>
      </c>
      <c r="G6796" s="22">
        <f>(C6796 * E6796 + C6796 * E6796 * F6796)</f>
      </c>
    </row>
    <row r="6797">
      <c r="A6797" s="3"/>
      <c r="B6797" s="11" t="s">
        <v>106</v>
      </c>
      <c r="C6797" s="20"/>
      <c r="D6797" s="20"/>
      <c r="E6797" s="20"/>
      <c r="F6797" s="20"/>
      <c r="G6797" s="20"/>
    </row>
    <row r="6798">
      <c r="A6798" s="5"/>
      <c r="B6798" s="14" t="s">
        <v>241</v>
      </c>
      <c r="C6798" s="22"/>
      <c r="D6798" s="22" t="s">
        <v>10</v>
      </c>
      <c r="E6798" s="22"/>
      <c r="F6798" s="22">
        <f>(0)</f>
      </c>
      <c r="G6798" s="22">
        <f>(C6798 * E6798 + C6798 * E6798 * F6798)</f>
      </c>
    </row>
    <row r="6799">
      <c r="A6799" s="3"/>
      <c r="B6799" s="11" t="s">
        <v>242</v>
      </c>
      <c r="C6799" s="20"/>
      <c r="D6799" s="20"/>
      <c r="E6799" s="20"/>
      <c r="F6799" s="20"/>
      <c r="G6799" s="20"/>
    </row>
    <row r="6800">
      <c r="A6800" s="5"/>
      <c r="B6800" s="14" t="s">
        <v>1623</v>
      </c>
      <c r="C6800" s="22">
        <f>(16)*(1)*(1)*(1)*(1 + (0))</f>
      </c>
      <c r="D6800" s="22" t="s">
        <v>111</v>
      </c>
      <c r="E6800" s="22"/>
      <c r="F6800" s="22">
        <f>(0)</f>
      </c>
      <c r="G6800" s="22">
        <f>(C6800 * E6800 + C6800 * E6800 * F6800)</f>
      </c>
    </row>
    <row r="6801">
      <c r="A6801" s="5"/>
      <c r="B6801" s="14" t="s">
        <v>2350</v>
      </c>
      <c r="C6801" s="22">
        <f>(13)*(1)*(1)*(1)*(1 + (0))</f>
      </c>
      <c r="D6801" s="22" t="s">
        <v>111</v>
      </c>
      <c r="E6801" s="22"/>
      <c r="F6801" s="22">
        <f>(0)</f>
      </c>
      <c r="G6801" s="22">
        <f>(C6801 * E6801 + C6801 * E6801 * F6801)</f>
      </c>
    </row>
    <row r="6802">
      <c r="A6802" s="5"/>
      <c r="B6802" s="14" t="s">
        <v>244</v>
      </c>
      <c r="C6802" s="22">
        <f>(7)*(1)*(1)*(1)*(1 + (0))</f>
      </c>
      <c r="D6802" s="22" t="s">
        <v>111</v>
      </c>
      <c r="E6802" s="22"/>
      <c r="F6802" s="22">
        <f>(0)</f>
      </c>
      <c r="G6802" s="22">
        <f>(C6802 * E6802 + C6802 * E6802 * F6802)</f>
      </c>
    </row>
    <row r="6803">
      <c r="A6803" s="3"/>
      <c r="B6803" s="11" t="s">
        <v>245</v>
      </c>
      <c r="C6803" s="20"/>
      <c r="D6803" s="20"/>
      <c r="E6803" s="20"/>
      <c r="F6803" s="20"/>
      <c r="G6803" s="20"/>
    </row>
    <row r="6804">
      <c r="A6804" s="4"/>
      <c r="B6804" s="12" t="s">
        <v>246</v>
      </c>
      <c r="C6804" s="21"/>
      <c r="D6804" s="21"/>
      <c r="E6804" s="21"/>
      <c r="F6804" s="21"/>
      <c r="G6804" s="21"/>
    </row>
    <row r="6805">
      <c r="A6805" s="6"/>
      <c r="B6805" s="15" t="s">
        <v>2351</v>
      </c>
      <c r="C6805" s="23"/>
      <c r="D6805" s="23"/>
      <c r="E6805" s="23"/>
      <c r="F6805" s="23"/>
      <c r="G6805" s="23"/>
    </row>
    <row r="6806">
      <c r="A6806" s="5"/>
      <c r="B6806" s="16" t="s">
        <v>2352</v>
      </c>
      <c r="C6806" s="22">
        <f>(2)*(1)*(1)*(1)*(1 + (0))</f>
      </c>
      <c r="D6806" s="22" t="s">
        <v>111</v>
      </c>
      <c r="E6806" s="22"/>
      <c r="F6806" s="22">
        <f>(0)</f>
      </c>
      <c r="G6806" s="22">
        <f>(C6806 * E6806 + C6806 * E6806 * F6806)</f>
      </c>
    </row>
    <row r="6807">
      <c r="A6807" s="4"/>
      <c r="B6807" s="12" t="s">
        <v>1844</v>
      </c>
      <c r="C6807" s="21"/>
      <c r="D6807" s="21"/>
      <c r="E6807" s="21"/>
      <c r="F6807" s="21"/>
      <c r="G6807" s="21"/>
    </row>
    <row r="6808">
      <c r="A6808" s="6"/>
      <c r="B6808" s="15" t="s">
        <v>2353</v>
      </c>
      <c r="C6808" s="23"/>
      <c r="D6808" s="23"/>
      <c r="E6808" s="23"/>
      <c r="F6808" s="23"/>
      <c r="G6808" s="23"/>
    </row>
    <row r="6809">
      <c r="A6809" s="5"/>
      <c r="B6809" s="16" t="s">
        <v>2354</v>
      </c>
      <c r="C6809" s="22">
        <f>(7)*(1)*(1)*(1)*(1 + (0))</f>
      </c>
      <c r="D6809" s="22" t="s">
        <v>111</v>
      </c>
      <c r="E6809" s="22"/>
      <c r="F6809" s="22">
        <f>(0)</f>
      </c>
      <c r="G6809" s="22">
        <f>(C6809 * E6809 + C6809 * E6809 * F6809)</f>
      </c>
    </row>
    <row r="6810">
      <c r="A6810" s="4"/>
      <c r="B6810" s="12" t="s">
        <v>256</v>
      </c>
      <c r="C6810" s="21"/>
      <c r="D6810" s="21"/>
      <c r="E6810" s="21"/>
      <c r="F6810" s="21"/>
      <c r="G6810" s="21"/>
    </row>
    <row r="6811">
      <c r="A6811" s="6"/>
      <c r="B6811" s="15" t="s">
        <v>2351</v>
      </c>
      <c r="C6811" s="23"/>
      <c r="D6811" s="23"/>
      <c r="E6811" s="23"/>
      <c r="F6811" s="23"/>
      <c r="G6811" s="23"/>
    </row>
    <row r="6812">
      <c r="A6812" s="5"/>
      <c r="B6812" s="16" t="s">
        <v>2355</v>
      </c>
      <c r="C6812" s="22">
        <f>(7)*(1)*(1)*(1)*(1 + (0))</f>
      </c>
      <c r="D6812" s="22" t="s">
        <v>111</v>
      </c>
      <c r="E6812" s="22"/>
      <c r="F6812" s="22">
        <f>(0)</f>
      </c>
      <c r="G6812" s="22">
        <f>(C6812 * E6812 + C6812 * E6812 * F6812)</f>
      </c>
    </row>
    <row r="6813">
      <c r="A6813" s="4"/>
      <c r="B6813" s="12" t="s">
        <v>271</v>
      </c>
      <c r="C6813" s="21"/>
      <c r="D6813" s="21"/>
      <c r="E6813" s="21"/>
      <c r="F6813" s="21"/>
      <c r="G6813" s="21"/>
    </row>
    <row r="6814">
      <c r="A6814" s="6"/>
      <c r="B6814" s="15" t="s">
        <v>2356</v>
      </c>
      <c r="C6814" s="23"/>
      <c r="D6814" s="23"/>
      <c r="E6814" s="23"/>
      <c r="F6814" s="23"/>
      <c r="G6814" s="23"/>
    </row>
    <row r="6815">
      <c r="A6815" s="5"/>
      <c r="B6815" s="16" t="s">
        <v>2357</v>
      </c>
      <c r="C6815" s="22">
        <f>(10)*(1)*(1)*(1)*(1 + (0))</f>
      </c>
      <c r="D6815" s="22" t="s">
        <v>111</v>
      </c>
      <c r="E6815" s="22"/>
      <c r="F6815" s="22">
        <f>(0)</f>
      </c>
      <c r="G6815" s="22">
        <f>(C6815 * E6815 + C6815 * E6815 * F6815)</f>
      </c>
    </row>
    <row r="6816">
      <c r="A6816" s="4"/>
      <c r="B6816" s="12" t="s">
        <v>290</v>
      </c>
      <c r="C6816" s="21"/>
      <c r="D6816" s="21"/>
      <c r="E6816" s="21"/>
      <c r="F6816" s="21"/>
      <c r="G6816" s="21"/>
    </row>
    <row r="6817">
      <c r="A6817" s="6"/>
      <c r="B6817" s="15" t="s">
        <v>2356</v>
      </c>
      <c r="C6817" s="23"/>
      <c r="D6817" s="23"/>
      <c r="E6817" s="23"/>
      <c r="F6817" s="23"/>
      <c r="G6817" s="23"/>
    </row>
    <row r="6818">
      <c r="A6818" s="5"/>
      <c r="B6818" s="16" t="s">
        <v>2358</v>
      </c>
      <c r="C6818" s="22">
        <f>(3)*(1)*(1)*(1)*(1 + (0))</f>
      </c>
      <c r="D6818" s="22" t="s">
        <v>111</v>
      </c>
      <c r="E6818" s="22"/>
      <c r="F6818" s="22">
        <f>(0)</f>
      </c>
      <c r="G6818" s="22">
        <f>(C6818 * E6818 + C6818 * E6818 * F6818)</f>
      </c>
    </row>
    <row r="6819">
      <c r="A6819" s="4"/>
      <c r="B6819" s="12" t="s">
        <v>292</v>
      </c>
      <c r="C6819" s="21"/>
      <c r="D6819" s="21"/>
      <c r="E6819" s="21"/>
      <c r="F6819" s="21"/>
      <c r="G6819" s="21"/>
    </row>
    <row r="6820">
      <c r="A6820" s="6"/>
      <c r="B6820" s="15" t="s">
        <v>2359</v>
      </c>
      <c r="C6820" s="23"/>
      <c r="D6820" s="23"/>
      <c r="E6820" s="23"/>
      <c r="F6820" s="23"/>
      <c r="G6820" s="23"/>
    </row>
    <row r="6821">
      <c r="A6821" s="5"/>
      <c r="B6821" s="16" t="s">
        <v>2360</v>
      </c>
      <c r="C6821" s="22">
        <f>(4)*(1)*(1)*(1)*(1 + (0))</f>
      </c>
      <c r="D6821" s="22" t="s">
        <v>111</v>
      </c>
      <c r="E6821" s="22"/>
      <c r="F6821" s="22">
        <f>(0)</f>
      </c>
      <c r="G6821" s="22">
        <f>(C6821 * E6821 + C6821 * E6821 * F6821)</f>
      </c>
    </row>
    <row r="6822">
      <c r="A6822" s="6"/>
      <c r="B6822" s="15" t="s">
        <v>2356</v>
      </c>
      <c r="C6822" s="23"/>
      <c r="D6822" s="23"/>
      <c r="E6822" s="23"/>
      <c r="F6822" s="23"/>
      <c r="G6822" s="23"/>
    </row>
    <row r="6823">
      <c r="A6823" s="5"/>
      <c r="B6823" s="16" t="s">
        <v>2360</v>
      </c>
      <c r="C6823" s="22">
        <f>(3)*(1)*(1)*(1)*(1 + (0))</f>
      </c>
      <c r="D6823" s="22" t="s">
        <v>111</v>
      </c>
      <c r="E6823" s="22"/>
      <c r="F6823" s="22">
        <f>(0)</f>
      </c>
      <c r="G6823" s="22">
        <f>(C6823 * E6823 + C6823 * E6823 * F6823)</f>
      </c>
    </row>
    <row r="6824">
      <c r="A6824" s="3"/>
      <c r="B6824" s="11" t="s">
        <v>325</v>
      </c>
      <c r="C6824" s="20"/>
      <c r="D6824" s="20"/>
      <c r="E6824" s="20"/>
      <c r="F6824" s="20"/>
      <c r="G6824" s="20"/>
    </row>
    <row r="6825">
      <c r="A6825" s="4"/>
      <c r="B6825" s="12" t="s">
        <v>326</v>
      </c>
      <c r="C6825" s="21"/>
      <c r="D6825" s="21"/>
      <c r="E6825" s="21"/>
      <c r="F6825" s="21"/>
      <c r="G6825" s="21"/>
    </row>
    <row r="6826">
      <c r="A6826" s="5"/>
      <c r="B6826" s="13" t="s">
        <v>328</v>
      </c>
      <c r="C6826" s="22">
        <f>(49)*(1)*(1)*(1)*(1 + (0))</f>
      </c>
      <c r="D6826" s="22" t="s">
        <v>24</v>
      </c>
      <c r="E6826" s="22"/>
      <c r="F6826" s="22">
        <f>(0)</f>
      </c>
      <c r="G6826" s="22">
        <f>(C6826 * E6826 + C6826 * E6826 * F6826)</f>
      </c>
    </row>
    <row r="6827">
      <c r="A6827" s="4"/>
      <c r="B6827" s="12" t="s">
        <v>330</v>
      </c>
      <c r="C6827" s="21"/>
      <c r="D6827" s="21"/>
      <c r="E6827" s="21"/>
      <c r="F6827" s="21"/>
      <c r="G6827" s="21"/>
    </row>
    <row r="6828">
      <c r="A6828" s="5"/>
      <c r="B6828" s="13" t="s">
        <v>332</v>
      </c>
      <c r="C6828" s="22">
        <f>(49)*(1)*(1)*(1)*(1 + (0))</f>
      </c>
      <c r="D6828" s="22" t="s">
        <v>24</v>
      </c>
      <c r="E6828" s="22"/>
      <c r="F6828" s="22">
        <f>(0)</f>
      </c>
      <c r="G6828" s="22">
        <f>(C6828 * E6828 + C6828 * E6828 * F6828)</f>
      </c>
    </row>
    <row r="6829">
      <c r="A6829" s="3"/>
      <c r="B6829" s="11" t="s">
        <v>347</v>
      </c>
      <c r="C6829" s="20"/>
      <c r="D6829" s="20"/>
      <c r="E6829" s="20"/>
      <c r="F6829" s="20"/>
      <c r="G6829" s="20"/>
    </row>
    <row r="6830">
      <c r="A6830" s="5"/>
      <c r="B6830" s="14" t="s">
        <v>2361</v>
      </c>
      <c r="C6830" s="22">
        <f>(51)*(1)*(1)*(1)*(1 + (0))</f>
      </c>
      <c r="D6830" s="22" t="s">
        <v>24</v>
      </c>
      <c r="E6830" s="22"/>
      <c r="F6830" s="22">
        <f>(0)</f>
      </c>
      <c r="G6830" s="22">
        <f>(C6830 * E6830 + C6830 * E6830 * F6830)</f>
      </c>
    </row>
    <row r="6831">
      <c r="A6831" s="2"/>
      <c r="B6831" s="10" t="s">
        <v>350</v>
      </c>
      <c r="C6831" s="19"/>
      <c r="D6831" s="19"/>
      <c r="E6831" s="19"/>
      <c r="F6831" s="19"/>
      <c r="G6831" s="19"/>
    </row>
    <row r="6832">
      <c r="A6832" s="3"/>
      <c r="B6832" s="11" t="s">
        <v>37</v>
      </c>
      <c r="C6832" s="20"/>
      <c r="D6832" s="20"/>
      <c r="E6832" s="20"/>
      <c r="F6832" s="20"/>
      <c r="G6832" s="20"/>
    </row>
    <row r="6833">
      <c r="A6833" s="5" t="s">
        <v>351</v>
      </c>
      <c r="B6833" s="14" t="s">
        <v>39</v>
      </c>
      <c r="C6833" s="22"/>
      <c r="D6833" s="22" t="s">
        <v>10</v>
      </c>
      <c r="E6833" s="22"/>
      <c r="F6833" s="22">
        <f>(0)</f>
      </c>
      <c r="G6833" s="22">
        <f>(C6833 * E6833 + C6833 * E6833 * F6833)</f>
      </c>
    </row>
    <row r="6834">
      <c r="A6834" s="5" t="s">
        <v>352</v>
      </c>
      <c r="B6834" s="14" t="s">
        <v>41</v>
      </c>
      <c r="C6834" s="22"/>
      <c r="D6834" s="22" t="s">
        <v>10</v>
      </c>
      <c r="E6834" s="22"/>
      <c r="F6834" s="22">
        <f>(0)</f>
      </c>
      <c r="G6834" s="22">
        <f>(C6834 * E6834 + C6834 * E6834 * F6834)</f>
      </c>
    </row>
    <row r="6835">
      <c r="A6835" s="3"/>
      <c r="B6835" s="11" t="s">
        <v>42</v>
      </c>
      <c r="C6835" s="20"/>
      <c r="D6835" s="20"/>
      <c r="E6835" s="20"/>
      <c r="F6835" s="20"/>
      <c r="G6835" s="20"/>
    </row>
    <row r="6836">
      <c r="A6836" s="5"/>
      <c r="B6836" s="14" t="s">
        <v>118</v>
      </c>
      <c r="C6836" s="22"/>
      <c r="D6836" s="22" t="s">
        <v>10</v>
      </c>
      <c r="E6836" s="22"/>
      <c r="F6836" s="22">
        <f>(0)</f>
      </c>
      <c r="G6836" s="22">
        <f>(C6836 * E6836 + C6836 * E6836 * F6836)</f>
      </c>
    </row>
    <row r="6837">
      <c r="A6837" s="5"/>
      <c r="B6837" s="14" t="s">
        <v>2349</v>
      </c>
      <c r="C6837" s="22"/>
      <c r="D6837" s="22" t="s">
        <v>10</v>
      </c>
      <c r="E6837" s="22"/>
      <c r="F6837" s="22">
        <f>(0)</f>
      </c>
      <c r="G6837" s="22">
        <f>(C6837 * E6837 + C6837 * E6837 * F6837)</f>
      </c>
    </row>
    <row r="6838">
      <c r="A6838" s="3"/>
      <c r="B6838" s="11" t="s">
        <v>44</v>
      </c>
      <c r="C6838" s="20"/>
      <c r="D6838" s="20"/>
      <c r="E6838" s="20"/>
      <c r="F6838" s="20"/>
      <c r="G6838" s="20"/>
    </row>
    <row r="6839">
      <c r="A6839" s="4"/>
      <c r="B6839" s="12" t="s">
        <v>45</v>
      </c>
      <c r="C6839" s="21"/>
      <c r="D6839" s="21"/>
      <c r="E6839" s="21"/>
      <c r="F6839" s="21"/>
      <c r="G6839" s="21"/>
    </row>
    <row r="6840">
      <c r="A6840" s="5" t="s">
        <v>353</v>
      </c>
      <c r="B6840" s="13" t="s">
        <v>354</v>
      </c>
      <c r="C6840" s="22"/>
      <c r="D6840" s="22" t="s">
        <v>10</v>
      </c>
      <c r="E6840" s="22"/>
      <c r="F6840" s="22">
        <f>(0)</f>
      </c>
      <c r="G6840" s="22">
        <f>(C6840 * E6840 + C6840 * E6840 * F6840)</f>
      </c>
    </row>
    <row r="6841">
      <c r="A6841" s="5" t="s">
        <v>355</v>
      </c>
      <c r="B6841" s="13" t="s">
        <v>356</v>
      </c>
      <c r="C6841" s="22"/>
      <c r="D6841" s="22" t="s">
        <v>10</v>
      </c>
      <c r="E6841" s="22"/>
      <c r="F6841" s="22">
        <f>(0)</f>
      </c>
      <c r="G6841" s="22">
        <f>(C6841 * E6841 + C6841 * E6841 * F6841)</f>
      </c>
    </row>
    <row r="6842">
      <c r="A6842" s="5" t="s">
        <v>357</v>
      </c>
      <c r="B6842" s="13" t="s">
        <v>358</v>
      </c>
      <c r="C6842" s="22"/>
      <c r="D6842" s="22" t="s">
        <v>10</v>
      </c>
      <c r="E6842" s="22"/>
      <c r="F6842" s="22">
        <f>(0)</f>
      </c>
      <c r="G6842" s="22">
        <f>(C6842 * E6842 + C6842 * E6842 * F6842)</f>
      </c>
    </row>
    <row r="6843">
      <c r="A6843" s="5" t="s">
        <v>359</v>
      </c>
      <c r="B6843" s="13" t="s">
        <v>360</v>
      </c>
      <c r="C6843" s="22"/>
      <c r="D6843" s="22" t="s">
        <v>10</v>
      </c>
      <c r="E6843" s="22"/>
      <c r="F6843" s="22">
        <f>(0)</f>
      </c>
      <c r="G6843" s="22">
        <f>(C6843 * E6843 + C6843 * E6843 * F6843)</f>
      </c>
    </row>
    <row r="6844">
      <c r="A6844" s="5" t="s">
        <v>361</v>
      </c>
      <c r="B6844" s="13" t="s">
        <v>362</v>
      </c>
      <c r="C6844" s="22"/>
      <c r="D6844" s="22" t="s">
        <v>10</v>
      </c>
      <c r="E6844" s="22"/>
      <c r="F6844" s="22">
        <f>(0)</f>
      </c>
      <c r="G6844" s="22">
        <f>(C6844 * E6844 + C6844 * E6844 * F6844)</f>
      </c>
    </row>
    <row r="6845">
      <c r="A6845" s="5" t="s">
        <v>363</v>
      </c>
      <c r="B6845" s="13" t="s">
        <v>364</v>
      </c>
      <c r="C6845" s="22"/>
      <c r="D6845" s="22" t="s">
        <v>10</v>
      </c>
      <c r="E6845" s="22"/>
      <c r="F6845" s="22">
        <f>(0)</f>
      </c>
      <c r="G6845" s="22">
        <f>(C6845 * E6845 + C6845 * E6845 * F6845)</f>
      </c>
    </row>
    <row r="6846">
      <c r="A6846" s="5" t="s">
        <v>365</v>
      </c>
      <c r="B6846" s="13" t="s">
        <v>366</v>
      </c>
      <c r="C6846" s="22"/>
      <c r="D6846" s="22" t="s">
        <v>10</v>
      </c>
      <c r="E6846" s="22"/>
      <c r="F6846" s="22">
        <f>(0)</f>
      </c>
      <c r="G6846" s="22">
        <f>(C6846 * E6846 + C6846 * E6846 * F6846)</f>
      </c>
    </row>
    <row r="6847">
      <c r="A6847" s="5" t="s">
        <v>367</v>
      </c>
      <c r="B6847" s="13" t="s">
        <v>368</v>
      </c>
      <c r="C6847" s="22"/>
      <c r="D6847" s="22" t="s">
        <v>10</v>
      </c>
      <c r="E6847" s="22"/>
      <c r="F6847" s="22">
        <f>(0)</f>
      </c>
      <c r="G6847" s="22">
        <f>(C6847 * E6847 + C6847 * E6847 * F6847)</f>
      </c>
    </row>
    <row r="6848">
      <c r="A6848" s="5" t="s">
        <v>369</v>
      </c>
      <c r="B6848" s="13" t="s">
        <v>370</v>
      </c>
      <c r="C6848" s="22"/>
      <c r="D6848" s="22" t="s">
        <v>10</v>
      </c>
      <c r="E6848" s="22"/>
      <c r="F6848" s="22">
        <f>(0)</f>
      </c>
      <c r="G6848" s="22">
        <f>(C6848 * E6848 + C6848 * E6848 * F6848)</f>
      </c>
    </row>
    <row r="6849">
      <c r="A6849" s="5" t="s">
        <v>371</v>
      </c>
      <c r="B6849" s="13" t="s">
        <v>123</v>
      </c>
      <c r="C6849" s="22"/>
      <c r="D6849" s="22" t="s">
        <v>10</v>
      </c>
      <c r="E6849" s="22"/>
      <c r="F6849" s="22">
        <f>(0)</f>
      </c>
      <c r="G6849" s="22">
        <f>(C6849 * E6849 + C6849 * E6849 * F6849)</f>
      </c>
    </row>
    <row r="6850">
      <c r="A6850" s="3"/>
      <c r="B6850" s="11" t="s">
        <v>68</v>
      </c>
      <c r="C6850" s="20"/>
      <c r="D6850" s="20"/>
      <c r="E6850" s="20"/>
      <c r="F6850" s="20"/>
      <c r="G6850" s="20"/>
    </row>
    <row r="6851">
      <c r="A6851" s="5" t="s">
        <v>372</v>
      </c>
      <c r="B6851" s="14" t="s">
        <v>70</v>
      </c>
      <c r="C6851" s="22">
        <f>(1)*(1)*(1)*(1)*(1 + (0))</f>
      </c>
      <c r="D6851" s="22" t="s">
        <v>71</v>
      </c>
      <c r="E6851" s="22"/>
      <c r="F6851" s="22">
        <f>(0)</f>
      </c>
      <c r="G6851" s="22">
        <f>(C6851 * E6851 + C6851 * E6851 * F6851)</f>
      </c>
    </row>
    <row r="6852">
      <c r="A6852" s="5" t="s">
        <v>373</v>
      </c>
      <c r="B6852" s="14" t="s">
        <v>73</v>
      </c>
      <c r="C6852" s="22">
        <f>(1)*(1)*(1)*(1)*(1 + (0))</f>
      </c>
      <c r="D6852" s="22" t="s">
        <v>71</v>
      </c>
      <c r="E6852" s="22"/>
      <c r="F6852" s="22">
        <f>(0)</f>
      </c>
      <c r="G6852" s="22">
        <f>(C6852 * E6852 + C6852 * E6852 * F6852)</f>
      </c>
    </row>
    <row r="6853">
      <c r="A6853" s="5" t="s">
        <v>374</v>
      </c>
      <c r="B6853" s="14" t="s">
        <v>79</v>
      </c>
      <c r="C6853" s="22">
        <f>(1)*(1)*(1)*(1)*(1 + (0))</f>
      </c>
      <c r="D6853" s="22" t="s">
        <v>71</v>
      </c>
      <c r="E6853" s="22"/>
      <c r="F6853" s="22">
        <f>(0)</f>
      </c>
      <c r="G6853" s="22">
        <f>(C6853 * E6853 + C6853 * E6853 * F6853)</f>
      </c>
    </row>
    <row r="6854">
      <c r="A6854" s="5" t="s">
        <v>375</v>
      </c>
      <c r="B6854" s="14" t="s">
        <v>376</v>
      </c>
      <c r="C6854" s="22">
        <f>(1)*(1)*(1)*(1)*(1 + (0))</f>
      </c>
      <c r="D6854" s="22" t="s">
        <v>71</v>
      </c>
      <c r="E6854" s="22"/>
      <c r="F6854" s="22">
        <f>(0)</f>
      </c>
      <c r="G6854" s="22">
        <f>(C6854 * E6854 + C6854 * E6854 * F6854)</f>
      </c>
    </row>
    <row r="6855">
      <c r="A6855" s="5" t="s">
        <v>377</v>
      </c>
      <c r="B6855" s="14" t="s">
        <v>378</v>
      </c>
      <c r="C6855" s="22">
        <f>(1)*(1)*(1)*(1)*(1 + (0))</f>
      </c>
      <c r="D6855" s="22" t="s">
        <v>71</v>
      </c>
      <c r="E6855" s="22"/>
      <c r="F6855" s="22">
        <f>(0)</f>
      </c>
      <c r="G6855" s="22">
        <f>(C6855 * E6855 + C6855 * E6855 * F6855)</f>
      </c>
    </row>
    <row r="6856">
      <c r="A6856" s="3"/>
      <c r="B6856" s="11" t="s">
        <v>106</v>
      </c>
      <c r="C6856" s="20"/>
      <c r="D6856" s="20"/>
      <c r="E6856" s="20"/>
      <c r="F6856" s="20"/>
      <c r="G6856" s="20"/>
    </row>
    <row r="6857">
      <c r="A6857" s="5"/>
      <c r="B6857" s="14" t="s">
        <v>379</v>
      </c>
      <c r="C6857" s="22"/>
      <c r="D6857" s="22" t="s">
        <v>10</v>
      </c>
      <c r="E6857" s="22"/>
      <c r="F6857" s="22">
        <f>(0)</f>
      </c>
      <c r="G6857" s="22">
        <f>(C6857 * E6857 + C6857 * E6857 * F6857)</f>
      </c>
    </row>
    <row r="6858">
      <c r="A6858" s="5"/>
      <c r="B6858" s="14" t="s">
        <v>380</v>
      </c>
      <c r="C6858" s="22"/>
      <c r="D6858" s="22" t="s">
        <v>10</v>
      </c>
      <c r="E6858" s="22"/>
      <c r="F6858" s="22">
        <f>(0)</f>
      </c>
      <c r="G6858" s="22">
        <f>(C6858 * E6858 + C6858 * E6858 * F6858)</f>
      </c>
    </row>
    <row r="6859">
      <c r="A6859" s="3"/>
      <c r="B6859" s="11" t="s">
        <v>381</v>
      </c>
      <c r="C6859" s="20"/>
      <c r="D6859" s="20"/>
      <c r="E6859" s="20"/>
      <c r="F6859" s="20"/>
      <c r="G6859" s="20"/>
    </row>
    <row r="6860">
      <c r="A6860" s="4"/>
      <c r="B6860" s="12" t="s">
        <v>382</v>
      </c>
      <c r="C6860" s="21"/>
      <c r="D6860" s="21"/>
      <c r="E6860" s="21"/>
      <c r="F6860" s="21"/>
      <c r="G6860" s="21"/>
    </row>
    <row r="6861">
      <c r="A6861" s="6"/>
      <c r="B6861" s="15" t="s">
        <v>2356</v>
      </c>
      <c r="C6861" s="23"/>
      <c r="D6861" s="23"/>
      <c r="E6861" s="23"/>
      <c r="F6861" s="23"/>
      <c r="G6861" s="23"/>
    </row>
    <row r="6862">
      <c r="A6862" s="5"/>
      <c r="B6862" s="16" t="s">
        <v>2362</v>
      </c>
      <c r="C6862" s="22">
        <f>(49)*(1)*(1)*(1)*(1 + (0))</f>
      </c>
      <c r="D6862" s="22" t="s">
        <v>24</v>
      </c>
      <c r="E6862" s="22"/>
      <c r="F6862" s="22">
        <f>(0)</f>
      </c>
      <c r="G6862" s="22">
        <f>(C6862 * E6862 + C6862 * E6862 * F6862)</f>
      </c>
    </row>
    <row r="6863">
      <c r="A6863" s="5"/>
      <c r="B6863" s="16" t="s">
        <v>384</v>
      </c>
      <c r="C6863" s="22">
        <f>(39)*(1)*(1)*(1)*(1 + (0))</f>
      </c>
      <c r="D6863" s="22" t="s">
        <v>153</v>
      </c>
      <c r="E6863" s="22"/>
      <c r="F6863" s="22">
        <f>(0)</f>
      </c>
      <c r="G6863" s="22">
        <f>(C6863 * E6863 + C6863 * E6863 * F6863)</f>
      </c>
    </row>
    <row r="6864">
      <c r="A6864" s="4"/>
      <c r="B6864" s="12" t="s">
        <v>389</v>
      </c>
      <c r="C6864" s="21"/>
      <c r="D6864" s="21"/>
      <c r="E6864" s="21"/>
      <c r="F6864" s="21"/>
      <c r="G6864" s="21"/>
    </row>
    <row r="6865">
      <c r="A6865" s="6"/>
      <c r="B6865" s="15" t="s">
        <v>2356</v>
      </c>
      <c r="C6865" s="23"/>
      <c r="D6865" s="23"/>
      <c r="E6865" s="23"/>
      <c r="F6865" s="23"/>
      <c r="G6865" s="23"/>
    </row>
    <row r="6866">
      <c r="A6866" s="5"/>
      <c r="B6866" s="16" t="s">
        <v>390</v>
      </c>
      <c r="C6866" s="22">
        <f>(78)*(1)*(1)*(1)*(1 + (0))</f>
      </c>
      <c r="D6866" s="22" t="s">
        <v>153</v>
      </c>
      <c r="E6866" s="22"/>
      <c r="F6866" s="22">
        <f>(0)</f>
      </c>
      <c r="G6866" s="22">
        <f>(C6866 * E6866 + C6866 * E6866 * F6866)</f>
      </c>
    </row>
    <row r="6867">
      <c r="A6867" s="3"/>
      <c r="B6867" s="11" t="s">
        <v>399</v>
      </c>
      <c r="C6867" s="20"/>
      <c r="D6867" s="20"/>
      <c r="E6867" s="20"/>
      <c r="F6867" s="20"/>
      <c r="G6867" s="20"/>
    </row>
    <row r="6868">
      <c r="A6868" s="4"/>
      <c r="B6868" s="12" t="s">
        <v>400</v>
      </c>
      <c r="C6868" s="21"/>
      <c r="D6868" s="21"/>
      <c r="E6868" s="21"/>
      <c r="F6868" s="21"/>
      <c r="G6868" s="21"/>
    </row>
    <row r="6869">
      <c r="A6869" s="6"/>
      <c r="B6869" s="15" t="s">
        <v>2351</v>
      </c>
      <c r="C6869" s="23"/>
      <c r="D6869" s="23"/>
      <c r="E6869" s="23"/>
      <c r="F6869" s="23"/>
      <c r="G6869" s="23"/>
    </row>
    <row r="6870">
      <c r="A6870" s="5"/>
      <c r="B6870" s="16" t="s">
        <v>401</v>
      </c>
      <c r="C6870" s="22">
        <f>(9)*(1)*(1)*(1)*(1 + (0))</f>
      </c>
      <c r="D6870" s="22" t="s">
        <v>24</v>
      </c>
      <c r="E6870" s="22"/>
      <c r="F6870" s="22">
        <f>(0)</f>
      </c>
      <c r="G6870" s="22">
        <f>(C6870 * E6870 + C6870 * E6870 * F6870)</f>
      </c>
    </row>
    <row r="6871">
      <c r="A6871" s="4"/>
      <c r="B6871" s="12" t="s">
        <v>1867</v>
      </c>
      <c r="C6871" s="21"/>
      <c r="D6871" s="21"/>
      <c r="E6871" s="21"/>
      <c r="F6871" s="21"/>
      <c r="G6871" s="21"/>
    </row>
    <row r="6872">
      <c r="A6872" s="6"/>
      <c r="B6872" s="15" t="s">
        <v>2353</v>
      </c>
      <c r="C6872" s="23"/>
      <c r="D6872" s="23"/>
      <c r="E6872" s="23"/>
      <c r="F6872" s="23"/>
      <c r="G6872" s="23"/>
    </row>
    <row r="6873">
      <c r="A6873" s="5"/>
      <c r="B6873" s="16" t="s">
        <v>2363</v>
      </c>
      <c r="C6873" s="22">
        <f>(26)*(1)*(1)*(1)*(1 + (0))</f>
      </c>
      <c r="D6873" s="22" t="s">
        <v>24</v>
      </c>
      <c r="E6873" s="22"/>
      <c r="F6873" s="22">
        <f>(0)</f>
      </c>
      <c r="G6873" s="22">
        <f>(C6873 * E6873 + C6873 * E6873 * F6873)</f>
      </c>
    </row>
    <row r="6874">
      <c r="A6874" s="4"/>
      <c r="B6874" s="12" t="s">
        <v>408</v>
      </c>
      <c r="C6874" s="21"/>
      <c r="D6874" s="21"/>
      <c r="E6874" s="21"/>
      <c r="F6874" s="21"/>
      <c r="G6874" s="21"/>
    </row>
    <row r="6875">
      <c r="A6875" s="6"/>
      <c r="B6875" s="15" t="s">
        <v>2351</v>
      </c>
      <c r="C6875" s="23"/>
      <c r="D6875" s="23"/>
      <c r="E6875" s="23"/>
      <c r="F6875" s="23"/>
      <c r="G6875" s="23"/>
    </row>
    <row r="6876">
      <c r="A6876" s="5"/>
      <c r="B6876" s="16" t="s">
        <v>1671</v>
      </c>
      <c r="C6876" s="22">
        <f>(16)*(1)*(1)*(1)*(1 + (0))</f>
      </c>
      <c r="D6876" s="22" t="s">
        <v>24</v>
      </c>
      <c r="E6876" s="22"/>
      <c r="F6876" s="22">
        <f>(0)</f>
      </c>
      <c r="G6876" s="22">
        <f>(C6876 * E6876 + C6876 * E6876 * F6876)</f>
      </c>
    </row>
    <row r="6877">
      <c r="A6877" s="4"/>
      <c r="B6877" s="12" t="s">
        <v>392</v>
      </c>
      <c r="C6877" s="21"/>
      <c r="D6877" s="21"/>
      <c r="E6877" s="21"/>
      <c r="F6877" s="21"/>
      <c r="G6877" s="21"/>
    </row>
    <row r="6878">
      <c r="A6878" s="6"/>
      <c r="B6878" s="15" t="s">
        <v>2359</v>
      </c>
      <c r="C6878" s="23"/>
      <c r="D6878" s="23"/>
      <c r="E6878" s="23"/>
      <c r="F6878" s="23"/>
      <c r="G6878" s="23"/>
    </row>
    <row r="6879">
      <c r="A6879" s="5"/>
      <c r="B6879" s="16" t="s">
        <v>417</v>
      </c>
      <c r="C6879" s="22">
        <f>(45)*(1)*(1)*(1)*(1 + (0))</f>
      </c>
      <c r="D6879" s="22" t="s">
        <v>24</v>
      </c>
      <c r="E6879" s="22"/>
      <c r="F6879" s="22">
        <f>(0)</f>
      </c>
      <c r="G6879" s="22">
        <f>(C6879 * E6879 + C6879 * E6879 * F6879)</f>
      </c>
    </row>
    <row r="6880">
      <c r="A6880" s="6"/>
      <c r="B6880" s="15" t="s">
        <v>2356</v>
      </c>
      <c r="C6880" s="23"/>
      <c r="D6880" s="23"/>
      <c r="E6880" s="23"/>
      <c r="F6880" s="23"/>
      <c r="G6880" s="23"/>
    </row>
    <row r="6881">
      <c r="A6881" s="5"/>
      <c r="B6881" s="16" t="s">
        <v>417</v>
      </c>
      <c r="C6881" s="22">
        <f>(34)*(1)*(1)*(1)*(1 + (0))</f>
      </c>
      <c r="D6881" s="22" t="s">
        <v>24</v>
      </c>
      <c r="E6881" s="22"/>
      <c r="F6881" s="22">
        <f>(0)</f>
      </c>
      <c r="G6881" s="22">
        <f>(C6881 * E6881 + C6881 * E6881 * F6881)</f>
      </c>
    </row>
    <row r="6882">
      <c r="A6882" s="2"/>
      <c r="B6882" s="10" t="s">
        <v>178</v>
      </c>
      <c r="C6882" s="19"/>
      <c r="D6882" s="19"/>
      <c r="E6882" s="19"/>
      <c r="F6882" s="19"/>
      <c r="G6882" s="19"/>
    </row>
    <row r="6883">
      <c r="A6883" s="3"/>
      <c r="B6883" s="11" t="s">
        <v>37</v>
      </c>
      <c r="C6883" s="20"/>
      <c r="D6883" s="20"/>
      <c r="E6883" s="20"/>
      <c r="F6883" s="20"/>
      <c r="G6883" s="20"/>
    </row>
    <row r="6884">
      <c r="A6884" s="5" t="s">
        <v>431</v>
      </c>
      <c r="B6884" s="14" t="s">
        <v>39</v>
      </c>
      <c r="C6884" s="22"/>
      <c r="D6884" s="22" t="s">
        <v>10</v>
      </c>
      <c r="E6884" s="22"/>
      <c r="F6884" s="22">
        <f>(0)</f>
      </c>
      <c r="G6884" s="22">
        <f>(C6884 * E6884 + C6884 * E6884 * F6884)</f>
      </c>
    </row>
    <row r="6885">
      <c r="A6885" s="5" t="s">
        <v>432</v>
      </c>
      <c r="B6885" s="14" t="s">
        <v>41</v>
      </c>
      <c r="C6885" s="22"/>
      <c r="D6885" s="22" t="s">
        <v>10</v>
      </c>
      <c r="E6885" s="22"/>
      <c r="F6885" s="22">
        <f>(0)</f>
      </c>
      <c r="G6885" s="22">
        <f>(C6885 * E6885 + C6885 * E6885 * F6885)</f>
      </c>
    </row>
    <row r="6886">
      <c r="A6886" s="3"/>
      <c r="B6886" s="11" t="s">
        <v>42</v>
      </c>
      <c r="C6886" s="20"/>
      <c r="D6886" s="20"/>
      <c r="E6886" s="20"/>
      <c r="F6886" s="20"/>
      <c r="G6886" s="20"/>
    </row>
    <row r="6887">
      <c r="A6887" s="5"/>
      <c r="B6887" s="14" t="s">
        <v>118</v>
      </c>
      <c r="C6887" s="22"/>
      <c r="D6887" s="22" t="s">
        <v>10</v>
      </c>
      <c r="E6887" s="22"/>
      <c r="F6887" s="22">
        <f>(0)</f>
      </c>
      <c r="G6887" s="22">
        <f>(C6887 * E6887 + C6887 * E6887 * F6887)</f>
      </c>
    </row>
    <row r="6888">
      <c r="A6888" s="5"/>
      <c r="B6888" s="14" t="s">
        <v>2349</v>
      </c>
      <c r="C6888" s="22"/>
      <c r="D6888" s="22" t="s">
        <v>10</v>
      </c>
      <c r="E6888" s="22"/>
      <c r="F6888" s="22">
        <f>(0)</f>
      </c>
      <c r="G6888" s="22">
        <f>(C6888 * E6888 + C6888 * E6888 * F6888)</f>
      </c>
    </row>
    <row r="6889">
      <c r="A6889" s="3"/>
      <c r="B6889" s="11" t="s">
        <v>44</v>
      </c>
      <c r="C6889" s="20"/>
      <c r="D6889" s="20"/>
      <c r="E6889" s="20"/>
      <c r="F6889" s="20"/>
      <c r="G6889" s="20"/>
    </row>
    <row r="6890">
      <c r="A6890" s="4"/>
      <c r="B6890" s="12" t="s">
        <v>45</v>
      </c>
      <c r="C6890" s="21"/>
      <c r="D6890" s="21"/>
      <c r="E6890" s="21"/>
      <c r="F6890" s="21"/>
      <c r="G6890" s="21"/>
    </row>
    <row r="6891">
      <c r="A6891" s="5" t="s">
        <v>433</v>
      </c>
      <c r="B6891" s="13" t="s">
        <v>434</v>
      </c>
      <c r="C6891" s="22"/>
      <c r="D6891" s="22" t="s">
        <v>10</v>
      </c>
      <c r="E6891" s="22"/>
      <c r="F6891" s="22">
        <f>(0)</f>
      </c>
      <c r="G6891" s="22">
        <f>(C6891 * E6891 + C6891 * E6891 * F6891)</f>
      </c>
    </row>
    <row r="6892">
      <c r="A6892" s="5" t="s">
        <v>435</v>
      </c>
      <c r="B6892" s="13" t="s">
        <v>436</v>
      </c>
      <c r="C6892" s="22"/>
      <c r="D6892" s="22" t="s">
        <v>10</v>
      </c>
      <c r="E6892" s="22"/>
      <c r="F6892" s="22">
        <f>(0)</f>
      </c>
      <c r="G6892" s="22">
        <f>(C6892 * E6892 + C6892 * E6892 * F6892)</f>
      </c>
    </row>
    <row r="6893">
      <c r="A6893" s="5" t="s">
        <v>437</v>
      </c>
      <c r="B6893" s="13" t="s">
        <v>438</v>
      </c>
      <c r="C6893" s="22"/>
      <c r="D6893" s="22" t="s">
        <v>10</v>
      </c>
      <c r="E6893" s="22"/>
      <c r="F6893" s="22">
        <f>(0)</f>
      </c>
      <c r="G6893" s="22">
        <f>(C6893 * E6893 + C6893 * E6893 * F6893)</f>
      </c>
    </row>
    <row r="6894">
      <c r="A6894" s="5" t="s">
        <v>439</v>
      </c>
      <c r="B6894" s="13" t="s">
        <v>440</v>
      </c>
      <c r="C6894" s="22"/>
      <c r="D6894" s="22" t="s">
        <v>10</v>
      </c>
      <c r="E6894" s="22"/>
      <c r="F6894" s="22">
        <f>(0)</f>
      </c>
      <c r="G6894" s="22">
        <f>(C6894 * E6894 + C6894 * E6894 * F6894)</f>
      </c>
    </row>
    <row r="6895">
      <c r="A6895" s="5" t="s">
        <v>441</v>
      </c>
      <c r="B6895" s="13" t="s">
        <v>123</v>
      </c>
      <c r="C6895" s="22"/>
      <c r="D6895" s="22" t="s">
        <v>10</v>
      </c>
      <c r="E6895" s="22"/>
      <c r="F6895" s="22">
        <f>(0)</f>
      </c>
      <c r="G6895" s="22">
        <f>(C6895 * E6895 + C6895 * E6895 * F6895)</f>
      </c>
    </row>
    <row r="6896">
      <c r="A6896" s="3"/>
      <c r="B6896" s="11" t="s">
        <v>68</v>
      </c>
      <c r="C6896" s="20"/>
      <c r="D6896" s="20"/>
      <c r="E6896" s="20"/>
      <c r="F6896" s="20"/>
      <c r="G6896" s="20"/>
    </row>
    <row r="6897">
      <c r="A6897" s="5" t="s">
        <v>442</v>
      </c>
      <c r="B6897" s="14" t="s">
        <v>70</v>
      </c>
      <c r="C6897" s="22">
        <f>(1)*(1)*(1)*(1)*(1 + (0))</f>
      </c>
      <c r="D6897" s="22" t="s">
        <v>71</v>
      </c>
      <c r="E6897" s="22"/>
      <c r="F6897" s="22">
        <f>(0)</f>
      </c>
      <c r="G6897" s="22">
        <f>(C6897 * E6897 + C6897 * E6897 * F6897)</f>
      </c>
    </row>
    <row r="6898">
      <c r="A6898" s="5" t="s">
        <v>443</v>
      </c>
      <c r="B6898" s="14" t="s">
        <v>73</v>
      </c>
      <c r="C6898" s="22">
        <f>(1)*(1)*(1)*(1)*(1 + (0))</f>
      </c>
      <c r="D6898" s="22" t="s">
        <v>71</v>
      </c>
      <c r="E6898" s="22"/>
      <c r="F6898" s="22">
        <f>(0)</f>
      </c>
      <c r="G6898" s="22">
        <f>(C6898 * E6898 + C6898 * E6898 * F6898)</f>
      </c>
    </row>
    <row r="6899">
      <c r="A6899" s="5" t="s">
        <v>444</v>
      </c>
      <c r="B6899" s="14" t="s">
        <v>445</v>
      </c>
      <c r="C6899" s="22">
        <f>(1)*(1)*(1)*(1)*(1 + (0))</f>
      </c>
      <c r="D6899" s="22" t="s">
        <v>71</v>
      </c>
      <c r="E6899" s="22"/>
      <c r="F6899" s="22">
        <f>(0)</f>
      </c>
      <c r="G6899" s="22">
        <f>(C6899 * E6899 + C6899 * E6899 * F6899)</f>
      </c>
    </row>
    <row r="6900">
      <c r="A6900" s="5" t="s">
        <v>446</v>
      </c>
      <c r="B6900" s="14" t="s">
        <v>447</v>
      </c>
      <c r="C6900" s="22">
        <f>(1)*(1)*(1)*(1)*(1 + (0))</f>
      </c>
      <c r="D6900" s="22" t="s">
        <v>71</v>
      </c>
      <c r="E6900" s="22"/>
      <c r="F6900" s="22">
        <f>(0)</f>
      </c>
      <c r="G6900" s="22">
        <f>(C6900 * E6900 + C6900 * E6900 * F6900)</f>
      </c>
    </row>
    <row r="6901">
      <c r="A6901" s="5" t="s">
        <v>448</v>
      </c>
      <c r="B6901" s="14" t="s">
        <v>449</v>
      </c>
      <c r="C6901" s="22">
        <f>(1)*(1)*(1)*(1)*(1 + (0))</f>
      </c>
      <c r="D6901" s="22" t="s">
        <v>71</v>
      </c>
      <c r="E6901" s="22"/>
      <c r="F6901" s="22">
        <f>(0)</f>
      </c>
      <c r="G6901" s="22">
        <f>(C6901 * E6901 + C6901 * E6901 * F6901)</f>
      </c>
    </row>
    <row r="6902">
      <c r="A6902" s="5" t="s">
        <v>450</v>
      </c>
      <c r="B6902" s="14" t="s">
        <v>451</v>
      </c>
      <c r="C6902" s="22">
        <f>(1)*(1)*(1)*(1)*(1 + (0))</f>
      </c>
      <c r="D6902" s="22" t="s">
        <v>71</v>
      </c>
      <c r="E6902" s="22"/>
      <c r="F6902" s="22">
        <f>(0)</f>
      </c>
      <c r="G6902" s="22">
        <f>(C6902 * E6902 + C6902 * E6902 * F6902)</f>
      </c>
    </row>
    <row r="6903">
      <c r="A6903" s="3"/>
      <c r="B6903" s="11" t="s">
        <v>106</v>
      </c>
      <c r="C6903" s="20"/>
      <c r="D6903" s="20"/>
      <c r="E6903" s="20"/>
      <c r="F6903" s="20"/>
      <c r="G6903" s="20"/>
    </row>
    <row r="6904">
      <c r="A6904" s="5"/>
      <c r="B6904" s="14" t="s">
        <v>452</v>
      </c>
      <c r="C6904" s="22"/>
      <c r="D6904" s="22" t="s">
        <v>10</v>
      </c>
      <c r="E6904" s="22"/>
      <c r="F6904" s="22">
        <f>(0)</f>
      </c>
      <c r="G6904" s="22">
        <f>(C6904 * E6904 + C6904 * E6904 * F6904)</f>
      </c>
    </row>
    <row r="6905">
      <c r="A6905" s="3"/>
      <c r="B6905" s="11" t="s">
        <v>453</v>
      </c>
      <c r="C6905" s="20"/>
      <c r="D6905" s="20"/>
      <c r="E6905" s="20"/>
      <c r="F6905" s="20"/>
      <c r="G6905" s="20"/>
    </row>
    <row r="6906">
      <c r="A6906" s="5"/>
      <c r="B6906" s="14" t="s">
        <v>455</v>
      </c>
      <c r="C6906" s="22">
        <f>(4.72)*(1)*(1)*(1)*(1 + (0))</f>
      </c>
      <c r="D6906" s="22" t="s">
        <v>182</v>
      </c>
      <c r="E6906" s="22"/>
      <c r="F6906" s="22">
        <f>(0)</f>
      </c>
      <c r="G6906" s="22">
        <f>(C6906 * E6906 + C6906 * E6906 * F6906)</f>
      </c>
    </row>
    <row r="6907">
      <c r="A6907" s="3"/>
      <c r="B6907" s="11" t="s">
        <v>459</v>
      </c>
      <c r="C6907" s="20"/>
      <c r="D6907" s="20"/>
      <c r="E6907" s="20"/>
      <c r="F6907" s="20"/>
      <c r="G6907" s="20"/>
    </row>
    <row r="6908">
      <c r="A6908" s="4"/>
      <c r="B6908" s="12" t="s">
        <v>400</v>
      </c>
      <c r="C6908" s="21"/>
      <c r="D6908" s="21"/>
      <c r="E6908" s="21"/>
      <c r="F6908" s="21"/>
      <c r="G6908" s="21"/>
    </row>
    <row r="6909">
      <c r="A6909" s="6"/>
      <c r="B6909" s="15" t="s">
        <v>2351</v>
      </c>
      <c r="C6909" s="23"/>
      <c r="D6909" s="23"/>
      <c r="E6909" s="23"/>
      <c r="F6909" s="23"/>
      <c r="G6909" s="23"/>
    </row>
    <row r="6910">
      <c r="A6910" s="5"/>
      <c r="B6910" s="16" t="s">
        <v>460</v>
      </c>
      <c r="C6910" s="22">
        <f>(0.2916)*(1)*(1)*(1)*(1 + (0))</f>
      </c>
      <c r="D6910" s="22" t="s">
        <v>182</v>
      </c>
      <c r="E6910" s="22"/>
      <c r="F6910" s="22">
        <f>(0)</f>
      </c>
      <c r="G6910" s="22">
        <f>(C6910 * E6910 + C6910 * E6910 * F6910)</f>
      </c>
    </row>
    <row r="6911">
      <c r="A6911" s="4"/>
      <c r="B6911" s="12" t="s">
        <v>1867</v>
      </c>
      <c r="C6911" s="21"/>
      <c r="D6911" s="21"/>
      <c r="E6911" s="21"/>
      <c r="F6911" s="21"/>
      <c r="G6911" s="21"/>
    </row>
    <row r="6912">
      <c r="A6912" s="6"/>
      <c r="B6912" s="15" t="s">
        <v>2353</v>
      </c>
      <c r="C6912" s="23"/>
      <c r="D6912" s="23"/>
      <c r="E6912" s="23"/>
      <c r="F6912" s="23"/>
      <c r="G6912" s="23"/>
    </row>
    <row r="6913">
      <c r="A6913" s="5"/>
      <c r="B6913" s="16" t="s">
        <v>1876</v>
      </c>
      <c r="C6913" s="22">
        <f>(0.585)*(1)*(1)*(1)*(1 + (0))</f>
      </c>
      <c r="D6913" s="22" t="s">
        <v>182</v>
      </c>
      <c r="E6913" s="22"/>
      <c r="F6913" s="22">
        <f>(0)</f>
      </c>
      <c r="G6913" s="22">
        <f>(C6913 * E6913 + C6913 * E6913 * F6913)</f>
      </c>
    </row>
    <row r="6914">
      <c r="A6914" s="4"/>
      <c r="B6914" s="12" t="s">
        <v>408</v>
      </c>
      <c r="C6914" s="21"/>
      <c r="D6914" s="21"/>
      <c r="E6914" s="21"/>
      <c r="F6914" s="21"/>
      <c r="G6914" s="21"/>
    </row>
    <row r="6915">
      <c r="A6915" s="6"/>
      <c r="B6915" s="15" t="s">
        <v>2351</v>
      </c>
      <c r="C6915" s="23"/>
      <c r="D6915" s="23"/>
      <c r="E6915" s="23"/>
      <c r="F6915" s="23"/>
      <c r="G6915" s="23"/>
    </row>
    <row r="6916">
      <c r="A6916" s="5"/>
      <c r="B6916" s="16" t="s">
        <v>463</v>
      </c>
      <c r="C6916" s="22">
        <f>(1.38457904214883)*(1)*(1)*(1)*(1 + (0))</f>
      </c>
      <c r="D6916" s="22" t="s">
        <v>182</v>
      </c>
      <c r="E6916" s="22"/>
      <c r="F6916" s="22">
        <f>(0)</f>
      </c>
      <c r="G6916" s="22">
        <f>(C6916 * E6916 + C6916 * E6916 * F6916)</f>
      </c>
    </row>
    <row r="6917">
      <c r="A6917" s="4"/>
      <c r="B6917" s="12" t="s">
        <v>382</v>
      </c>
      <c r="C6917" s="21"/>
      <c r="D6917" s="21"/>
      <c r="E6917" s="21"/>
      <c r="F6917" s="21"/>
      <c r="G6917" s="21"/>
    </row>
    <row r="6918">
      <c r="A6918" s="6"/>
      <c r="B6918" s="15" t="s">
        <v>2356</v>
      </c>
      <c r="C6918" s="23"/>
      <c r="D6918" s="23"/>
      <c r="E6918" s="23"/>
      <c r="F6918" s="23"/>
      <c r="G6918" s="23"/>
    </row>
    <row r="6919">
      <c r="A6919" s="5"/>
      <c r="B6919" s="16" t="s">
        <v>2364</v>
      </c>
      <c r="C6919" s="22">
        <f>(0.388270806011834)*(1)*(1)*(1)*(1 + (0))</f>
      </c>
      <c r="D6919" s="22" t="s">
        <v>182</v>
      </c>
      <c r="E6919" s="22"/>
      <c r="F6919" s="22">
        <f>(0)</f>
      </c>
      <c r="G6919" s="22">
        <f>(C6919 * E6919 + C6919 * E6919 * F6919)</f>
      </c>
    </row>
    <row r="6920">
      <c r="A6920" s="4"/>
      <c r="B6920" s="12" t="s">
        <v>389</v>
      </c>
      <c r="C6920" s="21"/>
      <c r="D6920" s="21"/>
      <c r="E6920" s="21"/>
      <c r="F6920" s="21"/>
      <c r="G6920" s="21"/>
    </row>
    <row r="6921">
      <c r="A6921" s="6"/>
      <c r="B6921" s="15" t="s">
        <v>2356</v>
      </c>
      <c r="C6921" s="23"/>
      <c r="D6921" s="23"/>
      <c r="E6921" s="23"/>
      <c r="F6921" s="23"/>
      <c r="G6921" s="23"/>
    </row>
    <row r="6922">
      <c r="A6922" s="5"/>
      <c r="B6922" s="16" t="s">
        <v>2365</v>
      </c>
      <c r="C6922" s="22">
        <f>(0.350861526105041)*(1)*(1)*(1)*(1 + (0))</f>
      </c>
      <c r="D6922" s="22" t="s">
        <v>182</v>
      </c>
      <c r="E6922" s="22"/>
      <c r="F6922" s="22">
        <f>(0)</f>
      </c>
      <c r="G6922" s="22">
        <f>(C6922 * E6922 + C6922 * E6922 * F6922)</f>
      </c>
    </row>
    <row r="6923">
      <c r="A6923" s="4"/>
      <c r="B6923" s="12" t="s">
        <v>392</v>
      </c>
      <c r="C6923" s="21"/>
      <c r="D6923" s="21"/>
      <c r="E6923" s="21"/>
      <c r="F6923" s="21"/>
      <c r="G6923" s="21"/>
    </row>
    <row r="6924">
      <c r="A6924" s="6"/>
      <c r="B6924" s="15" t="s">
        <v>2359</v>
      </c>
      <c r="C6924" s="23"/>
      <c r="D6924" s="23"/>
      <c r="E6924" s="23"/>
      <c r="F6924" s="23"/>
      <c r="G6924" s="23"/>
    </row>
    <row r="6925">
      <c r="A6925" s="5"/>
      <c r="B6925" s="16" t="s">
        <v>471</v>
      </c>
      <c r="C6925" s="22">
        <f>(0.98)*(1)*(1)*(1)*(1 + (0))</f>
      </c>
      <c r="D6925" s="22" t="s">
        <v>182</v>
      </c>
      <c r="E6925" s="22"/>
      <c r="F6925" s="22">
        <f>(0)</f>
      </c>
      <c r="G6925" s="22">
        <f>(C6925 * E6925 + C6925 * E6925 * F6925)</f>
      </c>
    </row>
    <row r="6926">
      <c r="A6926" s="6"/>
      <c r="B6926" s="15" t="s">
        <v>2356</v>
      </c>
      <c r="C6926" s="23"/>
      <c r="D6926" s="23"/>
      <c r="E6926" s="23"/>
      <c r="F6926" s="23"/>
      <c r="G6926" s="23"/>
    </row>
    <row r="6927">
      <c r="A6927" s="5"/>
      <c r="B6927" s="16" t="s">
        <v>471</v>
      </c>
      <c r="C6927" s="22">
        <f>(0.735)*(1)*(1)*(1)*(1 + (0))</f>
      </c>
      <c r="D6927" s="22" t="s">
        <v>182</v>
      </c>
      <c r="E6927" s="22"/>
      <c r="F6927" s="22">
        <f>(0)</f>
      </c>
      <c r="G6927" s="22">
        <f>(C6927 * E6927 + C6927 * E6927 * F6927)</f>
      </c>
    </row>
    <row r="6928">
      <c r="A6928" s="2"/>
      <c r="B6928" s="10" t="s">
        <v>484</v>
      </c>
      <c r="C6928" s="19"/>
      <c r="D6928" s="19"/>
      <c r="E6928" s="19"/>
      <c r="F6928" s="19"/>
      <c r="G6928" s="19"/>
    </row>
    <row r="6929">
      <c r="A6929" s="3"/>
      <c r="B6929" s="11" t="s">
        <v>37</v>
      </c>
      <c r="C6929" s="20"/>
      <c r="D6929" s="20"/>
      <c r="E6929" s="20"/>
      <c r="F6929" s="20"/>
      <c r="G6929" s="20"/>
    </row>
    <row r="6930">
      <c r="A6930" s="5" t="s">
        <v>485</v>
      </c>
      <c r="B6930" s="14" t="s">
        <v>39</v>
      </c>
      <c r="C6930" s="22"/>
      <c r="D6930" s="22" t="s">
        <v>10</v>
      </c>
      <c r="E6930" s="22"/>
      <c r="F6930" s="22">
        <f>(0)</f>
      </c>
      <c r="G6930" s="22">
        <f>(C6930 * E6930 + C6930 * E6930 * F6930)</f>
      </c>
    </row>
    <row r="6931">
      <c r="A6931" s="5" t="s">
        <v>486</v>
      </c>
      <c r="B6931" s="14" t="s">
        <v>41</v>
      </c>
      <c r="C6931" s="22"/>
      <c r="D6931" s="22" t="s">
        <v>10</v>
      </c>
      <c r="E6931" s="22"/>
      <c r="F6931" s="22">
        <f>(0)</f>
      </c>
      <c r="G6931" s="22">
        <f>(C6931 * E6931 + C6931 * E6931 * F6931)</f>
      </c>
    </row>
    <row r="6932">
      <c r="A6932" s="3"/>
      <c r="B6932" s="11" t="s">
        <v>42</v>
      </c>
      <c r="C6932" s="20"/>
      <c r="D6932" s="20"/>
      <c r="E6932" s="20"/>
      <c r="F6932" s="20"/>
      <c r="G6932" s="20"/>
    </row>
    <row r="6933">
      <c r="A6933" s="5"/>
      <c r="B6933" s="14" t="s">
        <v>118</v>
      </c>
      <c r="C6933" s="22"/>
      <c r="D6933" s="22" t="s">
        <v>10</v>
      </c>
      <c r="E6933" s="22"/>
      <c r="F6933" s="22">
        <f>(0)</f>
      </c>
      <c r="G6933" s="22">
        <f>(C6933 * E6933 + C6933 * E6933 * F6933)</f>
      </c>
    </row>
    <row r="6934">
      <c r="A6934" s="5"/>
      <c r="B6934" s="14" t="s">
        <v>2349</v>
      </c>
      <c r="C6934" s="22"/>
      <c r="D6934" s="22" t="s">
        <v>10</v>
      </c>
      <c r="E6934" s="22"/>
      <c r="F6934" s="22">
        <f>(0)</f>
      </c>
      <c r="G6934" s="22">
        <f>(C6934 * E6934 + C6934 * E6934 * F6934)</f>
      </c>
    </row>
    <row r="6935">
      <c r="A6935" s="3"/>
      <c r="B6935" s="11" t="s">
        <v>44</v>
      </c>
      <c r="C6935" s="20"/>
      <c r="D6935" s="20"/>
      <c r="E6935" s="20"/>
      <c r="F6935" s="20"/>
      <c r="G6935" s="20"/>
    </row>
    <row r="6936">
      <c r="A6936" s="4"/>
      <c r="B6936" s="12" t="s">
        <v>45</v>
      </c>
      <c r="C6936" s="21"/>
      <c r="D6936" s="21"/>
      <c r="E6936" s="21"/>
      <c r="F6936" s="21"/>
      <c r="G6936" s="21"/>
    </row>
    <row r="6937">
      <c r="A6937" s="5" t="s">
        <v>487</v>
      </c>
      <c r="B6937" s="13" t="s">
        <v>488</v>
      </c>
      <c r="C6937" s="22"/>
      <c r="D6937" s="22" t="s">
        <v>10</v>
      </c>
      <c r="E6937" s="22"/>
      <c r="F6937" s="22">
        <f>(0)</f>
      </c>
      <c r="G6937" s="22">
        <f>(C6937 * E6937 + C6937 * E6937 * F6937)</f>
      </c>
    </row>
    <row r="6938">
      <c r="A6938" s="5" t="s">
        <v>489</v>
      </c>
      <c r="B6938" s="13" t="s">
        <v>123</v>
      </c>
      <c r="C6938" s="22"/>
      <c r="D6938" s="22" t="s">
        <v>10</v>
      </c>
      <c r="E6938" s="22"/>
      <c r="F6938" s="22">
        <f>(0)</f>
      </c>
      <c r="G6938" s="22">
        <f>(C6938 * E6938 + C6938 * E6938 * F6938)</f>
      </c>
    </row>
    <row r="6939">
      <c r="A6939" s="3"/>
      <c r="B6939" s="11" t="s">
        <v>68</v>
      </c>
      <c r="C6939" s="20"/>
      <c r="D6939" s="20"/>
      <c r="E6939" s="20"/>
      <c r="F6939" s="20"/>
      <c r="G6939" s="20"/>
    </row>
    <row r="6940">
      <c r="A6940" s="5" t="s">
        <v>490</v>
      </c>
      <c r="B6940" s="14" t="s">
        <v>70</v>
      </c>
      <c r="C6940" s="22">
        <f>(1)*(1)*(1)*(1)*(1 + (0))</f>
      </c>
      <c r="D6940" s="22" t="s">
        <v>71</v>
      </c>
      <c r="E6940" s="22"/>
      <c r="F6940" s="22">
        <f>(0)</f>
      </c>
      <c r="G6940" s="22">
        <f>(C6940 * E6940 + C6940 * E6940 * F6940)</f>
      </c>
    </row>
    <row r="6941">
      <c r="A6941" s="5" t="s">
        <v>491</v>
      </c>
      <c r="B6941" s="14" t="s">
        <v>492</v>
      </c>
      <c r="C6941" s="22">
        <f>(1)*(1)*(1)*(1)*(1 + (0))</f>
      </c>
      <c r="D6941" s="22" t="s">
        <v>71</v>
      </c>
      <c r="E6941" s="22"/>
      <c r="F6941" s="22">
        <f>(0)</f>
      </c>
      <c r="G6941" s="22">
        <f>(C6941 * E6941 + C6941 * E6941 * F6941)</f>
      </c>
    </row>
    <row r="6942">
      <c r="A6942" s="5" t="s">
        <v>493</v>
      </c>
      <c r="B6942" s="14" t="s">
        <v>73</v>
      </c>
      <c r="C6942" s="22">
        <f>(1)*(1)*(1)*(1)*(1 + (0))</f>
      </c>
      <c r="D6942" s="22" t="s">
        <v>71</v>
      </c>
      <c r="E6942" s="22"/>
      <c r="F6942" s="22">
        <f>(0)</f>
      </c>
      <c r="G6942" s="22">
        <f>(C6942 * E6942 + C6942 * E6942 * F6942)</f>
      </c>
    </row>
    <row r="6943">
      <c r="A6943" s="5" t="s">
        <v>494</v>
      </c>
      <c r="B6943" s="14" t="s">
        <v>495</v>
      </c>
      <c r="C6943" s="22">
        <f>(1)*(1)*(1)*(1)*(1 + (0))</f>
      </c>
      <c r="D6943" s="22" t="s">
        <v>71</v>
      </c>
      <c r="E6943" s="22"/>
      <c r="F6943" s="22">
        <f>(0)</f>
      </c>
      <c r="G6943" s="22">
        <f>(C6943 * E6943 + C6943 * E6943 * F6943)</f>
      </c>
    </row>
    <row r="6944">
      <c r="A6944" s="5" t="s">
        <v>496</v>
      </c>
      <c r="B6944" s="14" t="s">
        <v>497</v>
      </c>
      <c r="C6944" s="22">
        <f>(1)*(1)*(1)*(1)*(1 + (0))</f>
      </c>
      <c r="D6944" s="22" t="s">
        <v>71</v>
      </c>
      <c r="E6944" s="22"/>
      <c r="F6944" s="22">
        <f>(0)</f>
      </c>
      <c r="G6944" s="22">
        <f>(C6944 * E6944 + C6944 * E6944 * F6944)</f>
      </c>
    </row>
    <row r="6945">
      <c r="A6945" s="5" t="s">
        <v>498</v>
      </c>
      <c r="B6945" s="14" t="s">
        <v>499</v>
      </c>
      <c r="C6945" s="22">
        <f>(1)*(1)*(1)*(1)*(1 + (0))</f>
      </c>
      <c r="D6945" s="22" t="s">
        <v>71</v>
      </c>
      <c r="E6945" s="22"/>
      <c r="F6945" s="22">
        <f>(0)</f>
      </c>
      <c r="G6945" s="22">
        <f>(C6945 * E6945 + C6945 * E6945 * F6945)</f>
      </c>
    </row>
    <row r="6946">
      <c r="A6946" s="5" t="s">
        <v>500</v>
      </c>
      <c r="B6946" s="14" t="s">
        <v>501</v>
      </c>
      <c r="C6946" s="22">
        <f>(1)*(1)*(1)*(1)*(1 + (0))</f>
      </c>
      <c r="D6946" s="22" t="s">
        <v>71</v>
      </c>
      <c r="E6946" s="22"/>
      <c r="F6946" s="22">
        <f>(0)</f>
      </c>
      <c r="G6946" s="22">
        <f>(C6946 * E6946 + C6946 * E6946 * F6946)</f>
      </c>
    </row>
    <row r="6947">
      <c r="A6947" s="5" t="s">
        <v>502</v>
      </c>
      <c r="B6947" s="14" t="s">
        <v>503</v>
      </c>
      <c r="C6947" s="22">
        <f>(1)*(1)*(1)*(1)*(1 + (0))</f>
      </c>
      <c r="D6947" s="22" t="s">
        <v>71</v>
      </c>
      <c r="E6947" s="22"/>
      <c r="F6947" s="22">
        <f>(0)</f>
      </c>
      <c r="G6947" s="22">
        <f>(C6947 * E6947 + C6947 * E6947 * F6947)</f>
      </c>
    </row>
    <row r="6948">
      <c r="A6948" s="5" t="s">
        <v>504</v>
      </c>
      <c r="B6948" s="14" t="s">
        <v>505</v>
      </c>
      <c r="C6948" s="22">
        <f>(1)*(1)*(1)*(1)*(1 + (0))</f>
      </c>
      <c r="D6948" s="22" t="s">
        <v>71</v>
      </c>
      <c r="E6948" s="22"/>
      <c r="F6948" s="22">
        <f>(0)</f>
      </c>
      <c r="G6948" s="22">
        <f>(C6948 * E6948 + C6948 * E6948 * F6948)</f>
      </c>
    </row>
    <row r="6949">
      <c r="A6949" s="5" t="s">
        <v>506</v>
      </c>
      <c r="B6949" s="14" t="s">
        <v>507</v>
      </c>
      <c r="C6949" s="22">
        <f>(1)*(1)*(1)*(1)*(1 + (0))</f>
      </c>
      <c r="D6949" s="22" t="s">
        <v>71</v>
      </c>
      <c r="E6949" s="22"/>
      <c r="F6949" s="22">
        <f>(0)</f>
      </c>
      <c r="G6949" s="22">
        <f>(C6949 * E6949 + C6949 * E6949 * F6949)</f>
      </c>
    </row>
    <row r="6950">
      <c r="A6950" s="5" t="s">
        <v>508</v>
      </c>
      <c r="B6950" s="14" t="s">
        <v>509</v>
      </c>
      <c r="C6950" s="22">
        <f>(1)*(1)*(1)*(1)*(1 + (0))</f>
      </c>
      <c r="D6950" s="22" t="s">
        <v>71</v>
      </c>
      <c r="E6950" s="22"/>
      <c r="F6950" s="22">
        <f>(0)</f>
      </c>
      <c r="G6950" s="22">
        <f>(C6950 * E6950 + C6950 * E6950 * F6950)</f>
      </c>
    </row>
    <row r="6951">
      <c r="A6951" s="5" t="s">
        <v>510</v>
      </c>
      <c r="B6951" s="14" t="s">
        <v>511</v>
      </c>
      <c r="C6951" s="22">
        <f>(1)*(1)*(1)*(1)*(1 + (0))</f>
      </c>
      <c r="D6951" s="22" t="s">
        <v>71</v>
      </c>
      <c r="E6951" s="22"/>
      <c r="F6951" s="22">
        <f>(0)</f>
      </c>
      <c r="G6951" s="22">
        <f>(C6951 * E6951 + C6951 * E6951 * F6951)</f>
      </c>
    </row>
    <row r="6952">
      <c r="A6952" s="5" t="s">
        <v>512</v>
      </c>
      <c r="B6952" s="14" t="s">
        <v>513</v>
      </c>
      <c r="C6952" s="22">
        <f>(1)*(1)*(1)*(1)*(1 + (0))</f>
      </c>
      <c r="D6952" s="22" t="s">
        <v>71</v>
      </c>
      <c r="E6952" s="22"/>
      <c r="F6952" s="22">
        <f>(0)</f>
      </c>
      <c r="G6952" s="22">
        <f>(C6952 * E6952 + C6952 * E6952 * F6952)</f>
      </c>
    </row>
    <row r="6953">
      <c r="A6953" s="3"/>
      <c r="B6953" s="11" t="s">
        <v>514</v>
      </c>
      <c r="C6953" s="20"/>
      <c r="D6953" s="20"/>
      <c r="E6953" s="20"/>
      <c r="F6953" s="20"/>
      <c r="G6953" s="20"/>
    </row>
    <row r="6954">
      <c r="A6954" s="5"/>
      <c r="B6954" s="14" t="s">
        <v>515</v>
      </c>
      <c r="C6954" s="22">
        <f>(0.29)*(1)*(1)*(1)*(1 + (0))</f>
      </c>
      <c r="D6954" s="22" t="s">
        <v>182</v>
      </c>
      <c r="E6954" s="22"/>
      <c r="F6954" s="22">
        <f>(0)</f>
      </c>
      <c r="G6954" s="22">
        <f>(C6954 * E6954 + C6954 * E6954 * F6954)</f>
      </c>
    </row>
    <row r="6955">
      <c r="A6955" s="3"/>
      <c r="B6955" s="11" t="s">
        <v>516</v>
      </c>
      <c r="C6955" s="20"/>
      <c r="D6955" s="20"/>
      <c r="E6955" s="20"/>
      <c r="F6955" s="20"/>
      <c r="G6955" s="20"/>
    </row>
    <row r="6956">
      <c r="A6956" s="4"/>
      <c r="B6956" s="12" t="s">
        <v>382</v>
      </c>
      <c r="C6956" s="21"/>
      <c r="D6956" s="21"/>
      <c r="E6956" s="21"/>
      <c r="F6956" s="21"/>
      <c r="G6956" s="21"/>
    </row>
    <row r="6957">
      <c r="A6957" s="6"/>
      <c r="B6957" s="15" t="s">
        <v>2356</v>
      </c>
      <c r="C6957" s="23"/>
      <c r="D6957" s="23"/>
      <c r="E6957" s="23"/>
      <c r="F6957" s="23"/>
      <c r="G6957" s="23"/>
    </row>
    <row r="6958">
      <c r="A6958" s="5"/>
      <c r="B6958" s="16" t="s">
        <v>2366</v>
      </c>
      <c r="C6958" s="22">
        <f>(0.155308322404734)*(1)*(1)*(1)*(1 + (0))</f>
      </c>
      <c r="D6958" s="22" t="s">
        <v>182</v>
      </c>
      <c r="E6958" s="22"/>
      <c r="F6958" s="22">
        <f>(0)</f>
      </c>
      <c r="G6958" s="22">
        <f>(C6958 * E6958 + C6958 * E6958 * F6958)</f>
      </c>
    </row>
    <row r="6959">
      <c r="A6959" s="4"/>
      <c r="B6959" s="12" t="s">
        <v>389</v>
      </c>
      <c r="C6959" s="21"/>
      <c r="D6959" s="21"/>
      <c r="E6959" s="21"/>
      <c r="F6959" s="21"/>
      <c r="G6959" s="21"/>
    </row>
    <row r="6960">
      <c r="A6960" s="6"/>
      <c r="B6960" s="15" t="s">
        <v>2356</v>
      </c>
      <c r="C6960" s="23"/>
      <c r="D6960" s="23"/>
      <c r="E6960" s="23"/>
      <c r="F6960" s="23"/>
      <c r="G6960" s="23"/>
    </row>
    <row r="6961">
      <c r="A6961" s="5"/>
      <c r="B6961" s="16" t="s">
        <v>2367</v>
      </c>
      <c r="C6961" s="22">
        <f>(0.126310149397815)*(1)*(1)*(1)*(1 + (0))</f>
      </c>
      <c r="D6961" s="22" t="s">
        <v>182</v>
      </c>
      <c r="E6961" s="22"/>
      <c r="F6961" s="22">
        <f>(0)</f>
      </c>
      <c r="G6961" s="22">
        <f>(C6961 * E6961 + C6961 * E6961 * F6961)</f>
      </c>
    </row>
    <row r="6962">
      <c r="A6962" s="2"/>
      <c r="B6962" s="10" t="s">
        <v>520</v>
      </c>
      <c r="C6962" s="19"/>
      <c r="D6962" s="19"/>
      <c r="E6962" s="19"/>
      <c r="F6962" s="19"/>
      <c r="G6962" s="19"/>
    </row>
    <row r="6963">
      <c r="A6963" s="3"/>
      <c r="B6963" s="11" t="s">
        <v>37</v>
      </c>
      <c r="C6963" s="20"/>
      <c r="D6963" s="20"/>
      <c r="E6963" s="20"/>
      <c r="F6963" s="20"/>
      <c r="G6963" s="20"/>
    </row>
    <row r="6964">
      <c r="A6964" s="5" t="s">
        <v>521</v>
      </c>
      <c r="B6964" s="14" t="s">
        <v>39</v>
      </c>
      <c r="C6964" s="22"/>
      <c r="D6964" s="22" t="s">
        <v>10</v>
      </c>
      <c r="E6964" s="22"/>
      <c r="F6964" s="22">
        <f>(0)</f>
      </c>
      <c r="G6964" s="22">
        <f>(C6964 * E6964 + C6964 * E6964 * F6964)</f>
      </c>
    </row>
    <row r="6965">
      <c r="A6965" s="5" t="s">
        <v>522</v>
      </c>
      <c r="B6965" s="14" t="s">
        <v>41</v>
      </c>
      <c r="C6965" s="22"/>
      <c r="D6965" s="22" t="s">
        <v>10</v>
      </c>
      <c r="E6965" s="22"/>
      <c r="F6965" s="22">
        <f>(0)</f>
      </c>
      <c r="G6965" s="22">
        <f>(C6965 * E6965 + C6965 * E6965 * F6965)</f>
      </c>
    </row>
    <row r="6966">
      <c r="A6966" s="3"/>
      <c r="B6966" s="11" t="s">
        <v>523</v>
      </c>
      <c r="C6966" s="20"/>
      <c r="D6966" s="20"/>
      <c r="E6966" s="20"/>
      <c r="F6966" s="20"/>
      <c r="G6966" s="20"/>
    </row>
    <row r="6967">
      <c r="A6967" s="5"/>
      <c r="B6967" s="14" t="s">
        <v>524</v>
      </c>
      <c r="C6967" s="22"/>
      <c r="D6967" s="22" t="s">
        <v>10</v>
      </c>
      <c r="E6967" s="22"/>
      <c r="F6967" s="22">
        <f>(0)</f>
      </c>
      <c r="G6967" s="22">
        <f>(C6967 * E6967 + C6967 * E6967 * F6967)</f>
      </c>
    </row>
    <row r="6968">
      <c r="A6968" s="5"/>
      <c r="B6968" s="14" t="s">
        <v>2368</v>
      </c>
      <c r="C6968" s="22"/>
      <c r="D6968" s="22" t="s">
        <v>10</v>
      </c>
      <c r="E6968" s="22"/>
      <c r="F6968" s="22">
        <f>(0)</f>
      </c>
      <c r="G6968" s="22">
        <f>(C6968 * E6968 + C6968 * E6968 * F6968)</f>
      </c>
    </row>
    <row r="6969">
      <c r="A6969" s="3"/>
      <c r="B6969" s="11" t="s">
        <v>44</v>
      </c>
      <c r="C6969" s="20"/>
      <c r="D6969" s="20"/>
      <c r="E6969" s="20"/>
      <c r="F6969" s="20"/>
      <c r="G6969" s="20"/>
    </row>
    <row r="6970">
      <c r="A6970" s="4"/>
      <c r="B6970" s="12" t="s">
        <v>45</v>
      </c>
      <c r="C6970" s="21"/>
      <c r="D6970" s="21"/>
      <c r="E6970" s="21"/>
      <c r="F6970" s="21"/>
      <c r="G6970" s="21"/>
    </row>
    <row r="6971">
      <c r="A6971" s="5" t="s">
        <v>527</v>
      </c>
      <c r="B6971" s="13" t="s">
        <v>528</v>
      </c>
      <c r="C6971" s="22"/>
      <c r="D6971" s="22" t="s">
        <v>10</v>
      </c>
      <c r="E6971" s="22"/>
      <c r="F6971" s="22">
        <f>(0)</f>
      </c>
      <c r="G6971" s="22">
        <f>(C6971 * E6971 + C6971 * E6971 * F6971)</f>
      </c>
    </row>
    <row r="6972">
      <c r="A6972" s="5" t="s">
        <v>529</v>
      </c>
      <c r="B6972" s="13" t="s">
        <v>530</v>
      </c>
      <c r="C6972" s="22"/>
      <c r="D6972" s="22" t="s">
        <v>10</v>
      </c>
      <c r="E6972" s="22"/>
      <c r="F6972" s="22">
        <f>(0)</f>
      </c>
      <c r="G6972" s="22">
        <f>(C6972 * E6972 + C6972 * E6972 * F6972)</f>
      </c>
    </row>
    <row r="6973">
      <c r="A6973" s="5" t="s">
        <v>531</v>
      </c>
      <c r="B6973" s="13" t="s">
        <v>532</v>
      </c>
      <c r="C6973" s="22"/>
      <c r="D6973" s="22" t="s">
        <v>10</v>
      </c>
      <c r="E6973" s="22"/>
      <c r="F6973" s="22">
        <f>(0)</f>
      </c>
      <c r="G6973" s="22">
        <f>(C6973 * E6973 + C6973 * E6973 * F6973)</f>
      </c>
    </row>
    <row r="6974">
      <c r="A6974" s="5" t="s">
        <v>533</v>
      </c>
      <c r="B6974" s="13" t="s">
        <v>534</v>
      </c>
      <c r="C6974" s="22"/>
      <c r="D6974" s="22" t="s">
        <v>10</v>
      </c>
      <c r="E6974" s="22"/>
      <c r="F6974" s="22">
        <f>(0)</f>
      </c>
      <c r="G6974" s="22">
        <f>(C6974 * E6974 + C6974 * E6974 * F6974)</f>
      </c>
    </row>
    <row r="6975">
      <c r="A6975" s="5" t="s">
        <v>535</v>
      </c>
      <c r="B6975" s="13" t="s">
        <v>536</v>
      </c>
      <c r="C6975" s="22"/>
      <c r="D6975" s="22" t="s">
        <v>10</v>
      </c>
      <c r="E6975" s="22"/>
      <c r="F6975" s="22">
        <f>(0)</f>
      </c>
      <c r="G6975" s="22">
        <f>(C6975 * E6975 + C6975 * E6975 * F6975)</f>
      </c>
    </row>
    <row r="6976">
      <c r="A6976" s="5" t="s">
        <v>537</v>
      </c>
      <c r="B6976" s="13" t="s">
        <v>538</v>
      </c>
      <c r="C6976" s="22"/>
      <c r="D6976" s="22" t="s">
        <v>10</v>
      </c>
      <c r="E6976" s="22"/>
      <c r="F6976" s="22">
        <f>(0)</f>
      </c>
      <c r="G6976" s="22">
        <f>(C6976 * E6976 + C6976 * E6976 * F6976)</f>
      </c>
    </row>
    <row r="6977">
      <c r="A6977" s="5" t="s">
        <v>539</v>
      </c>
      <c r="B6977" s="13" t="s">
        <v>123</v>
      </c>
      <c r="C6977" s="22"/>
      <c r="D6977" s="22" t="s">
        <v>10</v>
      </c>
      <c r="E6977" s="22"/>
      <c r="F6977" s="22">
        <f>(0)</f>
      </c>
      <c r="G6977" s="22">
        <f>(C6977 * E6977 + C6977 * E6977 * F6977)</f>
      </c>
    </row>
    <row r="6978">
      <c r="A6978" s="3"/>
      <c r="B6978" s="11" t="s">
        <v>68</v>
      </c>
      <c r="C6978" s="20"/>
      <c r="D6978" s="20"/>
      <c r="E6978" s="20"/>
      <c r="F6978" s="20"/>
      <c r="G6978" s="20"/>
    </row>
    <row r="6979">
      <c r="A6979" s="5" t="s">
        <v>540</v>
      </c>
      <c r="B6979" s="14" t="s">
        <v>70</v>
      </c>
      <c r="C6979" s="22">
        <f>(1)*(1)*(1)*(1)*(1 + (0))</f>
      </c>
      <c r="D6979" s="22" t="s">
        <v>71</v>
      </c>
      <c r="E6979" s="22"/>
      <c r="F6979" s="22">
        <f>(0)</f>
      </c>
      <c r="G6979" s="22">
        <f>(C6979 * E6979 + C6979 * E6979 * F6979)</f>
      </c>
    </row>
    <row r="6980">
      <c r="A6980" s="5" t="s">
        <v>541</v>
      </c>
      <c r="B6980" s="14" t="s">
        <v>73</v>
      </c>
      <c r="C6980" s="22">
        <f>(1)*(1)*(1)*(1)*(1 + (0))</f>
      </c>
      <c r="D6980" s="22" t="s">
        <v>71</v>
      </c>
      <c r="E6980" s="22"/>
      <c r="F6980" s="22">
        <f>(0)</f>
      </c>
      <c r="G6980" s="22">
        <f>(C6980 * E6980 + C6980 * E6980 * F6980)</f>
      </c>
    </row>
    <row r="6981">
      <c r="A6981" s="5" t="s">
        <v>542</v>
      </c>
      <c r="B6981" s="14" t="s">
        <v>543</v>
      </c>
      <c r="C6981" s="22">
        <f>(1)*(1)*(1)*(1)*(1 + (0))</f>
      </c>
      <c r="D6981" s="22" t="s">
        <v>71</v>
      </c>
      <c r="E6981" s="22"/>
      <c r="F6981" s="22">
        <f>(0)</f>
      </c>
      <c r="G6981" s="22">
        <f>(C6981 * E6981 + C6981 * E6981 * F6981)</f>
      </c>
    </row>
    <row r="6982">
      <c r="A6982" s="5" t="s">
        <v>544</v>
      </c>
      <c r="B6982" s="14" t="s">
        <v>545</v>
      </c>
      <c r="C6982" s="22">
        <f>(1)*(1)*(1)*(1)*(1 + (0))</f>
      </c>
      <c r="D6982" s="22" t="s">
        <v>71</v>
      </c>
      <c r="E6982" s="22"/>
      <c r="F6982" s="22">
        <f>(0)</f>
      </c>
      <c r="G6982" s="22">
        <f>(C6982 * E6982 + C6982 * E6982 * F6982)</f>
      </c>
    </row>
    <row r="6983">
      <c r="A6983" s="5" t="s">
        <v>546</v>
      </c>
      <c r="B6983" s="14" t="s">
        <v>547</v>
      </c>
      <c r="C6983" s="22">
        <f>(1)*(1)*(1)*(1)*(1 + (0))</f>
      </c>
      <c r="D6983" s="22" t="s">
        <v>71</v>
      </c>
      <c r="E6983" s="22"/>
      <c r="F6983" s="22">
        <f>(0)</f>
      </c>
      <c r="G6983" s="22">
        <f>(C6983 * E6983 + C6983 * E6983 * F6983)</f>
      </c>
    </row>
    <row r="6984">
      <c r="A6984" s="5" t="s">
        <v>548</v>
      </c>
      <c r="B6984" s="14" t="s">
        <v>549</v>
      </c>
      <c r="C6984" s="22">
        <f>(1)*(1)*(1)*(1)*(1 + (0))</f>
      </c>
      <c r="D6984" s="22" t="s">
        <v>71</v>
      </c>
      <c r="E6984" s="22"/>
      <c r="F6984" s="22">
        <f>(0)</f>
      </c>
      <c r="G6984" s="22">
        <f>(C6984 * E6984 + C6984 * E6984 * F6984)</f>
      </c>
    </row>
    <row r="6985">
      <c r="A6985" s="5" t="s">
        <v>550</v>
      </c>
      <c r="B6985" s="14" t="s">
        <v>551</v>
      </c>
      <c r="C6985" s="22">
        <f>(1)*(1)*(1)*(1)*(1 + (0))</f>
      </c>
      <c r="D6985" s="22" t="s">
        <v>71</v>
      </c>
      <c r="E6985" s="22"/>
      <c r="F6985" s="22">
        <f>(0)</f>
      </c>
      <c r="G6985" s="22">
        <f>(C6985 * E6985 + C6985 * E6985 * F6985)</f>
      </c>
    </row>
    <row r="6986">
      <c r="A6986" s="5" t="s">
        <v>552</v>
      </c>
      <c r="B6986" s="14" t="s">
        <v>553</v>
      </c>
      <c r="C6986" s="22">
        <f>(1)*(1)*(1)*(1)*(1 + (0))</f>
      </c>
      <c r="D6986" s="22" t="s">
        <v>71</v>
      </c>
      <c r="E6986" s="22"/>
      <c r="F6986" s="22">
        <f>(0)</f>
      </c>
      <c r="G6986" s="22">
        <f>(C6986 * E6986 + C6986 * E6986 * F6986)</f>
      </c>
    </row>
    <row r="6987">
      <c r="A6987" s="5" t="s">
        <v>554</v>
      </c>
      <c r="B6987" s="14" t="s">
        <v>555</v>
      </c>
      <c r="C6987" s="22">
        <f>(1)*(1)*(1)*(1)*(1 + (0))</f>
      </c>
      <c r="D6987" s="22" t="s">
        <v>71</v>
      </c>
      <c r="E6987" s="22"/>
      <c r="F6987" s="22">
        <f>(0)</f>
      </c>
      <c r="G6987" s="22">
        <f>(C6987 * E6987 + C6987 * E6987 * F6987)</f>
      </c>
    </row>
    <row r="6988">
      <c r="A6988" s="5" t="s">
        <v>556</v>
      </c>
      <c r="B6988" s="14" t="s">
        <v>447</v>
      </c>
      <c r="C6988" s="22">
        <f>(1)*(1)*(1)*(1)*(1 + (0))</f>
      </c>
      <c r="D6988" s="22" t="s">
        <v>71</v>
      </c>
      <c r="E6988" s="22"/>
      <c r="F6988" s="22">
        <f>(0)</f>
      </c>
      <c r="G6988" s="22">
        <f>(C6988 * E6988 + C6988 * E6988 * F6988)</f>
      </c>
    </row>
    <row r="6989">
      <c r="A6989" s="5" t="s">
        <v>557</v>
      </c>
      <c r="B6989" s="14" t="s">
        <v>558</v>
      </c>
      <c r="C6989" s="22">
        <f>(1)*(1)*(1)*(1)*(1 + (0))</f>
      </c>
      <c r="D6989" s="22" t="s">
        <v>71</v>
      </c>
      <c r="E6989" s="22"/>
      <c r="F6989" s="22">
        <f>(0)</f>
      </c>
      <c r="G6989" s="22">
        <f>(C6989 * E6989 + C6989 * E6989 * F6989)</f>
      </c>
    </row>
    <row r="6990">
      <c r="A6990" s="3"/>
      <c r="B6990" s="11" t="s">
        <v>106</v>
      </c>
      <c r="C6990" s="20"/>
      <c r="D6990" s="20"/>
      <c r="E6990" s="20"/>
      <c r="F6990" s="20"/>
      <c r="G6990" s="20"/>
    </row>
    <row r="6991">
      <c r="A6991" s="5"/>
      <c r="B6991" s="14" t="s">
        <v>2369</v>
      </c>
      <c r="C6991" s="22"/>
      <c r="D6991" s="22" t="s">
        <v>10</v>
      </c>
      <c r="E6991" s="22"/>
      <c r="F6991" s="22">
        <f>(0)</f>
      </c>
      <c r="G6991" s="22">
        <f>(C6991 * E6991 + C6991 * E6991 * F6991)</f>
      </c>
    </row>
    <row r="6992">
      <c r="A6992" s="5"/>
      <c r="B6992" s="14" t="s">
        <v>2370</v>
      </c>
      <c r="C6992" s="22"/>
      <c r="D6992" s="22" t="s">
        <v>10</v>
      </c>
      <c r="E6992" s="22"/>
      <c r="F6992" s="22">
        <f>(0)</f>
      </c>
      <c r="G6992" s="22">
        <f>(C6992 * E6992 + C6992 * E6992 * F6992)</f>
      </c>
    </row>
    <row r="6993">
      <c r="A6993" s="3"/>
      <c r="B6993" s="11" t="s">
        <v>560</v>
      </c>
      <c r="C6993" s="20"/>
      <c r="D6993" s="20"/>
      <c r="E6993" s="20"/>
      <c r="F6993" s="20"/>
      <c r="G6993" s="20"/>
    </row>
    <row r="6994">
      <c r="A6994" s="4"/>
      <c r="B6994" s="12" t="s">
        <v>392</v>
      </c>
      <c r="C6994" s="21"/>
      <c r="D6994" s="21"/>
      <c r="E6994" s="21"/>
      <c r="F6994" s="21"/>
      <c r="G6994" s="21"/>
    </row>
    <row r="6995">
      <c r="A6995" s="6"/>
      <c r="B6995" s="15" t="s">
        <v>2371</v>
      </c>
      <c r="C6995" s="23"/>
      <c r="D6995" s="23"/>
      <c r="E6995" s="23"/>
      <c r="F6995" s="23"/>
      <c r="G6995" s="23"/>
    </row>
    <row r="6996">
      <c r="A6996" s="5"/>
      <c r="B6996" s="16" t="s">
        <v>1947</v>
      </c>
      <c r="C6996" s="22">
        <f>(1.28928)*(1)*(1)*(1)*(1 + (0))</f>
      </c>
      <c r="D6996" s="22" t="s">
        <v>182</v>
      </c>
      <c r="E6996" s="22"/>
      <c r="F6996" s="22">
        <f>(0)</f>
      </c>
      <c r="G6996" s="22">
        <f>(C6996 * E6996 + C6996 * E6996 * F6996)</f>
      </c>
    </row>
    <row r="6997">
      <c r="A6997" s="5"/>
      <c r="B6997" s="16" t="s">
        <v>563</v>
      </c>
      <c r="C6997" s="22">
        <f>(0.1935)*(1)*(1)*(1)*(1 + (0))</f>
      </c>
      <c r="D6997" s="22" t="s">
        <v>182</v>
      </c>
      <c r="E6997" s="22"/>
      <c r="F6997" s="22">
        <f>(0)</f>
      </c>
      <c r="G6997" s="22">
        <f>(C6997 * E6997 + C6997 * E6997 * F6997)</f>
      </c>
    </row>
    <row r="6998">
      <c r="A6998" s="5"/>
      <c r="B6998" s="16" t="s">
        <v>1953</v>
      </c>
      <c r="C6998" s="22">
        <f>(16)*(1)*(1)*(1)*(1 + (0))</f>
      </c>
      <c r="D6998" s="22" t="s">
        <v>162</v>
      </c>
      <c r="E6998" s="22"/>
      <c r="F6998" s="22">
        <f>(0)</f>
      </c>
      <c r="G6998" s="22">
        <f>(C6998 * E6998 + C6998 * E6998 * F6998)</f>
      </c>
    </row>
    <row r="6999">
      <c r="A6999" s="4"/>
      <c r="B6999" s="12" t="s">
        <v>2372</v>
      </c>
      <c r="C6999" s="21"/>
      <c r="D6999" s="21"/>
      <c r="E6999" s="21"/>
      <c r="F6999" s="21"/>
      <c r="G6999" s="21"/>
    </row>
    <row r="7000">
      <c r="A7000" s="6"/>
      <c r="B7000" s="15" t="s">
        <v>2373</v>
      </c>
      <c r="C7000" s="23"/>
      <c r="D7000" s="23"/>
      <c r="E7000" s="23"/>
      <c r="F7000" s="23"/>
      <c r="G7000" s="23"/>
    </row>
    <row r="7001">
      <c r="A7001" s="5"/>
      <c r="B7001" s="16" t="s">
        <v>1960</v>
      </c>
      <c r="C7001" s="22">
        <f>(0.534623258590001)*(1)*(1)*(1)*(1 + (0))</f>
      </c>
      <c r="D7001" s="22" t="s">
        <v>182</v>
      </c>
      <c r="E7001" s="22"/>
      <c r="F7001" s="22">
        <f>(0)</f>
      </c>
      <c r="G7001" s="22">
        <f>(C7001 * E7001 + C7001 * E7001 * F7001)</f>
      </c>
    </row>
    <row r="7002">
      <c r="A7002" s="5"/>
      <c r="B7002" s="16" t="s">
        <v>570</v>
      </c>
      <c r="C7002" s="22">
        <f>(1.22551571144809)*(1)*(1)*(1)*(1 + (0))</f>
      </c>
      <c r="D7002" s="22" t="s">
        <v>182</v>
      </c>
      <c r="E7002" s="22"/>
      <c r="F7002" s="22">
        <f>(0)</f>
      </c>
      <c r="G7002" s="22">
        <f>(C7002 * E7002 + C7002 * E7002 * F7002)</f>
      </c>
    </row>
    <row r="7003">
      <c r="A7003" s="5"/>
      <c r="B7003" s="16" t="s">
        <v>563</v>
      </c>
      <c r="C7003" s="22">
        <f>(0.264)*(1)*(1)*(1)*(1 + (0))</f>
      </c>
      <c r="D7003" s="22" t="s">
        <v>182</v>
      </c>
      <c r="E7003" s="22"/>
      <c r="F7003" s="22">
        <f>(0)</f>
      </c>
      <c r="G7003" s="22">
        <f>(C7003 * E7003 + C7003 * E7003 * F7003)</f>
      </c>
    </row>
    <row r="7004">
      <c r="A7004" s="6"/>
      <c r="B7004" s="15" t="s">
        <v>2371</v>
      </c>
      <c r="C7004" s="23"/>
      <c r="D7004" s="23"/>
      <c r="E7004" s="23"/>
      <c r="F7004" s="23"/>
      <c r="G7004" s="23"/>
    </row>
    <row r="7005">
      <c r="A7005" s="5"/>
      <c r="B7005" s="16" t="s">
        <v>2374</v>
      </c>
      <c r="C7005" s="22">
        <f>(0.581759163106786)*(1)*(1)*(1)*(1 + (0))</f>
      </c>
      <c r="D7005" s="22" t="s">
        <v>182</v>
      </c>
      <c r="E7005" s="22"/>
      <c r="F7005" s="22">
        <f>(0)</f>
      </c>
      <c r="G7005" s="22">
        <f>(C7005 * E7005 + C7005 * E7005 * F7005)</f>
      </c>
    </row>
    <row r="7006">
      <c r="A7006" s="5"/>
      <c r="B7006" s="16" t="s">
        <v>563</v>
      </c>
      <c r="C7006" s="22">
        <f>(0.087)*(1)*(1)*(1)*(1 + (0))</f>
      </c>
      <c r="D7006" s="22" t="s">
        <v>182</v>
      </c>
      <c r="E7006" s="22"/>
      <c r="F7006" s="22">
        <f>(0)</f>
      </c>
      <c r="G7006" s="22">
        <f>(C7006 * E7006 + C7006 * E7006 * F7006)</f>
      </c>
    </row>
    <row r="7007">
      <c r="A7007" s="4"/>
      <c r="B7007" s="12" t="s">
        <v>583</v>
      </c>
      <c r="C7007" s="21"/>
      <c r="D7007" s="21"/>
      <c r="E7007" s="21"/>
      <c r="F7007" s="21"/>
      <c r="G7007" s="21"/>
    </row>
    <row r="7008">
      <c r="A7008" s="6"/>
      <c r="B7008" s="15" t="s">
        <v>2373</v>
      </c>
      <c r="C7008" s="23"/>
      <c r="D7008" s="23"/>
      <c r="E7008" s="23"/>
      <c r="F7008" s="23"/>
      <c r="G7008" s="23"/>
    </row>
    <row r="7009">
      <c r="A7009" s="5"/>
      <c r="B7009" s="16" t="s">
        <v>584</v>
      </c>
      <c r="C7009" s="22">
        <f>(0.0559286575028447)*(1)*(1)*(1)*(1 + (0))</f>
      </c>
      <c r="D7009" s="22" t="s">
        <v>182</v>
      </c>
      <c r="E7009" s="22"/>
      <c r="F7009" s="22">
        <f>(0)</f>
      </c>
      <c r="G7009" s="22">
        <f>(C7009 * E7009 + C7009 * E7009 * F7009)</f>
      </c>
    </row>
    <row r="7010">
      <c r="A7010" s="5"/>
      <c r="B7010" s="16" t="s">
        <v>563</v>
      </c>
      <c r="C7010" s="22">
        <f>(0.009)*(1)*(1)*(1)*(1 + (0))</f>
      </c>
      <c r="D7010" s="22" t="s">
        <v>182</v>
      </c>
      <c r="E7010" s="22"/>
      <c r="F7010" s="22">
        <f>(0)</f>
      </c>
      <c r="G7010" s="22">
        <f>(C7010 * E7010 + C7010 * E7010 * F7010)</f>
      </c>
    </row>
    <row r="7011">
      <c r="A7011" s="6"/>
      <c r="B7011" s="15" t="s">
        <v>2371</v>
      </c>
      <c r="C7011" s="23"/>
      <c r="D7011" s="23"/>
      <c r="E7011" s="23"/>
      <c r="F7011" s="23"/>
      <c r="G7011" s="23"/>
    </row>
    <row r="7012">
      <c r="A7012" s="5"/>
      <c r="B7012" s="16" t="s">
        <v>1968</v>
      </c>
      <c r="C7012" s="22">
        <f>(0.0340039232268276)*(1)*(1)*(1)*(1 + (0))</f>
      </c>
      <c r="D7012" s="22" t="s">
        <v>182</v>
      </c>
      <c r="E7012" s="22"/>
      <c r="F7012" s="22">
        <f>(0)</f>
      </c>
      <c r="G7012" s="22">
        <f>(C7012 * E7012 + C7012 * E7012 * F7012)</f>
      </c>
    </row>
    <row r="7013">
      <c r="A7013" s="5"/>
      <c r="B7013" s="16" t="s">
        <v>563</v>
      </c>
      <c r="C7013" s="22">
        <f>(0.0045)*(1)*(1)*(1)*(1 + (0))</f>
      </c>
      <c r="D7013" s="22" t="s">
        <v>182</v>
      </c>
      <c r="E7013" s="22"/>
      <c r="F7013" s="22">
        <f>(0)</f>
      </c>
      <c r="G7013" s="22">
        <f>(C7013 * E7013 + C7013 * E7013 * F7013)</f>
      </c>
    </row>
    <row r="7014">
      <c r="A7014" s="4"/>
      <c r="B7014" s="12" t="s">
        <v>586</v>
      </c>
      <c r="C7014" s="21"/>
      <c r="D7014" s="21"/>
      <c r="E7014" s="21"/>
      <c r="F7014" s="21"/>
      <c r="G7014" s="21"/>
    </row>
    <row r="7015">
      <c r="A7015" s="6"/>
      <c r="B7015" s="15" t="s">
        <v>2373</v>
      </c>
      <c r="C7015" s="23"/>
      <c r="D7015" s="23"/>
      <c r="E7015" s="23"/>
      <c r="F7015" s="23"/>
      <c r="G7015" s="23"/>
    </row>
    <row r="7016">
      <c r="A7016" s="5"/>
      <c r="B7016" s="16" t="s">
        <v>587</v>
      </c>
      <c r="C7016" s="22">
        <f>(50)*(1)*(1)*(1)*(1 + (0))</f>
      </c>
      <c r="D7016" s="22" t="s">
        <v>153</v>
      </c>
      <c r="E7016" s="22"/>
      <c r="F7016" s="22">
        <f>(0)</f>
      </c>
      <c r="G7016" s="22">
        <f>(C7016 * E7016 + C7016 * E7016 * F7016)</f>
      </c>
    </row>
    <row r="7017">
      <c r="A7017" s="5"/>
      <c r="B7017" s="16" t="s">
        <v>1683</v>
      </c>
      <c r="C7017" s="22">
        <f>(10)*(1)*(1)*(1)*(1 + (0))</f>
      </c>
      <c r="D7017" s="22" t="s">
        <v>153</v>
      </c>
      <c r="E7017" s="22"/>
      <c r="F7017" s="22">
        <f>(0)</f>
      </c>
      <c r="G7017" s="22">
        <f>(C7017 * E7017 + C7017 * E7017 * F7017)</f>
      </c>
    </row>
    <row r="7018">
      <c r="A7018" s="6"/>
      <c r="B7018" s="15" t="s">
        <v>2371</v>
      </c>
      <c r="C7018" s="23"/>
      <c r="D7018" s="23"/>
      <c r="E7018" s="23"/>
      <c r="F7018" s="23"/>
      <c r="G7018" s="23"/>
    </row>
    <row r="7019">
      <c r="A7019" s="5"/>
      <c r="B7019" s="16" t="s">
        <v>2375</v>
      </c>
      <c r="C7019" s="22">
        <f>(109)*(1)*(1)*(1)*(1 + (0))</f>
      </c>
      <c r="D7019" s="22" t="s">
        <v>153</v>
      </c>
      <c r="E7019" s="22"/>
      <c r="F7019" s="22">
        <f>(0)</f>
      </c>
      <c r="G7019" s="22">
        <f>(C7019 * E7019 + C7019 * E7019 * F7019)</f>
      </c>
    </row>
    <row r="7020">
      <c r="A7020" s="5"/>
      <c r="B7020" s="16" t="s">
        <v>2376</v>
      </c>
      <c r="C7020" s="22">
        <f>(21)*(1)*(1)*(1)*(1 + (0))</f>
      </c>
      <c r="D7020" s="22" t="s">
        <v>153</v>
      </c>
      <c r="E7020" s="22"/>
      <c r="F7020" s="22">
        <f>(0)</f>
      </c>
      <c r="G7020" s="22">
        <f>(C7020 * E7020 + C7020 * E7020 * F7020)</f>
      </c>
    </row>
    <row r="7021">
      <c r="A7021" s="5"/>
      <c r="B7021" s="16" t="s">
        <v>2377</v>
      </c>
      <c r="C7021" s="22">
        <f>(16)*(1)*(1)*(1)*(1 + (0))</f>
      </c>
      <c r="D7021" s="22" t="s">
        <v>153</v>
      </c>
      <c r="E7021" s="22"/>
      <c r="F7021" s="22">
        <f>(0)</f>
      </c>
      <c r="G7021" s="22">
        <f>(C7021 * E7021 + C7021 * E7021 * F7021)</f>
      </c>
    </row>
    <row r="7022">
      <c r="A7022" s="3"/>
      <c r="B7022" s="11" t="s">
        <v>619</v>
      </c>
      <c r="C7022" s="20"/>
      <c r="D7022" s="20"/>
      <c r="E7022" s="20"/>
      <c r="F7022" s="20"/>
      <c r="G7022" s="20"/>
    </row>
    <row r="7023">
      <c r="A7023" s="4"/>
      <c r="B7023" s="12" t="s">
        <v>620</v>
      </c>
      <c r="C7023" s="21"/>
      <c r="D7023" s="21"/>
      <c r="E7023" s="21"/>
      <c r="F7023" s="21"/>
      <c r="G7023" s="21"/>
    </row>
    <row r="7024">
      <c r="A7024" s="5"/>
      <c r="B7024" s="13" t="s">
        <v>621</v>
      </c>
      <c r="C7024" s="22">
        <f>(1.48)*(1)*(1)*(1)*(1 + (0))</f>
      </c>
      <c r="D7024" s="22" t="s">
        <v>182</v>
      </c>
      <c r="E7024" s="22"/>
      <c r="F7024" s="22">
        <f>(0)</f>
      </c>
      <c r="G7024" s="22">
        <f>(C7024 * E7024 + C7024 * E7024 * F7024)</f>
      </c>
    </row>
    <row r="7025">
      <c r="A7025" s="5"/>
      <c r="B7025" s="13" t="s">
        <v>623</v>
      </c>
      <c r="C7025" s="22">
        <f>(2.69)*(1)*(1)*(1)*(1 + (0))</f>
      </c>
      <c r="D7025" s="22" t="s">
        <v>182</v>
      </c>
      <c r="E7025" s="22"/>
      <c r="F7025" s="22">
        <f>(0)</f>
      </c>
      <c r="G7025" s="22">
        <f>(C7025 * E7025 + C7025 * E7025 * F7025)</f>
      </c>
    </row>
    <row r="7026">
      <c r="A7026" s="5"/>
      <c r="B7026" s="13" t="s">
        <v>1702</v>
      </c>
      <c r="C7026" s="22">
        <f>(0.1)*(1)*(1)*(1)*(1 + (0))</f>
      </c>
      <c r="D7026" s="22" t="s">
        <v>182</v>
      </c>
      <c r="E7026" s="22"/>
      <c r="F7026" s="22">
        <f>(0)</f>
      </c>
      <c r="G7026" s="22">
        <f>(C7026 * E7026 + C7026 * E7026 * F7026)</f>
      </c>
    </row>
    <row r="7027">
      <c r="A7027" s="4"/>
      <c r="B7027" s="12" t="s">
        <v>625</v>
      </c>
      <c r="C7027" s="21"/>
      <c r="D7027" s="21"/>
      <c r="E7027" s="21"/>
      <c r="F7027" s="21"/>
      <c r="G7027" s="21"/>
    </row>
    <row r="7028">
      <c r="A7028" s="5"/>
      <c r="B7028" s="13" t="s">
        <v>1703</v>
      </c>
      <c r="C7028" s="22">
        <f>(1.48)*(1)*(1)*(1)*(1 + (0))</f>
      </c>
      <c r="D7028" s="22" t="s">
        <v>182</v>
      </c>
      <c r="E7028" s="22"/>
      <c r="F7028" s="22">
        <f>(0)</f>
      </c>
      <c r="G7028" s="22">
        <f>(C7028 * E7028 + C7028 * E7028 * F7028)</f>
      </c>
    </row>
    <row r="7029">
      <c r="A7029" s="5"/>
      <c r="B7029" s="13" t="s">
        <v>628</v>
      </c>
      <c r="C7029" s="22">
        <f>(2.69)*(1)*(1)*(1)*(1 + (0))</f>
      </c>
      <c r="D7029" s="22" t="s">
        <v>182</v>
      </c>
      <c r="E7029" s="22"/>
      <c r="F7029" s="22">
        <f>(0)</f>
      </c>
      <c r="G7029" s="22">
        <f>(C7029 * E7029 + C7029 * E7029 * F7029)</f>
      </c>
    </row>
    <row r="7030">
      <c r="A7030" s="5"/>
      <c r="B7030" s="13" t="s">
        <v>1704</v>
      </c>
      <c r="C7030" s="22">
        <f>(0.1)*(1)*(1)*(1)*(1 + (0))</f>
      </c>
      <c r="D7030" s="22" t="s">
        <v>182</v>
      </c>
      <c r="E7030" s="22"/>
      <c r="F7030" s="22">
        <f>(0)</f>
      </c>
      <c r="G7030" s="22">
        <f>(C7030 * E7030 + C7030 * E7030 * F7030)</f>
      </c>
    </row>
    <row r="7031">
      <c r="A7031" s="5"/>
      <c r="B7031" s="7" t="s">
        <v>631</v>
      </c>
      <c r="C7031" s="22"/>
      <c r="D7031" s="22"/>
      <c r="E7031" s="22"/>
      <c r="F7031" s="22">
        <f>(0)</f>
      </c>
      <c r="G7031" s="22">
        <f>(C7031 * E7031 + C7031 * E7031 * F7031)</f>
      </c>
    </row>
    <row r="7032">
      <c r="A7032" s="2"/>
      <c r="B7032" s="10" t="s">
        <v>757</v>
      </c>
      <c r="C7032" s="19"/>
      <c r="D7032" s="19"/>
      <c r="E7032" s="19"/>
      <c r="F7032" s="19"/>
      <c r="G7032" s="19"/>
    </row>
    <row r="7033">
      <c r="A7033" s="3"/>
      <c r="B7033" s="11" t="s">
        <v>37</v>
      </c>
      <c r="C7033" s="20"/>
      <c r="D7033" s="20"/>
      <c r="E7033" s="20"/>
      <c r="F7033" s="20"/>
      <c r="G7033" s="20"/>
    </row>
    <row r="7034">
      <c r="A7034" s="5" t="s">
        <v>758</v>
      </c>
      <c r="B7034" s="14" t="s">
        <v>759</v>
      </c>
      <c r="C7034" s="22"/>
      <c r="D7034" s="22" t="s">
        <v>10</v>
      </c>
      <c r="E7034" s="22"/>
      <c r="F7034" s="22">
        <f>(0)</f>
      </c>
      <c r="G7034" s="22">
        <f>(C7034 * E7034 + C7034 * E7034 * F7034)</f>
      </c>
    </row>
    <row r="7035">
      <c r="A7035" s="5" t="s">
        <v>760</v>
      </c>
      <c r="B7035" s="14" t="s">
        <v>41</v>
      </c>
      <c r="C7035" s="22"/>
      <c r="D7035" s="22" t="s">
        <v>10</v>
      </c>
      <c r="E7035" s="22"/>
      <c r="F7035" s="22">
        <f>(0)</f>
      </c>
      <c r="G7035" s="22">
        <f>(C7035 * E7035 + C7035 * E7035 * F7035)</f>
      </c>
    </row>
    <row r="7036">
      <c r="A7036" s="3"/>
      <c r="B7036" s="11" t="s">
        <v>42</v>
      </c>
      <c r="C7036" s="20"/>
      <c r="D7036" s="20"/>
      <c r="E7036" s="20"/>
      <c r="F7036" s="20"/>
      <c r="G7036" s="20"/>
    </row>
    <row r="7037">
      <c r="A7037" s="5"/>
      <c r="B7037" s="14" t="s">
        <v>761</v>
      </c>
      <c r="C7037" s="22"/>
      <c r="D7037" s="22" t="s">
        <v>10</v>
      </c>
      <c r="E7037" s="22"/>
      <c r="F7037" s="22">
        <f>(0)</f>
      </c>
      <c r="G7037" s="22">
        <f>(C7037 * E7037 + C7037 * E7037 * F7037)</f>
      </c>
    </row>
    <row r="7038">
      <c r="A7038" s="5"/>
      <c r="B7038" s="14" t="s">
        <v>762</v>
      </c>
      <c r="C7038" s="22"/>
      <c r="D7038" s="22" t="s">
        <v>10</v>
      </c>
      <c r="E7038" s="22"/>
      <c r="F7038" s="22">
        <f>(0)</f>
      </c>
      <c r="G7038" s="22">
        <f>(C7038 * E7038 + C7038 * E7038 * F7038)</f>
      </c>
    </row>
    <row r="7039">
      <c r="A7039" s="5"/>
      <c r="B7039" s="14" t="s">
        <v>763</v>
      </c>
      <c r="C7039" s="22"/>
      <c r="D7039" s="22" t="s">
        <v>10</v>
      </c>
      <c r="E7039" s="22"/>
      <c r="F7039" s="22">
        <f>(0)</f>
      </c>
      <c r="G7039" s="22">
        <f>(C7039 * E7039 + C7039 * E7039 * F7039)</f>
      </c>
    </row>
    <row r="7040">
      <c r="A7040" s="5"/>
      <c r="B7040" s="14" t="s">
        <v>764</v>
      </c>
      <c r="C7040" s="22"/>
      <c r="D7040" s="22" t="s">
        <v>10</v>
      </c>
      <c r="E7040" s="22"/>
      <c r="F7040" s="22">
        <f>(0)</f>
      </c>
      <c r="G7040" s="22">
        <f>(C7040 * E7040 + C7040 * E7040 * F7040)</f>
      </c>
    </row>
    <row r="7041">
      <c r="A7041" s="3"/>
      <c r="B7041" s="11" t="s">
        <v>44</v>
      </c>
      <c r="C7041" s="20"/>
      <c r="D7041" s="20"/>
      <c r="E7041" s="20"/>
      <c r="F7041" s="20"/>
      <c r="G7041" s="20"/>
    </row>
    <row r="7042">
      <c r="A7042" s="4"/>
      <c r="B7042" s="12" t="s">
        <v>45</v>
      </c>
      <c r="C7042" s="21"/>
      <c r="D7042" s="21"/>
      <c r="E7042" s="21"/>
      <c r="F7042" s="21"/>
      <c r="G7042" s="21"/>
    </row>
    <row r="7043">
      <c r="A7043" s="5" t="s">
        <v>765</v>
      </c>
      <c r="B7043" s="13" t="s">
        <v>696</v>
      </c>
      <c r="C7043" s="22"/>
      <c r="D7043" s="22" t="s">
        <v>10</v>
      </c>
      <c r="E7043" s="22"/>
      <c r="F7043" s="22">
        <f>(0)</f>
      </c>
      <c r="G7043" s="22">
        <f>(C7043 * E7043 + C7043 * E7043 * F7043)</f>
      </c>
    </row>
    <row r="7044">
      <c r="A7044" s="5" t="s">
        <v>766</v>
      </c>
      <c r="B7044" s="13" t="s">
        <v>767</v>
      </c>
      <c r="C7044" s="22"/>
      <c r="D7044" s="22" t="s">
        <v>10</v>
      </c>
      <c r="E7044" s="22"/>
      <c r="F7044" s="22">
        <f>(0)</f>
      </c>
      <c r="G7044" s="22">
        <f>(C7044 * E7044 + C7044 * E7044 * F7044)</f>
      </c>
    </row>
    <row r="7045">
      <c r="A7045" s="5" t="s">
        <v>768</v>
      </c>
      <c r="B7045" s="13" t="s">
        <v>769</v>
      </c>
      <c r="C7045" s="22"/>
      <c r="D7045" s="22" t="s">
        <v>10</v>
      </c>
      <c r="E7045" s="22"/>
      <c r="F7045" s="22">
        <f>(0)</f>
      </c>
      <c r="G7045" s="22">
        <f>(C7045 * E7045 + C7045 * E7045 * F7045)</f>
      </c>
    </row>
    <row r="7046">
      <c r="A7046" s="5" t="s">
        <v>770</v>
      </c>
      <c r="B7046" s="13" t="s">
        <v>654</v>
      </c>
      <c r="C7046" s="22"/>
      <c r="D7046" s="22" t="s">
        <v>10</v>
      </c>
      <c r="E7046" s="22"/>
      <c r="F7046" s="22">
        <f>(0)</f>
      </c>
      <c r="G7046" s="22">
        <f>(C7046 * E7046 + C7046 * E7046 * F7046)</f>
      </c>
    </row>
    <row r="7047">
      <c r="A7047" s="6"/>
      <c r="B7047" s="15" t="s">
        <v>771</v>
      </c>
      <c r="C7047" s="23"/>
      <c r="D7047" s="23"/>
      <c r="E7047" s="23"/>
      <c r="F7047" s="23"/>
      <c r="G7047" s="23"/>
    </row>
    <row r="7048">
      <c r="A7048" s="5" t="s">
        <v>772</v>
      </c>
      <c r="B7048" s="16" t="s">
        <v>528</v>
      </c>
      <c r="C7048" s="22"/>
      <c r="D7048" s="22" t="s">
        <v>10</v>
      </c>
      <c r="E7048" s="22"/>
      <c r="F7048" s="22">
        <f>(0)</f>
      </c>
      <c r="G7048" s="22">
        <f>(C7048 * E7048 + C7048 * E7048 * F7048)</f>
      </c>
    </row>
    <row r="7049">
      <c r="A7049" s="5" t="s">
        <v>773</v>
      </c>
      <c r="B7049" s="16" t="s">
        <v>530</v>
      </c>
      <c r="C7049" s="22"/>
      <c r="D7049" s="22" t="s">
        <v>10</v>
      </c>
      <c r="E7049" s="22"/>
      <c r="F7049" s="22">
        <f>(0)</f>
      </c>
      <c r="G7049" s="22">
        <f>(C7049 * E7049 + C7049 * E7049 * F7049)</f>
      </c>
    </row>
    <row r="7050">
      <c r="A7050" s="5" t="s">
        <v>774</v>
      </c>
      <c r="B7050" s="16" t="s">
        <v>532</v>
      </c>
      <c r="C7050" s="22"/>
      <c r="D7050" s="22" t="s">
        <v>10</v>
      </c>
      <c r="E7050" s="22"/>
      <c r="F7050" s="22">
        <f>(0)</f>
      </c>
      <c r="G7050" s="22">
        <f>(C7050 * E7050 + C7050 * E7050 * F7050)</f>
      </c>
    </row>
    <row r="7051">
      <c r="A7051" s="5" t="s">
        <v>775</v>
      </c>
      <c r="B7051" s="16" t="s">
        <v>536</v>
      </c>
      <c r="C7051" s="22"/>
      <c r="D7051" s="22" t="s">
        <v>10</v>
      </c>
      <c r="E7051" s="22"/>
      <c r="F7051" s="22">
        <f>(0)</f>
      </c>
      <c r="G7051" s="22">
        <f>(C7051 * E7051 + C7051 * E7051 * F7051)</f>
      </c>
    </row>
    <row r="7052">
      <c r="A7052" s="5" t="s">
        <v>776</v>
      </c>
      <c r="B7052" s="16" t="s">
        <v>777</v>
      </c>
      <c r="C7052" s="22"/>
      <c r="D7052" s="22" t="s">
        <v>10</v>
      </c>
      <c r="E7052" s="22"/>
      <c r="F7052" s="22">
        <f>(0)</f>
      </c>
      <c r="G7052" s="22">
        <f>(C7052 * E7052 + C7052 * E7052 * F7052)</f>
      </c>
    </row>
    <row r="7053">
      <c r="A7053" s="6"/>
      <c r="B7053" s="15" t="s">
        <v>778</v>
      </c>
      <c r="C7053" s="23"/>
      <c r="D7053" s="23"/>
      <c r="E7053" s="23"/>
      <c r="F7053" s="23"/>
      <c r="G7053" s="23"/>
    </row>
    <row r="7054">
      <c r="A7054" s="5" t="s">
        <v>779</v>
      </c>
      <c r="B7054" s="16" t="s">
        <v>780</v>
      </c>
      <c r="C7054" s="22"/>
      <c r="D7054" s="22" t="s">
        <v>10</v>
      </c>
      <c r="E7054" s="22"/>
      <c r="F7054" s="22">
        <f>(0)</f>
      </c>
      <c r="G7054" s="22">
        <f>(C7054 * E7054 + C7054 * E7054 * F7054)</f>
      </c>
    </row>
    <row r="7055">
      <c r="A7055" s="5" t="s">
        <v>781</v>
      </c>
      <c r="B7055" s="16" t="s">
        <v>782</v>
      </c>
      <c r="C7055" s="22"/>
      <c r="D7055" s="22" t="s">
        <v>10</v>
      </c>
      <c r="E7055" s="22"/>
      <c r="F7055" s="22">
        <f>(0)</f>
      </c>
      <c r="G7055" s="22">
        <f>(C7055 * E7055 + C7055 * E7055 * F7055)</f>
      </c>
    </row>
    <row r="7056">
      <c r="A7056" s="5" t="s">
        <v>783</v>
      </c>
      <c r="B7056" s="16" t="s">
        <v>784</v>
      </c>
      <c r="C7056" s="22"/>
      <c r="D7056" s="22" t="s">
        <v>10</v>
      </c>
      <c r="E7056" s="22"/>
      <c r="F7056" s="22">
        <f>(0)</f>
      </c>
      <c r="G7056" s="22">
        <f>(C7056 * E7056 + C7056 * E7056 * F7056)</f>
      </c>
    </row>
    <row r="7057">
      <c r="A7057" s="5" t="s">
        <v>785</v>
      </c>
      <c r="B7057" s="16" t="s">
        <v>786</v>
      </c>
      <c r="C7057" s="22"/>
      <c r="D7057" s="22" t="s">
        <v>10</v>
      </c>
      <c r="E7057" s="22"/>
      <c r="F7057" s="22">
        <f>(0)</f>
      </c>
      <c r="G7057" s="22">
        <f>(C7057 * E7057 + C7057 * E7057 * F7057)</f>
      </c>
    </row>
    <row r="7058">
      <c r="A7058" s="5" t="s">
        <v>787</v>
      </c>
      <c r="B7058" s="16" t="s">
        <v>788</v>
      </c>
      <c r="C7058" s="22"/>
      <c r="D7058" s="22" t="s">
        <v>10</v>
      </c>
      <c r="E7058" s="22"/>
      <c r="F7058" s="22">
        <f>(0)</f>
      </c>
      <c r="G7058" s="22">
        <f>(C7058 * E7058 + C7058 * E7058 * F7058)</f>
      </c>
    </row>
    <row r="7059">
      <c r="A7059" s="5" t="s">
        <v>789</v>
      </c>
      <c r="B7059" s="16" t="s">
        <v>769</v>
      </c>
      <c r="C7059" s="22"/>
      <c r="D7059" s="22" t="s">
        <v>10</v>
      </c>
      <c r="E7059" s="22"/>
      <c r="F7059" s="22">
        <f>(0)</f>
      </c>
      <c r="G7059" s="22">
        <f>(C7059 * E7059 + C7059 * E7059 * F7059)</f>
      </c>
    </row>
    <row r="7060">
      <c r="A7060" s="6"/>
      <c r="B7060" s="15" t="s">
        <v>790</v>
      </c>
      <c r="C7060" s="23"/>
      <c r="D7060" s="23"/>
      <c r="E7060" s="23"/>
      <c r="F7060" s="23"/>
      <c r="G7060" s="23"/>
    </row>
    <row r="7061">
      <c r="A7061" s="5" t="s">
        <v>791</v>
      </c>
      <c r="B7061" s="16" t="s">
        <v>652</v>
      </c>
      <c r="C7061" s="22"/>
      <c r="D7061" s="22" t="s">
        <v>10</v>
      </c>
      <c r="E7061" s="22"/>
      <c r="F7061" s="22">
        <f>(0)</f>
      </c>
      <c r="G7061" s="22">
        <f>(C7061 * E7061 + C7061 * E7061 * F7061)</f>
      </c>
    </row>
    <row r="7062">
      <c r="A7062" s="5" t="s">
        <v>792</v>
      </c>
      <c r="B7062" s="16" t="s">
        <v>700</v>
      </c>
      <c r="C7062" s="22"/>
      <c r="D7062" s="22" t="s">
        <v>10</v>
      </c>
      <c r="E7062" s="22"/>
      <c r="F7062" s="22">
        <f>(0)</f>
      </c>
      <c r="G7062" s="22">
        <f>(C7062 * E7062 + C7062 * E7062 * F7062)</f>
      </c>
    </row>
    <row r="7063">
      <c r="A7063" s="5" t="s">
        <v>793</v>
      </c>
      <c r="B7063" s="16" t="s">
        <v>650</v>
      </c>
      <c r="C7063" s="22"/>
      <c r="D7063" s="22" t="s">
        <v>10</v>
      </c>
      <c r="E7063" s="22"/>
      <c r="F7063" s="22">
        <f>(0)</f>
      </c>
      <c r="G7063" s="22">
        <f>(C7063 * E7063 + C7063 * E7063 * F7063)</f>
      </c>
    </row>
    <row r="7064">
      <c r="A7064" s="3"/>
      <c r="B7064" s="11" t="s">
        <v>68</v>
      </c>
      <c r="C7064" s="20"/>
      <c r="D7064" s="20"/>
      <c r="E7064" s="20"/>
      <c r="F7064" s="20"/>
      <c r="G7064" s="20"/>
    </row>
    <row r="7065">
      <c r="A7065" s="5" t="s">
        <v>794</v>
      </c>
      <c r="B7065" s="14" t="s">
        <v>70</v>
      </c>
      <c r="C7065" s="22">
        <f>(1)*(1)*(1)*(1)*(1 + (0))</f>
      </c>
      <c r="D7065" s="22" t="s">
        <v>71</v>
      </c>
      <c r="E7065" s="22"/>
      <c r="F7065" s="22">
        <f>(0)</f>
      </c>
      <c r="G7065" s="22">
        <f>(C7065 * E7065 + C7065 * E7065 * F7065)</f>
      </c>
    </row>
    <row r="7066">
      <c r="A7066" s="5" t="s">
        <v>795</v>
      </c>
      <c r="B7066" s="14" t="s">
        <v>796</v>
      </c>
      <c r="C7066" s="22">
        <f>(1)*(1)*(1)*(1)*(1 + (0))</f>
      </c>
      <c r="D7066" s="22" t="s">
        <v>71</v>
      </c>
      <c r="E7066" s="22"/>
      <c r="F7066" s="22">
        <f>(0)</f>
      </c>
      <c r="G7066" s="22">
        <f>(C7066 * E7066 + C7066 * E7066 * F7066)</f>
      </c>
    </row>
    <row r="7067">
      <c r="A7067" s="5" t="s">
        <v>797</v>
      </c>
      <c r="B7067" s="14" t="s">
        <v>798</v>
      </c>
      <c r="C7067" s="22">
        <f>(1)*(1)*(1)*(1)*(1 + (0))</f>
      </c>
      <c r="D7067" s="22" t="s">
        <v>71</v>
      </c>
      <c r="E7067" s="22"/>
      <c r="F7067" s="22">
        <f>(0)</f>
      </c>
      <c r="G7067" s="22">
        <f>(C7067 * E7067 + C7067 * E7067 * F7067)</f>
      </c>
    </row>
    <row r="7068">
      <c r="A7068" s="5" t="s">
        <v>799</v>
      </c>
      <c r="B7068" s="14" t="s">
        <v>800</v>
      </c>
      <c r="C7068" s="22">
        <f>(1)*(1)*(1)*(1)*(1 + (0))</f>
      </c>
      <c r="D7068" s="22" t="s">
        <v>71</v>
      </c>
      <c r="E7068" s="22"/>
      <c r="F7068" s="22">
        <f>(0)</f>
      </c>
      <c r="G7068" s="22">
        <f>(C7068 * E7068 + C7068 * E7068 * F7068)</f>
      </c>
    </row>
    <row r="7069">
      <c r="A7069" s="5" t="s">
        <v>801</v>
      </c>
      <c r="B7069" s="14" t="s">
        <v>73</v>
      </c>
      <c r="C7069" s="22">
        <f>(1)*(1)*(1)*(1)*(1 + (0))</f>
      </c>
      <c r="D7069" s="22" t="s">
        <v>71</v>
      </c>
      <c r="E7069" s="22"/>
      <c r="F7069" s="22">
        <f>(0)</f>
      </c>
      <c r="G7069" s="22">
        <f>(C7069 * E7069 + C7069 * E7069 * F7069)</f>
      </c>
    </row>
    <row r="7070">
      <c r="A7070" s="5" t="s">
        <v>802</v>
      </c>
      <c r="B7070" s="14" t="s">
        <v>803</v>
      </c>
      <c r="C7070" s="22">
        <f>(1)*(1)*(1)*(1)*(1 + (0))</f>
      </c>
      <c r="D7070" s="22" t="s">
        <v>71</v>
      </c>
      <c r="E7070" s="22"/>
      <c r="F7070" s="22">
        <f>(0)</f>
      </c>
      <c r="G7070" s="22">
        <f>(C7070 * E7070 + C7070 * E7070 * F7070)</f>
      </c>
    </row>
    <row r="7071">
      <c r="A7071" s="5" t="s">
        <v>804</v>
      </c>
      <c r="B7071" s="14" t="s">
        <v>805</v>
      </c>
      <c r="C7071" s="22">
        <f>(1)*(1)*(1)*(1)*(1 + (0))</f>
      </c>
      <c r="D7071" s="22" t="s">
        <v>71</v>
      </c>
      <c r="E7071" s="22"/>
      <c r="F7071" s="22">
        <f>(0)</f>
      </c>
      <c r="G7071" s="22">
        <f>(C7071 * E7071 + C7071 * E7071 * F7071)</f>
      </c>
    </row>
    <row r="7072">
      <c r="A7072" s="5" t="s">
        <v>806</v>
      </c>
      <c r="B7072" s="14" t="s">
        <v>230</v>
      </c>
      <c r="C7072" s="22">
        <f>(1)*(1)*(1)*(1)*(1 + (0))</f>
      </c>
      <c r="D7072" s="22" t="s">
        <v>71</v>
      </c>
      <c r="E7072" s="22"/>
      <c r="F7072" s="22">
        <f>(0)</f>
      </c>
      <c r="G7072" s="22">
        <f>(C7072 * E7072 + C7072 * E7072 * F7072)</f>
      </c>
    </row>
    <row r="7073">
      <c r="A7073" s="5" t="s">
        <v>807</v>
      </c>
      <c r="B7073" s="14" t="s">
        <v>808</v>
      </c>
      <c r="C7073" s="22">
        <f>(1)*(1)*(1)*(1)*(1 + (0))</f>
      </c>
      <c r="D7073" s="22" t="s">
        <v>71</v>
      </c>
      <c r="E7073" s="22"/>
      <c r="F7073" s="22">
        <f>(0)</f>
      </c>
      <c r="G7073" s="22">
        <f>(C7073 * E7073 + C7073 * E7073 * F7073)</f>
      </c>
    </row>
    <row r="7074">
      <c r="A7074" s="5" t="s">
        <v>809</v>
      </c>
      <c r="B7074" s="14" t="s">
        <v>810</v>
      </c>
      <c r="C7074" s="22">
        <f>(1)*(1)*(1)*(1)*(1 + (0))</f>
      </c>
      <c r="D7074" s="22" t="s">
        <v>71</v>
      </c>
      <c r="E7074" s="22"/>
      <c r="F7074" s="22">
        <f>(0)</f>
      </c>
      <c r="G7074" s="22">
        <f>(C7074 * E7074 + C7074 * E7074 * F7074)</f>
      </c>
    </row>
    <row r="7075">
      <c r="A7075" s="5" t="s">
        <v>811</v>
      </c>
      <c r="B7075" s="14" t="s">
        <v>812</v>
      </c>
      <c r="C7075" s="22">
        <f>(1)*(1)*(1)*(1)*(1 + (0))</f>
      </c>
      <c r="D7075" s="22" t="s">
        <v>71</v>
      </c>
      <c r="E7075" s="22"/>
      <c r="F7075" s="22">
        <f>(0)</f>
      </c>
      <c r="G7075" s="22">
        <f>(C7075 * E7075 + C7075 * E7075 * F7075)</f>
      </c>
    </row>
    <row r="7076">
      <c r="A7076" s="5" t="s">
        <v>813</v>
      </c>
      <c r="B7076" s="14" t="s">
        <v>814</v>
      </c>
      <c r="C7076" s="22">
        <f>(1)*(1)*(1)*(1)*(1 + (0))</f>
      </c>
      <c r="D7076" s="22" t="s">
        <v>71</v>
      </c>
      <c r="E7076" s="22"/>
      <c r="F7076" s="22">
        <f>(0)</f>
      </c>
      <c r="G7076" s="22">
        <f>(C7076 * E7076 + C7076 * E7076 * F7076)</f>
      </c>
    </row>
    <row r="7077">
      <c r="A7077" s="5" t="s">
        <v>815</v>
      </c>
      <c r="B7077" s="14" t="s">
        <v>816</v>
      </c>
      <c r="C7077" s="22">
        <f>(1)*(1)*(1)*(1)*(1 + (0))</f>
      </c>
      <c r="D7077" s="22" t="s">
        <v>71</v>
      </c>
      <c r="E7077" s="22"/>
      <c r="F7077" s="22">
        <f>(0)</f>
      </c>
      <c r="G7077" s="22">
        <f>(C7077 * E7077 + C7077 * E7077 * F7077)</f>
      </c>
    </row>
    <row r="7078">
      <c r="A7078" s="5" t="s">
        <v>817</v>
      </c>
      <c r="B7078" s="14" t="s">
        <v>667</v>
      </c>
      <c r="C7078" s="22">
        <f>(1)*(1)*(1)*(1)*(1 + (0))</f>
      </c>
      <c r="D7078" s="22" t="s">
        <v>71</v>
      </c>
      <c r="E7078" s="22"/>
      <c r="F7078" s="22">
        <f>(0)</f>
      </c>
      <c r="G7078" s="22">
        <f>(C7078 * E7078 + C7078 * E7078 * F7078)</f>
      </c>
    </row>
    <row r="7079">
      <c r="A7079" s="3"/>
      <c r="B7079" s="11" t="s">
        <v>819</v>
      </c>
      <c r="C7079" s="20"/>
      <c r="D7079" s="20"/>
      <c r="E7079" s="20"/>
      <c r="F7079" s="20"/>
      <c r="G7079" s="20"/>
    </row>
    <row r="7080">
      <c r="A7080" s="4"/>
      <c r="B7080" s="12" t="s">
        <v>2378</v>
      </c>
      <c r="C7080" s="21"/>
      <c r="D7080" s="21"/>
      <c r="E7080" s="21"/>
      <c r="F7080" s="21"/>
      <c r="G7080" s="21"/>
    </row>
    <row r="7081">
      <c r="A7081" s="5"/>
      <c r="B7081" s="13" t="s">
        <v>2151</v>
      </c>
      <c r="C7081" s="22">
        <f>(138)*(1)*(1)*(1)*(1 + (0))</f>
      </c>
      <c r="D7081" s="22" t="s">
        <v>24</v>
      </c>
      <c r="E7081" s="22"/>
      <c r="F7081" s="22">
        <f>(0)</f>
      </c>
      <c r="G7081" s="22">
        <f>(C7081 * E7081 + C7081 * E7081 * F7081)</f>
      </c>
    </row>
    <row r="7082">
      <c r="A7082" s="2"/>
      <c r="B7082" s="10" t="s">
        <v>689</v>
      </c>
      <c r="C7082" s="19"/>
      <c r="D7082" s="19"/>
      <c r="E7082" s="19"/>
      <c r="F7082" s="19"/>
      <c r="G7082" s="19"/>
    </row>
    <row r="7083">
      <c r="A7083" s="3"/>
      <c r="B7083" s="11" t="s">
        <v>37</v>
      </c>
      <c r="C7083" s="20"/>
      <c r="D7083" s="20"/>
      <c r="E7083" s="20"/>
      <c r="F7083" s="20"/>
      <c r="G7083" s="20"/>
    </row>
    <row r="7084">
      <c r="A7084" s="5" t="s">
        <v>690</v>
      </c>
      <c r="B7084" s="14" t="s">
        <v>39</v>
      </c>
      <c r="C7084" s="22"/>
      <c r="D7084" s="22" t="s">
        <v>10</v>
      </c>
      <c r="E7084" s="22"/>
      <c r="F7084" s="22">
        <f>(0)</f>
      </c>
      <c r="G7084" s="22">
        <f>(C7084 * E7084 + C7084 * E7084 * F7084)</f>
      </c>
    </row>
    <row r="7085">
      <c r="A7085" s="5" t="s">
        <v>691</v>
      </c>
      <c r="B7085" s="14" t="s">
        <v>41</v>
      </c>
      <c r="C7085" s="22"/>
      <c r="D7085" s="22" t="s">
        <v>10</v>
      </c>
      <c r="E7085" s="22"/>
      <c r="F7085" s="22">
        <f>(0)</f>
      </c>
      <c r="G7085" s="22">
        <f>(C7085 * E7085 + C7085 * E7085 * F7085)</f>
      </c>
    </row>
    <row r="7086">
      <c r="A7086" s="3"/>
      <c r="B7086" s="11" t="s">
        <v>42</v>
      </c>
      <c r="C7086" s="20"/>
      <c r="D7086" s="20"/>
      <c r="E7086" s="20"/>
      <c r="F7086" s="20"/>
      <c r="G7086" s="20"/>
    </row>
    <row r="7087">
      <c r="A7087" s="5"/>
      <c r="B7087" s="14" t="s">
        <v>692</v>
      </c>
      <c r="C7087" s="22"/>
      <c r="D7087" s="22" t="s">
        <v>10</v>
      </c>
      <c r="E7087" s="22"/>
      <c r="F7087" s="22">
        <f>(0)</f>
      </c>
      <c r="G7087" s="22">
        <f>(C7087 * E7087 + C7087 * E7087 * F7087)</f>
      </c>
    </row>
    <row r="7088">
      <c r="A7088" s="5"/>
      <c r="B7088" s="14" t="s">
        <v>693</v>
      </c>
      <c r="C7088" s="22"/>
      <c r="D7088" s="22" t="s">
        <v>10</v>
      </c>
      <c r="E7088" s="22"/>
      <c r="F7088" s="22">
        <f>(0)</f>
      </c>
      <c r="G7088" s="22">
        <f>(C7088 * E7088 + C7088 * E7088 * F7088)</f>
      </c>
    </row>
    <row r="7089">
      <c r="A7089" s="5"/>
      <c r="B7089" s="14" t="s">
        <v>694</v>
      </c>
      <c r="C7089" s="22"/>
      <c r="D7089" s="22" t="s">
        <v>10</v>
      </c>
      <c r="E7089" s="22"/>
      <c r="F7089" s="22">
        <f>(0)</f>
      </c>
      <c r="G7089" s="22">
        <f>(C7089 * E7089 + C7089 * E7089 * F7089)</f>
      </c>
    </row>
    <row r="7090">
      <c r="A7090" s="3"/>
      <c r="B7090" s="11" t="s">
        <v>44</v>
      </c>
      <c r="C7090" s="20"/>
      <c r="D7090" s="20"/>
      <c r="E7090" s="20"/>
      <c r="F7090" s="20"/>
      <c r="G7090" s="20"/>
    </row>
    <row r="7091">
      <c r="A7091" s="4"/>
      <c r="B7091" s="12" t="s">
        <v>45</v>
      </c>
      <c r="C7091" s="21"/>
      <c r="D7091" s="21"/>
      <c r="E7091" s="21"/>
      <c r="F7091" s="21"/>
      <c r="G7091" s="21"/>
    </row>
    <row r="7092">
      <c r="A7092" s="5" t="s">
        <v>695</v>
      </c>
      <c r="B7092" s="13" t="s">
        <v>696</v>
      </c>
      <c r="C7092" s="22"/>
      <c r="D7092" s="22" t="s">
        <v>10</v>
      </c>
      <c r="E7092" s="22"/>
      <c r="F7092" s="22">
        <f>(0)</f>
      </c>
      <c r="G7092" s="22">
        <f>(C7092 * E7092 + C7092 * E7092 * F7092)</f>
      </c>
    </row>
    <row r="7093">
      <c r="A7093" s="5" t="s">
        <v>697</v>
      </c>
      <c r="B7093" s="13" t="s">
        <v>698</v>
      </c>
      <c r="C7093" s="22"/>
      <c r="D7093" s="22" t="s">
        <v>10</v>
      </c>
      <c r="E7093" s="22"/>
      <c r="F7093" s="22">
        <f>(0)</f>
      </c>
      <c r="G7093" s="22">
        <f>(C7093 * E7093 + C7093 * E7093 * F7093)</f>
      </c>
    </row>
    <row r="7094">
      <c r="A7094" s="5" t="s">
        <v>699</v>
      </c>
      <c r="B7094" s="13" t="s">
        <v>700</v>
      </c>
      <c r="C7094" s="22"/>
      <c r="D7094" s="22" t="s">
        <v>10</v>
      </c>
      <c r="E7094" s="22"/>
      <c r="F7094" s="22">
        <f>(0)</f>
      </c>
      <c r="G7094" s="22">
        <f>(C7094 * E7094 + C7094 * E7094 * F7094)</f>
      </c>
    </row>
    <row r="7095">
      <c r="A7095" s="5" t="s">
        <v>701</v>
      </c>
      <c r="B7095" s="13" t="s">
        <v>646</v>
      </c>
      <c r="C7095" s="22"/>
      <c r="D7095" s="22" t="s">
        <v>10</v>
      </c>
      <c r="E7095" s="22"/>
      <c r="F7095" s="22">
        <f>(0)</f>
      </c>
      <c r="G7095" s="22">
        <f>(C7095 * E7095 + C7095 * E7095 * F7095)</f>
      </c>
    </row>
    <row r="7096">
      <c r="A7096" s="5" t="s">
        <v>702</v>
      </c>
      <c r="B7096" s="13" t="s">
        <v>648</v>
      </c>
      <c r="C7096" s="22"/>
      <c r="D7096" s="22" t="s">
        <v>10</v>
      </c>
      <c r="E7096" s="22"/>
      <c r="F7096" s="22">
        <f>(0)</f>
      </c>
      <c r="G7096" s="22">
        <f>(C7096 * E7096 + C7096 * E7096 * F7096)</f>
      </c>
    </row>
    <row r="7097">
      <c r="A7097" s="5" t="s">
        <v>703</v>
      </c>
      <c r="B7097" s="13" t="s">
        <v>704</v>
      </c>
      <c r="C7097" s="22"/>
      <c r="D7097" s="22" t="s">
        <v>10</v>
      </c>
      <c r="E7097" s="22"/>
      <c r="F7097" s="22">
        <f>(0)</f>
      </c>
      <c r="G7097" s="22">
        <f>(C7097 * E7097 + C7097 * E7097 * F7097)</f>
      </c>
    </row>
    <row r="7098">
      <c r="A7098" s="5" t="s">
        <v>705</v>
      </c>
      <c r="B7098" s="13" t="s">
        <v>123</v>
      </c>
      <c r="C7098" s="22"/>
      <c r="D7098" s="22" t="s">
        <v>10</v>
      </c>
      <c r="E7098" s="22"/>
      <c r="F7098" s="22">
        <f>(0)</f>
      </c>
      <c r="G7098" s="22">
        <f>(C7098 * E7098 + C7098 * E7098 * F7098)</f>
      </c>
    </row>
    <row r="7099">
      <c r="A7099" s="3"/>
      <c r="B7099" s="11" t="s">
        <v>68</v>
      </c>
      <c r="C7099" s="20"/>
      <c r="D7099" s="20"/>
      <c r="E7099" s="20"/>
      <c r="F7099" s="20"/>
      <c r="G7099" s="20"/>
    </row>
    <row r="7100">
      <c r="A7100" s="5" t="s">
        <v>706</v>
      </c>
      <c r="B7100" s="14" t="s">
        <v>707</v>
      </c>
      <c r="C7100" s="22">
        <f>(1)*(1)*(1)*(1)*(1 + (0))</f>
      </c>
      <c r="D7100" s="22" t="s">
        <v>71</v>
      </c>
      <c r="E7100" s="22"/>
      <c r="F7100" s="22">
        <f>(0)</f>
      </c>
      <c r="G7100" s="22">
        <f>(C7100 * E7100 + C7100 * E7100 * F7100)</f>
      </c>
    </row>
    <row r="7101">
      <c r="A7101" s="5" t="s">
        <v>708</v>
      </c>
      <c r="B7101" s="14" t="s">
        <v>709</v>
      </c>
      <c r="C7101" s="22">
        <f>(1)*(1)*(1)*(1)*(1 + (0))</f>
      </c>
      <c r="D7101" s="22" t="s">
        <v>71</v>
      </c>
      <c r="E7101" s="22"/>
      <c r="F7101" s="22">
        <f>(0)</f>
      </c>
      <c r="G7101" s="22">
        <f>(C7101 * E7101 + C7101 * E7101 * F7101)</f>
      </c>
    </row>
    <row r="7102">
      <c r="A7102" s="5" t="s">
        <v>710</v>
      </c>
      <c r="B7102" s="14" t="s">
        <v>711</v>
      </c>
      <c r="C7102" s="22">
        <f>(1)*(1)*(1)*(1)*(1 + (0))</f>
      </c>
      <c r="D7102" s="22" t="s">
        <v>71</v>
      </c>
      <c r="E7102" s="22"/>
      <c r="F7102" s="22">
        <f>(0)</f>
      </c>
      <c r="G7102" s="22">
        <f>(C7102 * E7102 + C7102 * E7102 * F7102)</f>
      </c>
    </row>
    <row r="7103">
      <c r="A7103" s="5" t="s">
        <v>712</v>
      </c>
      <c r="B7103" s="14" t="s">
        <v>79</v>
      </c>
      <c r="C7103" s="22">
        <f>(1)*(1)*(1)*(1)*(1 + (0))</f>
      </c>
      <c r="D7103" s="22" t="s">
        <v>71</v>
      </c>
      <c r="E7103" s="22"/>
      <c r="F7103" s="22">
        <f>(0)</f>
      </c>
      <c r="G7103" s="22">
        <f>(C7103 * E7103 + C7103 * E7103 * F7103)</f>
      </c>
    </row>
    <row r="7104">
      <c r="A7104" s="5" t="s">
        <v>713</v>
      </c>
      <c r="B7104" s="14" t="s">
        <v>714</v>
      </c>
      <c r="C7104" s="22">
        <f>(1)*(1)*(1)*(1)*(1 + (0))</f>
      </c>
      <c r="D7104" s="22" t="s">
        <v>71</v>
      </c>
      <c r="E7104" s="22"/>
      <c r="F7104" s="22">
        <f>(0)</f>
      </c>
      <c r="G7104" s="22">
        <f>(C7104 * E7104 + C7104 * E7104 * F7104)</f>
      </c>
    </row>
    <row r="7105">
      <c r="A7105" s="5" t="s">
        <v>715</v>
      </c>
      <c r="B7105" s="14" t="s">
        <v>716</v>
      </c>
      <c r="C7105" s="22">
        <f>(1)*(1)*(1)*(1)*(1 + (0))</f>
      </c>
      <c r="D7105" s="22" t="s">
        <v>71</v>
      </c>
      <c r="E7105" s="22"/>
      <c r="F7105" s="22">
        <f>(0)</f>
      </c>
      <c r="G7105" s="22">
        <f>(C7105 * E7105 + C7105 * E7105 * F7105)</f>
      </c>
    </row>
    <row r="7106">
      <c r="A7106" s="5" t="s">
        <v>717</v>
      </c>
      <c r="B7106" s="14" t="s">
        <v>718</v>
      </c>
      <c r="C7106" s="22">
        <f>(1)*(1)*(1)*(1)*(1 + (0))</f>
      </c>
      <c r="D7106" s="22" t="s">
        <v>71</v>
      </c>
      <c r="E7106" s="22"/>
      <c r="F7106" s="22">
        <f>(0)</f>
      </c>
      <c r="G7106" s="22">
        <f>(C7106 * E7106 + C7106 * E7106 * F7106)</f>
      </c>
    </row>
    <row r="7107">
      <c r="A7107" s="5" t="s">
        <v>719</v>
      </c>
      <c r="B7107" s="14" t="s">
        <v>720</v>
      </c>
      <c r="C7107" s="22">
        <f>(1)*(1)*(1)*(1)*(1 + (0))</f>
      </c>
      <c r="D7107" s="22" t="s">
        <v>71</v>
      </c>
      <c r="E7107" s="22"/>
      <c r="F7107" s="22">
        <f>(0)</f>
      </c>
      <c r="G7107" s="22">
        <f>(C7107 * E7107 + C7107 * E7107 * F7107)</f>
      </c>
    </row>
    <row r="7108">
      <c r="A7108" s="3"/>
      <c r="B7108" s="11" t="s">
        <v>721</v>
      </c>
      <c r="C7108" s="20"/>
      <c r="D7108" s="20"/>
      <c r="E7108" s="20"/>
      <c r="F7108" s="20"/>
      <c r="G7108" s="20"/>
    </row>
    <row r="7109">
      <c r="A7109" s="5"/>
      <c r="B7109" s="14" t="s">
        <v>2147</v>
      </c>
      <c r="C7109" s="22">
        <f>(45)*(1)*(1)*(1)*(1 + (0))</f>
      </c>
      <c r="D7109" s="22" t="s">
        <v>24</v>
      </c>
      <c r="E7109" s="22"/>
      <c r="F7109" s="22">
        <f>(0)</f>
      </c>
      <c r="G7109" s="22">
        <f>(C7109 * E7109 + C7109 * E7109 * F7109)</f>
      </c>
    </row>
    <row r="7110">
      <c r="A7110" s="3"/>
      <c r="B7110" s="11" t="s">
        <v>723</v>
      </c>
      <c r="C7110" s="20"/>
      <c r="D7110" s="20"/>
      <c r="E7110" s="20"/>
      <c r="F7110" s="20"/>
      <c r="G7110" s="20"/>
    </row>
    <row r="7111">
      <c r="A7111" s="5"/>
      <c r="B7111" s="14" t="s">
        <v>727</v>
      </c>
      <c r="C7111" s="22">
        <f>(45)*(1)*(1)*(1)*(1 + (0))</f>
      </c>
      <c r="D7111" s="22" t="s">
        <v>24</v>
      </c>
      <c r="E7111" s="22"/>
      <c r="F7111" s="22">
        <f>(0)</f>
      </c>
      <c r="G7111" s="22">
        <f>(C7111 * E7111 + C7111 * E7111 * F7111)</f>
      </c>
    </row>
    <row r="7112">
      <c r="A7112" s="3"/>
      <c r="B7112" s="11" t="s">
        <v>728</v>
      </c>
      <c r="C7112" s="20"/>
      <c r="D7112" s="20"/>
      <c r="E7112" s="20"/>
      <c r="F7112" s="20"/>
      <c r="G7112" s="20"/>
    </row>
    <row r="7113">
      <c r="A7113" s="5"/>
      <c r="B7113" s="14" t="s">
        <v>729</v>
      </c>
      <c r="C7113" s="22">
        <f>(45)*(1)*(1)*(1)*(1 + (0))</f>
      </c>
      <c r="D7113" s="22" t="s">
        <v>24</v>
      </c>
      <c r="E7113" s="22"/>
      <c r="F7113" s="22">
        <f>(0)</f>
      </c>
      <c r="G7113" s="22">
        <f>(C7113 * E7113 + C7113 * E7113 * F7113)</f>
      </c>
    </row>
    <row r="7114">
      <c r="A7114" s="3"/>
      <c r="B7114" s="11" t="s">
        <v>730</v>
      </c>
      <c r="C7114" s="20"/>
      <c r="D7114" s="20"/>
      <c r="E7114" s="20"/>
      <c r="F7114" s="20"/>
      <c r="G7114" s="20"/>
    </row>
    <row r="7115">
      <c r="A7115" s="4"/>
      <c r="B7115" s="12" t="s">
        <v>731</v>
      </c>
      <c r="C7115" s="21"/>
      <c r="D7115" s="21"/>
      <c r="E7115" s="21"/>
      <c r="F7115" s="21"/>
      <c r="G7115" s="21"/>
    </row>
    <row r="7116">
      <c r="A7116" s="5"/>
      <c r="B7116" s="13" t="s">
        <v>733</v>
      </c>
      <c r="C7116" s="22">
        <f>(9)*(1)*(1)*(1)*(1 + (0))</f>
      </c>
      <c r="D7116" s="22" t="s">
        <v>153</v>
      </c>
      <c r="E7116" s="22"/>
      <c r="F7116" s="22">
        <f>(0)</f>
      </c>
      <c r="G7116" s="22">
        <f>(C7116 * E7116 + C7116 * E7116 * F7116)</f>
      </c>
    </row>
    <row r="7117">
      <c r="A7117" s="3"/>
      <c r="B7117" s="11" t="s">
        <v>740</v>
      </c>
      <c r="C7117" s="20"/>
      <c r="D7117" s="20"/>
      <c r="E7117" s="20"/>
      <c r="F7117" s="20"/>
      <c r="G7117" s="20"/>
    </row>
    <row r="7118">
      <c r="A7118" s="5"/>
      <c r="B7118" s="14" t="s">
        <v>741</v>
      </c>
      <c r="C7118" s="22">
        <f>(9)*(1)*(1)*(1)*(1 + (0))</f>
      </c>
      <c r="D7118" s="22" t="s">
        <v>153</v>
      </c>
      <c r="E7118" s="22"/>
      <c r="F7118" s="22">
        <f>(0)</f>
      </c>
      <c r="G7118" s="22">
        <f>(C7118 * E7118 + C7118 * E7118 * F7118)</f>
      </c>
    </row>
    <row r="7119">
      <c r="A7119" s="5"/>
      <c r="B7119" s="14" t="s">
        <v>2379</v>
      </c>
      <c r="C7119" s="22">
        <f>(1)*(1)*(1)*(1)*(1 + (0))</f>
      </c>
      <c r="D7119" s="22" t="s">
        <v>162</v>
      </c>
      <c r="E7119" s="22"/>
      <c r="F7119" s="22">
        <f>(0)</f>
      </c>
      <c r="G7119" s="22">
        <f>(C7119 * E7119 + C7119 * E7119 * F7119)</f>
      </c>
    </row>
    <row r="7120">
      <c r="A7120" s="5"/>
      <c r="B7120" s="14" t="s">
        <v>748</v>
      </c>
      <c r="C7120" s="22">
        <f>(1)*(1)*(1)*(1)*(1 + (0))</f>
      </c>
      <c r="D7120" s="22" t="s">
        <v>162</v>
      </c>
      <c r="E7120" s="22"/>
      <c r="F7120" s="22">
        <f>(0)</f>
      </c>
      <c r="G7120" s="22">
        <f>(C7120 * E7120 + C7120 * E7120 * F7120)</f>
      </c>
    </row>
    <row r="7121">
      <c r="A7121" s="5"/>
      <c r="B7121" s="14" t="s">
        <v>749</v>
      </c>
      <c r="C7121" s="22">
        <f>(9)*(1)*(1)*(1)*(1 + (0))</f>
      </c>
      <c r="D7121" s="22" t="s">
        <v>153</v>
      </c>
      <c r="E7121" s="22"/>
      <c r="F7121" s="22">
        <f>(0)</f>
      </c>
      <c r="G7121" s="22">
        <f>(C7121 * E7121 + C7121 * E7121 * F7121)</f>
      </c>
    </row>
    <row r="7122">
      <c r="A7122" s="5"/>
      <c r="B7122" s="14" t="s">
        <v>751</v>
      </c>
      <c r="C7122" s="22">
        <f>(1)*(1)*(1)*(1)*(1 + (0))</f>
      </c>
      <c r="D7122" s="22" t="s">
        <v>162</v>
      </c>
      <c r="E7122" s="22"/>
      <c r="F7122" s="22">
        <f>(0)</f>
      </c>
      <c r="G7122" s="22">
        <f>(C7122 * E7122 + C7122 * E7122 * F7122)</f>
      </c>
    </row>
    <row r="7123">
      <c r="A7123" s="3"/>
      <c r="B7123" s="11" t="s">
        <v>1995</v>
      </c>
      <c r="C7123" s="20"/>
      <c r="D7123" s="20"/>
      <c r="E7123" s="20"/>
      <c r="F7123" s="20"/>
      <c r="G7123" s="20"/>
    </row>
    <row r="7124">
      <c r="A7124" s="5"/>
      <c r="B7124" s="14" t="s">
        <v>1996</v>
      </c>
      <c r="C7124" s="22">
        <f>(1)*(1)*(1)*(1)*(1 + (0))</f>
      </c>
      <c r="D7124" s="22" t="s">
        <v>162</v>
      </c>
      <c r="E7124" s="22"/>
      <c r="F7124" s="22">
        <f>(0)</f>
      </c>
      <c r="G7124" s="22">
        <f>(C7124 * E7124 + C7124 * E7124 * F7124)</f>
      </c>
    </row>
    <row r="7125">
      <c r="A7125" s="3"/>
      <c r="B7125" s="11" t="s">
        <v>753</v>
      </c>
      <c r="C7125" s="20"/>
      <c r="D7125" s="20"/>
      <c r="E7125" s="20"/>
      <c r="F7125" s="20"/>
      <c r="G7125" s="20"/>
    </row>
    <row r="7126">
      <c r="A7126" s="5"/>
      <c r="B7126" s="14" t="s">
        <v>2380</v>
      </c>
      <c r="C7126" s="22">
        <f>(1)*(1)*(1)*(1)*(1 + (0))</f>
      </c>
      <c r="D7126" s="22" t="s">
        <v>162</v>
      </c>
      <c r="E7126" s="22"/>
      <c r="F7126" s="22">
        <f>(0)</f>
      </c>
      <c r="G7126" s="22">
        <f>(C7126 * E7126 + C7126 * E7126 * F7126)</f>
      </c>
    </row>
    <row r="7127">
      <c r="A7127" s="2"/>
      <c r="B7127" s="10" t="s">
        <v>2381</v>
      </c>
      <c r="C7127" s="19"/>
      <c r="D7127" s="19"/>
      <c r="E7127" s="19"/>
      <c r="F7127" s="19"/>
      <c r="G7127" s="19"/>
    </row>
    <row r="7128">
      <c r="A7128" s="3"/>
      <c r="B7128" s="11" t="s">
        <v>37</v>
      </c>
      <c r="C7128" s="20"/>
      <c r="D7128" s="20"/>
      <c r="E7128" s="20"/>
      <c r="F7128" s="20"/>
      <c r="G7128" s="20"/>
    </row>
    <row r="7129">
      <c r="A7129" s="5" t="s">
        <v>936</v>
      </c>
      <c r="B7129" s="14" t="s">
        <v>39</v>
      </c>
      <c r="C7129" s="22"/>
      <c r="D7129" s="22" t="s">
        <v>10</v>
      </c>
      <c r="E7129" s="22"/>
      <c r="F7129" s="22">
        <f>(0)</f>
      </c>
      <c r="G7129" s="22">
        <f>(C7129 * E7129 + C7129 * E7129 * F7129)</f>
      </c>
    </row>
    <row r="7130">
      <c r="A7130" s="5" t="s">
        <v>937</v>
      </c>
      <c r="B7130" s="14" t="s">
        <v>41</v>
      </c>
      <c r="C7130" s="22"/>
      <c r="D7130" s="22" t="s">
        <v>10</v>
      </c>
      <c r="E7130" s="22"/>
      <c r="F7130" s="22">
        <f>(0)</f>
      </c>
      <c r="G7130" s="22">
        <f>(C7130 * E7130 + C7130 * E7130 * F7130)</f>
      </c>
    </row>
    <row r="7131">
      <c r="A7131" s="3"/>
      <c r="B7131" s="11" t="s">
        <v>42</v>
      </c>
      <c r="C7131" s="20"/>
      <c r="D7131" s="20"/>
      <c r="E7131" s="20"/>
      <c r="F7131" s="20"/>
      <c r="G7131" s="20"/>
    </row>
    <row r="7132">
      <c r="A7132" s="5"/>
      <c r="B7132" s="14" t="s">
        <v>938</v>
      </c>
      <c r="C7132" s="22"/>
      <c r="D7132" s="22" t="s">
        <v>10</v>
      </c>
      <c r="E7132" s="22"/>
      <c r="F7132" s="22">
        <f>(0)</f>
      </c>
      <c r="G7132" s="22">
        <f>(C7132 * E7132 + C7132 * E7132 * F7132)</f>
      </c>
    </row>
    <row r="7133">
      <c r="A7133" s="5"/>
      <c r="B7133" s="14" t="s">
        <v>762</v>
      </c>
      <c r="C7133" s="22"/>
      <c r="D7133" s="22" t="s">
        <v>10</v>
      </c>
      <c r="E7133" s="22"/>
      <c r="F7133" s="22">
        <f>(0)</f>
      </c>
      <c r="G7133" s="22">
        <f>(C7133 * E7133 + C7133 * E7133 * F7133)</f>
      </c>
    </row>
    <row r="7134">
      <c r="A7134" s="5"/>
      <c r="B7134" s="14" t="s">
        <v>763</v>
      </c>
      <c r="C7134" s="22"/>
      <c r="D7134" s="22" t="s">
        <v>10</v>
      </c>
      <c r="E7134" s="22"/>
      <c r="F7134" s="22">
        <f>(0)</f>
      </c>
      <c r="G7134" s="22">
        <f>(C7134 * E7134 + C7134 * E7134 * F7134)</f>
      </c>
    </row>
    <row r="7135">
      <c r="A7135" s="5"/>
      <c r="B7135" s="14" t="s">
        <v>939</v>
      </c>
      <c r="C7135" s="22"/>
      <c r="D7135" s="22" t="s">
        <v>10</v>
      </c>
      <c r="E7135" s="22"/>
      <c r="F7135" s="22">
        <f>(0)</f>
      </c>
      <c r="G7135" s="22">
        <f>(C7135 * E7135 + C7135 * E7135 * F7135)</f>
      </c>
    </row>
    <row r="7136">
      <c r="A7136" s="3"/>
      <c r="B7136" s="11" t="s">
        <v>44</v>
      </c>
      <c r="C7136" s="20"/>
      <c r="D7136" s="20"/>
      <c r="E7136" s="20"/>
      <c r="F7136" s="20"/>
      <c r="G7136" s="20"/>
    </row>
    <row r="7137">
      <c r="A7137" s="4"/>
      <c r="B7137" s="12" t="s">
        <v>45</v>
      </c>
      <c r="C7137" s="21"/>
      <c r="D7137" s="21"/>
      <c r="E7137" s="21"/>
      <c r="F7137" s="21"/>
      <c r="G7137" s="21"/>
    </row>
    <row r="7138">
      <c r="A7138" s="5" t="s">
        <v>940</v>
      </c>
      <c r="B7138" s="13" t="s">
        <v>123</v>
      </c>
      <c r="C7138" s="22"/>
      <c r="D7138" s="22" t="s">
        <v>10</v>
      </c>
      <c r="E7138" s="22"/>
      <c r="F7138" s="22">
        <f>(0)</f>
      </c>
      <c r="G7138" s="22">
        <f>(C7138 * E7138 + C7138 * E7138 * F7138)</f>
      </c>
    </row>
    <row r="7139">
      <c r="A7139" s="6"/>
      <c r="B7139" s="15" t="s">
        <v>771</v>
      </c>
      <c r="C7139" s="23"/>
      <c r="D7139" s="23"/>
      <c r="E7139" s="23"/>
      <c r="F7139" s="23"/>
      <c r="G7139" s="23"/>
    </row>
    <row r="7140">
      <c r="A7140" s="5" t="s">
        <v>772</v>
      </c>
      <c r="B7140" s="16" t="s">
        <v>528</v>
      </c>
      <c r="C7140" s="22"/>
      <c r="D7140" s="22" t="s">
        <v>10</v>
      </c>
      <c r="E7140" s="22"/>
      <c r="F7140" s="22">
        <f>(0)</f>
      </c>
      <c r="G7140" s="22">
        <f>(C7140 * E7140 + C7140 * E7140 * F7140)</f>
      </c>
    </row>
    <row r="7141">
      <c r="A7141" s="5" t="s">
        <v>773</v>
      </c>
      <c r="B7141" s="16" t="s">
        <v>530</v>
      </c>
      <c r="C7141" s="22"/>
      <c r="D7141" s="22" t="s">
        <v>10</v>
      </c>
      <c r="E7141" s="22"/>
      <c r="F7141" s="22">
        <f>(0)</f>
      </c>
      <c r="G7141" s="22">
        <f>(C7141 * E7141 + C7141 * E7141 * F7141)</f>
      </c>
    </row>
    <row r="7142">
      <c r="A7142" s="5" t="s">
        <v>774</v>
      </c>
      <c r="B7142" s="16" t="s">
        <v>532</v>
      </c>
      <c r="C7142" s="22"/>
      <c r="D7142" s="22" t="s">
        <v>10</v>
      </c>
      <c r="E7142" s="22"/>
      <c r="F7142" s="22">
        <f>(0)</f>
      </c>
      <c r="G7142" s="22">
        <f>(C7142 * E7142 + C7142 * E7142 * F7142)</f>
      </c>
    </row>
    <row r="7143">
      <c r="A7143" s="5" t="s">
        <v>775</v>
      </c>
      <c r="B7143" s="16" t="s">
        <v>536</v>
      </c>
      <c r="C7143" s="22"/>
      <c r="D7143" s="22" t="s">
        <v>10</v>
      </c>
      <c r="E7143" s="22"/>
      <c r="F7143" s="22">
        <f>(0)</f>
      </c>
      <c r="G7143" s="22">
        <f>(C7143 * E7143 + C7143 * E7143 * F7143)</f>
      </c>
    </row>
    <row r="7144">
      <c r="A7144" s="5" t="s">
        <v>776</v>
      </c>
      <c r="B7144" s="16" t="s">
        <v>777</v>
      </c>
      <c r="C7144" s="22"/>
      <c r="D7144" s="22" t="s">
        <v>10</v>
      </c>
      <c r="E7144" s="22"/>
      <c r="F7144" s="22">
        <f>(0)</f>
      </c>
      <c r="G7144" s="22">
        <f>(C7144 * E7144 + C7144 * E7144 * F7144)</f>
      </c>
    </row>
    <row r="7145">
      <c r="A7145" s="6"/>
      <c r="B7145" s="15" t="s">
        <v>778</v>
      </c>
      <c r="C7145" s="23"/>
      <c r="D7145" s="23"/>
      <c r="E7145" s="23"/>
      <c r="F7145" s="23"/>
      <c r="G7145" s="23"/>
    </row>
    <row r="7146">
      <c r="A7146" s="5" t="s">
        <v>779</v>
      </c>
      <c r="B7146" s="16" t="s">
        <v>780</v>
      </c>
      <c r="C7146" s="22"/>
      <c r="D7146" s="22" t="s">
        <v>10</v>
      </c>
      <c r="E7146" s="22"/>
      <c r="F7146" s="22">
        <f>(0)</f>
      </c>
      <c r="G7146" s="22">
        <f>(C7146 * E7146 + C7146 * E7146 * F7146)</f>
      </c>
    </row>
    <row r="7147">
      <c r="A7147" s="5" t="s">
        <v>781</v>
      </c>
      <c r="B7147" s="16" t="s">
        <v>782</v>
      </c>
      <c r="C7147" s="22"/>
      <c r="D7147" s="22" t="s">
        <v>10</v>
      </c>
      <c r="E7147" s="22"/>
      <c r="F7147" s="22">
        <f>(0)</f>
      </c>
      <c r="G7147" s="22">
        <f>(C7147 * E7147 + C7147 * E7147 * F7147)</f>
      </c>
    </row>
    <row r="7148">
      <c r="A7148" s="5" t="s">
        <v>783</v>
      </c>
      <c r="B7148" s="16" t="s">
        <v>784</v>
      </c>
      <c r="C7148" s="22"/>
      <c r="D7148" s="22" t="s">
        <v>10</v>
      </c>
      <c r="E7148" s="22"/>
      <c r="F7148" s="22">
        <f>(0)</f>
      </c>
      <c r="G7148" s="22">
        <f>(C7148 * E7148 + C7148 * E7148 * F7148)</f>
      </c>
    </row>
    <row r="7149">
      <c r="A7149" s="5" t="s">
        <v>785</v>
      </c>
      <c r="B7149" s="16" t="s">
        <v>786</v>
      </c>
      <c r="C7149" s="22"/>
      <c r="D7149" s="22" t="s">
        <v>10</v>
      </c>
      <c r="E7149" s="22"/>
      <c r="F7149" s="22">
        <f>(0)</f>
      </c>
      <c r="G7149" s="22">
        <f>(C7149 * E7149 + C7149 * E7149 * F7149)</f>
      </c>
    </row>
    <row r="7150">
      <c r="A7150" s="5" t="s">
        <v>787</v>
      </c>
      <c r="B7150" s="16" t="s">
        <v>788</v>
      </c>
      <c r="C7150" s="22"/>
      <c r="D7150" s="22" t="s">
        <v>10</v>
      </c>
      <c r="E7150" s="22"/>
      <c r="F7150" s="22">
        <f>(0)</f>
      </c>
      <c r="G7150" s="22">
        <f>(C7150 * E7150 + C7150 * E7150 * F7150)</f>
      </c>
    </row>
    <row r="7151">
      <c r="A7151" s="5" t="s">
        <v>789</v>
      </c>
      <c r="B7151" s="16" t="s">
        <v>769</v>
      </c>
      <c r="C7151" s="22"/>
      <c r="D7151" s="22" t="s">
        <v>10</v>
      </c>
      <c r="E7151" s="22"/>
      <c r="F7151" s="22">
        <f>(0)</f>
      </c>
      <c r="G7151" s="22">
        <f>(C7151 * E7151 + C7151 * E7151 * F7151)</f>
      </c>
    </row>
    <row r="7152">
      <c r="A7152" s="6"/>
      <c r="B7152" s="15" t="s">
        <v>790</v>
      </c>
      <c r="C7152" s="23"/>
      <c r="D7152" s="23"/>
      <c r="E7152" s="23"/>
      <c r="F7152" s="23"/>
      <c r="G7152" s="23"/>
    </row>
    <row r="7153">
      <c r="A7153" s="5" t="s">
        <v>791</v>
      </c>
      <c r="B7153" s="16" t="s">
        <v>652</v>
      </c>
      <c r="C7153" s="22"/>
      <c r="D7153" s="22" t="s">
        <v>10</v>
      </c>
      <c r="E7153" s="22"/>
      <c r="F7153" s="22">
        <f>(0)</f>
      </c>
      <c r="G7153" s="22">
        <f>(C7153 * E7153 + C7153 * E7153 * F7153)</f>
      </c>
    </row>
    <row r="7154">
      <c r="A7154" s="5" t="s">
        <v>792</v>
      </c>
      <c r="B7154" s="16" t="s">
        <v>700</v>
      </c>
      <c r="C7154" s="22"/>
      <c r="D7154" s="22" t="s">
        <v>10</v>
      </c>
      <c r="E7154" s="22"/>
      <c r="F7154" s="22">
        <f>(0)</f>
      </c>
      <c r="G7154" s="22">
        <f>(C7154 * E7154 + C7154 * E7154 * F7154)</f>
      </c>
    </row>
    <row r="7155">
      <c r="A7155" s="5" t="s">
        <v>793</v>
      </c>
      <c r="B7155" s="16" t="s">
        <v>650</v>
      </c>
      <c r="C7155" s="22"/>
      <c r="D7155" s="22" t="s">
        <v>10</v>
      </c>
      <c r="E7155" s="22"/>
      <c r="F7155" s="22">
        <f>(0)</f>
      </c>
      <c r="G7155" s="22">
        <f>(C7155 * E7155 + C7155 * E7155 * F7155)</f>
      </c>
    </row>
    <row r="7156">
      <c r="A7156" s="3"/>
      <c r="B7156" s="11" t="s">
        <v>68</v>
      </c>
      <c r="C7156" s="20"/>
      <c r="D7156" s="20"/>
      <c r="E7156" s="20"/>
      <c r="F7156" s="20"/>
      <c r="G7156" s="20"/>
    </row>
    <row r="7157">
      <c r="A7157" s="5" t="s">
        <v>807</v>
      </c>
      <c r="B7157" s="14" t="s">
        <v>808</v>
      </c>
      <c r="C7157" s="22">
        <f>(1)*(1)*(1)*(1)*(1 + (0))</f>
      </c>
      <c r="D7157" s="22" t="s">
        <v>71</v>
      </c>
      <c r="E7157" s="22"/>
      <c r="F7157" s="22">
        <f>(0)</f>
      </c>
      <c r="G7157" s="22">
        <f>(C7157 * E7157 + C7157 * E7157 * F7157)</f>
      </c>
    </row>
    <row r="7158">
      <c r="A7158" s="5" t="s">
        <v>809</v>
      </c>
      <c r="B7158" s="14" t="s">
        <v>810</v>
      </c>
      <c r="C7158" s="22">
        <f>(1)*(1)*(1)*(1)*(1 + (0))</f>
      </c>
      <c r="D7158" s="22" t="s">
        <v>71</v>
      </c>
      <c r="E7158" s="22"/>
      <c r="F7158" s="22">
        <f>(0)</f>
      </c>
      <c r="G7158" s="22">
        <f>(C7158 * E7158 + C7158 * E7158 * F7158)</f>
      </c>
    </row>
    <row r="7159">
      <c r="A7159" s="5" t="s">
        <v>811</v>
      </c>
      <c r="B7159" s="14" t="s">
        <v>812</v>
      </c>
      <c r="C7159" s="22">
        <f>(1)*(1)*(1)*(1)*(1 + (0))</f>
      </c>
      <c r="D7159" s="22" t="s">
        <v>71</v>
      </c>
      <c r="E7159" s="22"/>
      <c r="F7159" s="22">
        <f>(0)</f>
      </c>
      <c r="G7159" s="22">
        <f>(C7159 * E7159 + C7159 * E7159 * F7159)</f>
      </c>
    </row>
    <row r="7160">
      <c r="A7160" s="5" t="s">
        <v>941</v>
      </c>
      <c r="B7160" s="14" t="s">
        <v>447</v>
      </c>
      <c r="C7160" s="22">
        <f>(1)*(1)*(1)*(1)*(1 + (0))</f>
      </c>
      <c r="D7160" s="22" t="s">
        <v>71</v>
      </c>
      <c r="E7160" s="22"/>
      <c r="F7160" s="22">
        <f>(0)</f>
      </c>
      <c r="G7160" s="22">
        <f>(C7160 * E7160 + C7160 * E7160 * F7160)</f>
      </c>
    </row>
    <row r="7161">
      <c r="A7161" s="5" t="s">
        <v>942</v>
      </c>
      <c r="B7161" s="14" t="s">
        <v>70</v>
      </c>
      <c r="C7161" s="22">
        <f>(1)*(1)*(1)*(1)*(1 + (0))</f>
      </c>
      <c r="D7161" s="22" t="s">
        <v>71</v>
      </c>
      <c r="E7161" s="22"/>
      <c r="F7161" s="22">
        <f>(0)</f>
      </c>
      <c r="G7161" s="22">
        <f>(C7161 * E7161 + C7161 * E7161 * F7161)</f>
      </c>
    </row>
    <row r="7162">
      <c r="A7162" s="5" t="s">
        <v>813</v>
      </c>
      <c r="B7162" s="14" t="s">
        <v>814</v>
      </c>
      <c r="C7162" s="22">
        <f>(1)*(1)*(1)*(1)*(1 + (0))</f>
      </c>
      <c r="D7162" s="22" t="s">
        <v>71</v>
      </c>
      <c r="E7162" s="22"/>
      <c r="F7162" s="22">
        <f>(0)</f>
      </c>
      <c r="G7162" s="22">
        <f>(C7162 * E7162 + C7162 * E7162 * F7162)</f>
      </c>
    </row>
    <row r="7163">
      <c r="A7163" s="5" t="s">
        <v>815</v>
      </c>
      <c r="B7163" s="14" t="s">
        <v>816</v>
      </c>
      <c r="C7163" s="22">
        <f>(1)*(1)*(1)*(1)*(1 + (0))</f>
      </c>
      <c r="D7163" s="22" t="s">
        <v>71</v>
      </c>
      <c r="E7163" s="22"/>
      <c r="F7163" s="22">
        <f>(0)</f>
      </c>
      <c r="G7163" s="22">
        <f>(C7163 * E7163 + C7163 * E7163 * F7163)</f>
      </c>
    </row>
    <row r="7164">
      <c r="A7164" s="5" t="s">
        <v>943</v>
      </c>
      <c r="B7164" s="14" t="s">
        <v>798</v>
      </c>
      <c r="C7164" s="22">
        <f>(1)*(1)*(1)*(1)*(1 + (0))</f>
      </c>
      <c r="D7164" s="22" t="s">
        <v>71</v>
      </c>
      <c r="E7164" s="22"/>
      <c r="F7164" s="22">
        <f>(0)</f>
      </c>
      <c r="G7164" s="22">
        <f>(C7164 * E7164 + C7164 * E7164 * F7164)</f>
      </c>
    </row>
    <row r="7165">
      <c r="A7165" s="5" t="s">
        <v>944</v>
      </c>
      <c r="B7165" s="14" t="s">
        <v>800</v>
      </c>
      <c r="C7165" s="22">
        <f>(1)*(1)*(1)*(1)*(1 + (0))</f>
      </c>
      <c r="D7165" s="22" t="s">
        <v>71</v>
      </c>
      <c r="E7165" s="22"/>
      <c r="F7165" s="22">
        <f>(0)</f>
      </c>
      <c r="G7165" s="22">
        <f>(C7165 * E7165 + C7165 * E7165 * F7165)</f>
      </c>
    </row>
    <row r="7166">
      <c r="A7166" s="5" t="s">
        <v>817</v>
      </c>
      <c r="B7166" s="14" t="s">
        <v>667</v>
      </c>
      <c r="C7166" s="22">
        <f>(1)*(1)*(1)*(1)*(1 + (0))</f>
      </c>
      <c r="D7166" s="22" t="s">
        <v>71</v>
      </c>
      <c r="E7166" s="22"/>
      <c r="F7166" s="22">
        <f>(0)</f>
      </c>
      <c r="G7166" s="22">
        <f>(C7166 * E7166 + C7166 * E7166 * F7166)</f>
      </c>
    </row>
    <row r="7167">
      <c r="A7167" s="5" t="s">
        <v>945</v>
      </c>
      <c r="B7167" s="14" t="s">
        <v>665</v>
      </c>
      <c r="C7167" s="22">
        <f>(1)*(1)*(1)*(1)*(1 + (0))</f>
      </c>
      <c r="D7167" s="22" t="s">
        <v>71</v>
      </c>
      <c r="E7167" s="22"/>
      <c r="F7167" s="22">
        <f>(0)</f>
      </c>
      <c r="G7167" s="22">
        <f>(C7167 * E7167 + C7167 * E7167 * F7167)</f>
      </c>
    </row>
    <row r="7168">
      <c r="A7168" s="3"/>
      <c r="B7168" s="11" t="s">
        <v>106</v>
      </c>
      <c r="C7168" s="20"/>
      <c r="D7168" s="20"/>
      <c r="E7168" s="20"/>
      <c r="F7168" s="20"/>
      <c r="G7168" s="20"/>
    </row>
    <row r="7169">
      <c r="A7169" s="5"/>
      <c r="B7169" s="14" t="s">
        <v>946</v>
      </c>
      <c r="C7169" s="22"/>
      <c r="D7169" s="22" t="s">
        <v>10</v>
      </c>
      <c r="E7169" s="22"/>
      <c r="F7169" s="22">
        <f>(0)</f>
      </c>
      <c r="G7169" s="22">
        <f>(C7169 * E7169 + C7169 * E7169 * F7169)</f>
      </c>
    </row>
    <row r="7170">
      <c r="A7170" s="3"/>
      <c r="B7170" s="11" t="s">
        <v>947</v>
      </c>
      <c r="C7170" s="20"/>
      <c r="D7170" s="20"/>
      <c r="E7170" s="20"/>
      <c r="F7170" s="20"/>
      <c r="G7170" s="20"/>
    </row>
    <row r="7171">
      <c r="A7171" s="4"/>
      <c r="B7171" s="12" t="s">
        <v>948</v>
      </c>
      <c r="C7171" s="21"/>
      <c r="D7171" s="21"/>
      <c r="E7171" s="21"/>
      <c r="F7171" s="21"/>
      <c r="G7171" s="21"/>
    </row>
    <row r="7172">
      <c r="A7172" s="6"/>
      <c r="B7172" s="15" t="s">
        <v>2382</v>
      </c>
      <c r="C7172" s="23"/>
      <c r="D7172" s="23"/>
      <c r="E7172" s="23"/>
      <c r="F7172" s="23"/>
      <c r="G7172" s="23"/>
    </row>
    <row r="7173">
      <c r="A7173" s="5"/>
      <c r="B7173" s="16" t="s">
        <v>2383</v>
      </c>
      <c r="C7173" s="22">
        <f>(107)*(1)*(1)*(1)*(1 + (0))</f>
      </c>
      <c r="D7173" s="22" t="s">
        <v>24</v>
      </c>
      <c r="E7173" s="22"/>
      <c r="F7173" s="22">
        <f>(0)</f>
      </c>
      <c r="G7173" s="22">
        <f>(C7173 * E7173 + C7173 * E7173 * F7173)</f>
      </c>
    </row>
    <row r="7174">
      <c r="A7174" s="2"/>
      <c r="B7174" s="10" t="s">
        <v>1006</v>
      </c>
      <c r="C7174" s="19"/>
      <c r="D7174" s="19"/>
      <c r="E7174" s="19"/>
      <c r="F7174" s="19"/>
      <c r="G7174" s="19"/>
    </row>
    <row r="7175">
      <c r="A7175" s="3"/>
      <c r="B7175" s="11" t="s">
        <v>37</v>
      </c>
      <c r="C7175" s="20"/>
      <c r="D7175" s="20"/>
      <c r="E7175" s="20"/>
      <c r="F7175" s="20"/>
      <c r="G7175" s="20"/>
    </row>
    <row r="7176">
      <c r="A7176" s="5" t="s">
        <v>1007</v>
      </c>
      <c r="B7176" s="14" t="s">
        <v>39</v>
      </c>
      <c r="C7176" s="22"/>
      <c r="D7176" s="22" t="s">
        <v>10</v>
      </c>
      <c r="E7176" s="22"/>
      <c r="F7176" s="22">
        <f>(0)</f>
      </c>
      <c r="G7176" s="22">
        <f>(C7176 * E7176 + C7176 * E7176 * F7176)</f>
      </c>
    </row>
    <row r="7177">
      <c r="A7177" s="5" t="s">
        <v>1008</v>
      </c>
      <c r="B7177" s="14" t="s">
        <v>41</v>
      </c>
      <c r="C7177" s="22"/>
      <c r="D7177" s="22" t="s">
        <v>10</v>
      </c>
      <c r="E7177" s="22"/>
      <c r="F7177" s="22">
        <f>(0)</f>
      </c>
      <c r="G7177" s="22">
        <f>(C7177 * E7177 + C7177 * E7177 * F7177)</f>
      </c>
    </row>
    <row r="7178">
      <c r="A7178" s="3"/>
      <c r="B7178" s="11" t="s">
        <v>42</v>
      </c>
      <c r="C7178" s="20"/>
      <c r="D7178" s="20"/>
      <c r="E7178" s="20"/>
      <c r="F7178" s="20"/>
      <c r="G7178" s="20"/>
    </row>
    <row r="7179">
      <c r="A7179" s="5"/>
      <c r="B7179" s="14" t="s">
        <v>1009</v>
      </c>
      <c r="C7179" s="22"/>
      <c r="D7179" s="22" t="s">
        <v>10</v>
      </c>
      <c r="E7179" s="22"/>
      <c r="F7179" s="22">
        <f>(0)</f>
      </c>
      <c r="G7179" s="22">
        <f>(C7179 * E7179 + C7179 * E7179 * F7179)</f>
      </c>
    </row>
    <row r="7180">
      <c r="A7180" s="5"/>
      <c r="B7180" s="14" t="s">
        <v>1010</v>
      </c>
      <c r="C7180" s="22"/>
      <c r="D7180" s="22" t="s">
        <v>10</v>
      </c>
      <c r="E7180" s="22"/>
      <c r="F7180" s="22">
        <f>(0)</f>
      </c>
      <c r="G7180" s="22">
        <f>(C7180 * E7180 + C7180 * E7180 * F7180)</f>
      </c>
    </row>
    <row r="7181">
      <c r="A7181" s="5"/>
      <c r="B7181" s="14" t="s">
        <v>1011</v>
      </c>
      <c r="C7181" s="22"/>
      <c r="D7181" s="22" t="s">
        <v>10</v>
      </c>
      <c r="E7181" s="22"/>
      <c r="F7181" s="22">
        <f>(0)</f>
      </c>
      <c r="G7181" s="22">
        <f>(C7181 * E7181 + C7181 * E7181 * F7181)</f>
      </c>
    </row>
    <row r="7182">
      <c r="A7182" s="3"/>
      <c r="B7182" s="11" t="s">
        <v>44</v>
      </c>
      <c r="C7182" s="20"/>
      <c r="D7182" s="20"/>
      <c r="E7182" s="20"/>
      <c r="F7182" s="20"/>
      <c r="G7182" s="20"/>
    </row>
    <row r="7183">
      <c r="A7183" s="4"/>
      <c r="B7183" s="12" t="s">
        <v>45</v>
      </c>
      <c r="C7183" s="21"/>
      <c r="D7183" s="21"/>
      <c r="E7183" s="21"/>
      <c r="F7183" s="21"/>
      <c r="G7183" s="21"/>
    </row>
    <row r="7184">
      <c r="A7184" s="5" t="s">
        <v>1012</v>
      </c>
      <c r="B7184" s="13" t="s">
        <v>1013</v>
      </c>
      <c r="C7184" s="22"/>
      <c r="D7184" s="22" t="s">
        <v>10</v>
      </c>
      <c r="E7184" s="22"/>
      <c r="F7184" s="22">
        <f>(0)</f>
      </c>
      <c r="G7184" s="22">
        <f>(C7184 * E7184 + C7184 * E7184 * F7184)</f>
      </c>
    </row>
    <row r="7185">
      <c r="A7185" s="5" t="s">
        <v>1014</v>
      </c>
      <c r="B7185" s="13" t="s">
        <v>1015</v>
      </c>
      <c r="C7185" s="22"/>
      <c r="D7185" s="22" t="s">
        <v>10</v>
      </c>
      <c r="E7185" s="22"/>
      <c r="F7185" s="22">
        <f>(0)</f>
      </c>
      <c r="G7185" s="22">
        <f>(C7185 * E7185 + C7185 * E7185 * F7185)</f>
      </c>
    </row>
    <row r="7186">
      <c r="A7186" s="5" t="s">
        <v>1016</v>
      </c>
      <c r="B7186" s="13" t="s">
        <v>1017</v>
      </c>
      <c r="C7186" s="22"/>
      <c r="D7186" s="22" t="s">
        <v>10</v>
      </c>
      <c r="E7186" s="22"/>
      <c r="F7186" s="22">
        <f>(0)</f>
      </c>
      <c r="G7186" s="22">
        <f>(C7186 * E7186 + C7186 * E7186 * F7186)</f>
      </c>
    </row>
    <row r="7187">
      <c r="A7187" s="5" t="s">
        <v>1018</v>
      </c>
      <c r="B7187" s="13" t="s">
        <v>784</v>
      </c>
      <c r="C7187" s="22"/>
      <c r="D7187" s="22" t="s">
        <v>10</v>
      </c>
      <c r="E7187" s="22"/>
      <c r="F7187" s="22">
        <f>(0)</f>
      </c>
      <c r="G7187" s="22">
        <f>(C7187 * E7187 + C7187 * E7187 * F7187)</f>
      </c>
    </row>
    <row r="7188">
      <c r="A7188" s="5" t="s">
        <v>1019</v>
      </c>
      <c r="B7188" s="13" t="s">
        <v>123</v>
      </c>
      <c r="C7188" s="22"/>
      <c r="D7188" s="22" t="s">
        <v>10</v>
      </c>
      <c r="E7188" s="22"/>
      <c r="F7188" s="22">
        <f>(0)</f>
      </c>
      <c r="G7188" s="22">
        <f>(C7188 * E7188 + C7188 * E7188 * F7188)</f>
      </c>
    </row>
    <row r="7189">
      <c r="A7189" s="3"/>
      <c r="B7189" s="11" t="s">
        <v>68</v>
      </c>
      <c r="C7189" s="20"/>
      <c r="D7189" s="20"/>
      <c r="E7189" s="20"/>
      <c r="F7189" s="20"/>
      <c r="G7189" s="20"/>
    </row>
    <row r="7190">
      <c r="A7190" s="5" t="s">
        <v>1020</v>
      </c>
      <c r="B7190" s="14" t="s">
        <v>230</v>
      </c>
      <c r="C7190" s="22">
        <f>(1)*(1)*(1)*(1)*(1 + (0))</f>
      </c>
      <c r="D7190" s="22" t="s">
        <v>71</v>
      </c>
      <c r="E7190" s="22"/>
      <c r="F7190" s="22">
        <f>(0)</f>
      </c>
      <c r="G7190" s="22">
        <f>(C7190 * E7190 + C7190 * E7190 * F7190)</f>
      </c>
    </row>
    <row r="7191">
      <c r="A7191" s="5" t="s">
        <v>1021</v>
      </c>
      <c r="B7191" s="14" t="s">
        <v>1022</v>
      </c>
      <c r="C7191" s="22">
        <f>(1)*(1)*(1)*(1)*(1 + (0))</f>
      </c>
      <c r="D7191" s="22" t="s">
        <v>71</v>
      </c>
      <c r="E7191" s="22"/>
      <c r="F7191" s="22">
        <f>(0)</f>
      </c>
      <c r="G7191" s="22">
        <f>(C7191 * E7191 + C7191 * E7191 * F7191)</f>
      </c>
    </row>
    <row r="7192">
      <c r="A7192" s="5" t="s">
        <v>1023</v>
      </c>
      <c r="B7192" s="14" t="s">
        <v>812</v>
      </c>
      <c r="C7192" s="22">
        <f>(1)*(1)*(1)*(1)*(1 + (0))</f>
      </c>
      <c r="D7192" s="22" t="s">
        <v>71</v>
      </c>
      <c r="E7192" s="22"/>
      <c r="F7192" s="22">
        <f>(0)</f>
      </c>
      <c r="G7192" s="22">
        <f>(C7192 * E7192 + C7192 * E7192 * F7192)</f>
      </c>
    </row>
    <row r="7193">
      <c r="A7193" s="5" t="s">
        <v>1024</v>
      </c>
      <c r="B7193" s="14" t="s">
        <v>814</v>
      </c>
      <c r="C7193" s="22">
        <f>(1)*(1)*(1)*(1)*(1 + (0))</f>
      </c>
      <c r="D7193" s="22" t="s">
        <v>71</v>
      </c>
      <c r="E7193" s="22"/>
      <c r="F7193" s="22">
        <f>(0)</f>
      </c>
      <c r="G7193" s="22">
        <f>(C7193 * E7193 + C7193 * E7193 * F7193)</f>
      </c>
    </row>
    <row r="7194">
      <c r="A7194" s="5" t="s">
        <v>1025</v>
      </c>
      <c r="B7194" s="14" t="s">
        <v>798</v>
      </c>
      <c r="C7194" s="22">
        <f>(1)*(1)*(1)*(1)*(1 + (0))</f>
      </c>
      <c r="D7194" s="22" t="s">
        <v>71</v>
      </c>
      <c r="E7194" s="22"/>
      <c r="F7194" s="22">
        <f>(0)</f>
      </c>
      <c r="G7194" s="22">
        <f>(C7194 * E7194 + C7194 * E7194 * F7194)</f>
      </c>
    </row>
    <row r="7195">
      <c r="A7195" s="5" t="s">
        <v>1026</v>
      </c>
      <c r="B7195" s="14" t="s">
        <v>805</v>
      </c>
      <c r="C7195" s="22">
        <f>(1)*(1)*(1)*(1)*(1 + (0))</f>
      </c>
      <c r="D7195" s="22" t="s">
        <v>71</v>
      </c>
      <c r="E7195" s="22"/>
      <c r="F7195" s="22">
        <f>(0)</f>
      </c>
      <c r="G7195" s="22">
        <f>(C7195 * E7195 + C7195 * E7195 * F7195)</f>
      </c>
    </row>
    <row r="7196">
      <c r="A7196" s="5" t="s">
        <v>1027</v>
      </c>
      <c r="B7196" s="14" t="s">
        <v>800</v>
      </c>
      <c r="C7196" s="22">
        <f>(1)*(1)*(1)*(1)*(1 + (0))</f>
      </c>
      <c r="D7196" s="22" t="s">
        <v>71</v>
      </c>
      <c r="E7196" s="22"/>
      <c r="F7196" s="22">
        <f>(0)</f>
      </c>
      <c r="G7196" s="22">
        <f>(C7196 * E7196 + C7196 * E7196 * F7196)</f>
      </c>
    </row>
    <row r="7197">
      <c r="A7197" s="5" t="s">
        <v>1028</v>
      </c>
      <c r="B7197" s="14" t="s">
        <v>1029</v>
      </c>
      <c r="C7197" s="22">
        <f>(1)*(1)*(1)*(1)*(1 + (0))</f>
      </c>
      <c r="D7197" s="22" t="s">
        <v>71</v>
      </c>
      <c r="E7197" s="22"/>
      <c r="F7197" s="22">
        <f>(0)</f>
      </c>
      <c r="G7197" s="22">
        <f>(C7197 * E7197 + C7197 * E7197 * F7197)</f>
      </c>
    </row>
    <row r="7198">
      <c r="A7198" s="5" t="s">
        <v>1030</v>
      </c>
      <c r="B7198" s="14" t="s">
        <v>1031</v>
      </c>
      <c r="C7198" s="22">
        <f>(1)*(1)*(1)*(1)*(1 + (0))</f>
      </c>
      <c r="D7198" s="22" t="s">
        <v>71</v>
      </c>
      <c r="E7198" s="22"/>
      <c r="F7198" s="22">
        <f>(0)</f>
      </c>
      <c r="G7198" s="22">
        <f>(C7198 * E7198 + C7198 * E7198 * F7198)</f>
      </c>
    </row>
    <row r="7199">
      <c r="A7199" s="3"/>
      <c r="B7199" s="11" t="s">
        <v>106</v>
      </c>
      <c r="C7199" s="20"/>
      <c r="D7199" s="20"/>
      <c r="E7199" s="20"/>
      <c r="F7199" s="20"/>
      <c r="G7199" s="20"/>
    </row>
    <row r="7200">
      <c r="A7200" s="5"/>
      <c r="B7200" s="14" t="s">
        <v>2384</v>
      </c>
      <c r="C7200" s="22"/>
      <c r="D7200" s="22" t="s">
        <v>10</v>
      </c>
      <c r="E7200" s="22"/>
      <c r="F7200" s="22">
        <f>(0)</f>
      </c>
      <c r="G7200" s="22">
        <f>(C7200 * E7200 + C7200 * E7200 * F7200)</f>
      </c>
    </row>
    <row r="7201">
      <c r="A7201" s="3"/>
      <c r="B7201" s="11" t="s">
        <v>1033</v>
      </c>
      <c r="C7201" s="20"/>
      <c r="D7201" s="20"/>
      <c r="E7201" s="20"/>
      <c r="F7201" s="20"/>
      <c r="G7201" s="20"/>
    </row>
    <row r="7202">
      <c r="A7202" s="4"/>
      <c r="B7202" s="12" t="s">
        <v>1034</v>
      </c>
      <c r="C7202" s="21"/>
      <c r="D7202" s="21"/>
      <c r="E7202" s="21"/>
      <c r="F7202" s="21"/>
      <c r="G7202" s="21"/>
    </row>
    <row r="7203">
      <c r="A7203" s="6"/>
      <c r="B7203" s="15" t="s">
        <v>2385</v>
      </c>
      <c r="C7203" s="23"/>
      <c r="D7203" s="23"/>
      <c r="E7203" s="23"/>
      <c r="F7203" s="23"/>
      <c r="G7203" s="23"/>
    </row>
    <row r="7204">
      <c r="A7204" s="5"/>
      <c r="B7204" s="16" t="s">
        <v>34</v>
      </c>
      <c r="C7204" s="22">
        <f>(39)*(1)*(1)*(1)*(1 + (0))</f>
      </c>
      <c r="D7204" s="22" t="s">
        <v>24</v>
      </c>
      <c r="E7204" s="22"/>
      <c r="F7204" s="22">
        <f>(0)</f>
      </c>
      <c r="G7204" s="22">
        <f>(C7204 * E7204 + C7204 * E7204 * F7204)</f>
      </c>
    </row>
    <row r="7205">
      <c r="A7205" s="3"/>
      <c r="B7205" s="11" t="s">
        <v>1044</v>
      </c>
      <c r="C7205" s="20"/>
      <c r="D7205" s="20"/>
      <c r="E7205" s="20"/>
      <c r="F7205" s="20"/>
      <c r="G7205" s="20"/>
    </row>
    <row r="7206">
      <c r="A7206" s="4"/>
      <c r="B7206" s="12" t="s">
        <v>1047</v>
      </c>
      <c r="C7206" s="21"/>
      <c r="D7206" s="21"/>
      <c r="E7206" s="21"/>
      <c r="F7206" s="21"/>
      <c r="G7206" s="21"/>
    </row>
    <row r="7207">
      <c r="A7207" s="6"/>
      <c r="B7207" s="15" t="s">
        <v>1049</v>
      </c>
      <c r="C7207" s="23"/>
      <c r="D7207" s="23"/>
      <c r="E7207" s="23"/>
      <c r="F7207" s="23"/>
      <c r="G7207" s="23"/>
    </row>
    <row r="7208">
      <c r="A7208" s="5"/>
      <c r="B7208" s="16" t="s">
        <v>34</v>
      </c>
      <c r="C7208" s="22">
        <f>(31)*(1)*(1)*(1)*(1 + (0))</f>
      </c>
      <c r="D7208" s="22" t="s">
        <v>153</v>
      </c>
      <c r="E7208" s="22"/>
      <c r="F7208" s="22">
        <f>(0)</f>
      </c>
      <c r="G7208" s="22">
        <f>(C7208 * E7208 + C7208 * E7208 * F7208)</f>
      </c>
    </row>
    <row r="7209">
      <c r="A7209" s="2"/>
      <c r="B7209" s="10" t="s">
        <v>1123</v>
      </c>
      <c r="C7209" s="19"/>
      <c r="D7209" s="19"/>
      <c r="E7209" s="19"/>
      <c r="F7209" s="19"/>
      <c r="G7209" s="19"/>
    </row>
    <row r="7210">
      <c r="A7210" s="3"/>
      <c r="B7210" s="11" t="s">
        <v>37</v>
      </c>
      <c r="C7210" s="20"/>
      <c r="D7210" s="20"/>
      <c r="E7210" s="20"/>
      <c r="F7210" s="20"/>
      <c r="G7210" s="20"/>
    </row>
    <row r="7211">
      <c r="A7211" s="5" t="s">
        <v>1124</v>
      </c>
      <c r="B7211" s="14" t="s">
        <v>39</v>
      </c>
      <c r="C7211" s="22"/>
      <c r="D7211" s="22" t="s">
        <v>10</v>
      </c>
      <c r="E7211" s="22"/>
      <c r="F7211" s="22">
        <f>(0)</f>
      </c>
      <c r="G7211" s="22">
        <f>(C7211 * E7211 + C7211 * E7211 * F7211)</f>
      </c>
    </row>
    <row r="7212">
      <c r="A7212" s="5" t="s">
        <v>1125</v>
      </c>
      <c r="B7212" s="14" t="s">
        <v>41</v>
      </c>
      <c r="C7212" s="22"/>
      <c r="D7212" s="22" t="s">
        <v>10</v>
      </c>
      <c r="E7212" s="22"/>
      <c r="F7212" s="22">
        <f>(0)</f>
      </c>
      <c r="G7212" s="22">
        <f>(C7212 * E7212 + C7212 * E7212 * F7212)</f>
      </c>
    </row>
    <row r="7213">
      <c r="A7213" s="3"/>
      <c r="B7213" s="11" t="s">
        <v>523</v>
      </c>
      <c r="C7213" s="20"/>
      <c r="D7213" s="20"/>
      <c r="E7213" s="20"/>
      <c r="F7213" s="20"/>
      <c r="G7213" s="20"/>
    </row>
    <row r="7214">
      <c r="A7214" s="5"/>
      <c r="B7214" s="14" t="s">
        <v>2386</v>
      </c>
      <c r="C7214" s="22"/>
      <c r="D7214" s="22" t="s">
        <v>10</v>
      </c>
      <c r="E7214" s="22"/>
      <c r="F7214" s="22">
        <f>(0)</f>
      </c>
      <c r="G7214" s="22">
        <f>(C7214 * E7214 + C7214 * E7214 * F7214)</f>
      </c>
    </row>
    <row r="7215">
      <c r="A7215" s="5"/>
      <c r="B7215" s="14" t="s">
        <v>1058</v>
      </c>
      <c r="C7215" s="22"/>
      <c r="D7215" s="22" t="s">
        <v>10</v>
      </c>
      <c r="E7215" s="22"/>
      <c r="F7215" s="22">
        <f>(0)</f>
      </c>
      <c r="G7215" s="22">
        <f>(C7215 * E7215 + C7215 * E7215 * F7215)</f>
      </c>
    </row>
    <row r="7216">
      <c r="A7216" s="5"/>
      <c r="B7216" s="14" t="s">
        <v>2387</v>
      </c>
      <c r="C7216" s="22"/>
      <c r="D7216" s="22" t="s">
        <v>10</v>
      </c>
      <c r="E7216" s="22"/>
      <c r="F7216" s="22">
        <f>(0)</f>
      </c>
      <c r="G7216" s="22">
        <f>(C7216 * E7216 + C7216 * E7216 * F7216)</f>
      </c>
    </row>
    <row r="7217">
      <c r="A7217" s="3"/>
      <c r="B7217" s="11" t="s">
        <v>44</v>
      </c>
      <c r="C7217" s="20"/>
      <c r="D7217" s="20"/>
      <c r="E7217" s="20"/>
      <c r="F7217" s="20"/>
      <c r="G7217" s="20"/>
    </row>
    <row r="7218">
      <c r="A7218" s="4"/>
      <c r="B7218" s="12" t="s">
        <v>45</v>
      </c>
      <c r="C7218" s="21"/>
      <c r="D7218" s="21"/>
      <c r="E7218" s="21"/>
      <c r="F7218" s="21"/>
      <c r="G7218" s="21"/>
    </row>
    <row r="7219">
      <c r="A7219" s="5" t="s">
        <v>1097</v>
      </c>
      <c r="B7219" s="13" t="s">
        <v>1098</v>
      </c>
      <c r="C7219" s="22"/>
      <c r="D7219" s="22" t="s">
        <v>10</v>
      </c>
      <c r="E7219" s="22"/>
      <c r="F7219" s="22">
        <f>(0)</f>
      </c>
      <c r="G7219" s="22">
        <f>(C7219 * E7219 + C7219 * E7219 * F7219)</f>
      </c>
    </row>
    <row r="7220">
      <c r="A7220" s="5" t="s">
        <v>1099</v>
      </c>
      <c r="B7220" s="13" t="s">
        <v>1100</v>
      </c>
      <c r="C7220" s="22"/>
      <c r="D7220" s="22" t="s">
        <v>10</v>
      </c>
      <c r="E7220" s="22"/>
      <c r="F7220" s="22">
        <f>(0)</f>
      </c>
      <c r="G7220" s="22">
        <f>(C7220 * E7220 + C7220 * E7220 * F7220)</f>
      </c>
    </row>
    <row r="7221">
      <c r="A7221" s="5" t="s">
        <v>1101</v>
      </c>
      <c r="B7221" s="13" t="s">
        <v>123</v>
      </c>
      <c r="C7221" s="22"/>
      <c r="D7221" s="22" t="s">
        <v>10</v>
      </c>
      <c r="E7221" s="22"/>
      <c r="F7221" s="22">
        <f>(0)</f>
      </c>
      <c r="G7221" s="22">
        <f>(C7221 * E7221 + C7221 * E7221 * F7221)</f>
      </c>
    </row>
    <row r="7222">
      <c r="A7222" s="3"/>
      <c r="B7222" s="11" t="s">
        <v>68</v>
      </c>
      <c r="C7222" s="20"/>
      <c r="D7222" s="20"/>
      <c r="E7222" s="20"/>
      <c r="F7222" s="20"/>
      <c r="G7222" s="20"/>
    </row>
    <row r="7223">
      <c r="A7223" s="5" t="s">
        <v>1127</v>
      </c>
      <c r="B7223" s="14" t="s">
        <v>1071</v>
      </c>
      <c r="C7223" s="22">
        <f>(1)*(1)*(1)*(1)*(1 + (0))</f>
      </c>
      <c r="D7223" s="22" t="s">
        <v>71</v>
      </c>
      <c r="E7223" s="22"/>
      <c r="F7223" s="22">
        <f>(0)</f>
      </c>
      <c r="G7223" s="22">
        <f>(C7223 * E7223 + C7223 * E7223 * F7223)</f>
      </c>
    </row>
    <row r="7224">
      <c r="A7224" s="5" t="s">
        <v>1128</v>
      </c>
      <c r="B7224" s="14" t="s">
        <v>798</v>
      </c>
      <c r="C7224" s="22">
        <f>(1)*(1)*(1)*(1)*(1 + (0))</f>
      </c>
      <c r="D7224" s="22" t="s">
        <v>71</v>
      </c>
      <c r="E7224" s="22"/>
      <c r="F7224" s="22">
        <f>(0)</f>
      </c>
      <c r="G7224" s="22">
        <f>(C7224 * E7224 + C7224 * E7224 * F7224)</f>
      </c>
    </row>
    <row r="7225">
      <c r="A7225" s="5" t="s">
        <v>1129</v>
      </c>
      <c r="B7225" s="14" t="s">
        <v>812</v>
      </c>
      <c r="C7225" s="22">
        <f>(1)*(1)*(1)*(1)*(1 + (0))</f>
      </c>
      <c r="D7225" s="22" t="s">
        <v>71</v>
      </c>
      <c r="E7225" s="22"/>
      <c r="F7225" s="22">
        <f>(0)</f>
      </c>
      <c r="G7225" s="22">
        <f>(C7225 * E7225 + C7225 * E7225 * F7225)</f>
      </c>
    </row>
    <row r="7226">
      <c r="A7226" s="5" t="s">
        <v>1130</v>
      </c>
      <c r="B7226" s="14" t="s">
        <v>810</v>
      </c>
      <c r="C7226" s="22">
        <f>(1)*(1)*(1)*(1)*(1 + (0))</f>
      </c>
      <c r="D7226" s="22" t="s">
        <v>71</v>
      </c>
      <c r="E7226" s="22"/>
      <c r="F7226" s="22">
        <f>(0)</f>
      </c>
      <c r="G7226" s="22">
        <f>(C7226 * E7226 + C7226 * E7226 * F7226)</f>
      </c>
    </row>
    <row r="7227">
      <c r="A7227" s="5" t="s">
        <v>1131</v>
      </c>
      <c r="B7227" s="14" t="s">
        <v>230</v>
      </c>
      <c r="C7227" s="22">
        <f>(1)*(1)*(1)*(1)*(1 + (0))</f>
      </c>
      <c r="D7227" s="22" t="s">
        <v>71</v>
      </c>
      <c r="E7227" s="22"/>
      <c r="F7227" s="22">
        <f>(0)</f>
      </c>
      <c r="G7227" s="22">
        <f>(C7227 * E7227 + C7227 * E7227 * F7227)</f>
      </c>
    </row>
    <row r="7228">
      <c r="A7228" s="5" t="s">
        <v>1132</v>
      </c>
      <c r="B7228" s="14" t="s">
        <v>800</v>
      </c>
      <c r="C7228" s="22">
        <f>(1)*(1)*(1)*(1)*(1 + (0))</f>
      </c>
      <c r="D7228" s="22" t="s">
        <v>71</v>
      </c>
      <c r="E7228" s="22"/>
      <c r="F7228" s="22">
        <f>(0)</f>
      </c>
      <c r="G7228" s="22">
        <f>(C7228 * E7228 + C7228 * E7228 * F7228)</f>
      </c>
    </row>
    <row r="7229">
      <c r="A7229" s="5" t="s">
        <v>1133</v>
      </c>
      <c r="B7229" s="14" t="s">
        <v>70</v>
      </c>
      <c r="C7229" s="22">
        <f>(1)*(1)*(1)*(1)*(1 + (0))</f>
      </c>
      <c r="D7229" s="22" t="s">
        <v>71</v>
      </c>
      <c r="E7229" s="22"/>
      <c r="F7229" s="22">
        <f>(0)</f>
      </c>
      <c r="G7229" s="22">
        <f>(C7229 * E7229 + C7229 * E7229 * F7229)</f>
      </c>
    </row>
    <row r="7230">
      <c r="A7230" s="5" t="s">
        <v>1134</v>
      </c>
      <c r="B7230" s="14" t="s">
        <v>1135</v>
      </c>
      <c r="C7230" s="22">
        <f>(1)*(1)*(1)*(1)*(1 + (0))</f>
      </c>
      <c r="D7230" s="22" t="s">
        <v>71</v>
      </c>
      <c r="E7230" s="22"/>
      <c r="F7230" s="22">
        <f>(0)</f>
      </c>
      <c r="G7230" s="22">
        <f>(C7230 * E7230 + C7230 * E7230 * F7230)</f>
      </c>
    </row>
    <row r="7231">
      <c r="A7231" s="5" t="s">
        <v>1136</v>
      </c>
      <c r="B7231" s="14" t="s">
        <v>667</v>
      </c>
      <c r="C7231" s="22">
        <f>(1)*(1)*(1)*(1)*(1 + (0))</f>
      </c>
      <c r="D7231" s="22" t="s">
        <v>71</v>
      </c>
      <c r="E7231" s="22"/>
      <c r="F7231" s="22">
        <f>(0)</f>
      </c>
      <c r="G7231" s="22">
        <f>(C7231 * E7231 + C7231 * E7231 * F7231)</f>
      </c>
    </row>
    <row r="7232">
      <c r="A7232" s="5" t="s">
        <v>1137</v>
      </c>
      <c r="B7232" s="14" t="s">
        <v>665</v>
      </c>
      <c r="C7232" s="22">
        <f>(1)*(1)*(1)*(1)*(1 + (0))</f>
      </c>
      <c r="D7232" s="22" t="s">
        <v>71</v>
      </c>
      <c r="E7232" s="22"/>
      <c r="F7232" s="22">
        <f>(0)</f>
      </c>
      <c r="G7232" s="22">
        <f>(C7232 * E7232 + C7232 * E7232 * F7232)</f>
      </c>
    </row>
    <row r="7233">
      <c r="A7233" s="3"/>
      <c r="B7233" s="11" t="s">
        <v>106</v>
      </c>
      <c r="C7233" s="20"/>
      <c r="D7233" s="20"/>
      <c r="E7233" s="20"/>
      <c r="F7233" s="20"/>
      <c r="G7233" s="20"/>
    </row>
    <row r="7234">
      <c r="A7234" s="5"/>
      <c r="B7234" s="14" t="s">
        <v>2388</v>
      </c>
      <c r="C7234" s="22"/>
      <c r="D7234" s="22" t="s">
        <v>10</v>
      </c>
      <c r="E7234" s="22"/>
      <c r="F7234" s="22">
        <f>(0)</f>
      </c>
      <c r="G7234" s="22">
        <f>(C7234 * E7234 + C7234 * E7234 * F7234)</f>
      </c>
    </row>
    <row r="7235">
      <c r="A7235" s="3"/>
      <c r="B7235" s="11" t="s">
        <v>1144</v>
      </c>
      <c r="C7235" s="20"/>
      <c r="D7235" s="20"/>
      <c r="E7235" s="20"/>
      <c r="F7235" s="20"/>
      <c r="G7235" s="20"/>
    </row>
    <row r="7236">
      <c r="A7236" s="4"/>
      <c r="B7236" s="12" t="s">
        <v>1145</v>
      </c>
      <c r="C7236" s="21"/>
      <c r="D7236" s="21"/>
      <c r="E7236" s="21"/>
      <c r="F7236" s="21"/>
      <c r="G7236" s="21"/>
    </row>
    <row r="7237">
      <c r="A7237" s="5"/>
      <c r="B7237" s="13" t="s">
        <v>2383</v>
      </c>
      <c r="C7237" s="22">
        <f>(38)*(1)*(1)*(1)*(1 + (0))</f>
      </c>
      <c r="D7237" s="22" t="s">
        <v>24</v>
      </c>
      <c r="E7237" s="22"/>
      <c r="F7237" s="22">
        <f>(0)</f>
      </c>
      <c r="G7237" s="22">
        <f>(C7237 * E7237 + C7237 * E7237 * F7237)</f>
      </c>
    </row>
    <row r="7238">
      <c r="A7238" s="4"/>
      <c r="B7238" s="12" t="s">
        <v>2389</v>
      </c>
      <c r="C7238" s="21"/>
      <c r="D7238" s="21"/>
      <c r="E7238" s="21"/>
      <c r="F7238" s="21"/>
      <c r="G7238" s="21"/>
    </row>
    <row r="7239">
      <c r="A7239" s="5"/>
      <c r="B7239" s="13" t="s">
        <v>2383</v>
      </c>
      <c r="C7239" s="22">
        <f>(67)*(1)*(1)*(1)*(1 + (0))</f>
      </c>
      <c r="D7239" s="22" t="s">
        <v>24</v>
      </c>
      <c r="E7239" s="22"/>
      <c r="F7239" s="22">
        <f>(0)</f>
      </c>
      <c r="G7239" s="22">
        <f>(C7239 * E7239 + C7239 * E7239 * F7239)</f>
      </c>
    </row>
    <row r="7240">
      <c r="A7240" s="2"/>
      <c r="B7240" s="10" t="s">
        <v>1224</v>
      </c>
      <c r="C7240" s="19"/>
      <c r="D7240" s="19"/>
      <c r="E7240" s="19"/>
      <c r="F7240" s="19"/>
      <c r="G7240" s="19"/>
    </row>
    <row r="7241">
      <c r="A7241" s="3"/>
      <c r="B7241" s="11" t="s">
        <v>37</v>
      </c>
      <c r="C7241" s="20"/>
      <c r="D7241" s="20"/>
      <c r="E7241" s="20"/>
      <c r="F7241" s="20"/>
      <c r="G7241" s="20"/>
    </row>
    <row r="7242">
      <c r="A7242" s="5" t="s">
        <v>1225</v>
      </c>
      <c r="B7242" s="14" t="s">
        <v>39</v>
      </c>
      <c r="C7242" s="22"/>
      <c r="D7242" s="22" t="s">
        <v>10</v>
      </c>
      <c r="E7242" s="22"/>
      <c r="F7242" s="22">
        <f>(0)</f>
      </c>
      <c r="G7242" s="22">
        <f>(C7242 * E7242 + C7242 * E7242 * F7242)</f>
      </c>
    </row>
    <row r="7243">
      <c r="A7243" s="5" t="s">
        <v>1226</v>
      </c>
      <c r="B7243" s="14" t="s">
        <v>41</v>
      </c>
      <c r="C7243" s="22"/>
      <c r="D7243" s="22" t="s">
        <v>10</v>
      </c>
      <c r="E7243" s="22"/>
      <c r="F7243" s="22">
        <f>(0)</f>
      </c>
      <c r="G7243" s="22">
        <f>(C7243 * E7243 + C7243 * E7243 * F7243)</f>
      </c>
    </row>
    <row r="7244">
      <c r="A7244" s="3"/>
      <c r="B7244" s="11" t="s">
        <v>523</v>
      </c>
      <c r="C7244" s="20"/>
      <c r="D7244" s="20"/>
      <c r="E7244" s="20"/>
      <c r="F7244" s="20"/>
      <c r="G7244" s="20"/>
    </row>
    <row r="7245">
      <c r="A7245" s="5"/>
      <c r="B7245" s="14" t="s">
        <v>1773</v>
      </c>
      <c r="C7245" s="22"/>
      <c r="D7245" s="22" t="s">
        <v>10</v>
      </c>
      <c r="E7245" s="22"/>
      <c r="F7245" s="22">
        <f>(0)</f>
      </c>
      <c r="G7245" s="22">
        <f>(C7245 * E7245 + C7245 * E7245 * F7245)</f>
      </c>
    </row>
    <row r="7246">
      <c r="A7246" s="5"/>
      <c r="B7246" s="14" t="s">
        <v>1058</v>
      </c>
      <c r="C7246" s="22"/>
      <c r="D7246" s="22" t="s">
        <v>10</v>
      </c>
      <c r="E7246" s="22"/>
      <c r="F7246" s="22">
        <f>(0)</f>
      </c>
      <c r="G7246" s="22">
        <f>(C7246 * E7246 + C7246 * E7246 * F7246)</f>
      </c>
    </row>
    <row r="7247">
      <c r="A7247" s="5"/>
      <c r="B7247" s="14" t="s">
        <v>1228</v>
      </c>
      <c r="C7247" s="22"/>
      <c r="D7247" s="22" t="s">
        <v>10</v>
      </c>
      <c r="E7247" s="22"/>
      <c r="F7247" s="22">
        <f>(0)</f>
      </c>
      <c r="G7247" s="22">
        <f>(C7247 * E7247 + C7247 * E7247 * F7247)</f>
      </c>
    </row>
    <row r="7248">
      <c r="A7248" s="3"/>
      <c r="B7248" s="11" t="s">
        <v>44</v>
      </c>
      <c r="C7248" s="20"/>
      <c r="D7248" s="20"/>
      <c r="E7248" s="20"/>
      <c r="F7248" s="20"/>
      <c r="G7248" s="20"/>
    </row>
    <row r="7249">
      <c r="A7249" s="4"/>
      <c r="B7249" s="12" t="s">
        <v>45</v>
      </c>
      <c r="C7249" s="21"/>
      <c r="D7249" s="21"/>
      <c r="E7249" s="21"/>
      <c r="F7249" s="21"/>
      <c r="G7249" s="21"/>
    </row>
    <row r="7250">
      <c r="A7250" s="5" t="s">
        <v>1229</v>
      </c>
      <c r="B7250" s="13" t="s">
        <v>528</v>
      </c>
      <c r="C7250" s="22"/>
      <c r="D7250" s="22" t="s">
        <v>10</v>
      </c>
      <c r="E7250" s="22"/>
      <c r="F7250" s="22">
        <f>(0)</f>
      </c>
      <c r="G7250" s="22">
        <f>(C7250 * E7250 + C7250 * E7250 * F7250)</f>
      </c>
    </row>
    <row r="7251">
      <c r="A7251" s="5" t="s">
        <v>1230</v>
      </c>
      <c r="B7251" s="13" t="s">
        <v>530</v>
      </c>
      <c r="C7251" s="22"/>
      <c r="D7251" s="22" t="s">
        <v>10</v>
      </c>
      <c r="E7251" s="22"/>
      <c r="F7251" s="22">
        <f>(0)</f>
      </c>
      <c r="G7251" s="22">
        <f>(C7251 * E7251 + C7251 * E7251 * F7251)</f>
      </c>
    </row>
    <row r="7252">
      <c r="A7252" s="5" t="s">
        <v>1231</v>
      </c>
      <c r="B7252" s="13" t="s">
        <v>1232</v>
      </c>
      <c r="C7252" s="22"/>
      <c r="D7252" s="22" t="s">
        <v>10</v>
      </c>
      <c r="E7252" s="22"/>
      <c r="F7252" s="22">
        <f>(0)</f>
      </c>
      <c r="G7252" s="22">
        <f>(C7252 * E7252 + C7252 * E7252 * F7252)</f>
      </c>
    </row>
    <row r="7253">
      <c r="A7253" s="5" t="s">
        <v>1233</v>
      </c>
      <c r="B7253" s="13" t="s">
        <v>853</v>
      </c>
      <c r="C7253" s="22"/>
      <c r="D7253" s="22" t="s">
        <v>10</v>
      </c>
      <c r="E7253" s="22"/>
      <c r="F7253" s="22">
        <f>(0)</f>
      </c>
      <c r="G7253" s="22">
        <f>(C7253 * E7253 + C7253 * E7253 * F7253)</f>
      </c>
    </row>
    <row r="7254">
      <c r="A7254" s="5" t="s">
        <v>1234</v>
      </c>
      <c r="B7254" s="13" t="s">
        <v>538</v>
      </c>
      <c r="C7254" s="22"/>
      <c r="D7254" s="22" t="s">
        <v>10</v>
      </c>
      <c r="E7254" s="22"/>
      <c r="F7254" s="22">
        <f>(0)</f>
      </c>
      <c r="G7254" s="22">
        <f>(C7254 * E7254 + C7254 * E7254 * F7254)</f>
      </c>
    </row>
    <row r="7255">
      <c r="A7255" s="5" t="s">
        <v>1235</v>
      </c>
      <c r="B7255" s="13" t="s">
        <v>123</v>
      </c>
      <c r="C7255" s="22"/>
      <c r="D7255" s="22" t="s">
        <v>10</v>
      </c>
      <c r="E7255" s="22"/>
      <c r="F7255" s="22">
        <f>(0)</f>
      </c>
      <c r="G7255" s="22">
        <f>(C7255 * E7255 + C7255 * E7255 * F7255)</f>
      </c>
    </row>
    <row r="7256">
      <c r="A7256" s="3"/>
      <c r="B7256" s="11" t="s">
        <v>68</v>
      </c>
      <c r="C7256" s="20"/>
      <c r="D7256" s="20"/>
      <c r="E7256" s="20"/>
      <c r="F7256" s="20"/>
      <c r="G7256" s="20"/>
    </row>
    <row r="7257">
      <c r="A7257" s="5" t="s">
        <v>1236</v>
      </c>
      <c r="B7257" s="14" t="s">
        <v>543</v>
      </c>
      <c r="C7257" s="22">
        <f>(1)*(1)*(1)*(1)*(1 + (0))</f>
      </c>
      <c r="D7257" s="22" t="s">
        <v>71</v>
      </c>
      <c r="E7257" s="22"/>
      <c r="F7257" s="22">
        <f>(0)</f>
      </c>
      <c r="G7257" s="22">
        <f>(C7257 * E7257 + C7257 * E7257 * F7257)</f>
      </c>
    </row>
    <row r="7258">
      <c r="A7258" s="5" t="s">
        <v>1237</v>
      </c>
      <c r="B7258" s="14" t="s">
        <v>136</v>
      </c>
      <c r="C7258" s="22">
        <f>(1)*(1)*(1)*(1)*(1 + (0))</f>
      </c>
      <c r="D7258" s="22" t="s">
        <v>71</v>
      </c>
      <c r="E7258" s="22"/>
      <c r="F7258" s="22">
        <f>(0)</f>
      </c>
      <c r="G7258" s="22">
        <f>(C7258 * E7258 + C7258 * E7258 * F7258)</f>
      </c>
    </row>
    <row r="7259">
      <c r="A7259" s="5" t="s">
        <v>1238</v>
      </c>
      <c r="B7259" s="14" t="s">
        <v>1239</v>
      </c>
      <c r="C7259" s="22">
        <f>(1)*(1)*(1)*(1)*(1 + (0))</f>
      </c>
      <c r="D7259" s="22" t="s">
        <v>71</v>
      </c>
      <c r="E7259" s="22"/>
      <c r="F7259" s="22">
        <f>(0)</f>
      </c>
      <c r="G7259" s="22">
        <f>(C7259 * E7259 + C7259 * E7259 * F7259)</f>
      </c>
    </row>
    <row r="7260">
      <c r="A7260" s="5" t="s">
        <v>1240</v>
      </c>
      <c r="B7260" s="14" t="s">
        <v>798</v>
      </c>
      <c r="C7260" s="22">
        <f>(1)*(1)*(1)*(1)*(1 + (0))</f>
      </c>
      <c r="D7260" s="22" t="s">
        <v>71</v>
      </c>
      <c r="E7260" s="22"/>
      <c r="F7260" s="22">
        <f>(0)</f>
      </c>
      <c r="G7260" s="22">
        <f>(C7260 * E7260 + C7260 * E7260 * F7260)</f>
      </c>
    </row>
    <row r="7261">
      <c r="A7261" s="5" t="s">
        <v>1241</v>
      </c>
      <c r="B7261" s="14" t="s">
        <v>70</v>
      </c>
      <c r="C7261" s="22">
        <f>(1)*(1)*(1)*(1)*(1 + (0))</f>
      </c>
      <c r="D7261" s="22" t="s">
        <v>71</v>
      </c>
      <c r="E7261" s="22"/>
      <c r="F7261" s="22">
        <f>(0)</f>
      </c>
      <c r="G7261" s="22">
        <f>(C7261 * E7261 + C7261 * E7261 * F7261)</f>
      </c>
    </row>
    <row r="7262">
      <c r="A7262" s="5" t="s">
        <v>1242</v>
      </c>
      <c r="B7262" s="14" t="s">
        <v>665</v>
      </c>
      <c r="C7262" s="22">
        <f>(1)*(1)*(1)*(1)*(1 + (0))</f>
      </c>
      <c r="D7262" s="22" t="s">
        <v>71</v>
      </c>
      <c r="E7262" s="22"/>
      <c r="F7262" s="22">
        <f>(0)</f>
      </c>
      <c r="G7262" s="22">
        <f>(C7262 * E7262 + C7262 * E7262 * F7262)</f>
      </c>
    </row>
    <row r="7263">
      <c r="A7263" s="3"/>
      <c r="B7263" s="11" t="s">
        <v>1271</v>
      </c>
      <c r="C7263" s="20"/>
      <c r="D7263" s="20"/>
      <c r="E7263" s="20"/>
      <c r="F7263" s="20"/>
      <c r="G7263" s="20"/>
    </row>
    <row r="7264">
      <c r="A7264" s="4"/>
      <c r="B7264" s="12" t="s">
        <v>2390</v>
      </c>
      <c r="C7264" s="21"/>
      <c r="D7264" s="21"/>
      <c r="E7264" s="21"/>
      <c r="F7264" s="21"/>
      <c r="G7264" s="21"/>
    </row>
    <row r="7265">
      <c r="A7265" s="5"/>
      <c r="B7265" s="13" t="s">
        <v>2391</v>
      </c>
      <c r="C7265" s="22">
        <f>(29)*(1)*(1)*(1)*(1 + (0))</f>
      </c>
      <c r="D7265" s="22" t="s">
        <v>153</v>
      </c>
      <c r="E7265" s="22"/>
      <c r="F7265" s="22">
        <f>(0)</f>
      </c>
      <c r="G7265" s="22">
        <f>(C7265 * E7265 + C7265 * E7265 * F7265)</f>
      </c>
    </row>
    <row r="7266">
      <c r="A7266" s="3"/>
      <c r="B7266" s="11" t="s">
        <v>1275</v>
      </c>
      <c r="C7266" s="20"/>
      <c r="D7266" s="20"/>
      <c r="E7266" s="20"/>
      <c r="F7266" s="20"/>
      <c r="G7266" s="20"/>
    </row>
    <row r="7267">
      <c r="A7267" s="4"/>
      <c r="B7267" s="12" t="s">
        <v>2392</v>
      </c>
      <c r="C7267" s="21"/>
      <c r="D7267" s="21"/>
      <c r="E7267" s="21"/>
      <c r="F7267" s="21"/>
      <c r="G7267" s="21"/>
    </row>
    <row r="7268">
      <c r="A7268" s="6"/>
      <c r="B7268" s="15" t="s">
        <v>2393</v>
      </c>
      <c r="C7268" s="23"/>
      <c r="D7268" s="23"/>
      <c r="E7268" s="23"/>
      <c r="F7268" s="23"/>
      <c r="G7268" s="23"/>
    </row>
    <row r="7269">
      <c r="A7269" s="5"/>
      <c r="B7269" s="16" t="s">
        <v>2394</v>
      </c>
      <c r="C7269" s="22">
        <f>(2)*(1)*(1)*(1)*(1 + (0))</f>
      </c>
      <c r="D7269" s="22" t="s">
        <v>162</v>
      </c>
      <c r="E7269" s="22"/>
      <c r="F7269" s="22">
        <f>(0)</f>
      </c>
      <c r="G7269" s="22">
        <f>(C7269 * E7269 + C7269 * E7269 * F7269)</f>
      </c>
    </row>
    <row r="7270">
      <c r="A7270" s="6"/>
      <c r="B7270" s="15" t="s">
        <v>2395</v>
      </c>
      <c r="C7270" s="23"/>
      <c r="D7270" s="23"/>
      <c r="E7270" s="23"/>
      <c r="F7270" s="23"/>
      <c r="G7270" s="23"/>
    </row>
    <row r="7271">
      <c r="A7271" s="5"/>
      <c r="B7271" s="16" t="s">
        <v>2396</v>
      </c>
      <c r="C7271" s="22">
        <f>(2)*(1)*(1)*(1)*(1 + (0))</f>
      </c>
      <c r="D7271" s="22" t="s">
        <v>162</v>
      </c>
      <c r="E7271" s="22"/>
      <c r="F7271" s="22">
        <f>(0)</f>
      </c>
      <c r="G7271" s="22">
        <f>(C7271 * E7271 + C7271 * E7271 * F7271)</f>
      </c>
    </row>
    <row r="7272">
      <c r="A7272" s="6"/>
      <c r="B7272" s="15" t="s">
        <v>2397</v>
      </c>
      <c r="C7272" s="23"/>
      <c r="D7272" s="23"/>
      <c r="E7272" s="23"/>
      <c r="F7272" s="23"/>
      <c r="G7272" s="23"/>
    </row>
    <row r="7273">
      <c r="A7273" s="5"/>
      <c r="B7273" s="16" t="s">
        <v>2394</v>
      </c>
      <c r="C7273" s="22">
        <f>(6)*(1)*(1)*(1)*(1 + (0))</f>
      </c>
      <c r="D7273" s="22" t="s">
        <v>162</v>
      </c>
      <c r="E7273" s="22"/>
      <c r="F7273" s="22">
        <f>(0)</f>
      </c>
      <c r="G7273" s="22">
        <f>(C7273 * E7273 + C7273 * E7273 * F7273)</f>
      </c>
    </row>
    <row r="7274">
      <c r="A7274" s="2"/>
      <c r="B7274" s="10" t="s">
        <v>2398</v>
      </c>
      <c r="C7274" s="19"/>
      <c r="D7274" s="19"/>
      <c r="E7274" s="19"/>
      <c r="F7274" s="19"/>
      <c r="G7274" s="19"/>
    </row>
    <row r="7275">
      <c r="A7275" s="3"/>
      <c r="B7275" s="11" t="s">
        <v>37</v>
      </c>
      <c r="C7275" s="20"/>
      <c r="D7275" s="20"/>
      <c r="E7275" s="20"/>
      <c r="F7275" s="20"/>
      <c r="G7275" s="20"/>
    </row>
    <row r="7276">
      <c r="A7276" s="5" t="s">
        <v>2399</v>
      </c>
      <c r="B7276" s="14" t="s">
        <v>2400</v>
      </c>
      <c r="C7276" s="22"/>
      <c r="D7276" s="22" t="s">
        <v>10</v>
      </c>
      <c r="E7276" s="22"/>
      <c r="F7276" s="22">
        <f>(0)</f>
      </c>
      <c r="G7276" s="22">
        <f>(C7276 * E7276 + C7276 * E7276 * F7276)</f>
      </c>
    </row>
    <row r="7277">
      <c r="A7277" s="5" t="s">
        <v>2401</v>
      </c>
      <c r="B7277" s="14" t="s">
        <v>41</v>
      </c>
      <c r="C7277" s="22"/>
      <c r="D7277" s="22" t="s">
        <v>10</v>
      </c>
      <c r="E7277" s="22"/>
      <c r="F7277" s="22">
        <f>(0)</f>
      </c>
      <c r="G7277" s="22">
        <f>(C7277 * E7277 + C7277 * E7277 * F7277)</f>
      </c>
    </row>
    <row r="7278">
      <c r="A7278" s="3"/>
      <c r="B7278" s="11" t="s">
        <v>42</v>
      </c>
      <c r="C7278" s="20"/>
      <c r="D7278" s="20"/>
      <c r="E7278" s="20"/>
      <c r="F7278" s="20"/>
      <c r="G7278" s="20"/>
    </row>
    <row r="7279">
      <c r="A7279" s="5" t="s">
        <v>2401</v>
      </c>
      <c r="B7279" s="14" t="s">
        <v>2402</v>
      </c>
      <c r="C7279" s="22"/>
      <c r="D7279" s="22" t="s">
        <v>10</v>
      </c>
      <c r="E7279" s="22"/>
      <c r="F7279" s="22">
        <f>(0)</f>
      </c>
      <c r="G7279" s="22">
        <f>(C7279 * E7279 + C7279 * E7279 * F7279)</f>
      </c>
    </row>
    <row r="7280">
      <c r="A7280" s="5" t="s">
        <v>2401</v>
      </c>
      <c r="B7280" s="14" t="s">
        <v>2403</v>
      </c>
      <c r="C7280" s="22"/>
      <c r="D7280" s="22" t="s">
        <v>10</v>
      </c>
      <c r="E7280" s="22"/>
      <c r="F7280" s="22">
        <f>(0)</f>
      </c>
      <c r="G7280" s="22">
        <f>(C7280 * E7280 + C7280 * E7280 * F7280)</f>
      </c>
    </row>
    <row r="7281">
      <c r="A7281" s="5" t="s">
        <v>2401</v>
      </c>
      <c r="B7281" s="14" t="s">
        <v>2404</v>
      </c>
      <c r="C7281" s="22"/>
      <c r="D7281" s="22" t="s">
        <v>10</v>
      </c>
      <c r="E7281" s="22"/>
      <c r="F7281" s="22">
        <f>(0)</f>
      </c>
      <c r="G7281" s="22">
        <f>(C7281 * E7281 + C7281 * E7281 * F7281)</f>
      </c>
    </row>
    <row r="7282">
      <c r="A7282" s="3"/>
      <c r="B7282" s="11" t="s">
        <v>44</v>
      </c>
      <c r="C7282" s="20"/>
      <c r="D7282" s="20"/>
      <c r="E7282" s="20"/>
      <c r="F7282" s="20"/>
      <c r="G7282" s="20"/>
    </row>
    <row r="7283">
      <c r="A7283" s="4"/>
      <c r="B7283" s="12" t="s">
        <v>2405</v>
      </c>
      <c r="C7283" s="21"/>
      <c r="D7283" s="21"/>
      <c r="E7283" s="21"/>
      <c r="F7283" s="21"/>
      <c r="G7283" s="21"/>
    </row>
    <row r="7284">
      <c r="A7284" s="5" t="s">
        <v>2406</v>
      </c>
      <c r="B7284" s="13" t="s">
        <v>528</v>
      </c>
      <c r="C7284" s="22"/>
      <c r="D7284" s="22" t="s">
        <v>10</v>
      </c>
      <c r="E7284" s="22"/>
      <c r="F7284" s="22">
        <f>(0)</f>
      </c>
      <c r="G7284" s="22">
        <f>(C7284 * E7284 + C7284 * E7284 * F7284)</f>
      </c>
    </row>
    <row r="7285">
      <c r="A7285" s="5" t="s">
        <v>2407</v>
      </c>
      <c r="B7285" s="13" t="s">
        <v>530</v>
      </c>
      <c r="C7285" s="22"/>
      <c r="D7285" s="22" t="s">
        <v>10</v>
      </c>
      <c r="E7285" s="22"/>
      <c r="F7285" s="22">
        <f>(0)</f>
      </c>
      <c r="G7285" s="22">
        <f>(C7285 * E7285 + C7285 * E7285 * F7285)</f>
      </c>
    </row>
    <row r="7286">
      <c r="A7286" s="5" t="s">
        <v>2408</v>
      </c>
      <c r="B7286" s="13" t="s">
        <v>1232</v>
      </c>
      <c r="C7286" s="22"/>
      <c r="D7286" s="22" t="s">
        <v>10</v>
      </c>
      <c r="E7286" s="22"/>
      <c r="F7286" s="22">
        <f>(0)</f>
      </c>
      <c r="G7286" s="22">
        <f>(C7286 * E7286 + C7286 * E7286 * F7286)</f>
      </c>
    </row>
    <row r="7287">
      <c r="A7287" s="5" t="s">
        <v>2409</v>
      </c>
      <c r="B7287" s="13" t="s">
        <v>853</v>
      </c>
      <c r="C7287" s="22"/>
      <c r="D7287" s="22" t="s">
        <v>10</v>
      </c>
      <c r="E7287" s="22"/>
      <c r="F7287" s="22">
        <f>(0)</f>
      </c>
      <c r="G7287" s="22">
        <f>(C7287 * E7287 + C7287 * E7287 * F7287)</f>
      </c>
    </row>
    <row r="7288">
      <c r="A7288" s="5" t="s">
        <v>2410</v>
      </c>
      <c r="B7288" s="13" t="s">
        <v>538</v>
      </c>
      <c r="C7288" s="22"/>
      <c r="D7288" s="22" t="s">
        <v>10</v>
      </c>
      <c r="E7288" s="22"/>
      <c r="F7288" s="22">
        <f>(0)</f>
      </c>
      <c r="G7288" s="22">
        <f>(C7288 * E7288 + C7288 * E7288 * F7288)</f>
      </c>
    </row>
    <row r="7289">
      <c r="A7289" s="5" t="s">
        <v>2411</v>
      </c>
      <c r="B7289" s="13" t="s">
        <v>123</v>
      </c>
      <c r="C7289" s="22"/>
      <c r="D7289" s="22" t="s">
        <v>10</v>
      </c>
      <c r="E7289" s="22"/>
      <c r="F7289" s="22">
        <f>(0)</f>
      </c>
      <c r="G7289" s="22">
        <f>(C7289 * E7289 + C7289 * E7289 * F7289)</f>
      </c>
    </row>
    <row r="7290">
      <c r="A7290" s="3"/>
      <c r="B7290" s="11" t="s">
        <v>68</v>
      </c>
      <c r="C7290" s="20"/>
      <c r="D7290" s="20"/>
      <c r="E7290" s="20"/>
      <c r="F7290" s="20"/>
      <c r="G7290" s="20"/>
    </row>
    <row r="7291">
      <c r="A7291" s="5" t="s">
        <v>2412</v>
      </c>
      <c r="B7291" s="14" t="s">
        <v>543</v>
      </c>
      <c r="C7291" s="22">
        <f>(1)*(1)*(1)*(1)*(1 + (0))</f>
      </c>
      <c r="D7291" s="22" t="s">
        <v>71</v>
      </c>
      <c r="E7291" s="22"/>
      <c r="F7291" s="22">
        <f>(0)</f>
      </c>
      <c r="G7291" s="22">
        <f>(C7291 * E7291 + C7291 * E7291 * F7291)</f>
      </c>
    </row>
    <row r="7292">
      <c r="A7292" s="5" t="s">
        <v>2413</v>
      </c>
      <c r="B7292" s="14" t="s">
        <v>2414</v>
      </c>
      <c r="C7292" s="22">
        <f>(1)*(1)*(1)*(1)*(1 + (0))</f>
      </c>
      <c r="D7292" s="22" t="s">
        <v>71</v>
      </c>
      <c r="E7292" s="22"/>
      <c r="F7292" s="22">
        <f>(0)</f>
      </c>
      <c r="G7292" s="22">
        <f>(C7292 * E7292 + C7292 * E7292 * F7292)</f>
      </c>
    </row>
    <row r="7293">
      <c r="A7293" s="5" t="s">
        <v>2415</v>
      </c>
      <c r="B7293" s="14" t="s">
        <v>136</v>
      </c>
      <c r="C7293" s="22">
        <f>(1)*(1)*(1)*(1)*(1 + (0))</f>
      </c>
      <c r="D7293" s="22" t="s">
        <v>71</v>
      </c>
      <c r="E7293" s="22"/>
      <c r="F7293" s="22">
        <f>(0)</f>
      </c>
      <c r="G7293" s="22">
        <f>(C7293 * E7293 + C7293 * E7293 * F7293)</f>
      </c>
    </row>
    <row r="7294">
      <c r="A7294" s="5" t="s">
        <v>2416</v>
      </c>
      <c r="B7294" s="14" t="s">
        <v>70</v>
      </c>
      <c r="C7294" s="22">
        <f>(1)*(1)*(1)*(1)*(1 + (0))</f>
      </c>
      <c r="D7294" s="22" t="s">
        <v>71</v>
      </c>
      <c r="E7294" s="22"/>
      <c r="F7294" s="22">
        <f>(0)</f>
      </c>
      <c r="G7294" s="22">
        <f>(C7294 * E7294 + C7294 * E7294 * F7294)</f>
      </c>
    </row>
    <row r="7295">
      <c r="A7295" s="5" t="s">
        <v>2417</v>
      </c>
      <c r="B7295" s="14" t="s">
        <v>1330</v>
      </c>
      <c r="C7295" s="22">
        <f>(1)*(1)*(1)*(1)*(1 + (0))</f>
      </c>
      <c r="D7295" s="22" t="s">
        <v>71</v>
      </c>
      <c r="E7295" s="22"/>
      <c r="F7295" s="22">
        <f>(0)</f>
      </c>
      <c r="G7295" s="22">
        <f>(C7295 * E7295 + C7295 * E7295 * F7295)</f>
      </c>
    </row>
    <row r="7296">
      <c r="A7296" s="5" t="s">
        <v>2418</v>
      </c>
      <c r="B7296" s="14" t="s">
        <v>665</v>
      </c>
      <c r="C7296" s="22">
        <f>(1)*(1)*(1)*(1)*(1 + (0))</f>
      </c>
      <c r="D7296" s="22" t="s">
        <v>71</v>
      </c>
      <c r="E7296" s="22"/>
      <c r="F7296" s="22">
        <f>(0)</f>
      </c>
      <c r="G7296" s="22">
        <f>(C7296 * E7296 + C7296 * E7296 * F7296)</f>
      </c>
    </row>
    <row r="7297">
      <c r="A7297" s="3"/>
      <c r="B7297" s="11" t="s">
        <v>106</v>
      </c>
      <c r="C7297" s="20"/>
      <c r="D7297" s="20"/>
      <c r="E7297" s="20"/>
      <c r="F7297" s="20"/>
      <c r="G7297" s="20"/>
    </row>
    <row r="7298">
      <c r="A7298" s="5"/>
      <c r="B7298" s="14" t="s">
        <v>2419</v>
      </c>
      <c r="C7298" s="22"/>
      <c r="D7298" s="22" t="s">
        <v>10</v>
      </c>
      <c r="E7298" s="22"/>
      <c r="F7298" s="22">
        <f>(0)</f>
      </c>
      <c r="G7298" s="22">
        <f>(C7298 * E7298 + C7298 * E7298 * F7298)</f>
      </c>
    </row>
    <row r="7299">
      <c r="A7299" s="3"/>
      <c r="B7299" s="11" t="s">
        <v>2420</v>
      </c>
      <c r="C7299" s="20"/>
      <c r="D7299" s="20"/>
      <c r="E7299" s="20"/>
      <c r="F7299" s="20"/>
      <c r="G7299" s="20"/>
    </row>
    <row r="7300">
      <c r="A7300" s="4"/>
      <c r="B7300" s="12" t="s">
        <v>2421</v>
      </c>
      <c r="C7300" s="21"/>
      <c r="D7300" s="21"/>
      <c r="E7300" s="21"/>
      <c r="F7300" s="21"/>
      <c r="G7300" s="21"/>
    </row>
    <row r="7301">
      <c r="A7301" s="5"/>
      <c r="B7301" s="13" t="s">
        <v>2422</v>
      </c>
      <c r="C7301" s="22">
        <f>(5)*(1)*(1)*(1)*(1 + (0))</f>
      </c>
      <c r="D7301" s="22" t="s">
        <v>162</v>
      </c>
      <c r="E7301" s="22"/>
      <c r="F7301" s="22">
        <f>(0)</f>
      </c>
      <c r="G7301" s="22">
        <f>(C7301 * E7301 + C7301 * E7301 * F7301)</f>
      </c>
    </row>
    <row r="7302">
      <c r="A7302" s="5"/>
      <c r="B7302" s="13" t="s">
        <v>2423</v>
      </c>
      <c r="C7302" s="22">
        <f>(4)*(1)*(1)*(1)*(1 + (0))</f>
      </c>
      <c r="D7302" s="22" t="s">
        <v>162</v>
      </c>
      <c r="E7302" s="22"/>
      <c r="F7302" s="22">
        <f>(0)</f>
      </c>
      <c r="G7302" s="22">
        <f>(C7302 * E7302 + C7302 * E7302 * F7302)</f>
      </c>
    </row>
    <row r="7303">
      <c r="A7303" s="5"/>
      <c r="B7303" s="13" t="s">
        <v>2424</v>
      </c>
      <c r="C7303" s="22">
        <f>(3)*(1)*(1)*(1)*(1 + (0))</f>
      </c>
      <c r="D7303" s="22" t="s">
        <v>162</v>
      </c>
      <c r="E7303" s="22"/>
      <c r="F7303" s="22">
        <f>(0)</f>
      </c>
      <c r="G7303" s="22">
        <f>(C7303 * E7303 + C7303 * E7303 * F7303)</f>
      </c>
    </row>
    <row r="7304">
      <c r="A7304" s="5"/>
      <c r="B7304" s="13" t="s">
        <v>2425</v>
      </c>
      <c r="C7304" s="22">
        <f>(1)*(1)*(1)*(1)*(1 + (0))</f>
      </c>
      <c r="D7304" s="22" t="s">
        <v>162</v>
      </c>
      <c r="E7304" s="22"/>
      <c r="F7304" s="22">
        <f>(0)</f>
      </c>
      <c r="G7304" s="22">
        <f>(C7304 * E7304 + C7304 * E7304 * F7304)</f>
      </c>
    </row>
    <row r="7305">
      <c r="A7305" s="5"/>
      <c r="B7305" s="13" t="s">
        <v>2426</v>
      </c>
      <c r="C7305" s="22">
        <f>(1)*(1)*(1)*(1)*(1 + (0))</f>
      </c>
      <c r="D7305" s="22" t="s">
        <v>162</v>
      </c>
      <c r="E7305" s="22"/>
      <c r="F7305" s="22">
        <f>(0)</f>
      </c>
      <c r="G7305" s="22">
        <f>(C7305 * E7305 + C7305 * E7305 * F7305)</f>
      </c>
    </row>
    <row r="7306">
      <c r="A7306" s="5"/>
      <c r="B7306" s="13" t="s">
        <v>2427</v>
      </c>
      <c r="C7306" s="22">
        <f>(1)*(1)*(1)*(1)*(1 + (0))</f>
      </c>
      <c r="D7306" s="22" t="s">
        <v>162</v>
      </c>
      <c r="E7306" s="22"/>
      <c r="F7306" s="22">
        <f>(0)</f>
      </c>
      <c r="G7306" s="22">
        <f>(C7306 * E7306 + C7306 * E7306 * F7306)</f>
      </c>
    </row>
    <row r="7307">
      <c r="A7307" s="5"/>
      <c r="B7307" s="13" t="s">
        <v>2428</v>
      </c>
      <c r="C7307" s="22">
        <f>(1)*(1)*(1)*(1)*(1 + (0))</f>
      </c>
      <c r="D7307" s="22" t="s">
        <v>162</v>
      </c>
      <c r="E7307" s="22"/>
      <c r="F7307" s="22">
        <f>(0)</f>
      </c>
      <c r="G7307" s="22">
        <f>(C7307 * E7307 + C7307 * E7307 * F7307)</f>
      </c>
    </row>
    <row r="7308">
      <c r="A7308" s="5"/>
      <c r="B7308" s="13" t="s">
        <v>2429</v>
      </c>
      <c r="C7308" s="22">
        <f>(1)*(1)*(1)*(1)*(1 + (0))</f>
      </c>
      <c r="D7308" s="22" t="s">
        <v>162</v>
      </c>
      <c r="E7308" s="22"/>
      <c r="F7308" s="22">
        <f>(0)</f>
      </c>
      <c r="G7308" s="22">
        <f>(C7308 * E7308 + C7308 * E7308 * F7308)</f>
      </c>
    </row>
    <row r="7309">
      <c r="A7309" s="5"/>
      <c r="B7309" s="13" t="s">
        <v>2430</v>
      </c>
      <c r="C7309" s="22">
        <f>(1)*(1)*(1)*(1)*(1 + (0))</f>
      </c>
      <c r="D7309" s="22" t="s">
        <v>162</v>
      </c>
      <c r="E7309" s="22"/>
      <c r="F7309" s="22">
        <f>(0)</f>
      </c>
      <c r="G7309" s="22">
        <f>(C7309 * E7309 + C7309 * E7309 * F7309)</f>
      </c>
    </row>
    <row r="7310">
      <c r="A7310" s="4"/>
      <c r="B7310" s="12" t="s">
        <v>2431</v>
      </c>
      <c r="C7310" s="21"/>
      <c r="D7310" s="21"/>
      <c r="E7310" s="21"/>
      <c r="F7310" s="21"/>
      <c r="G7310" s="21"/>
    </row>
    <row r="7311">
      <c r="A7311" s="5"/>
      <c r="B7311" s="13" t="s">
        <v>2239</v>
      </c>
      <c r="C7311" s="22">
        <f>(668)*(1)*(1)*(1)*(1 + (0))</f>
      </c>
      <c r="D7311" s="22" t="s">
        <v>153</v>
      </c>
      <c r="E7311" s="22"/>
      <c r="F7311" s="22">
        <f>(0)</f>
      </c>
      <c r="G7311" s="22">
        <f>(C7311 * E7311 + C7311 * E7311 * F7311)</f>
      </c>
    </row>
    <row r="7312">
      <c r="A7312" s="5"/>
      <c r="B7312" s="13" t="s">
        <v>2432</v>
      </c>
      <c r="C7312" s="22">
        <f>(138)*(1)*(1)*(1)*(1 + (0))</f>
      </c>
      <c r="D7312" s="22" t="s">
        <v>153</v>
      </c>
      <c r="E7312" s="22"/>
      <c r="F7312" s="22">
        <f>(0)</f>
      </c>
      <c r="G7312" s="22">
        <f>(C7312 * E7312 + C7312 * E7312 * F7312)</f>
      </c>
    </row>
    <row r="7313">
      <c r="A7313" s="5"/>
      <c r="B7313" s="13" t="s">
        <v>2433</v>
      </c>
      <c r="C7313" s="22">
        <f>(96)*(1)*(1)*(1)*(1 + (0))</f>
      </c>
      <c r="D7313" s="22" t="s">
        <v>153</v>
      </c>
      <c r="E7313" s="22"/>
      <c r="F7313" s="22">
        <f>(0)</f>
      </c>
      <c r="G7313" s="22">
        <f>(C7313 * E7313 + C7313 * E7313 * F7313)</f>
      </c>
    </row>
    <row r="7314">
      <c r="A7314" s="5"/>
      <c r="B7314" s="13" t="s">
        <v>2434</v>
      </c>
      <c r="C7314" s="22">
        <f>(83)*(1)*(1)*(1)*(1 + (0))</f>
      </c>
      <c r="D7314" s="22" t="s">
        <v>153</v>
      </c>
      <c r="E7314" s="22"/>
      <c r="F7314" s="22">
        <f>(0)</f>
      </c>
      <c r="G7314" s="22">
        <f>(C7314 * E7314 + C7314 * E7314 * F7314)</f>
      </c>
    </row>
    <row r="7315">
      <c r="A7315" s="5"/>
      <c r="B7315" s="13" t="s">
        <v>2435</v>
      </c>
      <c r="C7315" s="22">
        <f>(32)*(1)*(1)*(1)*(1 + (0))</f>
      </c>
      <c r="D7315" s="22" t="s">
        <v>153</v>
      </c>
      <c r="E7315" s="22"/>
      <c r="F7315" s="22">
        <f>(0)</f>
      </c>
      <c r="G7315" s="22">
        <f>(C7315 * E7315 + C7315 * E7315 * F7315)</f>
      </c>
    </row>
    <row r="7316">
      <c r="A7316" s="5"/>
      <c r="B7316" s="13" t="s">
        <v>2436</v>
      </c>
      <c r="C7316" s="22">
        <f>(18)*(1)*(1)*(1)*(1 + (0))</f>
      </c>
      <c r="D7316" s="22" t="s">
        <v>153</v>
      </c>
      <c r="E7316" s="22"/>
      <c r="F7316" s="22">
        <f>(0)</f>
      </c>
      <c r="G7316" s="22">
        <f>(C7316 * E7316 + C7316 * E7316 * F7316)</f>
      </c>
    </row>
    <row r="7317">
      <c r="A7317" s="2"/>
      <c r="B7317" s="10" t="s">
        <v>1301</v>
      </c>
      <c r="C7317" s="19"/>
      <c r="D7317" s="19"/>
      <c r="E7317" s="19"/>
      <c r="F7317" s="19"/>
      <c r="G7317" s="19"/>
    </row>
    <row r="7318">
      <c r="A7318" s="3"/>
      <c r="B7318" s="11" t="s">
        <v>37</v>
      </c>
      <c r="C7318" s="20"/>
      <c r="D7318" s="20"/>
      <c r="E7318" s="20"/>
      <c r="F7318" s="20"/>
      <c r="G7318" s="20"/>
    </row>
    <row r="7319">
      <c r="A7319" s="5" t="s">
        <v>1302</v>
      </c>
      <c r="B7319" s="14" t="s">
        <v>39</v>
      </c>
      <c r="C7319" s="22"/>
      <c r="D7319" s="22" t="s">
        <v>10</v>
      </c>
      <c r="E7319" s="22"/>
      <c r="F7319" s="22">
        <f>(0)</f>
      </c>
      <c r="G7319" s="22">
        <f>(C7319 * E7319 + C7319 * E7319 * F7319)</f>
      </c>
    </row>
    <row r="7320">
      <c r="A7320" s="5" t="s">
        <v>1303</v>
      </c>
      <c r="B7320" s="14" t="s">
        <v>41</v>
      </c>
      <c r="C7320" s="22"/>
      <c r="D7320" s="22" t="s">
        <v>10</v>
      </c>
      <c r="E7320" s="22"/>
      <c r="F7320" s="22">
        <f>(0)</f>
      </c>
      <c r="G7320" s="22">
        <f>(C7320 * E7320 + C7320 * E7320 * F7320)</f>
      </c>
    </row>
    <row r="7321">
      <c r="A7321" s="3"/>
      <c r="B7321" s="11" t="s">
        <v>42</v>
      </c>
      <c r="C7321" s="20"/>
      <c r="D7321" s="20"/>
      <c r="E7321" s="20"/>
      <c r="F7321" s="20"/>
      <c r="G7321" s="20"/>
    </row>
    <row r="7322">
      <c r="A7322" s="5"/>
      <c r="B7322" s="14" t="s">
        <v>1009</v>
      </c>
      <c r="C7322" s="22"/>
      <c r="D7322" s="22" t="s">
        <v>10</v>
      </c>
      <c r="E7322" s="22"/>
      <c r="F7322" s="22">
        <f>(0)</f>
      </c>
      <c r="G7322" s="22">
        <f>(C7322 * E7322 + C7322 * E7322 * F7322)</f>
      </c>
    </row>
    <row r="7323">
      <c r="A7323" s="5"/>
      <c r="B7323" s="14" t="s">
        <v>1010</v>
      </c>
      <c r="C7323" s="22"/>
      <c r="D7323" s="22" t="s">
        <v>10</v>
      </c>
      <c r="E7323" s="22"/>
      <c r="F7323" s="22">
        <f>(0)</f>
      </c>
      <c r="G7323" s="22">
        <f>(C7323 * E7323 + C7323 * E7323 * F7323)</f>
      </c>
    </row>
    <row r="7324">
      <c r="A7324" s="5"/>
      <c r="B7324" s="14" t="s">
        <v>1011</v>
      </c>
      <c r="C7324" s="22"/>
      <c r="D7324" s="22" t="s">
        <v>10</v>
      </c>
      <c r="E7324" s="22"/>
      <c r="F7324" s="22">
        <f>(0)</f>
      </c>
      <c r="G7324" s="22">
        <f>(C7324 * E7324 + C7324 * E7324 * F7324)</f>
      </c>
    </row>
    <row r="7325">
      <c r="A7325" s="3"/>
      <c r="B7325" s="11" t="s">
        <v>44</v>
      </c>
      <c r="C7325" s="20"/>
      <c r="D7325" s="20"/>
      <c r="E7325" s="20"/>
      <c r="F7325" s="20"/>
      <c r="G7325" s="20"/>
    </row>
    <row r="7326">
      <c r="A7326" s="4"/>
      <c r="B7326" s="12" t="s">
        <v>45</v>
      </c>
      <c r="C7326" s="21"/>
      <c r="D7326" s="21"/>
      <c r="E7326" s="21"/>
      <c r="F7326" s="21"/>
      <c r="G7326" s="21"/>
    </row>
    <row r="7327">
      <c r="A7327" s="5" t="s">
        <v>1305</v>
      </c>
      <c r="B7327" s="13" t="s">
        <v>1306</v>
      </c>
      <c r="C7327" s="22"/>
      <c r="D7327" s="22" t="s">
        <v>10</v>
      </c>
      <c r="E7327" s="22"/>
      <c r="F7327" s="22">
        <f>(0)</f>
      </c>
      <c r="G7327" s="22">
        <f>(C7327 * E7327 + C7327 * E7327 * F7327)</f>
      </c>
    </row>
    <row r="7328">
      <c r="A7328" s="5" t="s">
        <v>1307</v>
      </c>
      <c r="B7328" s="13" t="s">
        <v>1308</v>
      </c>
      <c r="C7328" s="22"/>
      <c r="D7328" s="22" t="s">
        <v>10</v>
      </c>
      <c r="E7328" s="22"/>
      <c r="F7328" s="22">
        <f>(0)</f>
      </c>
      <c r="G7328" s="22">
        <f>(C7328 * E7328 + C7328 * E7328 * F7328)</f>
      </c>
    </row>
    <row r="7329">
      <c r="A7329" s="5" t="s">
        <v>1309</v>
      </c>
      <c r="B7329" s="13" t="s">
        <v>1310</v>
      </c>
      <c r="C7329" s="22"/>
      <c r="D7329" s="22" t="s">
        <v>10</v>
      </c>
      <c r="E7329" s="22"/>
      <c r="F7329" s="22">
        <f>(0)</f>
      </c>
      <c r="G7329" s="22">
        <f>(C7329 * E7329 + C7329 * E7329 * F7329)</f>
      </c>
    </row>
    <row r="7330">
      <c r="A7330" s="5" t="s">
        <v>1311</v>
      </c>
      <c r="B7330" s="13" t="s">
        <v>1312</v>
      </c>
      <c r="C7330" s="22"/>
      <c r="D7330" s="22" t="s">
        <v>10</v>
      </c>
      <c r="E7330" s="22"/>
      <c r="F7330" s="22">
        <f>(0)</f>
      </c>
      <c r="G7330" s="22">
        <f>(C7330 * E7330 + C7330 * E7330 * F7330)</f>
      </c>
    </row>
    <row r="7331">
      <c r="A7331" s="5" t="s">
        <v>1313</v>
      </c>
      <c r="B7331" s="13" t="s">
        <v>1314</v>
      </c>
      <c r="C7331" s="22"/>
      <c r="D7331" s="22" t="s">
        <v>10</v>
      </c>
      <c r="E7331" s="22"/>
      <c r="F7331" s="22">
        <f>(0)</f>
      </c>
      <c r="G7331" s="22">
        <f>(C7331 * E7331 + C7331 * E7331 * F7331)</f>
      </c>
    </row>
    <row r="7332">
      <c r="A7332" s="5" t="s">
        <v>1315</v>
      </c>
      <c r="B7332" s="13" t="s">
        <v>1316</v>
      </c>
      <c r="C7332" s="22"/>
      <c r="D7332" s="22" t="s">
        <v>10</v>
      </c>
      <c r="E7332" s="22"/>
      <c r="F7332" s="22">
        <f>(0)</f>
      </c>
      <c r="G7332" s="22">
        <f>(C7332 * E7332 + C7332 * E7332 * F7332)</f>
      </c>
    </row>
    <row r="7333">
      <c r="A7333" s="5" t="s">
        <v>1317</v>
      </c>
      <c r="B7333" s="13" t="s">
        <v>1318</v>
      </c>
      <c r="C7333" s="22"/>
      <c r="D7333" s="22" t="s">
        <v>10</v>
      </c>
      <c r="E7333" s="22"/>
      <c r="F7333" s="22">
        <f>(0)</f>
      </c>
      <c r="G7333" s="22">
        <f>(C7333 * E7333 + C7333 * E7333 * F7333)</f>
      </c>
    </row>
    <row r="7334">
      <c r="A7334" s="5" t="s">
        <v>1319</v>
      </c>
      <c r="B7334" s="13" t="s">
        <v>123</v>
      </c>
      <c r="C7334" s="22"/>
      <c r="D7334" s="22" t="s">
        <v>10</v>
      </c>
      <c r="E7334" s="22"/>
      <c r="F7334" s="22">
        <f>(0)</f>
      </c>
      <c r="G7334" s="22">
        <f>(C7334 * E7334 + C7334 * E7334 * F7334)</f>
      </c>
    </row>
    <row r="7335">
      <c r="A7335" s="3"/>
      <c r="B7335" s="11" t="s">
        <v>68</v>
      </c>
      <c r="C7335" s="20"/>
      <c r="D7335" s="20"/>
      <c r="E7335" s="20"/>
      <c r="F7335" s="20"/>
      <c r="G7335" s="20"/>
    </row>
    <row r="7336">
      <c r="A7336" s="5" t="s">
        <v>1320</v>
      </c>
      <c r="B7336" s="14" t="s">
        <v>75</v>
      </c>
      <c r="C7336" s="22">
        <f>(1)*(1)*(1)*(1)*(1 + (0))</f>
      </c>
      <c r="D7336" s="22" t="s">
        <v>71</v>
      </c>
      <c r="E7336" s="22"/>
      <c r="F7336" s="22">
        <f>(0)</f>
      </c>
      <c r="G7336" s="22">
        <f>(C7336 * E7336 + C7336 * E7336 * F7336)</f>
      </c>
    </row>
    <row r="7337">
      <c r="A7337" s="5" t="s">
        <v>1321</v>
      </c>
      <c r="B7337" s="14" t="s">
        <v>1322</v>
      </c>
      <c r="C7337" s="22">
        <f>(1)*(1)*(1)*(1)*(1 + (0))</f>
      </c>
      <c r="D7337" s="22" t="s">
        <v>71</v>
      </c>
      <c r="E7337" s="22"/>
      <c r="F7337" s="22">
        <f>(0)</f>
      </c>
      <c r="G7337" s="22">
        <f>(C7337 * E7337 + C7337 * E7337 * F7337)</f>
      </c>
    </row>
    <row r="7338">
      <c r="A7338" s="5" t="s">
        <v>1323</v>
      </c>
      <c r="B7338" s="14" t="s">
        <v>1324</v>
      </c>
      <c r="C7338" s="22">
        <f>(1)*(1)*(1)*(1)*(1 + (0))</f>
      </c>
      <c r="D7338" s="22" t="s">
        <v>71</v>
      </c>
      <c r="E7338" s="22"/>
      <c r="F7338" s="22">
        <f>(0)</f>
      </c>
      <c r="G7338" s="22">
        <f>(C7338 * E7338 + C7338 * E7338 * F7338)</f>
      </c>
    </row>
    <row r="7339">
      <c r="A7339" s="5" t="s">
        <v>1325</v>
      </c>
      <c r="B7339" s="14" t="s">
        <v>230</v>
      </c>
      <c r="C7339" s="22">
        <f>(1)*(1)*(1)*(1)*(1 + (0))</f>
      </c>
      <c r="D7339" s="22" t="s">
        <v>71</v>
      </c>
      <c r="E7339" s="22"/>
      <c r="F7339" s="22">
        <f>(0)</f>
      </c>
      <c r="G7339" s="22">
        <f>(C7339 * E7339 + C7339 * E7339 * F7339)</f>
      </c>
    </row>
    <row r="7340">
      <c r="A7340" s="5" t="s">
        <v>1326</v>
      </c>
      <c r="B7340" s="14" t="s">
        <v>800</v>
      </c>
      <c r="C7340" s="22">
        <f>(1)*(1)*(1)*(1)*(1 + (0))</f>
      </c>
      <c r="D7340" s="22" t="s">
        <v>71</v>
      </c>
      <c r="E7340" s="22"/>
      <c r="F7340" s="22">
        <f>(0)</f>
      </c>
      <c r="G7340" s="22">
        <f>(C7340 * E7340 + C7340 * E7340 * F7340)</f>
      </c>
    </row>
    <row r="7341">
      <c r="A7341" s="5" t="s">
        <v>1327</v>
      </c>
      <c r="B7341" s="14" t="s">
        <v>73</v>
      </c>
      <c r="C7341" s="22">
        <f>(1)*(1)*(1)*(1)*(1 + (0))</f>
      </c>
      <c r="D7341" s="22" t="s">
        <v>71</v>
      </c>
      <c r="E7341" s="22"/>
      <c r="F7341" s="22">
        <f>(0)</f>
      </c>
      <c r="G7341" s="22">
        <f>(C7341 * E7341 + C7341 * E7341 * F7341)</f>
      </c>
    </row>
    <row r="7342">
      <c r="A7342" s="5" t="s">
        <v>1328</v>
      </c>
      <c r="B7342" s="14" t="s">
        <v>70</v>
      </c>
      <c r="C7342" s="22">
        <f>(1)*(1)*(1)*(1)*(1 + (0))</f>
      </c>
      <c r="D7342" s="22" t="s">
        <v>71</v>
      </c>
      <c r="E7342" s="22"/>
      <c r="F7342" s="22">
        <f>(0)</f>
      </c>
      <c r="G7342" s="22">
        <f>(C7342 * E7342 + C7342 * E7342 * F7342)</f>
      </c>
    </row>
    <row r="7343">
      <c r="A7343" s="5" t="s">
        <v>1329</v>
      </c>
      <c r="B7343" s="14" t="s">
        <v>1330</v>
      </c>
      <c r="C7343" s="22">
        <f>(1)*(1)*(1)*(1)*(1 + (0))</f>
      </c>
      <c r="D7343" s="22" t="s">
        <v>71</v>
      </c>
      <c r="E7343" s="22"/>
      <c r="F7343" s="22">
        <f>(0)</f>
      </c>
      <c r="G7343" s="22">
        <f>(C7343 * E7343 + C7343 * E7343 * F7343)</f>
      </c>
    </row>
    <row r="7344">
      <c r="A7344" s="5" t="s">
        <v>1331</v>
      </c>
      <c r="B7344" s="14" t="s">
        <v>665</v>
      </c>
      <c r="C7344" s="22">
        <f>(1)*(1)*(1)*(1)*(1 + (0))</f>
      </c>
      <c r="D7344" s="22" t="s">
        <v>71</v>
      </c>
      <c r="E7344" s="22"/>
      <c r="F7344" s="22">
        <f>(0)</f>
      </c>
      <c r="G7344" s="22">
        <f>(C7344 * E7344 + C7344 * E7344 * F7344)</f>
      </c>
    </row>
    <row r="7345">
      <c r="A7345" s="3"/>
      <c r="B7345" s="11" t="s">
        <v>106</v>
      </c>
      <c r="C7345" s="20"/>
      <c r="D7345" s="20"/>
      <c r="E7345" s="20"/>
      <c r="F7345" s="20"/>
      <c r="G7345" s="20"/>
    </row>
    <row r="7346">
      <c r="A7346" s="5"/>
      <c r="B7346" s="14" t="s">
        <v>2437</v>
      </c>
      <c r="C7346" s="22"/>
      <c r="D7346" s="22" t="s">
        <v>1333</v>
      </c>
      <c r="E7346" s="22"/>
      <c r="F7346" s="22">
        <f>(0)</f>
      </c>
      <c r="G7346" s="22">
        <f>(C7346 * E7346 + C7346 * E7346 * F7346)</f>
      </c>
    </row>
    <row r="7347">
      <c r="A7347" s="5"/>
      <c r="B7347" s="14" t="s">
        <v>2438</v>
      </c>
      <c r="C7347" s="22"/>
      <c r="D7347" s="22" t="s">
        <v>1335</v>
      </c>
      <c r="E7347" s="22"/>
      <c r="F7347" s="22">
        <f>(0)</f>
      </c>
      <c r="G7347" s="22">
        <f>(C7347 * E7347 + C7347 * E7347 * F7347)</f>
      </c>
    </row>
    <row r="7348">
      <c r="A7348" s="3"/>
      <c r="B7348" s="11" t="s">
        <v>1350</v>
      </c>
      <c r="C7348" s="20"/>
      <c r="D7348" s="20"/>
      <c r="E7348" s="20"/>
      <c r="F7348" s="20"/>
      <c r="G7348" s="20"/>
    </row>
    <row r="7349">
      <c r="A7349" s="4"/>
      <c r="B7349" s="12" t="s">
        <v>1351</v>
      </c>
      <c r="C7349" s="21"/>
      <c r="D7349" s="21"/>
      <c r="E7349" s="21"/>
      <c r="F7349" s="21"/>
      <c r="G7349" s="21"/>
    </row>
    <row r="7350">
      <c r="A7350" s="5"/>
      <c r="B7350" s="13" t="s">
        <v>2439</v>
      </c>
      <c r="C7350" s="22">
        <f>(163)*(1)*(1)*(1)*(1 + (0))</f>
      </c>
      <c r="D7350" s="22" t="s">
        <v>24</v>
      </c>
      <c r="E7350" s="22"/>
      <c r="F7350" s="22">
        <f>(0)</f>
      </c>
      <c r="G7350" s="22">
        <f>(C7350 * E7350 + C7350 * E7350 * F7350)</f>
      </c>
    </row>
    <row r="7351">
      <c r="A7351" s="3"/>
      <c r="B7351" s="11" t="s">
        <v>1336</v>
      </c>
      <c r="C7351" s="20"/>
      <c r="D7351" s="20"/>
      <c r="E7351" s="20"/>
      <c r="F7351" s="20"/>
      <c r="G7351" s="20"/>
    </row>
    <row r="7352">
      <c r="A7352" s="4"/>
      <c r="B7352" s="12" t="s">
        <v>1337</v>
      </c>
      <c r="C7352" s="21"/>
      <c r="D7352" s="21"/>
      <c r="E7352" s="21"/>
      <c r="F7352" s="21"/>
      <c r="G7352" s="21"/>
    </row>
    <row r="7353">
      <c r="A7353" s="6"/>
      <c r="B7353" s="15" t="s">
        <v>1338</v>
      </c>
      <c r="C7353" s="23"/>
      <c r="D7353" s="23"/>
      <c r="E7353" s="23"/>
      <c r="F7353" s="23"/>
      <c r="G7353" s="23"/>
    </row>
    <row r="7354">
      <c r="A7354" s="5"/>
      <c r="B7354" s="16" t="s">
        <v>1339</v>
      </c>
      <c r="C7354" s="22"/>
      <c r="D7354" s="22"/>
      <c r="E7354" s="22"/>
      <c r="F7354" s="22"/>
      <c r="G7354" s="22"/>
    </row>
    <row r="7355">
      <c r="A7355" s="5"/>
      <c r="B7355" s="17" t="s">
        <v>34</v>
      </c>
      <c r="C7355" s="22">
        <f>(39)*(1)*(1)*(1)*(1 + (0))</f>
      </c>
      <c r="D7355" s="22" t="s">
        <v>24</v>
      </c>
      <c r="E7355" s="22"/>
      <c r="F7355" s="22">
        <f>(0)</f>
      </c>
      <c r="G7355" s="22">
        <f>(C7355 * E7355 + C7355 * E7355 * F7355)</f>
      </c>
    </row>
    <row r="7356">
      <c r="A7356" s="3"/>
      <c r="B7356" s="11" t="s">
        <v>2057</v>
      </c>
      <c r="C7356" s="20"/>
      <c r="D7356" s="20"/>
      <c r="E7356" s="20"/>
      <c r="F7356" s="20"/>
      <c r="G7356" s="20"/>
    </row>
    <row r="7357">
      <c r="A7357" s="5"/>
      <c r="B7357" s="14" t="s">
        <v>2058</v>
      </c>
      <c r="C7357" s="22">
        <f>(13)*(1)*(1)*(1)*(1 + (0))</f>
      </c>
      <c r="D7357" s="22" t="s">
        <v>24</v>
      </c>
      <c r="E7357" s="22"/>
      <c r="F7357" s="22">
        <f>(0)</f>
      </c>
      <c r="G7357" s="22">
        <f>(C7357 * E7357 + C7357 * E7357 * F7357)</f>
      </c>
    </row>
    <row r="7358">
      <c r="A7358" s="2"/>
      <c r="B7358" s="10" t="s">
        <v>1366</v>
      </c>
      <c r="C7358" s="19"/>
      <c r="D7358" s="19"/>
      <c r="E7358" s="19"/>
      <c r="F7358" s="19"/>
      <c r="G7358" s="19"/>
    </row>
    <row r="7359">
      <c r="A7359" s="3"/>
      <c r="B7359" s="11" t="s">
        <v>37</v>
      </c>
      <c r="C7359" s="20"/>
      <c r="D7359" s="20"/>
      <c r="E7359" s="20"/>
      <c r="F7359" s="20"/>
      <c r="G7359" s="20"/>
    </row>
    <row r="7360">
      <c r="A7360" s="5" t="s">
        <v>1367</v>
      </c>
      <c r="B7360" s="14" t="s">
        <v>39</v>
      </c>
      <c r="C7360" s="22"/>
      <c r="D7360" s="22" t="s">
        <v>10</v>
      </c>
      <c r="E7360" s="22"/>
      <c r="F7360" s="22">
        <f>(0)</f>
      </c>
      <c r="G7360" s="22">
        <f>(C7360 * E7360 + C7360 * E7360 * F7360)</f>
      </c>
    </row>
    <row r="7361">
      <c r="A7361" s="5" t="s">
        <v>1368</v>
      </c>
      <c r="B7361" s="14" t="s">
        <v>41</v>
      </c>
      <c r="C7361" s="22"/>
      <c r="D7361" s="22" t="s">
        <v>10</v>
      </c>
      <c r="E7361" s="22"/>
      <c r="F7361" s="22">
        <f>(0)</f>
      </c>
      <c r="G7361" s="22">
        <f>(C7361 * E7361 + C7361 * E7361 * F7361)</f>
      </c>
    </row>
    <row r="7362">
      <c r="A7362" s="3"/>
      <c r="B7362" s="11" t="s">
        <v>42</v>
      </c>
      <c r="C7362" s="20"/>
      <c r="D7362" s="20"/>
      <c r="E7362" s="20"/>
      <c r="F7362" s="20"/>
      <c r="G7362" s="20"/>
    </row>
    <row r="7363">
      <c r="A7363" s="5"/>
      <c r="B7363" s="14" t="s">
        <v>1369</v>
      </c>
      <c r="C7363" s="22"/>
      <c r="D7363" s="22" t="s">
        <v>10</v>
      </c>
      <c r="E7363" s="22"/>
      <c r="F7363" s="22">
        <f>(0)</f>
      </c>
      <c r="G7363" s="22">
        <f>(C7363 * E7363 + C7363 * E7363 * F7363)</f>
      </c>
    </row>
    <row r="7364">
      <c r="A7364" s="5"/>
      <c r="B7364" s="14" t="s">
        <v>2440</v>
      </c>
      <c r="C7364" s="22"/>
      <c r="D7364" s="22" t="s">
        <v>10</v>
      </c>
      <c r="E7364" s="22"/>
      <c r="F7364" s="22">
        <f>(0)</f>
      </c>
      <c r="G7364" s="22">
        <f>(C7364 * E7364 + C7364 * E7364 * F7364)</f>
      </c>
    </row>
    <row r="7365">
      <c r="A7365" s="3"/>
      <c r="B7365" s="11" t="s">
        <v>44</v>
      </c>
      <c r="C7365" s="20"/>
      <c r="D7365" s="20"/>
      <c r="E7365" s="20"/>
      <c r="F7365" s="20"/>
      <c r="G7365" s="20"/>
    </row>
    <row r="7366">
      <c r="A7366" s="4"/>
      <c r="B7366" s="12" t="s">
        <v>45</v>
      </c>
      <c r="C7366" s="21"/>
      <c r="D7366" s="21"/>
      <c r="E7366" s="21"/>
      <c r="F7366" s="21"/>
      <c r="G7366" s="21"/>
    </row>
    <row r="7367">
      <c r="A7367" s="5" t="s">
        <v>1373</v>
      </c>
      <c r="B7367" s="13" t="s">
        <v>1374</v>
      </c>
      <c r="C7367" s="22"/>
      <c r="D7367" s="22" t="s">
        <v>10</v>
      </c>
      <c r="E7367" s="22"/>
      <c r="F7367" s="22">
        <f>(0)</f>
      </c>
      <c r="G7367" s="22">
        <f>(C7367 * E7367 + C7367 * E7367 * F7367)</f>
      </c>
    </row>
    <row r="7368">
      <c r="A7368" s="5" t="s">
        <v>1375</v>
      </c>
      <c r="B7368" s="13" t="s">
        <v>1376</v>
      </c>
      <c r="C7368" s="22"/>
      <c r="D7368" s="22" t="s">
        <v>10</v>
      </c>
      <c r="E7368" s="22"/>
      <c r="F7368" s="22">
        <f>(0)</f>
      </c>
      <c r="G7368" s="22">
        <f>(C7368 * E7368 + C7368 * E7368 * F7368)</f>
      </c>
    </row>
    <row r="7369">
      <c r="A7369" s="5" t="s">
        <v>1377</v>
      </c>
      <c r="B7369" s="13" t="s">
        <v>853</v>
      </c>
      <c r="C7369" s="22"/>
      <c r="D7369" s="22" t="s">
        <v>10</v>
      </c>
      <c r="E7369" s="22"/>
      <c r="F7369" s="22">
        <f>(0)</f>
      </c>
      <c r="G7369" s="22">
        <f>(C7369 * E7369 + C7369 * E7369 * F7369)</f>
      </c>
    </row>
    <row r="7370">
      <c r="A7370" s="5" t="s">
        <v>1378</v>
      </c>
      <c r="B7370" s="13" t="s">
        <v>123</v>
      </c>
      <c r="C7370" s="22"/>
      <c r="D7370" s="22" t="s">
        <v>10</v>
      </c>
      <c r="E7370" s="22"/>
      <c r="F7370" s="22">
        <f>(0)</f>
      </c>
      <c r="G7370" s="22">
        <f>(C7370 * E7370 + C7370 * E7370 * F7370)</f>
      </c>
    </row>
    <row r="7371">
      <c r="A7371" s="3"/>
      <c r="B7371" s="11" t="s">
        <v>68</v>
      </c>
      <c r="C7371" s="20"/>
      <c r="D7371" s="20"/>
      <c r="E7371" s="20"/>
      <c r="F7371" s="20"/>
      <c r="G7371" s="20"/>
    </row>
    <row r="7372">
      <c r="A7372" s="5" t="s">
        <v>1379</v>
      </c>
      <c r="B7372" s="14" t="s">
        <v>70</v>
      </c>
      <c r="C7372" s="22">
        <f>(1)*(1)*(1)*(1)*(1 + (0))</f>
      </c>
      <c r="D7372" s="22" t="s">
        <v>71</v>
      </c>
      <c r="E7372" s="22"/>
      <c r="F7372" s="22">
        <f>(0)</f>
      </c>
      <c r="G7372" s="22">
        <f>(C7372 * E7372 + C7372 * E7372 * F7372)</f>
      </c>
    </row>
    <row r="7373">
      <c r="A7373" s="5" t="s">
        <v>1380</v>
      </c>
      <c r="B7373" s="14" t="s">
        <v>230</v>
      </c>
      <c r="C7373" s="22">
        <f>(1)*(1)*(1)*(1)*(1 + (0))</f>
      </c>
      <c r="D7373" s="22" t="s">
        <v>71</v>
      </c>
      <c r="E7373" s="22"/>
      <c r="F7373" s="22">
        <f>(0)</f>
      </c>
      <c r="G7373" s="22">
        <f>(C7373 * E7373 + C7373 * E7373 * F7373)</f>
      </c>
    </row>
    <row r="7374">
      <c r="A7374" s="5" t="s">
        <v>1381</v>
      </c>
      <c r="B7374" s="14" t="s">
        <v>136</v>
      </c>
      <c r="C7374" s="22">
        <f>(1)*(1)*(1)*(1)*(1 + (0))</f>
      </c>
      <c r="D7374" s="22" t="s">
        <v>71</v>
      </c>
      <c r="E7374" s="22"/>
      <c r="F7374" s="22">
        <f>(0)</f>
      </c>
      <c r="G7374" s="22">
        <f>(C7374 * E7374 + C7374 * E7374 * F7374)</f>
      </c>
    </row>
    <row r="7375">
      <c r="A7375" s="5" t="s">
        <v>1382</v>
      </c>
      <c r="B7375" s="14" t="s">
        <v>816</v>
      </c>
      <c r="C7375" s="22">
        <f>(1)*(1)*(1)*(1)*(1 + (0))</f>
      </c>
      <c r="D7375" s="22" t="s">
        <v>71</v>
      </c>
      <c r="E7375" s="22"/>
      <c r="F7375" s="22">
        <f>(0)</f>
      </c>
      <c r="G7375" s="22">
        <f>(C7375 * E7375 + C7375 * E7375 * F7375)</f>
      </c>
    </row>
    <row r="7376">
      <c r="A7376" s="5" t="s">
        <v>1383</v>
      </c>
      <c r="B7376" s="14" t="s">
        <v>665</v>
      </c>
      <c r="C7376" s="22">
        <f>(1)*(1)*(1)*(1)*(1 + (0))</f>
      </c>
      <c r="D7376" s="22" t="s">
        <v>71</v>
      </c>
      <c r="E7376" s="22"/>
      <c r="F7376" s="22">
        <f>(0)</f>
      </c>
      <c r="G7376" s="22">
        <f>(C7376 * E7376 + C7376 * E7376 * F7376)</f>
      </c>
    </row>
    <row r="7377">
      <c r="A7377" s="5" t="s">
        <v>1384</v>
      </c>
      <c r="B7377" s="14" t="s">
        <v>1385</v>
      </c>
      <c r="C7377" s="22">
        <f>(1)*(1)*(1)*(1)*(1 + (0))</f>
      </c>
      <c r="D7377" s="22" t="s">
        <v>71</v>
      </c>
      <c r="E7377" s="22"/>
      <c r="F7377" s="22">
        <f>(0)</f>
      </c>
      <c r="G7377" s="22">
        <f>(C7377 * E7377 + C7377 * E7377 * F7377)</f>
      </c>
    </row>
    <row r="7378">
      <c r="A7378" s="3"/>
      <c r="B7378" s="11" t="s">
        <v>2441</v>
      </c>
      <c r="C7378" s="20"/>
      <c r="D7378" s="20"/>
      <c r="E7378" s="20"/>
      <c r="F7378" s="20"/>
      <c r="G7378" s="20"/>
    </row>
    <row r="7379">
      <c r="A7379" s="5"/>
      <c r="B7379" s="14" t="s">
        <v>2442</v>
      </c>
      <c r="C7379" s="22">
        <f>(1)*(1)*(1)*(1)*(1 + (0))</f>
      </c>
      <c r="D7379" s="22" t="s">
        <v>162</v>
      </c>
      <c r="E7379" s="22"/>
      <c r="F7379" s="22">
        <f>(0)</f>
      </c>
      <c r="G7379" s="22">
        <f>(C7379 * E7379 + C7379 * E7379 * F7379)</f>
      </c>
    </row>
    <row r="7380">
      <c r="A7380" s="5"/>
      <c r="B7380" s="14" t="s">
        <v>2443</v>
      </c>
      <c r="C7380" s="22">
        <f>(1)*(1)*(1)*(1)*(1 + (0))</f>
      </c>
      <c r="D7380" s="22" t="s">
        <v>162</v>
      </c>
      <c r="E7380" s="22"/>
      <c r="F7380" s="22">
        <f>(0)</f>
      </c>
      <c r="G7380" s="22">
        <f>(C7380 * E7380 + C7380 * E7380 * F7380)</f>
      </c>
    </row>
    <row r="7381">
      <c r="A7381" s="2"/>
      <c r="B7381" s="10" t="s">
        <v>2444</v>
      </c>
      <c r="C7381" s="19"/>
      <c r="D7381" s="19"/>
      <c r="E7381" s="19"/>
      <c r="F7381" s="19"/>
      <c r="G7381" s="19"/>
    </row>
    <row r="7382">
      <c r="A7382" s="3"/>
      <c r="B7382" s="11" t="s">
        <v>37</v>
      </c>
      <c r="C7382" s="20"/>
      <c r="D7382" s="20"/>
      <c r="E7382" s="20"/>
      <c r="F7382" s="20"/>
      <c r="G7382" s="20"/>
    </row>
    <row r="7383">
      <c r="A7383" s="5" t="s">
        <v>2399</v>
      </c>
      <c r="B7383" s="14" t="s">
        <v>2400</v>
      </c>
      <c r="C7383" s="22"/>
      <c r="D7383" s="22" t="s">
        <v>10</v>
      </c>
      <c r="E7383" s="22"/>
      <c r="F7383" s="22">
        <f>(0)</f>
      </c>
      <c r="G7383" s="22">
        <f>(C7383 * E7383 + C7383 * E7383 * F7383)</f>
      </c>
    </row>
    <row r="7384">
      <c r="A7384" s="5" t="s">
        <v>2401</v>
      </c>
      <c r="B7384" s="14" t="s">
        <v>41</v>
      </c>
      <c r="C7384" s="22"/>
      <c r="D7384" s="22" t="s">
        <v>10</v>
      </c>
      <c r="E7384" s="22"/>
      <c r="F7384" s="22">
        <f>(0)</f>
      </c>
      <c r="G7384" s="22">
        <f>(C7384 * E7384 + C7384 * E7384 * F7384)</f>
      </c>
    </row>
    <row r="7385">
      <c r="A7385" s="3"/>
      <c r="B7385" s="11" t="s">
        <v>42</v>
      </c>
      <c r="C7385" s="20"/>
      <c r="D7385" s="20"/>
      <c r="E7385" s="20"/>
      <c r="F7385" s="20"/>
      <c r="G7385" s="20"/>
    </row>
    <row r="7386">
      <c r="A7386" s="5" t="s">
        <v>2401</v>
      </c>
      <c r="B7386" s="14" t="s">
        <v>2445</v>
      </c>
      <c r="C7386" s="22"/>
      <c r="D7386" s="22" t="s">
        <v>10</v>
      </c>
      <c r="E7386" s="22"/>
      <c r="F7386" s="22">
        <f>(0)</f>
      </c>
      <c r="G7386" s="22">
        <f>(C7386 * E7386 + C7386 * E7386 * F7386)</f>
      </c>
    </row>
    <row r="7387">
      <c r="A7387" s="5" t="s">
        <v>2401</v>
      </c>
      <c r="B7387" s="14" t="s">
        <v>2404</v>
      </c>
      <c r="C7387" s="22"/>
      <c r="D7387" s="22" t="s">
        <v>10</v>
      </c>
      <c r="E7387" s="22"/>
      <c r="F7387" s="22">
        <f>(0)</f>
      </c>
      <c r="G7387" s="22">
        <f>(C7387 * E7387 + C7387 * E7387 * F7387)</f>
      </c>
    </row>
    <row r="7388">
      <c r="A7388" s="3"/>
      <c r="B7388" s="11" t="s">
        <v>44</v>
      </c>
      <c r="C7388" s="20"/>
      <c r="D7388" s="20"/>
      <c r="E7388" s="20"/>
      <c r="F7388" s="20"/>
      <c r="G7388" s="20"/>
    </row>
    <row r="7389">
      <c r="A7389" s="4"/>
      <c r="B7389" s="12" t="s">
        <v>2405</v>
      </c>
      <c r="C7389" s="21"/>
      <c r="D7389" s="21"/>
      <c r="E7389" s="21"/>
      <c r="F7389" s="21"/>
      <c r="G7389" s="21"/>
    </row>
    <row r="7390">
      <c r="A7390" s="5" t="s">
        <v>2406</v>
      </c>
      <c r="B7390" s="13" t="s">
        <v>2446</v>
      </c>
      <c r="C7390" s="22"/>
      <c r="D7390" s="22" t="s">
        <v>10</v>
      </c>
      <c r="E7390" s="22"/>
      <c r="F7390" s="22">
        <f>(0)</f>
      </c>
      <c r="G7390" s="22">
        <f>(C7390 * E7390 + C7390 * E7390 * F7390)</f>
      </c>
    </row>
    <row r="7391">
      <c r="A7391" s="5" t="s">
        <v>2407</v>
      </c>
      <c r="B7391" s="13" t="s">
        <v>49</v>
      </c>
      <c r="C7391" s="22"/>
      <c r="D7391" s="22" t="s">
        <v>10</v>
      </c>
      <c r="E7391" s="22"/>
      <c r="F7391" s="22">
        <f>(0)</f>
      </c>
      <c r="G7391" s="22">
        <f>(C7391 * E7391 + C7391 * E7391 * F7391)</f>
      </c>
    </row>
    <row r="7392">
      <c r="A7392" s="5" t="s">
        <v>2408</v>
      </c>
      <c r="B7392" s="13" t="s">
        <v>2447</v>
      </c>
      <c r="C7392" s="22"/>
      <c r="D7392" s="22" t="s">
        <v>10</v>
      </c>
      <c r="E7392" s="22"/>
      <c r="F7392" s="22">
        <f>(0)</f>
      </c>
      <c r="G7392" s="22">
        <f>(C7392 * E7392 + C7392 * E7392 * F7392)</f>
      </c>
    </row>
    <row r="7393">
      <c r="A7393" s="5" t="s">
        <v>2409</v>
      </c>
      <c r="B7393" s="13" t="s">
        <v>2448</v>
      </c>
      <c r="C7393" s="22"/>
      <c r="D7393" s="22" t="s">
        <v>10</v>
      </c>
      <c r="E7393" s="22"/>
      <c r="F7393" s="22">
        <f>(0)</f>
      </c>
      <c r="G7393" s="22">
        <f>(C7393 * E7393 + C7393 * E7393 * F7393)</f>
      </c>
    </row>
    <row r="7394">
      <c r="A7394" s="5" t="s">
        <v>2410</v>
      </c>
      <c r="B7394" s="13" t="s">
        <v>57</v>
      </c>
      <c r="C7394" s="22"/>
      <c r="D7394" s="22" t="s">
        <v>10</v>
      </c>
      <c r="E7394" s="22"/>
      <c r="F7394" s="22">
        <f>(0)</f>
      </c>
      <c r="G7394" s="22">
        <f>(C7394 * E7394 + C7394 * E7394 * F7394)</f>
      </c>
    </row>
    <row r="7395">
      <c r="A7395" s="5" t="s">
        <v>2411</v>
      </c>
      <c r="B7395" s="13" t="s">
        <v>61</v>
      </c>
      <c r="C7395" s="22"/>
      <c r="D7395" s="22" t="s">
        <v>10</v>
      </c>
      <c r="E7395" s="22"/>
      <c r="F7395" s="22">
        <f>(0)</f>
      </c>
      <c r="G7395" s="22">
        <f>(C7395 * E7395 + C7395 * E7395 * F7395)</f>
      </c>
    </row>
    <row r="7396">
      <c r="A7396" s="5" t="s">
        <v>2449</v>
      </c>
      <c r="B7396" s="13" t="s">
        <v>67</v>
      </c>
      <c r="C7396" s="22"/>
      <c r="D7396" s="22" t="s">
        <v>10</v>
      </c>
      <c r="E7396" s="22"/>
      <c r="F7396" s="22">
        <f>(0)</f>
      </c>
      <c r="G7396" s="22">
        <f>(C7396 * E7396 + C7396 * E7396 * F7396)</f>
      </c>
    </row>
    <row r="7397">
      <c r="A7397" s="5" t="s">
        <v>2450</v>
      </c>
      <c r="B7397" s="13" t="s">
        <v>123</v>
      </c>
      <c r="C7397" s="22"/>
      <c r="D7397" s="22" t="s">
        <v>10</v>
      </c>
      <c r="E7397" s="22"/>
      <c r="F7397" s="22">
        <f>(0)</f>
      </c>
      <c r="G7397" s="22">
        <f>(C7397 * E7397 + C7397 * E7397 * F7397)</f>
      </c>
    </row>
    <row r="7398">
      <c r="A7398" s="3"/>
      <c r="B7398" s="11" t="s">
        <v>68</v>
      </c>
      <c r="C7398" s="20"/>
      <c r="D7398" s="20"/>
      <c r="E7398" s="20"/>
      <c r="F7398" s="20"/>
      <c r="G7398" s="20"/>
    </row>
    <row r="7399">
      <c r="A7399" s="5" t="s">
        <v>2412</v>
      </c>
      <c r="B7399" s="14" t="s">
        <v>83</v>
      </c>
      <c r="C7399" s="22">
        <f>(1)*(1)*(1)*(1)*(1 + (0))</f>
      </c>
      <c r="D7399" s="22" t="s">
        <v>71</v>
      </c>
      <c r="E7399" s="22"/>
      <c r="F7399" s="22">
        <f>(0)</f>
      </c>
      <c r="G7399" s="22">
        <f>(C7399 * E7399 + C7399 * E7399 * F7399)</f>
      </c>
    </row>
    <row r="7400">
      <c r="A7400" s="5" t="s">
        <v>2413</v>
      </c>
      <c r="B7400" s="14" t="s">
        <v>707</v>
      </c>
      <c r="C7400" s="22">
        <f>(1)*(1)*(1)*(1)*(1 + (0))</f>
      </c>
      <c r="D7400" s="22" t="s">
        <v>71</v>
      </c>
      <c r="E7400" s="22"/>
      <c r="F7400" s="22">
        <f>(0)</f>
      </c>
      <c r="G7400" s="22">
        <f>(C7400 * E7400 + C7400 * E7400 * F7400)</f>
      </c>
    </row>
    <row r="7401">
      <c r="A7401" s="5" t="s">
        <v>2415</v>
      </c>
      <c r="B7401" s="14" t="s">
        <v>2451</v>
      </c>
      <c r="C7401" s="22">
        <f>(1)*(1)*(1)*(1)*(1 + (0))</f>
      </c>
      <c r="D7401" s="22" t="s">
        <v>71</v>
      </c>
      <c r="E7401" s="22"/>
      <c r="F7401" s="22">
        <f>(0)</f>
      </c>
      <c r="G7401" s="22">
        <f>(C7401 * E7401 + C7401 * E7401 * F7401)</f>
      </c>
    </row>
    <row r="7402">
      <c r="A7402" s="5" t="s">
        <v>2416</v>
      </c>
      <c r="B7402" s="14" t="s">
        <v>492</v>
      </c>
      <c r="C7402" s="22">
        <f>(1)*(1)*(1)*(1)*(1 + (0))</f>
      </c>
      <c r="D7402" s="22" t="s">
        <v>71</v>
      </c>
      <c r="E7402" s="22"/>
      <c r="F7402" s="22">
        <f>(0)</f>
      </c>
      <c r="G7402" s="22">
        <f>(C7402 * E7402 + C7402 * E7402 * F7402)</f>
      </c>
    </row>
    <row r="7403">
      <c r="A7403" s="5" t="s">
        <v>2417</v>
      </c>
      <c r="B7403" s="14" t="s">
        <v>665</v>
      </c>
      <c r="C7403" s="22">
        <f>(1)*(1)*(1)*(1)*(1 + (0))</f>
      </c>
      <c r="D7403" s="22" t="s">
        <v>71</v>
      </c>
      <c r="E7403" s="22"/>
      <c r="F7403" s="22">
        <f>(0)</f>
      </c>
      <c r="G7403" s="22">
        <f>(C7403 * E7403 + C7403 * E7403 * F7403)</f>
      </c>
    </row>
    <row r="7404">
      <c r="A7404" s="5" t="s">
        <v>2418</v>
      </c>
      <c r="B7404" s="14" t="s">
        <v>81</v>
      </c>
      <c r="C7404" s="22">
        <f>(1)*(1)*(1)*(1)*(1 + (0))</f>
      </c>
      <c r="D7404" s="22" t="s">
        <v>71</v>
      </c>
      <c r="E7404" s="22"/>
      <c r="F7404" s="22">
        <f>(0)</f>
      </c>
      <c r="G7404" s="22">
        <f>(C7404 * E7404 + C7404 * E7404 * F7404)</f>
      </c>
    </row>
    <row r="7405">
      <c r="A7405" s="5" t="s">
        <v>2452</v>
      </c>
      <c r="B7405" s="14" t="s">
        <v>2453</v>
      </c>
      <c r="C7405" s="22">
        <f>(1)*(1)*(1)*(1)*(1 + (0))</f>
      </c>
      <c r="D7405" s="22" t="s">
        <v>71</v>
      </c>
      <c r="E7405" s="22"/>
      <c r="F7405" s="22">
        <f>(0)</f>
      </c>
      <c r="G7405" s="22">
        <f>(C7405 * E7405 + C7405 * E7405 * F7405)</f>
      </c>
    </row>
    <row r="7406">
      <c r="A7406" s="5" t="s">
        <v>2454</v>
      </c>
      <c r="B7406" s="14" t="s">
        <v>2455</v>
      </c>
      <c r="C7406" s="22">
        <f>(1)*(1)*(1)*(1)*(1 + (0))</f>
      </c>
      <c r="D7406" s="22" t="s">
        <v>71</v>
      </c>
      <c r="E7406" s="22"/>
      <c r="F7406" s="22">
        <f>(0)</f>
      </c>
      <c r="G7406" s="22">
        <f>(C7406 * E7406 + C7406 * E7406 * F7406)</f>
      </c>
    </row>
    <row r="7407">
      <c r="A7407" s="5" t="s">
        <v>2456</v>
      </c>
      <c r="B7407" s="14" t="s">
        <v>2457</v>
      </c>
      <c r="C7407" s="22">
        <f>(1)*(1)*(1)*(1)*(1 + (0))</f>
      </c>
      <c r="D7407" s="22" t="s">
        <v>71</v>
      </c>
      <c r="E7407" s="22"/>
      <c r="F7407" s="22">
        <f>(0)</f>
      </c>
      <c r="G7407" s="22">
        <f>(C7407 * E7407 + C7407 * E7407 * F7407)</f>
      </c>
    </row>
    <row r="7408">
      <c r="A7408" s="5" t="s">
        <v>2458</v>
      </c>
      <c r="B7408" s="14" t="s">
        <v>2459</v>
      </c>
      <c r="C7408" s="22">
        <f>(1)*(1)*(1)*(1)*(1 + (0))</f>
      </c>
      <c r="D7408" s="22" t="s">
        <v>71</v>
      </c>
      <c r="E7408" s="22"/>
      <c r="F7408" s="22">
        <f>(0)</f>
      </c>
      <c r="G7408" s="22">
        <f>(C7408 * E7408 + C7408 * E7408 * F7408)</f>
      </c>
    </row>
    <row r="7409">
      <c r="A7409" s="5" t="s">
        <v>2460</v>
      </c>
      <c r="B7409" s="14" t="s">
        <v>2461</v>
      </c>
      <c r="C7409" s="22">
        <f>(1)*(1)*(1)*(1)*(1 + (0))</f>
      </c>
      <c r="D7409" s="22" t="s">
        <v>71</v>
      </c>
      <c r="E7409" s="22"/>
      <c r="F7409" s="22">
        <f>(0)</f>
      </c>
      <c r="G7409" s="22">
        <f>(C7409 * E7409 + C7409 * E7409 * F7409)</f>
      </c>
    </row>
    <row r="7410">
      <c r="A7410" s="3"/>
      <c r="B7410" s="11" t="s">
        <v>106</v>
      </c>
      <c r="C7410" s="20"/>
      <c r="D7410" s="20"/>
      <c r="E7410" s="20"/>
      <c r="F7410" s="20"/>
      <c r="G7410" s="20"/>
    </row>
    <row r="7411">
      <c r="A7411" s="5"/>
      <c r="B7411" s="14" t="s">
        <v>2462</v>
      </c>
      <c r="C7411" s="22"/>
      <c r="D7411" s="22" t="s">
        <v>10</v>
      </c>
      <c r="E7411" s="22"/>
      <c r="F7411" s="22">
        <f>(0)</f>
      </c>
      <c r="G7411" s="22">
        <f>(C7411 * E7411 + C7411 * E7411 * F7411)</f>
      </c>
    </row>
    <row r="7412">
      <c r="A7412" s="3"/>
      <c r="B7412" s="11" t="s">
        <v>2463</v>
      </c>
      <c r="C7412" s="20"/>
      <c r="D7412" s="20"/>
      <c r="E7412" s="20"/>
      <c r="F7412" s="20"/>
      <c r="G7412" s="20"/>
    </row>
    <row r="7413">
      <c r="A7413" s="4"/>
      <c r="B7413" s="12" t="s">
        <v>2464</v>
      </c>
      <c r="C7413" s="21"/>
      <c r="D7413" s="21"/>
      <c r="E7413" s="21"/>
      <c r="F7413" s="21"/>
      <c r="G7413" s="21"/>
    </row>
    <row r="7414">
      <c r="A7414" s="6"/>
      <c r="B7414" s="15" t="s">
        <v>2465</v>
      </c>
      <c r="C7414" s="23"/>
      <c r="D7414" s="23"/>
      <c r="E7414" s="23"/>
      <c r="F7414" s="23"/>
      <c r="G7414" s="23"/>
    </row>
    <row r="7415">
      <c r="A7415" s="5"/>
      <c r="B7415" s="16" t="s">
        <v>2466</v>
      </c>
      <c r="C7415" s="22">
        <f>(10)*(1)*(1)*(1)*(1 + (0))</f>
      </c>
      <c r="D7415" s="22" t="s">
        <v>162</v>
      </c>
      <c r="E7415" s="22"/>
      <c r="F7415" s="22">
        <f>(0)</f>
      </c>
      <c r="G7415" s="22">
        <f>(C7415 * E7415 + C7415 * E7415 * F7415)</f>
      </c>
    </row>
    <row r="7416">
      <c r="A7416" s="5"/>
      <c r="B7416" s="16" t="s">
        <v>2467</v>
      </c>
      <c r="C7416" s="22">
        <f>(6)*(1)*(1)*(1)*(1 + (0))</f>
      </c>
      <c r="D7416" s="22" t="s">
        <v>162</v>
      </c>
      <c r="E7416" s="22"/>
      <c r="F7416" s="22">
        <f>(0)</f>
      </c>
      <c r="G7416" s="22">
        <f>(C7416 * E7416 + C7416 * E7416 * F7416)</f>
      </c>
    </row>
    <row r="7417">
      <c r="A7417" s="5"/>
      <c r="B7417" s="16" t="s">
        <v>2468</v>
      </c>
      <c r="C7417" s="22">
        <f>(2)*(1)*(1)*(1)*(1 + (0))</f>
      </c>
      <c r="D7417" s="22" t="s">
        <v>162</v>
      </c>
      <c r="E7417" s="22"/>
      <c r="F7417" s="22">
        <f>(0)</f>
      </c>
      <c r="G7417" s="22">
        <f>(C7417 * E7417 + C7417 * E7417 * F7417)</f>
      </c>
    </row>
    <row r="7418">
      <c r="A7418" s="5"/>
      <c r="B7418" s="16" t="s">
        <v>2469</v>
      </c>
      <c r="C7418" s="22">
        <f>(3)*(1)*(1)*(1)*(1 + (0))</f>
      </c>
      <c r="D7418" s="22" t="s">
        <v>162</v>
      </c>
      <c r="E7418" s="22"/>
      <c r="F7418" s="22">
        <f>(0)</f>
      </c>
      <c r="G7418" s="22">
        <f>(C7418 * E7418 + C7418 * E7418 * F7418)</f>
      </c>
    </row>
    <row r="7419">
      <c r="A7419" s="5"/>
      <c r="B7419" s="16" t="s">
        <v>2470</v>
      </c>
      <c r="C7419" s="22">
        <f>(2)*(1)*(1)*(1)*(1 + (0))</f>
      </c>
      <c r="D7419" s="22" t="s">
        <v>162</v>
      </c>
      <c r="E7419" s="22"/>
      <c r="F7419" s="22">
        <f>(0)</f>
      </c>
      <c r="G7419" s="22">
        <f>(C7419 * E7419 + C7419 * E7419 * F7419)</f>
      </c>
    </row>
    <row r="7420">
      <c r="A7420" s="5"/>
      <c r="B7420" s="16" t="s">
        <v>2471</v>
      </c>
      <c r="C7420" s="22">
        <f>(3)*(1)*(1)*(1)*(1 + (0))</f>
      </c>
      <c r="D7420" s="22" t="s">
        <v>162</v>
      </c>
      <c r="E7420" s="22"/>
      <c r="F7420" s="22">
        <f>(0)</f>
      </c>
      <c r="G7420" s="22">
        <f>(C7420 * E7420 + C7420 * E7420 * F7420)</f>
      </c>
    </row>
    <row r="7421">
      <c r="A7421" s="5"/>
      <c r="B7421" s="16" t="s">
        <v>2472</v>
      </c>
      <c r="C7421" s="22">
        <f>(1)*(1)*(1)*(1)*(1 + (0))</f>
      </c>
      <c r="D7421" s="22" t="s">
        <v>162</v>
      </c>
      <c r="E7421" s="22"/>
      <c r="F7421" s="22">
        <f>(0)</f>
      </c>
      <c r="G7421" s="22">
        <f>(C7421 * E7421 + C7421 * E7421 * F7421)</f>
      </c>
    </row>
    <row r="7422">
      <c r="A7422" s="5"/>
      <c r="B7422" s="16" t="s">
        <v>2473</v>
      </c>
      <c r="C7422" s="22">
        <f>(1)*(1)*(1)*(1)*(1 + (0))</f>
      </c>
      <c r="D7422" s="22" t="s">
        <v>162</v>
      </c>
      <c r="E7422" s="22"/>
      <c r="F7422" s="22">
        <f>(0)</f>
      </c>
      <c r="G7422" s="22">
        <f>(C7422 * E7422 + C7422 * E7422 * F7422)</f>
      </c>
    </row>
    <row r="7423">
      <c r="A7423" s="5"/>
      <c r="B7423" s="16" t="s">
        <v>2474</v>
      </c>
      <c r="C7423" s="22">
        <f>(1)*(1)*(1)*(1)*(1 + (0))</f>
      </c>
      <c r="D7423" s="22" t="s">
        <v>162</v>
      </c>
      <c r="E7423" s="22"/>
      <c r="F7423" s="22">
        <f>(0)</f>
      </c>
      <c r="G7423" s="22">
        <f>(C7423 * E7423 + C7423 * E7423 * F7423)</f>
      </c>
    </row>
    <row r="7424">
      <c r="A7424" s="5"/>
      <c r="B7424" s="16" t="s">
        <v>2475</v>
      </c>
      <c r="C7424" s="22">
        <f>(3)*(1)*(1)*(1)*(1 + (0))</f>
      </c>
      <c r="D7424" s="22" t="s">
        <v>162</v>
      </c>
      <c r="E7424" s="22"/>
      <c r="F7424" s="22">
        <f>(0)</f>
      </c>
      <c r="G7424" s="22">
        <f>(C7424 * E7424 + C7424 * E7424 * F7424)</f>
      </c>
    </row>
    <row r="7425">
      <c r="A7425" s="5"/>
      <c r="B7425" s="16" t="s">
        <v>2476</v>
      </c>
      <c r="C7425" s="22">
        <f>(8)*(1)*(1)*(1)*(1 + (0))</f>
      </c>
      <c r="D7425" s="22" t="s">
        <v>162</v>
      </c>
      <c r="E7425" s="22"/>
      <c r="F7425" s="22">
        <f>(0)</f>
      </c>
      <c r="G7425" s="22">
        <f>(C7425 * E7425 + C7425 * E7425 * F7425)</f>
      </c>
    </row>
    <row r="7426">
      <c r="A7426" s="6"/>
      <c r="B7426" s="15" t="s">
        <v>2477</v>
      </c>
      <c r="C7426" s="23"/>
      <c r="D7426" s="23"/>
      <c r="E7426" s="23"/>
      <c r="F7426" s="23"/>
      <c r="G7426" s="23"/>
    </row>
    <row r="7427">
      <c r="A7427" s="5"/>
      <c r="B7427" s="16" t="s">
        <v>2478</v>
      </c>
      <c r="C7427" s="22">
        <f>(1)*(1)*(1)*(1)*(1 + (0))</f>
      </c>
      <c r="D7427" s="22" t="s">
        <v>162</v>
      </c>
      <c r="E7427" s="22"/>
      <c r="F7427" s="22">
        <f>(0)</f>
      </c>
      <c r="G7427" s="22">
        <f>(C7427 * E7427 + C7427 * E7427 * F7427)</f>
      </c>
    </row>
    <row r="7428">
      <c r="A7428" s="5"/>
      <c r="B7428" s="16" t="s">
        <v>2479</v>
      </c>
      <c r="C7428" s="22">
        <f>(1)*(1)*(1)*(1)*(1 + (0))</f>
      </c>
      <c r="D7428" s="22" t="s">
        <v>162</v>
      </c>
      <c r="E7428" s="22"/>
      <c r="F7428" s="22">
        <f>(0)</f>
      </c>
      <c r="G7428" s="22">
        <f>(C7428 * E7428 + C7428 * E7428 * F7428)</f>
      </c>
    </row>
    <row r="7429">
      <c r="A7429" s="5"/>
      <c r="B7429" s="16" t="s">
        <v>2480</v>
      </c>
      <c r="C7429" s="22">
        <f>(3)*(1)*(1)*(1)*(1 + (0))</f>
      </c>
      <c r="D7429" s="22" t="s">
        <v>162</v>
      </c>
      <c r="E7429" s="22"/>
      <c r="F7429" s="22">
        <f>(0)</f>
      </c>
      <c r="G7429" s="22">
        <f>(C7429 * E7429 + C7429 * E7429 * F7429)</f>
      </c>
    </row>
    <row r="7430">
      <c r="A7430" s="5"/>
      <c r="B7430" s="16" t="s">
        <v>2481</v>
      </c>
      <c r="C7430" s="22">
        <f>(4)*(1)*(1)*(1)*(1 + (0))</f>
      </c>
      <c r="D7430" s="22" t="s">
        <v>162</v>
      </c>
      <c r="E7430" s="22"/>
      <c r="F7430" s="22">
        <f>(0)</f>
      </c>
      <c r="G7430" s="22">
        <f>(C7430 * E7430 + C7430 * E7430 * F7430)</f>
      </c>
    </row>
    <row r="7431">
      <c r="A7431" s="5"/>
      <c r="B7431" s="16" t="s">
        <v>2482</v>
      </c>
      <c r="C7431" s="22">
        <f>(1)*(1)*(1)*(1)*(1 + (0))</f>
      </c>
      <c r="D7431" s="22" t="s">
        <v>162</v>
      </c>
      <c r="E7431" s="22"/>
      <c r="F7431" s="22">
        <f>(0)</f>
      </c>
      <c r="G7431" s="22">
        <f>(C7431 * E7431 + C7431 * E7431 * F7431)</f>
      </c>
    </row>
    <row r="7432">
      <c r="A7432" s="5"/>
      <c r="B7432" s="16" t="s">
        <v>2483</v>
      </c>
      <c r="C7432" s="22">
        <f>(2)*(1)*(1)*(1)*(1 + (0))</f>
      </c>
      <c r="D7432" s="22" t="s">
        <v>162</v>
      </c>
      <c r="E7432" s="22"/>
      <c r="F7432" s="22">
        <f>(0)</f>
      </c>
      <c r="G7432" s="22">
        <f>(C7432 * E7432 + C7432 * E7432 * F7432)</f>
      </c>
    </row>
    <row r="7433">
      <c r="A7433" s="5"/>
      <c r="B7433" s="16" t="s">
        <v>2484</v>
      </c>
      <c r="C7433" s="22">
        <f>(2)*(1)*(1)*(1)*(1 + (0))</f>
      </c>
      <c r="D7433" s="22" t="s">
        <v>162</v>
      </c>
      <c r="E7433" s="22"/>
      <c r="F7433" s="22">
        <f>(0)</f>
      </c>
      <c r="G7433" s="22">
        <f>(C7433 * E7433 + C7433 * E7433 * F7433)</f>
      </c>
    </row>
    <row r="7434">
      <c r="A7434" s="5"/>
      <c r="B7434" s="16" t="s">
        <v>2485</v>
      </c>
      <c r="C7434" s="22">
        <f>(3)*(1)*(1)*(1)*(1 + (0))</f>
      </c>
      <c r="D7434" s="22" t="s">
        <v>162</v>
      </c>
      <c r="E7434" s="22"/>
      <c r="F7434" s="22">
        <f>(0)</f>
      </c>
      <c r="G7434" s="22">
        <f>(C7434 * E7434 + C7434 * E7434 * F7434)</f>
      </c>
    </row>
    <row r="7435">
      <c r="A7435" s="5"/>
      <c r="B7435" s="16" t="s">
        <v>2486</v>
      </c>
      <c r="C7435" s="22">
        <f>(4)*(1)*(1)*(1)*(1 + (0))</f>
      </c>
      <c r="D7435" s="22" t="s">
        <v>162</v>
      </c>
      <c r="E7435" s="22"/>
      <c r="F7435" s="22">
        <f>(0)</f>
      </c>
      <c r="G7435" s="22">
        <f>(C7435 * E7435 + C7435 * E7435 * F7435)</f>
      </c>
    </row>
    <row r="7436">
      <c r="A7436" s="6"/>
      <c r="B7436" s="15" t="s">
        <v>2487</v>
      </c>
      <c r="C7436" s="23"/>
      <c r="D7436" s="23"/>
      <c r="E7436" s="23"/>
      <c r="F7436" s="23"/>
      <c r="G7436" s="23"/>
    </row>
    <row r="7437">
      <c r="A7437" s="5"/>
      <c r="B7437" s="16" t="s">
        <v>2468</v>
      </c>
      <c r="C7437" s="22">
        <f>(2)*(1)*(1)*(1)*(1 + (0))</f>
      </c>
      <c r="D7437" s="22" t="s">
        <v>162</v>
      </c>
      <c r="E7437" s="22"/>
      <c r="F7437" s="22">
        <f>(0)</f>
      </c>
      <c r="G7437" s="22">
        <f>(C7437 * E7437 + C7437 * E7437 * F7437)</f>
      </c>
    </row>
    <row r="7438">
      <c r="A7438" s="5"/>
      <c r="B7438" s="16" t="s">
        <v>2488</v>
      </c>
      <c r="C7438" s="22">
        <f>(4)*(1)*(1)*(1)*(1 + (0))</f>
      </c>
      <c r="D7438" s="22" t="s">
        <v>162</v>
      </c>
      <c r="E7438" s="22"/>
      <c r="F7438" s="22">
        <f>(0)</f>
      </c>
      <c r="G7438" s="22">
        <f>(C7438 * E7438 + C7438 * E7438 * F7438)</f>
      </c>
    </row>
    <row r="7439">
      <c r="A7439" s="5"/>
      <c r="B7439" s="16" t="s">
        <v>2471</v>
      </c>
      <c r="C7439" s="22">
        <f>(3)*(1)*(1)*(1)*(1 + (0))</f>
      </c>
      <c r="D7439" s="22" t="s">
        <v>162</v>
      </c>
      <c r="E7439" s="22"/>
      <c r="F7439" s="22">
        <f>(0)</f>
      </c>
      <c r="G7439" s="22">
        <f>(C7439 * E7439 + C7439 * E7439 * F7439)</f>
      </c>
    </row>
    <row r="7440">
      <c r="A7440" s="5"/>
      <c r="B7440" s="16" t="s">
        <v>2489</v>
      </c>
      <c r="C7440" s="22">
        <f>(2)*(1)*(1)*(1)*(1 + (0))</f>
      </c>
      <c r="D7440" s="22" t="s">
        <v>162</v>
      </c>
      <c r="E7440" s="22"/>
      <c r="F7440" s="22">
        <f>(0)</f>
      </c>
      <c r="G7440" s="22">
        <f>(C7440 * E7440 + C7440 * E7440 * F7440)</f>
      </c>
    </row>
    <row r="7441">
      <c r="A7441" s="5"/>
      <c r="B7441" s="16" t="s">
        <v>2490</v>
      </c>
      <c r="C7441" s="22">
        <f>(1)*(1)*(1)*(1)*(1 + (0))</f>
      </c>
      <c r="D7441" s="22" t="s">
        <v>162</v>
      </c>
      <c r="E7441" s="22"/>
      <c r="F7441" s="22">
        <f>(0)</f>
      </c>
      <c r="G7441" s="22">
        <f>(C7441 * E7441 + C7441 * E7441 * F7441)</f>
      </c>
    </row>
    <row r="7442">
      <c r="A7442" s="5"/>
      <c r="B7442" s="16" t="s">
        <v>2491</v>
      </c>
      <c r="C7442" s="22">
        <f>(8)*(1)*(1)*(1)*(1 + (0))</f>
      </c>
      <c r="D7442" s="22" t="s">
        <v>162</v>
      </c>
      <c r="E7442" s="22"/>
      <c r="F7442" s="22">
        <f>(0)</f>
      </c>
      <c r="G7442" s="22">
        <f>(C7442 * E7442 + C7442 * E7442 * F7442)</f>
      </c>
    </row>
    <row r="7443">
      <c r="A7443" s="5"/>
      <c r="B7443" s="16" t="s">
        <v>2492</v>
      </c>
      <c r="C7443" s="22">
        <f>(5)*(1)*(1)*(1)*(1 + (0))</f>
      </c>
      <c r="D7443" s="22" t="s">
        <v>162</v>
      </c>
      <c r="E7443" s="22"/>
      <c r="F7443" s="22">
        <f>(0)</f>
      </c>
      <c r="G7443" s="22">
        <f>(C7443 * E7443 + C7443 * E7443 * F7443)</f>
      </c>
    </row>
    <row r="7444">
      <c r="A7444" s="5"/>
      <c r="B7444" s="16" t="s">
        <v>2493</v>
      </c>
      <c r="C7444" s="22">
        <f>(3)*(1)*(1)*(1)*(1 + (0))</f>
      </c>
      <c r="D7444" s="22" t="s">
        <v>162</v>
      </c>
      <c r="E7444" s="22"/>
      <c r="F7444" s="22">
        <f>(0)</f>
      </c>
      <c r="G7444" s="22">
        <f>(C7444 * E7444 + C7444 * E7444 * F7444)</f>
      </c>
    </row>
    <row r="7445">
      <c r="A7445" s="6"/>
      <c r="B7445" s="15" t="s">
        <v>2494</v>
      </c>
      <c r="C7445" s="23"/>
      <c r="D7445" s="23"/>
      <c r="E7445" s="23"/>
      <c r="F7445" s="23"/>
      <c r="G7445" s="23"/>
    </row>
    <row r="7446">
      <c r="A7446" s="5"/>
      <c r="B7446" s="16" t="s">
        <v>2495</v>
      </c>
      <c r="C7446" s="22">
        <f>(5)*(1)*(1)*(1)*(1 + (0))</f>
      </c>
      <c r="D7446" s="22" t="s">
        <v>162</v>
      </c>
      <c r="E7446" s="22"/>
      <c r="F7446" s="22">
        <f>(0)</f>
      </c>
      <c r="G7446" s="22">
        <f>(C7446 * E7446 + C7446 * E7446 * F7446)</f>
      </c>
    </row>
    <row r="7447">
      <c r="A7447" s="5"/>
      <c r="B7447" s="16" t="s">
        <v>2496</v>
      </c>
      <c r="C7447" s="22">
        <f>(2)*(1)*(1)*(1)*(1 + (0))</f>
      </c>
      <c r="D7447" s="22" t="s">
        <v>162</v>
      </c>
      <c r="E7447" s="22"/>
      <c r="F7447" s="22">
        <f>(0)</f>
      </c>
      <c r="G7447" s="22">
        <f>(C7447 * E7447 + C7447 * E7447 * F7447)</f>
      </c>
    </row>
    <row r="7448">
      <c r="A7448" s="5"/>
      <c r="B7448" s="16" t="s">
        <v>2497</v>
      </c>
      <c r="C7448" s="22">
        <f>(2)*(1)*(1)*(1)*(1 + (0))</f>
      </c>
      <c r="D7448" s="22" t="s">
        <v>162</v>
      </c>
      <c r="E7448" s="22"/>
      <c r="F7448" s="22">
        <f>(0)</f>
      </c>
      <c r="G7448" s="22">
        <f>(C7448 * E7448 + C7448 * E7448 * F7448)</f>
      </c>
    </row>
    <row r="7449">
      <c r="A7449" s="5"/>
      <c r="B7449" s="16" t="s">
        <v>2498</v>
      </c>
      <c r="C7449" s="22">
        <f>(2)*(1)*(1)*(1)*(1 + (0))</f>
      </c>
      <c r="D7449" s="22" t="s">
        <v>162</v>
      </c>
      <c r="E7449" s="22"/>
      <c r="F7449" s="22">
        <f>(0)</f>
      </c>
      <c r="G7449" s="22">
        <f>(C7449 * E7449 + C7449 * E7449 * F7449)</f>
      </c>
    </row>
    <row r="7450">
      <c r="A7450" s="5"/>
      <c r="B7450" s="16" t="s">
        <v>2499</v>
      </c>
      <c r="C7450" s="22">
        <f>(1)*(1)*(1)*(1)*(1 + (0))</f>
      </c>
      <c r="D7450" s="22" t="s">
        <v>162</v>
      </c>
      <c r="E7450" s="22"/>
      <c r="F7450" s="22">
        <f>(0)</f>
      </c>
      <c r="G7450" s="22">
        <f>(C7450 * E7450 + C7450 * E7450 * F7450)</f>
      </c>
    </row>
    <row r="7451">
      <c r="A7451" s="5"/>
      <c r="B7451" s="16" t="s">
        <v>2475</v>
      </c>
      <c r="C7451" s="22">
        <f>(3)*(1)*(1)*(1)*(1 + (0))</f>
      </c>
      <c r="D7451" s="22" t="s">
        <v>162</v>
      </c>
      <c r="E7451" s="22"/>
      <c r="F7451" s="22">
        <f>(0)</f>
      </c>
      <c r="G7451" s="22">
        <f>(C7451 * E7451 + C7451 * E7451 * F7451)</f>
      </c>
    </row>
    <row r="7452">
      <c r="A7452" s="5"/>
      <c r="B7452" s="16" t="s">
        <v>2500</v>
      </c>
      <c r="C7452" s="22">
        <f>(5)*(1)*(1)*(1)*(1 + (0))</f>
      </c>
      <c r="D7452" s="22" t="s">
        <v>162</v>
      </c>
      <c r="E7452" s="22"/>
      <c r="F7452" s="22">
        <f>(0)</f>
      </c>
      <c r="G7452" s="22">
        <f>(C7452 * E7452 + C7452 * E7452 * F7452)</f>
      </c>
    </row>
    <row r="7453">
      <c r="A7453" s="5"/>
      <c r="B7453" s="16" t="s">
        <v>2501</v>
      </c>
      <c r="C7453" s="22">
        <f>(5)*(1)*(1)*(1)*(1 + (0))</f>
      </c>
      <c r="D7453" s="22" t="s">
        <v>162</v>
      </c>
      <c r="E7453" s="22"/>
      <c r="F7453" s="22">
        <f>(0)</f>
      </c>
      <c r="G7453" s="22">
        <f>(C7453 * E7453 + C7453 * E7453 * F7453)</f>
      </c>
    </row>
    <row r="7454">
      <c r="A7454" s="6"/>
      <c r="B7454" s="15" t="s">
        <v>2502</v>
      </c>
      <c r="C7454" s="23"/>
      <c r="D7454" s="23"/>
      <c r="E7454" s="23"/>
      <c r="F7454" s="23"/>
      <c r="G7454" s="23"/>
    </row>
    <row r="7455">
      <c r="A7455" s="5"/>
      <c r="B7455" s="16" t="s">
        <v>2503</v>
      </c>
      <c r="C7455" s="22">
        <f>(8)*(1)*(1)*(1)*(1 + (0))</f>
      </c>
      <c r="D7455" s="22" t="s">
        <v>162</v>
      </c>
      <c r="E7455" s="22"/>
      <c r="F7455" s="22">
        <f>(0)</f>
      </c>
      <c r="G7455" s="22">
        <f>(C7455 * E7455 + C7455 * E7455 * F7455)</f>
      </c>
    </row>
    <row r="7456">
      <c r="A7456" s="4"/>
      <c r="B7456" s="12" t="s">
        <v>2504</v>
      </c>
      <c r="C7456" s="21"/>
      <c r="D7456" s="21"/>
      <c r="E7456" s="21"/>
      <c r="F7456" s="21"/>
      <c r="G7456" s="21"/>
    </row>
    <row r="7457">
      <c r="A7457" s="6"/>
      <c r="B7457" s="15" t="s">
        <v>2505</v>
      </c>
      <c r="C7457" s="23"/>
      <c r="D7457" s="23"/>
      <c r="E7457" s="23"/>
      <c r="F7457" s="23"/>
      <c r="G7457" s="23"/>
    </row>
    <row r="7458">
      <c r="A7458" s="5"/>
      <c r="B7458" s="16" t="s">
        <v>2506</v>
      </c>
      <c r="C7458" s="22">
        <f>(2)*(1)*(1)*(1)*(1 + (0))</f>
      </c>
      <c r="D7458" s="22" t="s">
        <v>162</v>
      </c>
      <c r="E7458" s="22"/>
      <c r="F7458" s="22">
        <f>(0)</f>
      </c>
      <c r="G7458" s="22">
        <f>(C7458 * E7458 + C7458 * E7458 * F7458)</f>
      </c>
    </row>
    <row r="7459">
      <c r="A7459" s="5"/>
      <c r="B7459" s="16" t="s">
        <v>2507</v>
      </c>
      <c r="C7459" s="22">
        <f>(2)*(1)*(1)*(1)*(1 + (0))</f>
      </c>
      <c r="D7459" s="22" t="s">
        <v>162</v>
      </c>
      <c r="E7459" s="22"/>
      <c r="F7459" s="22">
        <f>(0)</f>
      </c>
      <c r="G7459" s="22">
        <f>(C7459 * E7459 + C7459 * E7459 * F7459)</f>
      </c>
    </row>
    <row r="7460">
      <c r="A7460" s="6"/>
      <c r="B7460" s="15" t="s">
        <v>2508</v>
      </c>
      <c r="C7460" s="23"/>
      <c r="D7460" s="23"/>
      <c r="E7460" s="23"/>
      <c r="F7460" s="23"/>
      <c r="G7460" s="23"/>
    </row>
    <row r="7461">
      <c r="A7461" s="5"/>
      <c r="B7461" s="16" t="s">
        <v>2509</v>
      </c>
      <c r="C7461" s="22">
        <f>(6)*(1)*(1)*(1)*(1 + (0))</f>
      </c>
      <c r="D7461" s="22" t="s">
        <v>162</v>
      </c>
      <c r="E7461" s="22"/>
      <c r="F7461" s="22">
        <f>(0)</f>
      </c>
      <c r="G7461" s="22">
        <f>(C7461 * E7461 + C7461 * E7461 * F7461)</f>
      </c>
    </row>
    <row r="7462">
      <c r="A7462" s="5"/>
      <c r="B7462" s="16" t="s">
        <v>2510</v>
      </c>
      <c r="C7462" s="22">
        <f>(4)*(1)*(1)*(1)*(1 + (0))</f>
      </c>
      <c r="D7462" s="22" t="s">
        <v>162</v>
      </c>
      <c r="E7462" s="22"/>
      <c r="F7462" s="22">
        <f>(0)</f>
      </c>
      <c r="G7462" s="22">
        <f>(C7462 * E7462 + C7462 * E7462 * F7462)</f>
      </c>
    </row>
    <row r="7463">
      <c r="A7463" s="5"/>
      <c r="B7463" s="16" t="s">
        <v>2511</v>
      </c>
      <c r="C7463" s="22">
        <f>(6)*(1)*(1)*(1)*(1 + (0))</f>
      </c>
      <c r="D7463" s="22" t="s">
        <v>162</v>
      </c>
      <c r="E7463" s="22"/>
      <c r="F7463" s="22">
        <f>(0)</f>
      </c>
      <c r="G7463" s="22">
        <f>(C7463 * E7463 + C7463 * E7463 * F7463)</f>
      </c>
    </row>
    <row r="7464">
      <c r="A7464" s="6"/>
      <c r="B7464" s="15" t="s">
        <v>2512</v>
      </c>
      <c r="C7464" s="23"/>
      <c r="D7464" s="23"/>
      <c r="E7464" s="23"/>
      <c r="F7464" s="23"/>
      <c r="G7464" s="23"/>
    </row>
    <row r="7465">
      <c r="A7465" s="5"/>
      <c r="B7465" s="16" t="s">
        <v>2513</v>
      </c>
      <c r="C7465" s="22">
        <f>(9)*(1)*(1)*(1)*(1 + (0))</f>
      </c>
      <c r="D7465" s="22" t="s">
        <v>162</v>
      </c>
      <c r="E7465" s="22"/>
      <c r="F7465" s="22">
        <f>(0)</f>
      </c>
      <c r="G7465" s="22">
        <f>(C7465 * E7465 + C7465 * E7465 * F7465)</f>
      </c>
    </row>
    <row r="7466">
      <c r="A7466" s="5"/>
      <c r="B7466" s="16" t="s">
        <v>2514</v>
      </c>
      <c r="C7466" s="22">
        <f>(4)*(1)*(1)*(1)*(1 + (0))</f>
      </c>
      <c r="D7466" s="22" t="s">
        <v>162</v>
      </c>
      <c r="E7466" s="22"/>
      <c r="F7466" s="22">
        <f>(0)</f>
      </c>
      <c r="G7466" s="22">
        <f>(C7466 * E7466 + C7466 * E7466 * F7466)</f>
      </c>
    </row>
    <row r="7467">
      <c r="A7467" s="5"/>
      <c r="B7467" s="16" t="s">
        <v>2515</v>
      </c>
      <c r="C7467" s="22">
        <f>(8)*(1)*(1)*(1)*(1 + (0))</f>
      </c>
      <c r="D7467" s="22" t="s">
        <v>162</v>
      </c>
      <c r="E7467" s="22"/>
      <c r="F7467" s="22">
        <f>(0)</f>
      </c>
      <c r="G7467" s="22">
        <f>(C7467 * E7467 + C7467 * E7467 * F7467)</f>
      </c>
    </row>
    <row r="7468">
      <c r="A7468" s="5"/>
      <c r="B7468" s="16" t="s">
        <v>2516</v>
      </c>
      <c r="C7468" s="22">
        <f>(4)*(1)*(1)*(1)*(1 + (0))</f>
      </c>
      <c r="D7468" s="22" t="s">
        <v>162</v>
      </c>
      <c r="E7468" s="22"/>
      <c r="F7468" s="22">
        <f>(0)</f>
      </c>
      <c r="G7468" s="22">
        <f>(C7468 * E7468 + C7468 * E7468 * F7468)</f>
      </c>
    </row>
    <row r="7469">
      <c r="A7469" s="6"/>
      <c r="B7469" s="15" t="s">
        <v>2517</v>
      </c>
      <c r="C7469" s="23"/>
      <c r="D7469" s="23"/>
      <c r="E7469" s="23"/>
      <c r="F7469" s="23"/>
      <c r="G7469" s="23"/>
    </row>
    <row r="7470">
      <c r="A7470" s="5"/>
      <c r="B7470" s="16" t="s">
        <v>2518</v>
      </c>
      <c r="C7470" s="22">
        <f>(10)*(1)*(1)*(1)*(1 + (0))</f>
      </c>
      <c r="D7470" s="22" t="s">
        <v>162</v>
      </c>
      <c r="E7470" s="22"/>
      <c r="F7470" s="22">
        <f>(0)</f>
      </c>
      <c r="G7470" s="22">
        <f>(C7470 * E7470 + C7470 * E7470 * F7470)</f>
      </c>
    </row>
    <row r="7471">
      <c r="A7471" s="5"/>
      <c r="B7471" s="16" t="s">
        <v>2519</v>
      </c>
      <c r="C7471" s="22">
        <f>(10)*(1)*(1)*(1)*(1 + (0))</f>
      </c>
      <c r="D7471" s="22" t="s">
        <v>162</v>
      </c>
      <c r="E7471" s="22"/>
      <c r="F7471" s="22">
        <f>(0)</f>
      </c>
      <c r="G7471" s="22">
        <f>(C7471 * E7471 + C7471 * E7471 * F7471)</f>
      </c>
    </row>
    <row r="7472">
      <c r="A7472" s="4"/>
      <c r="B7472" s="12" t="s">
        <v>2520</v>
      </c>
      <c r="C7472" s="21"/>
      <c r="D7472" s="21"/>
      <c r="E7472" s="21"/>
      <c r="F7472" s="21"/>
      <c r="G7472" s="21"/>
    </row>
    <row r="7473">
      <c r="A7473" s="6"/>
      <c r="B7473" s="15" t="s">
        <v>2521</v>
      </c>
      <c r="C7473" s="23"/>
      <c r="D7473" s="23"/>
      <c r="E7473" s="23"/>
      <c r="F7473" s="23"/>
      <c r="G7473" s="23"/>
    </row>
    <row r="7474">
      <c r="A7474" s="5"/>
      <c r="B7474" s="16" t="s">
        <v>2522</v>
      </c>
      <c r="C7474" s="22">
        <f>(30)*(1)*(1)*(1)*(1 + (0))</f>
      </c>
      <c r="D7474" s="22" t="s">
        <v>162</v>
      </c>
      <c r="E7474" s="22"/>
      <c r="F7474" s="22">
        <f>(0)</f>
      </c>
      <c r="G7474" s="22">
        <f>(C7474 * E7474 + C7474 * E7474 * F7474)</f>
      </c>
    </row>
    <row r="7475">
      <c r="A7475" s="5"/>
      <c r="B7475" s="16" t="s">
        <v>2523</v>
      </c>
      <c r="C7475" s="22">
        <f>(40)*(1)*(1)*(1)*(1 + (0))</f>
      </c>
      <c r="D7475" s="22" t="s">
        <v>162</v>
      </c>
      <c r="E7475" s="22"/>
      <c r="F7475" s="22">
        <f>(0)</f>
      </c>
      <c r="G7475" s="22">
        <f>(C7475 * E7475 + C7475 * E7475 * F7475)</f>
      </c>
    </row>
    <row r="7476">
      <c r="A7476" s="5"/>
      <c r="B7476" s="16" t="s">
        <v>2524</v>
      </c>
      <c r="C7476" s="22">
        <f>(30)*(1)*(1)*(1)*(1 + (0))</f>
      </c>
      <c r="D7476" s="22" t="s">
        <v>162</v>
      </c>
      <c r="E7476" s="22"/>
      <c r="F7476" s="22">
        <f>(0)</f>
      </c>
      <c r="G7476" s="22">
        <f>(C7476 * E7476 + C7476 * E7476 * F7476)</f>
      </c>
    </row>
    <row r="7477">
      <c r="A7477" s="5"/>
      <c r="B7477" s="16" t="s">
        <v>2525</v>
      </c>
      <c r="C7477" s="22">
        <f>(30)*(1)*(1)*(1)*(1 + (0))</f>
      </c>
      <c r="D7477" s="22" t="s">
        <v>162</v>
      </c>
      <c r="E7477" s="22"/>
      <c r="F7477" s="22">
        <f>(0)</f>
      </c>
      <c r="G7477" s="22">
        <f>(C7477 * E7477 + C7477 * E7477 * F7477)</f>
      </c>
    </row>
    <row r="7478">
      <c r="A7478" s="5"/>
      <c r="B7478" s="16" t="s">
        <v>2526</v>
      </c>
      <c r="C7478" s="22">
        <f>(40)*(1)*(1)*(1)*(1 + (0))</f>
      </c>
      <c r="D7478" s="22" t="s">
        <v>162</v>
      </c>
      <c r="E7478" s="22"/>
      <c r="F7478" s="22">
        <f>(0)</f>
      </c>
      <c r="G7478" s="22">
        <f>(C7478 * E7478 + C7478 * E7478 * F7478)</f>
      </c>
    </row>
    <row r="7479">
      <c r="A7479" s="5"/>
      <c r="B7479" s="16" t="s">
        <v>2527</v>
      </c>
      <c r="C7479" s="22">
        <f>(40)*(1)*(1)*(1)*(1 + (0))</f>
      </c>
      <c r="D7479" s="22" t="s">
        <v>162</v>
      </c>
      <c r="E7479" s="22"/>
      <c r="F7479" s="22">
        <f>(0)</f>
      </c>
      <c r="G7479" s="22">
        <f>(C7479 * E7479 + C7479 * E7479 * F7479)</f>
      </c>
    </row>
    <row r="7480">
      <c r="A7480" s="5"/>
      <c r="B7480" s="16" t="s">
        <v>2528</v>
      </c>
      <c r="C7480" s="22">
        <f>(30)*(1)*(1)*(1)*(1 + (0))</f>
      </c>
      <c r="D7480" s="22" t="s">
        <v>162</v>
      </c>
      <c r="E7480" s="22"/>
      <c r="F7480" s="22">
        <f>(0)</f>
      </c>
      <c r="G7480" s="22">
        <f>(C7480 * E7480 + C7480 * E7480 * F7480)</f>
      </c>
    </row>
    <row r="7481">
      <c r="A7481" s="5"/>
      <c r="B7481" s="16" t="s">
        <v>2529</v>
      </c>
      <c r="C7481" s="22">
        <f>(30)*(1)*(1)*(1)*(1 + (0))</f>
      </c>
      <c r="D7481" s="22" t="s">
        <v>162</v>
      </c>
      <c r="E7481" s="22"/>
      <c r="F7481" s="22">
        <f>(0)</f>
      </c>
      <c r="G7481" s="22">
        <f>(C7481 * E7481 + C7481 * E7481 * F7481)</f>
      </c>
    </row>
    <row r="7482">
      <c r="A7482" s="5"/>
      <c r="B7482" s="16" t="s">
        <v>2530</v>
      </c>
      <c r="C7482" s="22">
        <f>(40)*(1)*(1)*(1)*(1 + (0))</f>
      </c>
      <c r="D7482" s="22" t="s">
        <v>162</v>
      </c>
      <c r="E7482" s="22"/>
      <c r="F7482" s="22">
        <f>(0)</f>
      </c>
      <c r="G7482" s="22">
        <f>(C7482 * E7482 + C7482 * E7482 * F7482)</f>
      </c>
    </row>
    <row r="7483">
      <c r="A7483" s="5"/>
      <c r="B7483" s="16" t="s">
        <v>2531</v>
      </c>
      <c r="C7483" s="22">
        <f>(75)*(1)*(1)*(1)*(1 + (0))</f>
      </c>
      <c r="D7483" s="22" t="s">
        <v>162</v>
      </c>
      <c r="E7483" s="22"/>
      <c r="F7483" s="22">
        <f>(0)</f>
      </c>
      <c r="G7483" s="22">
        <f>(C7483 * E7483 + C7483 * E7483 * F7483)</f>
      </c>
    </row>
    <row r="7484">
      <c r="A7484" s="5"/>
      <c r="B7484" s="16" t="s">
        <v>2532</v>
      </c>
      <c r="C7484" s="22">
        <f>(75)*(1)*(1)*(1)*(1 + (0))</f>
      </c>
      <c r="D7484" s="22" t="s">
        <v>162</v>
      </c>
      <c r="E7484" s="22"/>
      <c r="F7484" s="22">
        <f>(0)</f>
      </c>
      <c r="G7484" s="22">
        <f>(C7484 * E7484 + C7484 * E7484 * F7484)</f>
      </c>
    </row>
    <row r="7485">
      <c r="A7485" s="5"/>
      <c r="B7485" s="16" t="s">
        <v>2533</v>
      </c>
      <c r="C7485" s="22">
        <f>(40)*(1)*(1)*(1)*(1 + (0))</f>
      </c>
      <c r="D7485" s="22" t="s">
        <v>162</v>
      </c>
      <c r="E7485" s="22"/>
      <c r="F7485" s="22">
        <f>(0)</f>
      </c>
      <c r="G7485" s="22">
        <f>(C7485 * E7485 + C7485 * E7485 * F7485)</f>
      </c>
    </row>
    <row r="7486">
      <c r="A7486" s="5"/>
      <c r="B7486" s="16" t="s">
        <v>2534</v>
      </c>
      <c r="C7486" s="22">
        <f>(30)*(1)*(1)*(1)*(1 + (0))</f>
      </c>
      <c r="D7486" s="22" t="s">
        <v>162</v>
      </c>
      <c r="E7486" s="22"/>
      <c r="F7486" s="22">
        <f>(0)</f>
      </c>
      <c r="G7486" s="22">
        <f>(C7486 * E7486 + C7486 * E7486 * F7486)</f>
      </c>
    </row>
    <row r="7487">
      <c r="A7487" s="5"/>
      <c r="B7487" s="16" t="s">
        <v>2535</v>
      </c>
      <c r="C7487" s="22">
        <f>(40)*(1)*(1)*(1)*(1 + (0))</f>
      </c>
      <c r="D7487" s="22" t="s">
        <v>162</v>
      </c>
      <c r="E7487" s="22"/>
      <c r="F7487" s="22">
        <f>(0)</f>
      </c>
      <c r="G7487" s="22">
        <f>(C7487 * E7487 + C7487 * E7487 * F7487)</f>
      </c>
    </row>
    <row r="7488">
      <c r="A7488" s="5"/>
      <c r="B7488" s="16" t="s">
        <v>2536</v>
      </c>
      <c r="C7488" s="22">
        <f>(30)*(1)*(1)*(1)*(1 + (0))</f>
      </c>
      <c r="D7488" s="22" t="s">
        <v>162</v>
      </c>
      <c r="E7488" s="22"/>
      <c r="F7488" s="22">
        <f>(0)</f>
      </c>
      <c r="G7488" s="22">
        <f>(C7488 * E7488 + C7488 * E7488 * F7488)</f>
      </c>
    </row>
    <row r="7489">
      <c r="A7489" s="5"/>
      <c r="B7489" s="16" t="s">
        <v>2537</v>
      </c>
      <c r="C7489" s="22">
        <f>(30)*(1)*(1)*(1)*(1 + (0))</f>
      </c>
      <c r="D7489" s="22" t="s">
        <v>162</v>
      </c>
      <c r="E7489" s="22"/>
      <c r="F7489" s="22">
        <f>(0)</f>
      </c>
      <c r="G7489" s="22">
        <f>(C7489 * E7489 + C7489 * E7489 * F7489)</f>
      </c>
    </row>
    <row r="7490">
      <c r="A7490" s="5"/>
      <c r="B7490" s="16" t="s">
        <v>2538</v>
      </c>
      <c r="C7490" s="22">
        <f>(30)*(1)*(1)*(1)*(1 + (0))</f>
      </c>
      <c r="D7490" s="22" t="s">
        <v>162</v>
      </c>
      <c r="E7490" s="22"/>
      <c r="F7490" s="22">
        <f>(0)</f>
      </c>
      <c r="G7490" s="22">
        <f>(C7490 * E7490 + C7490 * E7490 * F7490)</f>
      </c>
    </row>
    <row r="7491">
      <c r="A7491" s="5"/>
      <c r="B7491" s="16" t="s">
        <v>2539</v>
      </c>
      <c r="C7491" s="22">
        <f>(30)*(1)*(1)*(1)*(1 + (0))</f>
      </c>
      <c r="D7491" s="22" t="s">
        <v>162</v>
      </c>
      <c r="E7491" s="22"/>
      <c r="F7491" s="22">
        <f>(0)</f>
      </c>
      <c r="G7491" s="22">
        <f>(C7491 * E7491 + C7491 * E7491 * F7491)</f>
      </c>
    </row>
    <row r="7492">
      <c r="A7492" s="5"/>
      <c r="B7492" s="16" t="s">
        <v>2540</v>
      </c>
      <c r="C7492" s="22">
        <f>(30)*(1)*(1)*(1)*(1 + (0))</f>
      </c>
      <c r="D7492" s="22" t="s">
        <v>162</v>
      </c>
      <c r="E7492" s="22"/>
      <c r="F7492" s="22">
        <f>(0)</f>
      </c>
      <c r="G7492" s="22">
        <f>(C7492 * E7492 + C7492 * E7492 * F7492)</f>
      </c>
    </row>
    <row r="7493">
      <c r="A7493" s="5"/>
      <c r="B7493" s="16" t="s">
        <v>2541</v>
      </c>
      <c r="C7493" s="22">
        <f>(30)*(1)*(1)*(1)*(1 + (0))</f>
      </c>
      <c r="D7493" s="22" t="s">
        <v>162</v>
      </c>
      <c r="E7493" s="22"/>
      <c r="F7493" s="22">
        <f>(0)</f>
      </c>
      <c r="G7493" s="22">
        <f>(C7493 * E7493 + C7493 * E7493 * F7493)</f>
      </c>
    </row>
    <row r="7494">
      <c r="A7494" s="6"/>
      <c r="B7494" s="15" t="s">
        <v>2542</v>
      </c>
      <c r="C7494" s="23"/>
      <c r="D7494" s="23"/>
      <c r="E7494" s="23"/>
      <c r="F7494" s="23"/>
      <c r="G7494" s="23"/>
    </row>
    <row r="7495">
      <c r="A7495" s="5"/>
      <c r="B7495" s="16" t="s">
        <v>2543</v>
      </c>
      <c r="C7495" s="22">
        <f>(698)*(1)*(1)*(1)*(1 + (0))</f>
      </c>
      <c r="D7495" s="22" t="s">
        <v>162</v>
      </c>
      <c r="E7495" s="22"/>
      <c r="F7495" s="22">
        <f>(0)</f>
      </c>
      <c r="G7495" s="22">
        <f>(C7495 * E7495 + C7495 * E7495 * F7495)</f>
      </c>
    </row>
    <row r="7496">
      <c r="A7496" s="5"/>
      <c r="B7496" s="16" t="s">
        <v>2544</v>
      </c>
      <c r="C7496" s="22">
        <f>(558)*(1)*(1)*(1)*(1 + (0))</f>
      </c>
      <c r="D7496" s="22" t="s">
        <v>162</v>
      </c>
      <c r="E7496" s="22"/>
      <c r="F7496" s="22">
        <f>(0)</f>
      </c>
      <c r="G7496" s="22">
        <f>(C7496 * E7496 + C7496 * E7496 * F7496)</f>
      </c>
    </row>
    <row r="7497">
      <c r="A7497" s="5"/>
      <c r="B7497" s="16" t="s">
        <v>2545</v>
      </c>
      <c r="C7497" s="22">
        <f>(558)*(1)*(1)*(1)*(1 + (0))</f>
      </c>
      <c r="D7497" s="22" t="s">
        <v>162</v>
      </c>
      <c r="E7497" s="22"/>
      <c r="F7497" s="22">
        <f>(0)</f>
      </c>
      <c r="G7497" s="22">
        <f>(C7497 * E7497 + C7497 * E7497 * F7497)</f>
      </c>
    </row>
    <row r="7498">
      <c r="A7498" s="5"/>
      <c r="B7498" s="16" t="s">
        <v>2546</v>
      </c>
      <c r="C7498" s="22">
        <f>(558)*(1)*(1)*(1)*(1 + (0))</f>
      </c>
      <c r="D7498" s="22" t="s">
        <v>162</v>
      </c>
      <c r="E7498" s="22"/>
      <c r="F7498" s="22">
        <f>(0)</f>
      </c>
      <c r="G7498" s="22">
        <f>(C7498 * E7498 + C7498 * E7498 * F7498)</f>
      </c>
    </row>
    <row r="7499">
      <c r="A7499" s="5"/>
      <c r="B7499" s="16" t="s">
        <v>2547</v>
      </c>
      <c r="C7499" s="22">
        <f>(558)*(1)*(1)*(1)*(1 + (0))</f>
      </c>
      <c r="D7499" s="22" t="s">
        <v>162</v>
      </c>
      <c r="E7499" s="22"/>
      <c r="F7499" s="22">
        <f>(0)</f>
      </c>
      <c r="G7499" s="22">
        <f>(C7499 * E7499 + C7499 * E7499 * F7499)</f>
      </c>
    </row>
    <row r="7500">
      <c r="A7500" s="5"/>
      <c r="B7500" s="16" t="s">
        <v>2548</v>
      </c>
      <c r="C7500" s="22">
        <f>(419)*(1)*(1)*(1)*(1 + (0))</f>
      </c>
      <c r="D7500" s="22" t="s">
        <v>162</v>
      </c>
      <c r="E7500" s="22"/>
      <c r="F7500" s="22">
        <f>(0)</f>
      </c>
      <c r="G7500" s="22">
        <f>(C7500 * E7500 + C7500 * E7500 * F7500)</f>
      </c>
    </row>
    <row r="7501">
      <c r="A7501" s="5"/>
      <c r="B7501" s="16" t="s">
        <v>2549</v>
      </c>
      <c r="C7501" s="22">
        <f>(698)*(1)*(1)*(1)*(1 + (0))</f>
      </c>
      <c r="D7501" s="22" t="s">
        <v>162</v>
      </c>
      <c r="E7501" s="22"/>
      <c r="F7501" s="22">
        <f>(0)</f>
      </c>
      <c r="G7501" s="22">
        <f>(C7501 * E7501 + C7501 * E7501 * F7501)</f>
      </c>
    </row>
    <row r="7502">
      <c r="A7502" s="5"/>
      <c r="B7502" s="16" t="s">
        <v>2550</v>
      </c>
      <c r="C7502" s="22">
        <f>(1046)*(1)*(1)*(1)*(1 + (0))</f>
      </c>
      <c r="D7502" s="22" t="s">
        <v>162</v>
      </c>
      <c r="E7502" s="22"/>
      <c r="F7502" s="22">
        <f>(0)</f>
      </c>
      <c r="G7502" s="22">
        <f>(C7502 * E7502 + C7502 * E7502 * F7502)</f>
      </c>
    </row>
    <row r="7503">
      <c r="A7503" s="5"/>
      <c r="B7503" s="16" t="s">
        <v>2551</v>
      </c>
      <c r="C7503" s="22">
        <f>(419)*(1)*(1)*(1)*(1 + (0))</f>
      </c>
      <c r="D7503" s="22" t="s">
        <v>162</v>
      </c>
      <c r="E7503" s="22"/>
      <c r="F7503" s="22">
        <f>(0)</f>
      </c>
      <c r="G7503" s="22">
        <f>(C7503 * E7503 + C7503 * E7503 * F7503)</f>
      </c>
    </row>
    <row r="7504">
      <c r="A7504" s="5"/>
      <c r="B7504" s="16" t="s">
        <v>2552</v>
      </c>
      <c r="C7504" s="22">
        <f>(558)*(1)*(1)*(1)*(1 + (0))</f>
      </c>
      <c r="D7504" s="22" t="s">
        <v>162</v>
      </c>
      <c r="E7504" s="22"/>
      <c r="F7504" s="22">
        <f>(0)</f>
      </c>
      <c r="G7504" s="22">
        <f>(C7504 * E7504 + C7504 * E7504 * F7504)</f>
      </c>
    </row>
    <row r="7505">
      <c r="A7505" s="5"/>
      <c r="B7505" s="16" t="s">
        <v>2553</v>
      </c>
      <c r="C7505" s="22">
        <f>(419)*(1)*(1)*(1)*(1 + (0))</f>
      </c>
      <c r="D7505" s="22" t="s">
        <v>162</v>
      </c>
      <c r="E7505" s="22"/>
      <c r="F7505" s="22">
        <f>(0)</f>
      </c>
      <c r="G7505" s="22">
        <f>(C7505 * E7505 + C7505 * E7505 * F7505)</f>
      </c>
    </row>
    <row r="7506">
      <c r="A7506" s="5"/>
      <c r="B7506" s="16" t="s">
        <v>2554</v>
      </c>
      <c r="C7506" s="22">
        <f>(1046)*(1)*(1)*(1)*(1 + (0))</f>
      </c>
      <c r="D7506" s="22" t="s">
        <v>162</v>
      </c>
      <c r="E7506" s="22"/>
      <c r="F7506" s="22">
        <f>(0)</f>
      </c>
      <c r="G7506" s="22">
        <f>(C7506 * E7506 + C7506 * E7506 * F7506)</f>
      </c>
    </row>
    <row r="7507">
      <c r="A7507" s="5"/>
      <c r="B7507" s="16" t="s">
        <v>2555</v>
      </c>
      <c r="C7507" s="22">
        <f>(558)*(1)*(1)*(1)*(1 + (0))</f>
      </c>
      <c r="D7507" s="22" t="s">
        <v>162</v>
      </c>
      <c r="E7507" s="22"/>
      <c r="F7507" s="22">
        <f>(0)</f>
      </c>
      <c r="G7507" s="22">
        <f>(C7507 * E7507 + C7507 * E7507 * F7507)</f>
      </c>
    </row>
    <row r="7508">
      <c r="A7508" s="5"/>
      <c r="B7508" s="16" t="s">
        <v>2556</v>
      </c>
      <c r="C7508" s="22">
        <f>(837)*(1)*(1)*(1)*(1 + (0))</f>
      </c>
      <c r="D7508" s="22" t="s">
        <v>162</v>
      </c>
      <c r="E7508" s="22"/>
      <c r="F7508" s="22">
        <f>(0)</f>
      </c>
      <c r="G7508" s="22">
        <f>(C7508 * E7508 + C7508 * E7508 * F7508)</f>
      </c>
    </row>
    <row r="7509">
      <c r="A7509" s="5"/>
      <c r="B7509" s="16" t="s">
        <v>2557</v>
      </c>
      <c r="C7509" s="22">
        <f>(837)*(1)*(1)*(1)*(1 + (0))</f>
      </c>
      <c r="D7509" s="22" t="s">
        <v>162</v>
      </c>
      <c r="E7509" s="22"/>
      <c r="F7509" s="22">
        <f>(0)</f>
      </c>
      <c r="G7509" s="22">
        <f>(C7509 * E7509 + C7509 * E7509 * F7509)</f>
      </c>
    </row>
    <row r="7510">
      <c r="A7510" s="5"/>
      <c r="B7510" s="16" t="s">
        <v>2558</v>
      </c>
      <c r="C7510" s="22">
        <f>(698)*(1)*(1)*(1)*(1 + (0))</f>
      </c>
      <c r="D7510" s="22" t="s">
        <v>162</v>
      </c>
      <c r="E7510" s="22"/>
      <c r="F7510" s="22">
        <f>(0)</f>
      </c>
      <c r="G7510" s="22">
        <f>(C7510 * E7510 + C7510 * E7510 * F7510)</f>
      </c>
    </row>
    <row r="7511">
      <c r="A7511" s="6"/>
      <c r="B7511" s="15" t="s">
        <v>2559</v>
      </c>
      <c r="C7511" s="23"/>
      <c r="D7511" s="23"/>
      <c r="E7511" s="23"/>
      <c r="F7511" s="23"/>
      <c r="G7511" s="23"/>
    </row>
    <row r="7512">
      <c r="A7512" s="5"/>
      <c r="B7512" s="16" t="s">
        <v>2560</v>
      </c>
      <c r="C7512" s="22">
        <f>(10)*(1)*(1)*(1)*(1 + (0))</f>
      </c>
      <c r="D7512" s="22" t="s">
        <v>162</v>
      </c>
      <c r="E7512" s="22"/>
      <c r="F7512" s="22">
        <f>(0)</f>
      </c>
      <c r="G7512" s="22">
        <f>(C7512 * E7512 + C7512 * E7512 * F7512)</f>
      </c>
    </row>
    <row r="7513">
      <c r="A7513" s="5"/>
      <c r="B7513" s="16" t="s">
        <v>2561</v>
      </c>
      <c r="C7513" s="22">
        <f>(20)*(1)*(1)*(1)*(1 + (0))</f>
      </c>
      <c r="D7513" s="22" t="s">
        <v>162</v>
      </c>
      <c r="E7513" s="22"/>
      <c r="F7513" s="22">
        <f>(0)</f>
      </c>
      <c r="G7513" s="22">
        <f>(C7513 * E7513 + C7513 * E7513 * F7513)</f>
      </c>
    </row>
    <row r="7514">
      <c r="A7514" s="5"/>
      <c r="B7514" s="16" t="s">
        <v>2562</v>
      </c>
      <c r="C7514" s="22">
        <f>(24)*(1)*(1)*(1)*(1 + (0))</f>
      </c>
      <c r="D7514" s="22" t="s">
        <v>162</v>
      </c>
      <c r="E7514" s="22"/>
      <c r="F7514" s="22">
        <f>(0)</f>
      </c>
      <c r="G7514" s="22">
        <f>(C7514 * E7514 + C7514 * E7514 * F7514)</f>
      </c>
    </row>
    <row r="7515">
      <c r="A7515" s="5"/>
      <c r="B7515" s="16" t="s">
        <v>2563</v>
      </c>
      <c r="C7515" s="22">
        <f>(12)*(1)*(1)*(1)*(1 + (0))</f>
      </c>
      <c r="D7515" s="22" t="s">
        <v>162</v>
      </c>
      <c r="E7515" s="22"/>
      <c r="F7515" s="22">
        <f>(0)</f>
      </c>
      <c r="G7515" s="22">
        <f>(C7515 * E7515 + C7515 * E7515 * F7515)</f>
      </c>
    </row>
    <row r="7516">
      <c r="A7516" s="5"/>
      <c r="B7516" s="16" t="s">
        <v>2564</v>
      </c>
      <c r="C7516" s="22">
        <f>(12)*(1)*(1)*(1)*(1 + (0))</f>
      </c>
      <c r="D7516" s="22" t="s">
        <v>162</v>
      </c>
      <c r="E7516" s="22"/>
      <c r="F7516" s="22">
        <f>(0)</f>
      </c>
      <c r="G7516" s="22">
        <f>(C7516 * E7516 + C7516 * E7516 * F7516)</f>
      </c>
    </row>
    <row r="7517">
      <c r="A7517" s="5"/>
      <c r="B7517" s="16" t="s">
        <v>2565</v>
      </c>
      <c r="C7517" s="22">
        <f>(12)*(1)*(1)*(1)*(1 + (0))</f>
      </c>
      <c r="D7517" s="22" t="s">
        <v>162</v>
      </c>
      <c r="E7517" s="22"/>
      <c r="F7517" s="22">
        <f>(0)</f>
      </c>
      <c r="G7517" s="22">
        <f>(C7517 * E7517 + C7517 * E7517 * F7517)</f>
      </c>
    </row>
    <row r="7518">
      <c r="A7518" s="5"/>
      <c r="B7518" s="16" t="s">
        <v>2566</v>
      </c>
      <c r="C7518" s="22">
        <f>(12)*(1)*(1)*(1)*(1 + (0))</f>
      </c>
      <c r="D7518" s="22" t="s">
        <v>162</v>
      </c>
      <c r="E7518" s="22"/>
      <c r="F7518" s="22">
        <f>(0)</f>
      </c>
      <c r="G7518" s="22">
        <f>(C7518 * E7518 + C7518 * E7518 * F7518)</f>
      </c>
    </row>
    <row r="7519">
      <c r="A7519" s="5"/>
      <c r="B7519" s="16" t="s">
        <v>2567</v>
      </c>
      <c r="C7519" s="22">
        <f>(10)*(1)*(1)*(1)*(1 + (0))</f>
      </c>
      <c r="D7519" s="22" t="s">
        <v>162</v>
      </c>
      <c r="E7519" s="22"/>
      <c r="F7519" s="22">
        <f>(0)</f>
      </c>
      <c r="G7519" s="22">
        <f>(C7519 * E7519 + C7519 * E7519 * F7519)</f>
      </c>
    </row>
    <row r="7520">
      <c r="A7520" s="5"/>
      <c r="B7520" s="16" t="s">
        <v>2568</v>
      </c>
      <c r="C7520" s="22">
        <f>(26)*(1)*(1)*(1)*(1 + (0))</f>
      </c>
      <c r="D7520" s="22" t="s">
        <v>162</v>
      </c>
      <c r="E7520" s="22"/>
      <c r="F7520" s="22">
        <f>(0)</f>
      </c>
      <c r="G7520" s="22">
        <f>(C7520 * E7520 + C7520 * E7520 * F7520)</f>
      </c>
    </row>
    <row r="7521">
      <c r="A7521" s="5"/>
      <c r="B7521" s="16" t="s">
        <v>2569</v>
      </c>
      <c r="C7521" s="22">
        <f>(12)*(1)*(1)*(1)*(1 + (0))</f>
      </c>
      <c r="D7521" s="22" t="s">
        <v>162</v>
      </c>
      <c r="E7521" s="22"/>
      <c r="F7521" s="22">
        <f>(0)</f>
      </c>
      <c r="G7521" s="22">
        <f>(C7521 * E7521 + C7521 * E7521 * F7521)</f>
      </c>
    </row>
    <row r="7522">
      <c r="A7522" s="6"/>
      <c r="B7522" s="15" t="s">
        <v>2570</v>
      </c>
      <c r="C7522" s="23"/>
      <c r="D7522" s="23"/>
      <c r="E7522" s="23"/>
      <c r="F7522" s="23"/>
      <c r="G7522" s="23"/>
    </row>
    <row r="7523">
      <c r="A7523" s="5"/>
      <c r="B7523" s="16" t="s">
        <v>2571</v>
      </c>
      <c r="C7523" s="22">
        <f>(221)*(1)*(1)*(1)*(1 + (0))</f>
      </c>
      <c r="D7523" s="22" t="s">
        <v>162</v>
      </c>
      <c r="E7523" s="22"/>
      <c r="F7523" s="22">
        <f>(0)</f>
      </c>
      <c r="G7523" s="22">
        <f>(C7523 * E7523 + C7523 * E7523 * F7523)</f>
      </c>
    </row>
    <row r="7524">
      <c r="A7524" s="5"/>
      <c r="B7524" s="16" t="s">
        <v>2572</v>
      </c>
      <c r="C7524" s="22">
        <f>(221)*(1)*(1)*(1)*(1 + (0))</f>
      </c>
      <c r="D7524" s="22" t="s">
        <v>162</v>
      </c>
      <c r="E7524" s="22"/>
      <c r="F7524" s="22">
        <f>(0)</f>
      </c>
      <c r="G7524" s="22">
        <f>(C7524 * E7524 + C7524 * E7524 * F7524)</f>
      </c>
    </row>
    <row r="7525">
      <c r="A7525" s="5"/>
      <c r="B7525" s="16" t="s">
        <v>2573</v>
      </c>
      <c r="C7525" s="22">
        <f>(221)*(1)*(1)*(1)*(1 + (0))</f>
      </c>
      <c r="D7525" s="22" t="s">
        <v>162</v>
      </c>
      <c r="E7525" s="22"/>
      <c r="F7525" s="22">
        <f>(0)</f>
      </c>
      <c r="G7525" s="22">
        <f>(C7525 * E7525 + C7525 * E7525 * F7525)</f>
      </c>
    </row>
    <row r="7526">
      <c r="A7526" s="5"/>
      <c r="B7526" s="16" t="s">
        <v>2574</v>
      </c>
      <c r="C7526" s="22">
        <f>(221)*(1)*(1)*(1)*(1 + (0))</f>
      </c>
      <c r="D7526" s="22" t="s">
        <v>162</v>
      </c>
      <c r="E7526" s="22"/>
      <c r="F7526" s="22">
        <f>(0)</f>
      </c>
      <c r="G7526" s="22">
        <f>(C7526 * E7526 + C7526 * E7526 * F7526)</f>
      </c>
    </row>
    <row r="7527">
      <c r="A7527" s="5"/>
      <c r="B7527" s="16" t="s">
        <v>2575</v>
      </c>
      <c r="C7527" s="22">
        <f>(221)*(1)*(1)*(1)*(1 + (0))</f>
      </c>
      <c r="D7527" s="22" t="s">
        <v>162</v>
      </c>
      <c r="E7527" s="22"/>
      <c r="F7527" s="22">
        <f>(0)</f>
      </c>
      <c r="G7527" s="22">
        <f>(C7527 * E7527 + C7527 * E7527 * F7527)</f>
      </c>
    </row>
    <row r="7528">
      <c r="A7528" s="5"/>
      <c r="B7528" s="16" t="s">
        <v>2576</v>
      </c>
      <c r="C7528" s="22">
        <f>(221)*(1)*(1)*(1)*(1 + (0))</f>
      </c>
      <c r="D7528" s="22" t="s">
        <v>162</v>
      </c>
      <c r="E7528" s="22"/>
      <c r="F7528" s="22">
        <f>(0)</f>
      </c>
      <c r="G7528" s="22">
        <f>(C7528 * E7528 + C7528 * E7528 * F7528)</f>
      </c>
    </row>
    <row r="7529">
      <c r="A7529" s="6"/>
      <c r="B7529" s="15" t="s">
        <v>2577</v>
      </c>
      <c r="C7529" s="23"/>
      <c r="D7529" s="23"/>
      <c r="E7529" s="23"/>
      <c r="F7529" s="23"/>
      <c r="G7529" s="23"/>
    </row>
    <row r="7530">
      <c r="A7530" s="5"/>
      <c r="B7530" s="16" t="s">
        <v>2578</v>
      </c>
      <c r="C7530" s="22">
        <f>(22)*(1)*(1)*(1)*(1 + (0))</f>
      </c>
      <c r="D7530" s="22" t="s">
        <v>162</v>
      </c>
      <c r="E7530" s="22"/>
      <c r="F7530" s="22">
        <f>(0)</f>
      </c>
      <c r="G7530" s="22">
        <f>(C7530 * E7530 + C7530 * E7530 * F7530)</f>
      </c>
    </row>
    <row r="7531">
      <c r="A7531" s="5"/>
      <c r="B7531" s="16" t="s">
        <v>2579</v>
      </c>
      <c r="C7531" s="22">
        <f>(45)*(1)*(1)*(1)*(1 + (0))</f>
      </c>
      <c r="D7531" s="22" t="s">
        <v>162</v>
      </c>
      <c r="E7531" s="22"/>
      <c r="F7531" s="22">
        <f>(0)</f>
      </c>
      <c r="G7531" s="22">
        <f>(C7531 * E7531 + C7531 * E7531 * F7531)</f>
      </c>
    </row>
    <row r="7532">
      <c r="A7532" s="5"/>
      <c r="B7532" s="16" t="s">
        <v>2580</v>
      </c>
      <c r="C7532" s="22">
        <f>(45)*(1)*(1)*(1)*(1 + (0))</f>
      </c>
      <c r="D7532" s="22" t="s">
        <v>162</v>
      </c>
      <c r="E7532" s="22"/>
      <c r="F7532" s="22">
        <f>(0)</f>
      </c>
      <c r="G7532" s="22">
        <f>(C7532 * E7532 + C7532 * E7532 * F7532)</f>
      </c>
    </row>
    <row r="7533">
      <c r="A7533" s="5"/>
      <c r="B7533" s="16" t="s">
        <v>2581</v>
      </c>
      <c r="C7533" s="22">
        <f>(22)*(1)*(1)*(1)*(1 + (0))</f>
      </c>
      <c r="D7533" s="22" t="s">
        <v>162</v>
      </c>
      <c r="E7533" s="22"/>
      <c r="F7533" s="22">
        <f>(0)</f>
      </c>
      <c r="G7533" s="22">
        <f>(C7533 * E7533 + C7533 * E7533 * F7533)</f>
      </c>
    </row>
    <row r="7534">
      <c r="A7534" s="6"/>
      <c r="B7534" s="15" t="s">
        <v>2505</v>
      </c>
      <c r="C7534" s="23"/>
      <c r="D7534" s="23"/>
      <c r="E7534" s="23"/>
      <c r="F7534" s="23"/>
      <c r="G7534" s="23"/>
    </row>
    <row r="7535">
      <c r="A7535" s="5"/>
      <c r="B7535" s="16" t="s">
        <v>2582</v>
      </c>
      <c r="C7535" s="22">
        <f>(33)*(1)*(1)*(1)*(1 + (0))</f>
      </c>
      <c r="D7535" s="22" t="s">
        <v>162</v>
      </c>
      <c r="E7535" s="22"/>
      <c r="F7535" s="22">
        <f>(0)</f>
      </c>
      <c r="G7535" s="22">
        <f>(C7535 * E7535 + C7535 * E7535 * F7535)</f>
      </c>
    </row>
    <row r="7536">
      <c r="A7536" s="5"/>
      <c r="B7536" s="16" t="s">
        <v>2583</v>
      </c>
      <c r="C7536" s="22">
        <f>(36)*(1)*(1)*(1)*(1 + (0))</f>
      </c>
      <c r="D7536" s="22" t="s">
        <v>162</v>
      </c>
      <c r="E7536" s="22"/>
      <c r="F7536" s="22">
        <f>(0)</f>
      </c>
      <c r="G7536" s="22">
        <f>(C7536 * E7536 + C7536 * E7536 * F7536)</f>
      </c>
    </row>
    <row r="7537">
      <c r="A7537" s="5"/>
      <c r="B7537" s="16" t="s">
        <v>2584</v>
      </c>
      <c r="C7537" s="22">
        <f>(87)*(1)*(1)*(1)*(1 + (0))</f>
      </c>
      <c r="D7537" s="22" t="s">
        <v>162</v>
      </c>
      <c r="E7537" s="22"/>
      <c r="F7537" s="22">
        <f>(0)</f>
      </c>
      <c r="G7537" s="22">
        <f>(C7537 * E7537 + C7537 * E7537 * F7537)</f>
      </c>
    </row>
    <row r="7538">
      <c r="A7538" s="5"/>
      <c r="B7538" s="16" t="s">
        <v>2585</v>
      </c>
      <c r="C7538" s="22">
        <f>(47)*(1)*(1)*(1)*(1 + (0))</f>
      </c>
      <c r="D7538" s="22" t="s">
        <v>162</v>
      </c>
      <c r="E7538" s="22"/>
      <c r="F7538" s="22">
        <f>(0)</f>
      </c>
      <c r="G7538" s="22">
        <f>(C7538 * E7538 + C7538 * E7538 * F7538)</f>
      </c>
    </row>
    <row r="7539">
      <c r="A7539" s="5"/>
      <c r="B7539" s="16" t="s">
        <v>2586</v>
      </c>
      <c r="C7539" s="22">
        <f>(56)*(1)*(1)*(1)*(1 + (0))</f>
      </c>
      <c r="D7539" s="22" t="s">
        <v>162</v>
      </c>
      <c r="E7539" s="22"/>
      <c r="F7539" s="22">
        <f>(0)</f>
      </c>
      <c r="G7539" s="22">
        <f>(C7539 * E7539 + C7539 * E7539 * F7539)</f>
      </c>
    </row>
    <row r="7540">
      <c r="A7540" s="5"/>
      <c r="B7540" s="16" t="s">
        <v>2587</v>
      </c>
      <c r="C7540" s="22">
        <f>(25)*(1)*(1)*(1)*(1 + (0))</f>
      </c>
      <c r="D7540" s="22" t="s">
        <v>162</v>
      </c>
      <c r="E7540" s="22"/>
      <c r="F7540" s="22">
        <f>(0)</f>
      </c>
      <c r="G7540" s="22">
        <f>(C7540 * E7540 + C7540 * E7540 * F7540)</f>
      </c>
    </row>
    <row r="7541">
      <c r="A7541" s="5"/>
      <c r="B7541" s="16" t="s">
        <v>2588</v>
      </c>
      <c r="C7541" s="22">
        <f>(52)*(1)*(1)*(1)*(1 + (0))</f>
      </c>
      <c r="D7541" s="22" t="s">
        <v>162</v>
      </c>
      <c r="E7541" s="22"/>
      <c r="F7541" s="22">
        <f>(0)</f>
      </c>
      <c r="G7541" s="22">
        <f>(C7541 * E7541 + C7541 * E7541 * F7541)</f>
      </c>
    </row>
    <row r="7542">
      <c r="A7542" s="5"/>
      <c r="B7542" s="16" t="s">
        <v>2589</v>
      </c>
      <c r="C7542" s="22">
        <f>(37)*(1)*(1)*(1)*(1 + (0))</f>
      </c>
      <c r="D7542" s="22" t="s">
        <v>162</v>
      </c>
      <c r="E7542" s="22"/>
      <c r="F7542" s="22">
        <f>(0)</f>
      </c>
      <c r="G7542" s="22">
        <f>(C7542 * E7542 + C7542 * E7542 * F7542)</f>
      </c>
    </row>
    <row r="7543">
      <c r="A7543" s="5"/>
      <c r="B7543" s="16" t="s">
        <v>2590</v>
      </c>
      <c r="C7543" s="22">
        <f>(39)*(1)*(1)*(1)*(1 + (0))</f>
      </c>
      <c r="D7543" s="22" t="s">
        <v>162</v>
      </c>
      <c r="E7543" s="22"/>
      <c r="F7543" s="22">
        <f>(0)</f>
      </c>
      <c r="G7543" s="22">
        <f>(C7543 * E7543 + C7543 * E7543 * F7543)</f>
      </c>
    </row>
    <row r="7544">
      <c r="A7544" s="5"/>
      <c r="B7544" s="16" t="s">
        <v>2591</v>
      </c>
      <c r="C7544" s="22">
        <f>(17)*(1)*(1)*(1)*(1 + (0))</f>
      </c>
      <c r="D7544" s="22" t="s">
        <v>162</v>
      </c>
      <c r="E7544" s="22"/>
      <c r="F7544" s="22">
        <f>(0)</f>
      </c>
      <c r="G7544" s="22">
        <f>(C7544 * E7544 + C7544 * E7544 * F7544)</f>
      </c>
    </row>
    <row r="7545">
      <c r="A7545" s="6"/>
      <c r="B7545" s="15" t="s">
        <v>2592</v>
      </c>
      <c r="C7545" s="23"/>
      <c r="D7545" s="23"/>
      <c r="E7545" s="23"/>
      <c r="F7545" s="23"/>
      <c r="G7545" s="23"/>
    </row>
    <row r="7546">
      <c r="A7546" s="5"/>
      <c r="B7546" s="16" t="s">
        <v>2593</v>
      </c>
      <c r="C7546" s="22">
        <f>(82)*(1)*(1)*(1)*(1 + (0))</f>
      </c>
      <c r="D7546" s="22" t="s">
        <v>162</v>
      </c>
      <c r="E7546" s="22"/>
      <c r="F7546" s="22">
        <f>(0)</f>
      </c>
      <c r="G7546" s="22">
        <f>(C7546 * E7546 + C7546 * E7546 * F7546)</f>
      </c>
    </row>
    <row r="7547">
      <c r="A7547" s="5"/>
      <c r="B7547" s="16" t="s">
        <v>2594</v>
      </c>
      <c r="C7547" s="22">
        <f>(48)*(1)*(1)*(1)*(1 + (0))</f>
      </c>
      <c r="D7547" s="22" t="s">
        <v>162</v>
      </c>
      <c r="E7547" s="22"/>
      <c r="F7547" s="22">
        <f>(0)</f>
      </c>
      <c r="G7547" s="22">
        <f>(C7547 * E7547 + C7547 * E7547 * F7547)</f>
      </c>
    </row>
    <row r="7548">
      <c r="A7548" s="5"/>
      <c r="B7548" s="16" t="s">
        <v>2595</v>
      </c>
      <c r="C7548" s="22">
        <f>(26)*(1)*(1)*(1)*(1 + (0))</f>
      </c>
      <c r="D7548" s="22" t="s">
        <v>162</v>
      </c>
      <c r="E7548" s="22"/>
      <c r="F7548" s="22">
        <f>(0)</f>
      </c>
      <c r="G7548" s="22">
        <f>(C7548 * E7548 + C7548 * E7548 * F7548)</f>
      </c>
    </row>
    <row r="7549">
      <c r="A7549" s="5"/>
      <c r="B7549" s="16" t="s">
        <v>2596</v>
      </c>
      <c r="C7549" s="22">
        <f>(37)*(1)*(1)*(1)*(1 + (0))</f>
      </c>
      <c r="D7549" s="22" t="s">
        <v>162</v>
      </c>
      <c r="E7549" s="22"/>
      <c r="F7549" s="22">
        <f>(0)</f>
      </c>
      <c r="G7549" s="22">
        <f>(C7549 * E7549 + C7549 * E7549 * F7549)</f>
      </c>
    </row>
    <row r="7550">
      <c r="A7550" s="5"/>
      <c r="B7550" s="16" t="s">
        <v>2597</v>
      </c>
      <c r="C7550" s="22">
        <f>(76)*(1)*(1)*(1)*(1 + (0))</f>
      </c>
      <c r="D7550" s="22" t="s">
        <v>162</v>
      </c>
      <c r="E7550" s="22"/>
      <c r="F7550" s="22">
        <f>(0)</f>
      </c>
      <c r="G7550" s="22">
        <f>(C7550 * E7550 + C7550 * E7550 * F7550)</f>
      </c>
    </row>
    <row r="7551">
      <c r="A7551" s="5"/>
      <c r="B7551" s="16" t="s">
        <v>2598</v>
      </c>
      <c r="C7551" s="22">
        <f>(40)*(1)*(1)*(1)*(1 + (0))</f>
      </c>
      <c r="D7551" s="22" t="s">
        <v>162</v>
      </c>
      <c r="E7551" s="22"/>
      <c r="F7551" s="22">
        <f>(0)</f>
      </c>
      <c r="G7551" s="22">
        <f>(C7551 * E7551 + C7551 * E7551 * F7551)</f>
      </c>
    </row>
    <row r="7552">
      <c r="A7552" s="5"/>
      <c r="B7552" s="16" t="s">
        <v>2599</v>
      </c>
      <c r="C7552" s="22">
        <f>(73)*(1)*(1)*(1)*(1 + (0))</f>
      </c>
      <c r="D7552" s="22" t="s">
        <v>162</v>
      </c>
      <c r="E7552" s="22"/>
      <c r="F7552" s="22">
        <f>(0)</f>
      </c>
      <c r="G7552" s="22">
        <f>(C7552 * E7552 + C7552 * E7552 * F7552)</f>
      </c>
    </row>
    <row r="7553">
      <c r="A7553" s="5"/>
      <c r="B7553" s="16" t="s">
        <v>2600</v>
      </c>
      <c r="C7553" s="22">
        <f>(94)*(1)*(1)*(1)*(1 + (0))</f>
      </c>
      <c r="D7553" s="22" t="s">
        <v>162</v>
      </c>
      <c r="E7553" s="22"/>
      <c r="F7553" s="22">
        <f>(0)</f>
      </c>
      <c r="G7553" s="22">
        <f>(C7553 * E7553 + C7553 * E7553 * F7553)</f>
      </c>
    </row>
    <row r="7554">
      <c r="A7554" s="5"/>
      <c r="B7554" s="16" t="s">
        <v>2601</v>
      </c>
      <c r="C7554" s="22">
        <f>(43)*(1)*(1)*(1)*(1 + (0))</f>
      </c>
      <c r="D7554" s="22" t="s">
        <v>162</v>
      </c>
      <c r="E7554" s="22"/>
      <c r="F7554" s="22">
        <f>(0)</f>
      </c>
      <c r="G7554" s="22">
        <f>(C7554 * E7554 + C7554 * E7554 * F7554)</f>
      </c>
    </row>
    <row r="7555">
      <c r="A7555" s="6"/>
      <c r="B7555" s="15" t="s">
        <v>2512</v>
      </c>
      <c r="C7555" s="23"/>
      <c r="D7555" s="23"/>
      <c r="E7555" s="23"/>
      <c r="F7555" s="23"/>
      <c r="G7555" s="23"/>
    </row>
    <row r="7556">
      <c r="A7556" s="5"/>
      <c r="B7556" s="16" t="s">
        <v>2602</v>
      </c>
      <c r="C7556" s="22">
        <f>(64)*(1)*(1)*(1)*(1 + (0))</f>
      </c>
      <c r="D7556" s="22" t="s">
        <v>162</v>
      </c>
      <c r="E7556" s="22"/>
      <c r="F7556" s="22">
        <f>(0)</f>
      </c>
      <c r="G7556" s="22">
        <f>(C7556 * E7556 + C7556 * E7556 * F7556)</f>
      </c>
    </row>
    <row r="7557">
      <c r="A7557" s="5"/>
      <c r="B7557" s="16" t="s">
        <v>2603</v>
      </c>
      <c r="C7557" s="22">
        <f>(86)*(1)*(1)*(1)*(1 + (0))</f>
      </c>
      <c r="D7557" s="22" t="s">
        <v>162</v>
      </c>
      <c r="E7557" s="22"/>
      <c r="F7557" s="22">
        <f>(0)</f>
      </c>
      <c r="G7557" s="22">
        <f>(C7557 * E7557 + C7557 * E7557 * F7557)</f>
      </c>
    </row>
    <row r="7558">
      <c r="A7558" s="5"/>
      <c r="B7558" s="16" t="s">
        <v>2604</v>
      </c>
      <c r="C7558" s="22">
        <f>(52)*(1)*(1)*(1)*(1 + (0))</f>
      </c>
      <c r="D7558" s="22" t="s">
        <v>162</v>
      </c>
      <c r="E7558" s="22"/>
      <c r="F7558" s="22">
        <f>(0)</f>
      </c>
      <c r="G7558" s="22">
        <f>(C7558 * E7558 + C7558 * E7558 * F7558)</f>
      </c>
    </row>
    <row r="7559">
      <c r="A7559" s="5"/>
      <c r="B7559" s="16" t="s">
        <v>2605</v>
      </c>
      <c r="C7559" s="22">
        <f>(41)*(1)*(1)*(1)*(1 + (0))</f>
      </c>
      <c r="D7559" s="22" t="s">
        <v>162</v>
      </c>
      <c r="E7559" s="22"/>
      <c r="F7559" s="22">
        <f>(0)</f>
      </c>
      <c r="G7559" s="22">
        <f>(C7559 * E7559 + C7559 * E7559 * F7559)</f>
      </c>
    </row>
    <row r="7560">
      <c r="A7560" s="5"/>
      <c r="B7560" s="16" t="s">
        <v>2606</v>
      </c>
      <c r="C7560" s="22">
        <f>(8)*(1)*(1)*(1)*(1 + (0))</f>
      </c>
      <c r="D7560" s="22" t="s">
        <v>162</v>
      </c>
      <c r="E7560" s="22"/>
      <c r="F7560" s="22">
        <f>(0)</f>
      </c>
      <c r="G7560" s="22">
        <f>(C7560 * E7560 + C7560 * E7560 * F7560)</f>
      </c>
    </row>
    <row r="7561">
      <c r="A7561" s="5"/>
      <c r="B7561" s="16" t="s">
        <v>2607</v>
      </c>
      <c r="C7561" s="22">
        <f>(41)*(1)*(1)*(1)*(1 + (0))</f>
      </c>
      <c r="D7561" s="22" t="s">
        <v>162</v>
      </c>
      <c r="E7561" s="22"/>
      <c r="F7561" s="22">
        <f>(0)</f>
      </c>
      <c r="G7561" s="22">
        <f>(C7561 * E7561 + C7561 * E7561 * F7561)</f>
      </c>
    </row>
    <row r="7562">
      <c r="A7562" s="5"/>
      <c r="B7562" s="16" t="s">
        <v>2608</v>
      </c>
      <c r="C7562" s="22">
        <f>(25)*(1)*(1)*(1)*(1 + (0))</f>
      </c>
      <c r="D7562" s="22" t="s">
        <v>162</v>
      </c>
      <c r="E7562" s="22"/>
      <c r="F7562" s="22">
        <f>(0)</f>
      </c>
      <c r="G7562" s="22">
        <f>(C7562 * E7562 + C7562 * E7562 * F7562)</f>
      </c>
    </row>
    <row r="7563">
      <c r="A7563" s="5"/>
      <c r="B7563" s="16" t="s">
        <v>2609</v>
      </c>
      <c r="C7563" s="22">
        <f>(41)*(1)*(1)*(1)*(1 + (0))</f>
      </c>
      <c r="D7563" s="22" t="s">
        <v>162</v>
      </c>
      <c r="E7563" s="22"/>
      <c r="F7563" s="22">
        <f>(0)</f>
      </c>
      <c r="G7563" s="22">
        <f>(C7563 * E7563 + C7563 * E7563 * F7563)</f>
      </c>
    </row>
    <row r="7564">
      <c r="A7564" s="5"/>
      <c r="B7564" s="16" t="s">
        <v>2610</v>
      </c>
      <c r="C7564" s="22">
        <f>(106)*(1)*(1)*(1)*(1 + (0))</f>
      </c>
      <c r="D7564" s="22" t="s">
        <v>162</v>
      </c>
      <c r="E7564" s="22"/>
      <c r="F7564" s="22">
        <f>(0)</f>
      </c>
      <c r="G7564" s="22">
        <f>(C7564 * E7564 + C7564 * E7564 * F7564)</f>
      </c>
    </row>
    <row r="7565">
      <c r="A7565" s="5"/>
      <c r="B7565" s="16" t="s">
        <v>2611</v>
      </c>
      <c r="C7565" s="22">
        <f>(51)*(1)*(1)*(1)*(1 + (0))</f>
      </c>
      <c r="D7565" s="22" t="s">
        <v>162</v>
      </c>
      <c r="E7565" s="22"/>
      <c r="F7565" s="22">
        <f>(0)</f>
      </c>
      <c r="G7565" s="22">
        <f>(C7565 * E7565 + C7565 * E7565 * F7565)</f>
      </c>
    </row>
    <row r="7566">
      <c r="A7566" s="5"/>
      <c r="B7566" s="16" t="s">
        <v>2612</v>
      </c>
      <c r="C7566" s="22">
        <f>(86)*(1)*(1)*(1)*(1 + (0))</f>
      </c>
      <c r="D7566" s="22" t="s">
        <v>162</v>
      </c>
      <c r="E7566" s="22"/>
      <c r="F7566" s="22">
        <f>(0)</f>
      </c>
      <c r="G7566" s="22">
        <f>(C7566 * E7566 + C7566 * E7566 * F7566)</f>
      </c>
    </row>
    <row r="7567">
      <c r="A7567" s="6"/>
      <c r="B7567" s="15" t="s">
        <v>2517</v>
      </c>
      <c r="C7567" s="23"/>
      <c r="D7567" s="23"/>
      <c r="E7567" s="23"/>
      <c r="F7567" s="23"/>
      <c r="G7567" s="23"/>
    </row>
    <row r="7568">
      <c r="A7568" s="5"/>
      <c r="B7568" s="16" t="s">
        <v>2613</v>
      </c>
      <c r="C7568" s="22">
        <f>(13)*(1)*(1)*(1)*(1 + (0))</f>
      </c>
      <c r="D7568" s="22" t="s">
        <v>162</v>
      </c>
      <c r="E7568" s="22"/>
      <c r="F7568" s="22">
        <f>(0)</f>
      </c>
      <c r="G7568" s="22">
        <f>(C7568 * E7568 + C7568 * E7568 * F7568)</f>
      </c>
    </row>
    <row r="7569">
      <c r="A7569" s="5"/>
      <c r="B7569" s="16" t="s">
        <v>2614</v>
      </c>
      <c r="C7569" s="22">
        <f>(50)*(1)*(1)*(1)*(1 + (0))</f>
      </c>
      <c r="D7569" s="22" t="s">
        <v>162</v>
      </c>
      <c r="E7569" s="22"/>
      <c r="F7569" s="22">
        <f>(0)</f>
      </c>
      <c r="G7569" s="22">
        <f>(C7569 * E7569 + C7569 * E7569 * F7569)</f>
      </c>
    </row>
    <row r="7570">
      <c r="A7570" s="5"/>
      <c r="B7570" s="16" t="s">
        <v>2615</v>
      </c>
      <c r="C7570" s="22">
        <f>(62)*(1)*(1)*(1)*(1 + (0))</f>
      </c>
      <c r="D7570" s="22" t="s">
        <v>162</v>
      </c>
      <c r="E7570" s="22"/>
      <c r="F7570" s="22">
        <f>(0)</f>
      </c>
      <c r="G7570" s="22">
        <f>(C7570 * E7570 + C7570 * E7570 * F7570)</f>
      </c>
    </row>
    <row r="7571">
      <c r="A7571" s="5"/>
      <c r="B7571" s="16" t="s">
        <v>2616</v>
      </c>
      <c r="C7571" s="22">
        <f>(77)*(1)*(1)*(1)*(1 + (0))</f>
      </c>
      <c r="D7571" s="22" t="s">
        <v>162</v>
      </c>
      <c r="E7571" s="22"/>
      <c r="F7571" s="22">
        <f>(0)</f>
      </c>
      <c r="G7571" s="22">
        <f>(C7571 * E7571 + C7571 * E7571 * F7571)</f>
      </c>
    </row>
    <row r="7572">
      <c r="A7572" s="5"/>
      <c r="B7572" s="16" t="s">
        <v>2617</v>
      </c>
      <c r="C7572" s="22">
        <f>(220)*(1)*(1)*(1)*(1 + (0))</f>
      </c>
      <c r="D7572" s="22" t="s">
        <v>162</v>
      </c>
      <c r="E7572" s="22"/>
      <c r="F7572" s="22">
        <f>(0)</f>
      </c>
      <c r="G7572" s="22">
        <f>(C7572 * E7572 + C7572 * E7572 * F7572)</f>
      </c>
    </row>
    <row r="7573">
      <c r="A7573" s="5"/>
      <c r="B7573" s="16" t="s">
        <v>2618</v>
      </c>
      <c r="C7573" s="22">
        <f>(231)*(1)*(1)*(1)*(1 + (0))</f>
      </c>
      <c r="D7573" s="22" t="s">
        <v>162</v>
      </c>
      <c r="E7573" s="22"/>
      <c r="F7573" s="22">
        <f>(0)</f>
      </c>
      <c r="G7573" s="22">
        <f>(C7573 * E7573 + C7573 * E7573 * F7573)</f>
      </c>
    </row>
    <row r="7574">
      <c r="A7574" s="5"/>
      <c r="B7574" s="16" t="s">
        <v>2619</v>
      </c>
      <c r="C7574" s="22">
        <f>(324)*(1)*(1)*(1)*(1 + (0))</f>
      </c>
      <c r="D7574" s="22" t="s">
        <v>162</v>
      </c>
      <c r="E7574" s="22"/>
      <c r="F7574" s="22">
        <f>(0)</f>
      </c>
      <c r="G7574" s="22">
        <f>(C7574 * E7574 + C7574 * E7574 * F7574)</f>
      </c>
    </row>
    <row r="7575">
      <c r="A7575" s="5"/>
      <c r="B7575" s="16" t="s">
        <v>2620</v>
      </c>
      <c r="C7575" s="22">
        <f>(182)*(1)*(1)*(1)*(1 + (0))</f>
      </c>
      <c r="D7575" s="22" t="s">
        <v>162</v>
      </c>
      <c r="E7575" s="22"/>
      <c r="F7575" s="22">
        <f>(0)</f>
      </c>
      <c r="G7575" s="22">
        <f>(C7575 * E7575 + C7575 * E7575 * F7575)</f>
      </c>
    </row>
    <row r="7576">
      <c r="A7576" s="5"/>
      <c r="B7576" s="16" t="s">
        <v>2621</v>
      </c>
      <c r="C7576" s="22">
        <f>(123)*(1)*(1)*(1)*(1 + (0))</f>
      </c>
      <c r="D7576" s="22" t="s">
        <v>162</v>
      </c>
      <c r="E7576" s="22"/>
      <c r="F7576" s="22">
        <f>(0)</f>
      </c>
      <c r="G7576" s="22">
        <f>(C7576 * E7576 + C7576 * E7576 * F7576)</f>
      </c>
    </row>
    <row r="7577">
      <c r="A7577" s="5"/>
      <c r="B7577" s="16" t="s">
        <v>2622</v>
      </c>
      <c r="C7577" s="22">
        <f>(39)*(1)*(1)*(1)*(1 + (0))</f>
      </c>
      <c r="D7577" s="22" t="s">
        <v>162</v>
      </c>
      <c r="E7577" s="22"/>
      <c r="F7577" s="22">
        <f>(0)</f>
      </c>
      <c r="G7577" s="22">
        <f>(C7577 * E7577 + C7577 * E7577 * F7577)</f>
      </c>
    </row>
    <row r="7578">
      <c r="A7578" s="5"/>
      <c r="B7578" s="16" t="s">
        <v>2623</v>
      </c>
      <c r="C7578" s="22">
        <f>(140)*(1)*(1)*(1)*(1 + (0))</f>
      </c>
      <c r="D7578" s="22" t="s">
        <v>162</v>
      </c>
      <c r="E7578" s="22"/>
      <c r="F7578" s="22">
        <f>(0)</f>
      </c>
      <c r="G7578" s="22">
        <f>(C7578 * E7578 + C7578 * E7578 * F7578)</f>
      </c>
    </row>
    <row r="7579">
      <c r="A7579" s="5"/>
      <c r="B7579" s="16" t="s">
        <v>2624</v>
      </c>
      <c r="C7579" s="22">
        <f>(92)*(1)*(1)*(1)*(1 + (0))</f>
      </c>
      <c r="D7579" s="22" t="s">
        <v>162</v>
      </c>
      <c r="E7579" s="22"/>
      <c r="F7579" s="22">
        <f>(0)</f>
      </c>
      <c r="G7579" s="22">
        <f>(C7579 * E7579 + C7579 * E7579 * F7579)</f>
      </c>
    </row>
    <row r="7580">
      <c r="A7580" s="5"/>
      <c r="B7580" s="16" t="s">
        <v>2625</v>
      </c>
      <c r="C7580" s="22">
        <f>(42)*(1)*(1)*(1)*(1 + (0))</f>
      </c>
      <c r="D7580" s="22" t="s">
        <v>162</v>
      </c>
      <c r="E7580" s="22"/>
      <c r="F7580" s="22">
        <f>(0)</f>
      </c>
      <c r="G7580" s="22">
        <f>(C7580 * E7580 + C7580 * E7580 * F7580)</f>
      </c>
    </row>
    <row r="7581">
      <c r="A7581" s="5"/>
      <c r="B7581" s="16" t="s">
        <v>2626</v>
      </c>
      <c r="C7581" s="22">
        <f>(238)*(1)*(1)*(1)*(1 + (0))</f>
      </c>
      <c r="D7581" s="22" t="s">
        <v>162</v>
      </c>
      <c r="E7581" s="22"/>
      <c r="F7581" s="22">
        <f>(0)</f>
      </c>
      <c r="G7581" s="22">
        <f>(C7581 * E7581 + C7581 * E7581 * F7581)</f>
      </c>
    </row>
    <row r="7582">
      <c r="A7582" s="5"/>
      <c r="B7582" s="16" t="s">
        <v>2627</v>
      </c>
      <c r="C7582" s="22">
        <f>(172)*(1)*(1)*(1)*(1 + (0))</f>
      </c>
      <c r="D7582" s="22" t="s">
        <v>162</v>
      </c>
      <c r="E7582" s="22"/>
      <c r="F7582" s="22">
        <f>(0)</f>
      </c>
      <c r="G7582" s="22">
        <f>(C7582 * E7582 + C7582 * E7582 * F7582)</f>
      </c>
    </row>
    <row r="7583">
      <c r="A7583" s="5"/>
      <c r="B7583" s="16" t="s">
        <v>2628</v>
      </c>
      <c r="C7583" s="22">
        <f>(344)*(1)*(1)*(1)*(1 + (0))</f>
      </c>
      <c r="D7583" s="22" t="s">
        <v>162</v>
      </c>
      <c r="E7583" s="22"/>
      <c r="F7583" s="22">
        <f>(0)</f>
      </c>
      <c r="G7583" s="22">
        <f>(C7583 * E7583 + C7583 * E7583 * F7583)</f>
      </c>
    </row>
    <row r="7584">
      <c r="A7584" s="5"/>
      <c r="B7584" s="16" t="s">
        <v>2629</v>
      </c>
      <c r="C7584" s="22">
        <f>(238)*(1)*(1)*(1)*(1 + (0))</f>
      </c>
      <c r="D7584" s="22" t="s">
        <v>162</v>
      </c>
      <c r="E7584" s="22"/>
      <c r="F7584" s="22">
        <f>(0)</f>
      </c>
      <c r="G7584" s="22">
        <f>(C7584 * E7584 + C7584 * E7584 * F7584)</f>
      </c>
    </row>
    <row r="7585">
      <c r="A7585" s="5"/>
      <c r="B7585" s="16" t="s">
        <v>2630</v>
      </c>
      <c r="C7585" s="22">
        <f>(25)*(1)*(1)*(1)*(1 + (0))</f>
      </c>
      <c r="D7585" s="22" t="s">
        <v>162</v>
      </c>
      <c r="E7585" s="22"/>
      <c r="F7585" s="22">
        <f>(0)</f>
      </c>
      <c r="G7585" s="22">
        <f>(C7585 * E7585 + C7585 * E7585 * F7585)</f>
      </c>
    </row>
    <row r="7586">
      <c r="A7586" s="5"/>
      <c r="B7586" s="16" t="s">
        <v>2631</v>
      </c>
      <c r="C7586" s="22">
        <f>(85)*(1)*(1)*(1)*(1 + (0))</f>
      </c>
      <c r="D7586" s="22" t="s">
        <v>162</v>
      </c>
      <c r="E7586" s="22"/>
      <c r="F7586" s="22">
        <f>(0)</f>
      </c>
      <c r="G7586" s="22">
        <f>(C7586 * E7586 + C7586 * E7586 * F7586)</f>
      </c>
    </row>
    <row r="7587">
      <c r="A7587" s="5"/>
      <c r="B7587" s="16" t="s">
        <v>2632</v>
      </c>
      <c r="C7587" s="22">
        <f>(85)*(1)*(1)*(1)*(1 + (0))</f>
      </c>
      <c r="D7587" s="22" t="s">
        <v>162</v>
      </c>
      <c r="E7587" s="22"/>
      <c r="F7587" s="22">
        <f>(0)</f>
      </c>
      <c r="G7587" s="22">
        <f>(C7587 * E7587 + C7587 * E7587 * F7587)</f>
      </c>
    </row>
    <row r="7588">
      <c r="A7588" s="3"/>
      <c r="B7588" s="11" t="s">
        <v>2633</v>
      </c>
      <c r="C7588" s="20"/>
      <c r="D7588" s="20"/>
      <c r="E7588" s="20"/>
      <c r="F7588" s="20"/>
      <c r="G7588" s="20"/>
    </row>
    <row r="7589">
      <c r="A7589" s="4"/>
      <c r="B7589" s="12" t="s">
        <v>2634</v>
      </c>
      <c r="C7589" s="21"/>
      <c r="D7589" s="21"/>
      <c r="E7589" s="21"/>
      <c r="F7589" s="21"/>
      <c r="G7589" s="21"/>
    </row>
    <row r="7590">
      <c r="A7590" s="6"/>
      <c r="B7590" s="15" t="s">
        <v>2521</v>
      </c>
      <c r="C7590" s="23"/>
      <c r="D7590" s="23"/>
      <c r="E7590" s="23"/>
      <c r="F7590" s="23"/>
      <c r="G7590" s="23"/>
    </row>
    <row r="7591">
      <c r="A7591" s="5"/>
      <c r="B7591" s="16" t="s">
        <v>2635</v>
      </c>
      <c r="C7591" s="22">
        <f>(141)*(1)*(1)*(1)*(1 + (0))</f>
      </c>
      <c r="D7591" s="22" t="s">
        <v>24</v>
      </c>
      <c r="E7591" s="22"/>
      <c r="F7591" s="22">
        <f>(0)</f>
      </c>
      <c r="G7591" s="22">
        <f>(C7591 * E7591 + C7591 * E7591 * F7591)</f>
      </c>
    </row>
    <row r="7592">
      <c r="A7592" s="5"/>
      <c r="B7592" s="16" t="s">
        <v>2636</v>
      </c>
      <c r="C7592" s="22">
        <f>(141)*(1)*(1)*(1)*(1 + (0))</f>
      </c>
      <c r="D7592" s="22" t="s">
        <v>24</v>
      </c>
      <c r="E7592" s="22"/>
      <c r="F7592" s="22">
        <f>(0)</f>
      </c>
      <c r="G7592" s="22">
        <f>(C7592 * E7592 + C7592 * E7592 * F7592)</f>
      </c>
    </row>
    <row r="7593">
      <c r="A7593" s="5"/>
      <c r="B7593" s="16" t="s">
        <v>2637</v>
      </c>
      <c r="C7593" s="22">
        <f>(141)*(1)*(1)*(1)*(1 + (0))</f>
      </c>
      <c r="D7593" s="22" t="s">
        <v>24</v>
      </c>
      <c r="E7593" s="22"/>
      <c r="F7593" s="22">
        <f>(0)</f>
      </c>
      <c r="G7593" s="22">
        <f>(C7593 * E7593 + C7593 * E7593 * F7593)</f>
      </c>
    </row>
    <row r="7594">
      <c r="A7594" s="5"/>
      <c r="B7594" s="16" t="s">
        <v>2638</v>
      </c>
      <c r="C7594" s="22">
        <f>(141)*(1)*(1)*(1)*(1 + (0))</f>
      </c>
      <c r="D7594" s="22" t="s">
        <v>24</v>
      </c>
      <c r="E7594" s="22"/>
      <c r="F7594" s="22">
        <f>(0)</f>
      </c>
      <c r="G7594" s="22">
        <f>(C7594 * E7594 + C7594 * E7594 * F7594)</f>
      </c>
    </row>
    <row r="7595">
      <c r="A7595" s="5"/>
      <c r="B7595" s="16" t="s">
        <v>2639</v>
      </c>
      <c r="C7595" s="22">
        <f>(43)*(1)*(1)*(1)*(1 + (0))</f>
      </c>
      <c r="D7595" s="22" t="s">
        <v>111</v>
      </c>
      <c r="E7595" s="22"/>
      <c r="F7595" s="22">
        <f>(0)</f>
      </c>
      <c r="G7595" s="22">
        <f>(C7595 * E7595 + C7595 * E7595 * F7595)</f>
      </c>
    </row>
    <row r="7596">
      <c r="A7596" s="6"/>
      <c r="B7596" s="15" t="s">
        <v>2542</v>
      </c>
      <c r="C7596" s="23"/>
      <c r="D7596" s="23"/>
      <c r="E7596" s="23"/>
      <c r="F7596" s="23"/>
      <c r="G7596" s="23"/>
    </row>
    <row r="7597">
      <c r="A7597" s="5"/>
      <c r="B7597" s="16" t="s">
        <v>2635</v>
      </c>
      <c r="C7597" s="22">
        <f>(1432)*(1)*(1)*(1)*(1 + (0))</f>
      </c>
      <c r="D7597" s="22" t="s">
        <v>24</v>
      </c>
      <c r="E7597" s="22"/>
      <c r="F7597" s="22">
        <f>(0)</f>
      </c>
      <c r="G7597" s="22">
        <f>(C7597 * E7597 + C7597 * E7597 * F7597)</f>
      </c>
    </row>
    <row r="7598">
      <c r="A7598" s="5"/>
      <c r="B7598" s="16" t="s">
        <v>2636</v>
      </c>
      <c r="C7598" s="22">
        <f>(1432)*(1)*(1)*(1)*(1 + (0))</f>
      </c>
      <c r="D7598" s="22" t="s">
        <v>24</v>
      </c>
      <c r="E7598" s="22"/>
      <c r="F7598" s="22">
        <f>(0)</f>
      </c>
      <c r="G7598" s="22">
        <f>(C7598 * E7598 + C7598 * E7598 * F7598)</f>
      </c>
    </row>
    <row r="7599">
      <c r="A7599" s="5"/>
      <c r="B7599" s="16" t="s">
        <v>2637</v>
      </c>
      <c r="C7599" s="22">
        <f>(1432)*(1)*(1)*(1)*(1 + (0))</f>
      </c>
      <c r="D7599" s="22" t="s">
        <v>24</v>
      </c>
      <c r="E7599" s="22"/>
      <c r="F7599" s="22">
        <f>(0)</f>
      </c>
      <c r="G7599" s="22">
        <f>(C7599 * E7599 + C7599 * E7599 * F7599)</f>
      </c>
    </row>
    <row r="7600">
      <c r="A7600" s="5"/>
      <c r="B7600" s="16" t="s">
        <v>2638</v>
      </c>
      <c r="C7600" s="22">
        <f>(1432)*(1)*(1)*(1)*(1 + (0))</f>
      </c>
      <c r="D7600" s="22" t="s">
        <v>24</v>
      </c>
      <c r="E7600" s="22"/>
      <c r="F7600" s="22">
        <f>(0)</f>
      </c>
      <c r="G7600" s="22">
        <f>(C7600 * E7600 + C7600 * E7600 * F7600)</f>
      </c>
    </row>
    <row r="7601">
      <c r="A7601" s="5"/>
      <c r="B7601" s="16" t="s">
        <v>2639</v>
      </c>
      <c r="C7601" s="22">
        <f>(430)*(1)*(1)*(1)*(1 + (0))</f>
      </c>
      <c r="D7601" s="22" t="s">
        <v>111</v>
      </c>
      <c r="E7601" s="22"/>
      <c r="F7601" s="22">
        <f>(0)</f>
      </c>
      <c r="G7601" s="22">
        <f>(C7601 * E7601 + C7601 * E7601 * F7601)</f>
      </c>
    </row>
    <row r="7602">
      <c r="A7602" s="6"/>
      <c r="B7602" s="15" t="s">
        <v>2559</v>
      </c>
      <c r="C7602" s="23"/>
      <c r="D7602" s="23"/>
      <c r="E7602" s="23"/>
      <c r="F7602" s="23"/>
      <c r="G7602" s="23"/>
    </row>
    <row r="7603">
      <c r="A7603" s="5"/>
      <c r="B7603" s="16" t="s">
        <v>2635</v>
      </c>
      <c r="C7603" s="22">
        <f>(70)*(1)*(1)*(1)*(1 + (0))</f>
      </c>
      <c r="D7603" s="22" t="s">
        <v>24</v>
      </c>
      <c r="E7603" s="22"/>
      <c r="F7603" s="22">
        <f>(0)</f>
      </c>
      <c r="G7603" s="22">
        <f>(C7603 * E7603 + C7603 * E7603 * F7603)</f>
      </c>
    </row>
    <row r="7604">
      <c r="A7604" s="5"/>
      <c r="B7604" s="16" t="s">
        <v>2636</v>
      </c>
      <c r="C7604" s="22">
        <f>(70)*(1)*(1)*(1)*(1 + (0))</f>
      </c>
      <c r="D7604" s="22" t="s">
        <v>24</v>
      </c>
      <c r="E7604" s="22"/>
      <c r="F7604" s="22">
        <f>(0)</f>
      </c>
      <c r="G7604" s="22">
        <f>(C7604 * E7604 + C7604 * E7604 * F7604)</f>
      </c>
    </row>
    <row r="7605">
      <c r="A7605" s="5"/>
      <c r="B7605" s="16" t="s">
        <v>2637</v>
      </c>
      <c r="C7605" s="22">
        <f>(70)*(1)*(1)*(1)*(1 + (0))</f>
      </c>
      <c r="D7605" s="22" t="s">
        <v>24</v>
      </c>
      <c r="E7605" s="22"/>
      <c r="F7605" s="22">
        <f>(0)</f>
      </c>
      <c r="G7605" s="22">
        <f>(C7605 * E7605 + C7605 * E7605 * F7605)</f>
      </c>
    </row>
    <row r="7606">
      <c r="A7606" s="5"/>
      <c r="B7606" s="16" t="s">
        <v>2640</v>
      </c>
      <c r="C7606" s="22">
        <f>(70)*(1)*(1)*(1)*(1 + (0))</f>
      </c>
      <c r="D7606" s="22" t="s">
        <v>24</v>
      </c>
      <c r="E7606" s="22"/>
      <c r="F7606" s="22">
        <f>(0)</f>
      </c>
      <c r="G7606" s="22">
        <f>(C7606 * E7606 + C7606 * E7606 * F7606)</f>
      </c>
    </row>
    <row r="7607">
      <c r="A7607" s="5"/>
      <c r="B7607" s="16" t="s">
        <v>2639</v>
      </c>
      <c r="C7607" s="22">
        <f>(21)*(1)*(1)*(1)*(1 + (0))</f>
      </c>
      <c r="D7607" s="22" t="s">
        <v>111</v>
      </c>
      <c r="E7607" s="22"/>
      <c r="F7607" s="22">
        <f>(0)</f>
      </c>
      <c r="G7607" s="22">
        <f>(C7607 * E7607 + C7607 * E7607 * F7607)</f>
      </c>
    </row>
    <row r="7608">
      <c r="A7608" s="6"/>
      <c r="B7608" s="15" t="s">
        <v>2641</v>
      </c>
      <c r="C7608" s="23"/>
      <c r="D7608" s="23"/>
      <c r="E7608" s="23"/>
      <c r="F7608" s="23"/>
      <c r="G7608" s="23"/>
    </row>
    <row r="7609">
      <c r="A7609" s="5"/>
      <c r="B7609" s="16" t="s">
        <v>2635</v>
      </c>
      <c r="C7609" s="22">
        <f>(90)*(1)*(1)*(1)*(1 + (0))</f>
      </c>
      <c r="D7609" s="22" t="s">
        <v>24</v>
      </c>
      <c r="E7609" s="22"/>
      <c r="F7609" s="22">
        <f>(0)</f>
      </c>
      <c r="G7609" s="22">
        <f>(C7609 * E7609 + C7609 * E7609 * F7609)</f>
      </c>
    </row>
    <row r="7610">
      <c r="A7610" s="5"/>
      <c r="B7610" s="16" t="s">
        <v>2636</v>
      </c>
      <c r="C7610" s="22">
        <f>(90)*(1)*(1)*(1)*(1 + (0))</f>
      </c>
      <c r="D7610" s="22" t="s">
        <v>24</v>
      </c>
      <c r="E7610" s="22"/>
      <c r="F7610" s="22">
        <f>(0)</f>
      </c>
      <c r="G7610" s="22">
        <f>(C7610 * E7610 + C7610 * E7610 * F7610)</f>
      </c>
    </row>
    <row r="7611">
      <c r="A7611" s="5"/>
      <c r="B7611" s="16" t="s">
        <v>2637</v>
      </c>
      <c r="C7611" s="22">
        <f>(90)*(1)*(1)*(1)*(1 + (0))</f>
      </c>
      <c r="D7611" s="22" t="s">
        <v>24</v>
      </c>
      <c r="E7611" s="22"/>
      <c r="F7611" s="22">
        <f>(0)</f>
      </c>
      <c r="G7611" s="22">
        <f>(C7611 * E7611 + C7611 * E7611 * F7611)</f>
      </c>
    </row>
    <row r="7612">
      <c r="A7612" s="5"/>
      <c r="B7612" s="16" t="s">
        <v>2640</v>
      </c>
      <c r="C7612" s="22">
        <f>(90)*(1)*(1)*(1)*(1 + (0))</f>
      </c>
      <c r="D7612" s="22" t="s">
        <v>24</v>
      </c>
      <c r="E7612" s="22"/>
      <c r="F7612" s="22">
        <f>(0)</f>
      </c>
      <c r="G7612" s="22">
        <f>(C7612 * E7612 + C7612 * E7612 * F7612)</f>
      </c>
    </row>
    <row r="7613">
      <c r="A7613" s="5"/>
      <c r="B7613" s="16" t="s">
        <v>2639</v>
      </c>
      <c r="C7613" s="22">
        <f>(27)*(1)*(1)*(1)*(1 + (0))</f>
      </c>
      <c r="D7613" s="22" t="s">
        <v>111</v>
      </c>
      <c r="E7613" s="22"/>
      <c r="F7613" s="22">
        <f>(0)</f>
      </c>
      <c r="G7613" s="22">
        <f>(C7613 * E7613 + C7613 * E7613 * F7613)</f>
      </c>
    </row>
    <row r="7614">
      <c r="A7614" s="6"/>
      <c r="B7614" s="15" t="s">
        <v>2642</v>
      </c>
      <c r="C7614" s="23"/>
      <c r="D7614" s="23"/>
      <c r="E7614" s="23"/>
      <c r="F7614" s="23"/>
      <c r="G7614" s="23"/>
    </row>
    <row r="7615">
      <c r="A7615" s="5"/>
      <c r="B7615" s="16" t="s">
        <v>2635</v>
      </c>
      <c r="C7615" s="22">
        <f>(107)*(1)*(1)*(1)*(1 + (0))</f>
      </c>
      <c r="D7615" s="22" t="s">
        <v>24</v>
      </c>
      <c r="E7615" s="22"/>
      <c r="F7615" s="22">
        <f>(0)</f>
      </c>
      <c r="G7615" s="22">
        <f>(C7615 * E7615 + C7615 * E7615 * F7615)</f>
      </c>
    </row>
    <row r="7616">
      <c r="A7616" s="5"/>
      <c r="B7616" s="16" t="s">
        <v>2636</v>
      </c>
      <c r="C7616" s="22">
        <f>(107)*(1)*(1)*(1)*(1 + (0))</f>
      </c>
      <c r="D7616" s="22" t="s">
        <v>24</v>
      </c>
      <c r="E7616" s="22"/>
      <c r="F7616" s="22">
        <f>(0)</f>
      </c>
      <c r="G7616" s="22">
        <f>(C7616 * E7616 + C7616 * E7616 * F7616)</f>
      </c>
    </row>
    <row r="7617">
      <c r="A7617" s="5"/>
      <c r="B7617" s="16" t="s">
        <v>2637</v>
      </c>
      <c r="C7617" s="22">
        <f>(107)*(1)*(1)*(1)*(1 + (0))</f>
      </c>
      <c r="D7617" s="22" t="s">
        <v>24</v>
      </c>
      <c r="E7617" s="22"/>
      <c r="F7617" s="22">
        <f>(0)</f>
      </c>
      <c r="G7617" s="22">
        <f>(C7617 * E7617 + C7617 * E7617 * F7617)</f>
      </c>
    </row>
    <row r="7618">
      <c r="A7618" s="5"/>
      <c r="B7618" s="16" t="s">
        <v>2640</v>
      </c>
      <c r="C7618" s="22">
        <f>(107)*(1)*(1)*(1)*(1 + (0))</f>
      </c>
      <c r="D7618" s="22" t="s">
        <v>24</v>
      </c>
      <c r="E7618" s="22"/>
      <c r="F7618" s="22">
        <f>(0)</f>
      </c>
      <c r="G7618" s="22">
        <f>(C7618 * E7618 + C7618 * E7618 * F7618)</f>
      </c>
    </row>
    <row r="7619">
      <c r="A7619" s="5"/>
      <c r="B7619" s="16" t="s">
        <v>2639</v>
      </c>
      <c r="C7619" s="22">
        <f>(33)*(1)*(1)*(1)*(1 + (0))</f>
      </c>
      <c r="D7619" s="22" t="s">
        <v>111</v>
      </c>
      <c r="E7619" s="22"/>
      <c r="F7619" s="22">
        <f>(0)</f>
      </c>
      <c r="G7619" s="22">
        <f>(C7619 * E7619 + C7619 * E7619 * F7619)</f>
      </c>
    </row>
    <row r="7620">
      <c r="A7620" s="6"/>
      <c r="B7620" s="15" t="s">
        <v>2643</v>
      </c>
      <c r="C7620" s="23"/>
      <c r="D7620" s="23"/>
      <c r="E7620" s="23"/>
      <c r="F7620" s="23"/>
      <c r="G7620" s="23"/>
    </row>
    <row r="7621">
      <c r="A7621" s="5"/>
      <c r="B7621" s="16" t="s">
        <v>2635</v>
      </c>
      <c r="C7621" s="22">
        <f>(114)*(1)*(1)*(1)*(1 + (0))</f>
      </c>
      <c r="D7621" s="22" t="s">
        <v>24</v>
      </c>
      <c r="E7621" s="22"/>
      <c r="F7621" s="22">
        <f>(0)</f>
      </c>
      <c r="G7621" s="22">
        <f>(C7621 * E7621 + C7621 * E7621 * F7621)</f>
      </c>
    </row>
    <row r="7622">
      <c r="A7622" s="5"/>
      <c r="B7622" s="16" t="s">
        <v>2636</v>
      </c>
      <c r="C7622" s="22">
        <f>(114)*(1)*(1)*(1)*(1 + (0))</f>
      </c>
      <c r="D7622" s="22" t="s">
        <v>24</v>
      </c>
      <c r="E7622" s="22"/>
      <c r="F7622" s="22">
        <f>(0)</f>
      </c>
      <c r="G7622" s="22">
        <f>(C7622 * E7622 + C7622 * E7622 * F7622)</f>
      </c>
    </row>
    <row r="7623">
      <c r="A7623" s="5"/>
      <c r="B7623" s="16" t="s">
        <v>2637</v>
      </c>
      <c r="C7623" s="22">
        <f>(114)*(1)*(1)*(1)*(1 + (0))</f>
      </c>
      <c r="D7623" s="22" t="s">
        <v>24</v>
      </c>
      <c r="E7623" s="22"/>
      <c r="F7623" s="22">
        <f>(0)</f>
      </c>
      <c r="G7623" s="22">
        <f>(C7623 * E7623 + C7623 * E7623 * F7623)</f>
      </c>
    </row>
    <row r="7624">
      <c r="A7624" s="5"/>
      <c r="B7624" s="16" t="s">
        <v>2640</v>
      </c>
      <c r="C7624" s="22">
        <f>(114)*(1)*(1)*(1)*(1 + (0))</f>
      </c>
      <c r="D7624" s="22" t="s">
        <v>24</v>
      </c>
      <c r="E7624" s="22"/>
      <c r="F7624" s="22">
        <f>(0)</f>
      </c>
      <c r="G7624" s="22">
        <f>(C7624 * E7624 + C7624 * E7624 * F7624)</f>
      </c>
    </row>
    <row r="7625">
      <c r="A7625" s="5"/>
      <c r="B7625" s="16" t="s">
        <v>2639</v>
      </c>
      <c r="C7625" s="22">
        <f>(35)*(1)*(1)*(1)*(1 + (0))</f>
      </c>
      <c r="D7625" s="22" t="s">
        <v>111</v>
      </c>
      <c r="E7625" s="22"/>
      <c r="F7625" s="22">
        <f>(0)</f>
      </c>
      <c r="G7625" s="22">
        <f>(C7625 * E7625 + C7625 * E7625 * F7625)</f>
      </c>
    </row>
    <row r="7626">
      <c r="A7626" s="6"/>
      <c r="B7626" s="15" t="s">
        <v>2644</v>
      </c>
      <c r="C7626" s="23"/>
      <c r="D7626" s="23"/>
      <c r="E7626" s="23"/>
      <c r="F7626" s="23"/>
      <c r="G7626" s="23"/>
    </row>
    <row r="7627">
      <c r="A7627" s="5"/>
      <c r="B7627" s="16" t="s">
        <v>2635</v>
      </c>
      <c r="C7627" s="22">
        <f>(496)*(1)*(1)*(1)*(1 + (0))</f>
      </c>
      <c r="D7627" s="22" t="s">
        <v>24</v>
      </c>
      <c r="E7627" s="22"/>
      <c r="F7627" s="22">
        <f>(0)</f>
      </c>
      <c r="G7627" s="22">
        <f>(C7627 * E7627 + C7627 * E7627 * F7627)</f>
      </c>
    </row>
    <row r="7628">
      <c r="A7628" s="5"/>
      <c r="B7628" s="16" t="s">
        <v>2636</v>
      </c>
      <c r="C7628" s="22">
        <f>(496)*(1)*(1)*(1)*(1 + (0))</f>
      </c>
      <c r="D7628" s="22" t="s">
        <v>24</v>
      </c>
      <c r="E7628" s="22"/>
      <c r="F7628" s="22">
        <f>(0)</f>
      </c>
      <c r="G7628" s="22">
        <f>(C7628 * E7628 + C7628 * E7628 * F7628)</f>
      </c>
    </row>
    <row r="7629">
      <c r="A7629" s="5"/>
      <c r="B7629" s="16" t="s">
        <v>2637</v>
      </c>
      <c r="C7629" s="22">
        <f>(496)*(1)*(1)*(1)*(1 + (0))</f>
      </c>
      <c r="D7629" s="22" t="s">
        <v>24</v>
      </c>
      <c r="E7629" s="22"/>
      <c r="F7629" s="22">
        <f>(0)</f>
      </c>
      <c r="G7629" s="22">
        <f>(C7629 * E7629 + C7629 * E7629 * F7629)</f>
      </c>
    </row>
    <row r="7630">
      <c r="A7630" s="5"/>
      <c r="B7630" s="16" t="s">
        <v>2640</v>
      </c>
      <c r="C7630" s="22">
        <f>(496)*(1)*(1)*(1)*(1 + (0))</f>
      </c>
      <c r="D7630" s="22" t="s">
        <v>24</v>
      </c>
      <c r="E7630" s="22"/>
      <c r="F7630" s="22">
        <f>(0)</f>
      </c>
      <c r="G7630" s="22">
        <f>(C7630 * E7630 + C7630 * E7630 * F7630)</f>
      </c>
    </row>
    <row r="7631">
      <c r="A7631" s="5"/>
      <c r="B7631" s="16" t="s">
        <v>2639</v>
      </c>
      <c r="C7631" s="22">
        <f>(149)*(1)*(1)*(1)*(1 + (0))</f>
      </c>
      <c r="D7631" s="22" t="s">
        <v>111</v>
      </c>
      <c r="E7631" s="22"/>
      <c r="F7631" s="22">
        <f>(0)</f>
      </c>
      <c r="G7631" s="22">
        <f>(C7631 * E7631 + C7631 * E7631 * F7631)</f>
      </c>
    </row>
    <row r="7632">
      <c r="A7632" s="4"/>
      <c r="B7632" s="12" t="s">
        <v>2645</v>
      </c>
      <c r="C7632" s="21"/>
      <c r="D7632" s="21"/>
      <c r="E7632" s="21"/>
      <c r="F7632" s="21"/>
      <c r="G7632" s="21"/>
    </row>
    <row r="7633">
      <c r="A7633" s="5"/>
      <c r="B7633" s="13" t="s">
        <v>2646</v>
      </c>
      <c r="C7633" s="22">
        <f>(314)*(1)*(1)*(1)*(1 + (0))</f>
      </c>
      <c r="D7633" s="22" t="s">
        <v>24</v>
      </c>
      <c r="E7633" s="22"/>
      <c r="F7633" s="22">
        <f>(0)</f>
      </c>
      <c r="G7633" s="22">
        <f>(C7633 * E7633 + C7633 * E7633 * F7633)</f>
      </c>
    </row>
    <row r="7634">
      <c r="A7634" s="5"/>
      <c r="B7634" s="13" t="s">
        <v>2647</v>
      </c>
      <c r="C7634" s="22">
        <f>(314)*(1)*(1)*(1)*(1 + (0))</f>
      </c>
      <c r="D7634" s="22" t="s">
        <v>24</v>
      </c>
      <c r="E7634" s="22"/>
      <c r="F7634" s="22">
        <f>(0)</f>
      </c>
      <c r="G7634" s="22">
        <f>(C7634 * E7634 + C7634 * E7634 * F7634)</f>
      </c>
    </row>
    <row r="7635">
      <c r="A7635" s="5"/>
      <c r="B7635" s="13" t="s">
        <v>2640</v>
      </c>
      <c r="C7635" s="22">
        <f>(314)*(1)*(1)*(1)*(1 + (0))</f>
      </c>
      <c r="D7635" s="22" t="s">
        <v>24</v>
      </c>
      <c r="E7635" s="22"/>
      <c r="F7635" s="22">
        <f>(0)</f>
      </c>
      <c r="G7635" s="22">
        <f>(C7635 * E7635 + C7635 * E7635 * F7635)</f>
      </c>
    </row>
    <row r="7636">
      <c r="A7636" s="5"/>
      <c r="B7636" s="13" t="s">
        <v>2648</v>
      </c>
      <c r="C7636" s="22">
        <f>(63)*(1)*(1)*(1)*(1 + (0))</f>
      </c>
      <c r="D7636" s="22" t="s">
        <v>111</v>
      </c>
      <c r="E7636" s="22"/>
      <c r="F7636" s="22">
        <f>(0)</f>
      </c>
      <c r="G7636" s="22">
        <f>(C7636 * E7636 + C7636 * E7636 * F7636)</f>
      </c>
    </row>
    <row r="7637">
      <c r="A7637" s="4"/>
      <c r="B7637" s="12" t="s">
        <v>2649</v>
      </c>
      <c r="C7637" s="21"/>
      <c r="D7637" s="21"/>
      <c r="E7637" s="21"/>
      <c r="F7637" s="21"/>
      <c r="G7637" s="21"/>
    </row>
    <row r="7638">
      <c r="A7638" s="5"/>
      <c r="B7638" s="13" t="s">
        <v>2650</v>
      </c>
      <c r="C7638" s="22">
        <f>(122)*(1)*(1)*(1)*(1 + (0))</f>
      </c>
      <c r="D7638" s="22" t="s">
        <v>162</v>
      </c>
      <c r="E7638" s="22"/>
      <c r="F7638" s="22">
        <f>(0)</f>
      </c>
      <c r="G7638" s="22">
        <f>(C7638 * E7638 + C7638 * E7638 * F7638)</f>
      </c>
    </row>
    <row r="7639">
      <c r="A7639" s="5"/>
      <c r="B7639" s="13" t="s">
        <v>2651</v>
      </c>
      <c r="C7639" s="22">
        <f>(122)*(1)*(1)*(1)*(1 + (0))</f>
      </c>
      <c r="D7639" s="22" t="s">
        <v>162</v>
      </c>
      <c r="E7639" s="22"/>
      <c r="F7639" s="22">
        <f>(0)</f>
      </c>
      <c r="G7639" s="22">
        <f>(C7639 * E7639 + C7639 * E7639 * F7639)</f>
      </c>
    </row>
    <row r="7640">
      <c r="A7640" s="5"/>
      <c r="B7640" s="13" t="s">
        <v>2652</v>
      </c>
      <c r="C7640" s="22">
        <f>(122)*(1)*(1)*(1)*(1 + (0))</f>
      </c>
      <c r="D7640" s="22" t="s">
        <v>162</v>
      </c>
      <c r="E7640" s="22"/>
      <c r="F7640" s="22">
        <f>(0)</f>
      </c>
      <c r="G7640" s="22">
        <f>(C7640 * E7640 + C7640 * E7640 * F7640)</f>
      </c>
    </row>
    <row r="7641">
      <c r="A7641" s="5"/>
      <c r="B7641" s="13" t="s">
        <v>2653</v>
      </c>
      <c r="C7641" s="22">
        <f>(122)*(1)*(1)*(1)*(1 + (0))</f>
      </c>
      <c r="D7641" s="22" t="s">
        <v>162</v>
      </c>
      <c r="E7641" s="22"/>
      <c r="F7641" s="22">
        <f>(0)</f>
      </c>
      <c r="G7641" s="22">
        <f>(C7641 * E7641 + C7641 * E7641 * F7641)</f>
      </c>
    </row>
    <row r="7642">
      <c r="A7642" s="4"/>
      <c r="B7642" s="12" t="s">
        <v>2654</v>
      </c>
      <c r="C7642" s="21"/>
      <c r="D7642" s="21"/>
      <c r="E7642" s="21"/>
      <c r="F7642" s="21"/>
      <c r="G7642" s="21"/>
    </row>
    <row r="7643">
      <c r="A7643" s="5"/>
      <c r="B7643" s="13" t="s">
        <v>2655</v>
      </c>
      <c r="C7643" s="22">
        <f>(15674)*(1)*(1)*(1)*(1 + (0))</f>
      </c>
      <c r="D7643" s="22" t="s">
        <v>24</v>
      </c>
      <c r="E7643" s="22"/>
      <c r="F7643" s="22">
        <f>(0)</f>
      </c>
      <c r="G7643" s="22">
        <f>(C7643 * E7643 + C7643 * E7643 * F7643)</f>
      </c>
    </row>
    <row r="7644">
      <c r="A7644" s="5"/>
      <c r="B7644" s="13" t="s">
        <v>2656</v>
      </c>
      <c r="C7644" s="22">
        <f>(15674)*(1)*(1)*(1)*(1 + (0))</f>
      </c>
      <c r="D7644" s="22" t="s">
        <v>24</v>
      </c>
      <c r="E7644" s="22"/>
      <c r="F7644" s="22">
        <f>(0)</f>
      </c>
      <c r="G7644" s="22">
        <f>(C7644 * E7644 + C7644 * E7644 * F7644)</f>
      </c>
    </row>
    <row r="7645">
      <c r="A7645" s="5"/>
      <c r="B7645" s="13" t="s">
        <v>2640</v>
      </c>
      <c r="C7645" s="22">
        <f>(15674)*(1)*(1)*(1)*(1 + (0))</f>
      </c>
      <c r="D7645" s="22" t="s">
        <v>24</v>
      </c>
      <c r="E7645" s="22"/>
      <c r="F7645" s="22">
        <f>(0)</f>
      </c>
      <c r="G7645" s="22">
        <f>(C7645 * E7645 + C7645 * E7645 * F7645)</f>
      </c>
    </row>
    <row r="7646">
      <c r="A7646" s="4"/>
      <c r="B7646" s="12" t="s">
        <v>2657</v>
      </c>
      <c r="C7646" s="21"/>
      <c r="D7646" s="21"/>
      <c r="E7646" s="21"/>
      <c r="F7646" s="21"/>
      <c r="G7646" s="21"/>
    </row>
    <row r="7647">
      <c r="A7647" s="5"/>
      <c r="B7647" s="13" t="s">
        <v>2658</v>
      </c>
      <c r="C7647" s="22">
        <f>(2967)*(1)*(1)*(1)*(1 + (0))</f>
      </c>
      <c r="D7647" s="22" t="s">
        <v>24</v>
      </c>
      <c r="E7647" s="22"/>
      <c r="F7647" s="22">
        <f>(0)</f>
      </c>
      <c r="G7647" s="22">
        <f>(C7647 * E7647 + C7647 * E7647 * F7647)</f>
      </c>
    </row>
    <row r="7648">
      <c r="A7648" s="4"/>
      <c r="B7648" s="12" t="s">
        <v>2659</v>
      </c>
      <c r="C7648" s="21"/>
      <c r="D7648" s="21"/>
      <c r="E7648" s="21"/>
      <c r="F7648" s="21"/>
      <c r="G7648" s="21"/>
    </row>
    <row r="7649">
      <c r="A7649" s="5"/>
      <c r="B7649" s="13" t="s">
        <v>2660</v>
      </c>
      <c r="C7649" s="22">
        <f>(157)*(1)*(1)*(1)*(1 + (0))</f>
      </c>
      <c r="D7649" s="22" t="s">
        <v>153</v>
      </c>
      <c r="E7649" s="22"/>
      <c r="F7649" s="22">
        <f>(0)</f>
      </c>
      <c r="G7649" s="22">
        <f>(C7649 * E7649 + C7649 * E7649 * F7649)</f>
      </c>
    </row>
    <row r="7650">
      <c r="A7650" s="5"/>
      <c r="B7650" s="13" t="s">
        <v>2661</v>
      </c>
      <c r="C7650" s="22">
        <f>(24)*(1)*(1)*(1)*(1 + (0))</f>
      </c>
      <c r="D7650" s="22" t="s">
        <v>153</v>
      </c>
      <c r="E7650" s="22"/>
      <c r="F7650" s="22">
        <f>(0)</f>
      </c>
      <c r="G7650" s="22">
        <f>(C7650 * E7650 + C7650 * E7650 * F7650)</f>
      </c>
    </row>
    <row r="7651">
      <c r="A7651" s="2"/>
      <c r="B7651" s="10" t="s">
        <v>2662</v>
      </c>
      <c r="C7651" s="19"/>
      <c r="D7651" s="19"/>
      <c r="E7651" s="19"/>
      <c r="F7651" s="19"/>
      <c r="G7651" s="19"/>
    </row>
    <row r="7652">
      <c r="A7652" s="3"/>
      <c r="B7652" s="11" t="s">
        <v>37</v>
      </c>
      <c r="C7652" s="20"/>
      <c r="D7652" s="20"/>
      <c r="E7652" s="20"/>
      <c r="F7652" s="20"/>
      <c r="G7652" s="20"/>
    </row>
    <row r="7653">
      <c r="A7653" s="5" t="s">
        <v>2399</v>
      </c>
      <c r="B7653" s="14" t="s">
        <v>2400</v>
      </c>
      <c r="C7653" s="22"/>
      <c r="D7653" s="22" t="s">
        <v>10</v>
      </c>
      <c r="E7653" s="22"/>
      <c r="F7653" s="22">
        <f>(0)</f>
      </c>
      <c r="G7653" s="22">
        <f>(C7653 * E7653 + C7653 * E7653 * F7653)</f>
      </c>
    </row>
    <row r="7654">
      <c r="A7654" s="5" t="s">
        <v>2401</v>
      </c>
      <c r="B7654" s="14" t="s">
        <v>41</v>
      </c>
      <c r="C7654" s="22"/>
      <c r="D7654" s="22" t="s">
        <v>10</v>
      </c>
      <c r="E7654" s="22"/>
      <c r="F7654" s="22">
        <f>(0)</f>
      </c>
      <c r="G7654" s="22">
        <f>(C7654 * E7654 + C7654 * E7654 * F7654)</f>
      </c>
    </row>
    <row r="7655">
      <c r="A7655" s="3"/>
      <c r="B7655" s="11" t="s">
        <v>42</v>
      </c>
      <c r="C7655" s="20"/>
      <c r="D7655" s="20"/>
      <c r="E7655" s="20"/>
      <c r="F7655" s="20"/>
      <c r="G7655" s="20"/>
    </row>
    <row r="7656">
      <c r="A7656" s="5" t="s">
        <v>2401</v>
      </c>
      <c r="B7656" s="14" t="s">
        <v>2663</v>
      </c>
      <c r="C7656" s="22"/>
      <c r="D7656" s="22" t="s">
        <v>10</v>
      </c>
      <c r="E7656" s="22"/>
      <c r="F7656" s="22">
        <f>(0)</f>
      </c>
      <c r="G7656" s="22">
        <f>(C7656 * E7656 + C7656 * E7656 * F7656)</f>
      </c>
    </row>
    <row r="7657">
      <c r="A7657" s="5" t="s">
        <v>2401</v>
      </c>
      <c r="B7657" s="14" t="s">
        <v>2403</v>
      </c>
      <c r="C7657" s="22"/>
      <c r="D7657" s="22" t="s">
        <v>10</v>
      </c>
      <c r="E7657" s="22"/>
      <c r="F7657" s="22">
        <f>(0)</f>
      </c>
      <c r="G7657" s="22">
        <f>(C7657 * E7657 + C7657 * E7657 * F7657)</f>
      </c>
    </row>
    <row r="7658">
      <c r="A7658" s="5" t="s">
        <v>2401</v>
      </c>
      <c r="B7658" s="14" t="s">
        <v>2664</v>
      </c>
      <c r="C7658" s="22"/>
      <c r="D7658" s="22" t="s">
        <v>10</v>
      </c>
      <c r="E7658" s="22"/>
      <c r="F7658" s="22">
        <f>(0)</f>
      </c>
      <c r="G7658" s="22">
        <f>(C7658 * E7658 + C7658 * E7658 * F7658)</f>
      </c>
    </row>
    <row r="7659">
      <c r="A7659" s="5" t="s">
        <v>2401</v>
      </c>
      <c r="B7659" s="14" t="s">
        <v>2404</v>
      </c>
      <c r="C7659" s="22"/>
      <c r="D7659" s="22" t="s">
        <v>10</v>
      </c>
      <c r="E7659" s="22"/>
      <c r="F7659" s="22">
        <f>(0)</f>
      </c>
      <c r="G7659" s="22">
        <f>(C7659 * E7659 + C7659 * E7659 * F7659)</f>
      </c>
    </row>
    <row r="7660">
      <c r="A7660" s="5"/>
      <c r="B7660" s="14" t="s">
        <v>2292</v>
      </c>
      <c r="C7660" s="22"/>
      <c r="D7660" s="22" t="s">
        <v>10</v>
      </c>
      <c r="E7660" s="22"/>
      <c r="F7660" s="22">
        <f>(0)</f>
      </c>
      <c r="G7660" s="22">
        <f>(C7660 * E7660 + C7660 * E7660 * F7660)</f>
      </c>
    </row>
    <row r="7661">
      <c r="A7661" s="5"/>
      <c r="B7661" s="14" t="s">
        <v>2665</v>
      </c>
      <c r="C7661" s="22"/>
      <c r="D7661" s="22" t="s">
        <v>10</v>
      </c>
      <c r="E7661" s="22"/>
      <c r="F7661" s="22">
        <f>(0)</f>
      </c>
      <c r="G7661" s="22">
        <f>(C7661 * E7661 + C7661 * E7661 * F7661)</f>
      </c>
    </row>
    <row r="7662">
      <c r="A7662" s="5"/>
      <c r="B7662" s="14" t="s">
        <v>2666</v>
      </c>
      <c r="C7662" s="22"/>
      <c r="D7662" s="22" t="s">
        <v>10</v>
      </c>
      <c r="E7662" s="22"/>
      <c r="F7662" s="22">
        <f>(0)</f>
      </c>
      <c r="G7662" s="22">
        <f>(C7662 * E7662 + C7662 * E7662 * F7662)</f>
      </c>
    </row>
    <row r="7663">
      <c r="A7663" s="3"/>
      <c r="B7663" s="11" t="s">
        <v>44</v>
      </c>
      <c r="C7663" s="20"/>
      <c r="D7663" s="20"/>
      <c r="E7663" s="20"/>
      <c r="F7663" s="20"/>
      <c r="G7663" s="20"/>
    </row>
    <row r="7664">
      <c r="A7664" s="4"/>
      <c r="B7664" s="12" t="s">
        <v>2405</v>
      </c>
      <c r="C7664" s="21"/>
      <c r="D7664" s="21"/>
      <c r="E7664" s="21"/>
      <c r="F7664" s="21"/>
      <c r="G7664" s="21"/>
    </row>
    <row r="7665">
      <c r="A7665" s="5" t="s">
        <v>2406</v>
      </c>
      <c r="B7665" s="13" t="s">
        <v>2446</v>
      </c>
      <c r="C7665" s="22"/>
      <c r="D7665" s="22" t="s">
        <v>10</v>
      </c>
      <c r="E7665" s="22"/>
      <c r="F7665" s="22">
        <f>(0)</f>
      </c>
      <c r="G7665" s="22">
        <f>(C7665 * E7665 + C7665 * E7665 * F7665)</f>
      </c>
    </row>
    <row r="7666">
      <c r="A7666" s="5" t="s">
        <v>2407</v>
      </c>
      <c r="B7666" s="13" t="s">
        <v>49</v>
      </c>
      <c r="C7666" s="22"/>
      <c r="D7666" s="22" t="s">
        <v>10</v>
      </c>
      <c r="E7666" s="22"/>
      <c r="F7666" s="22">
        <f>(0)</f>
      </c>
      <c r="G7666" s="22">
        <f>(C7666 * E7666 + C7666 * E7666 * F7666)</f>
      </c>
    </row>
    <row r="7667">
      <c r="A7667" s="5" t="s">
        <v>2408</v>
      </c>
      <c r="B7667" s="13" t="s">
        <v>2447</v>
      </c>
      <c r="C7667" s="22"/>
      <c r="D7667" s="22" t="s">
        <v>10</v>
      </c>
      <c r="E7667" s="22"/>
      <c r="F7667" s="22">
        <f>(0)</f>
      </c>
      <c r="G7667" s="22">
        <f>(C7667 * E7667 + C7667 * E7667 * F7667)</f>
      </c>
    </row>
    <row r="7668">
      <c r="A7668" s="5" t="s">
        <v>2409</v>
      </c>
      <c r="B7668" s="13" t="s">
        <v>2448</v>
      </c>
      <c r="C7668" s="22"/>
      <c r="D7668" s="22" t="s">
        <v>10</v>
      </c>
      <c r="E7668" s="22"/>
      <c r="F7668" s="22">
        <f>(0)</f>
      </c>
      <c r="G7668" s="22">
        <f>(C7668 * E7668 + C7668 * E7668 * F7668)</f>
      </c>
    </row>
    <row r="7669">
      <c r="A7669" s="5" t="s">
        <v>2410</v>
      </c>
      <c r="B7669" s="13" t="s">
        <v>57</v>
      </c>
      <c r="C7669" s="22"/>
      <c r="D7669" s="22" t="s">
        <v>10</v>
      </c>
      <c r="E7669" s="22"/>
      <c r="F7669" s="22">
        <f>(0)</f>
      </c>
      <c r="G7669" s="22">
        <f>(C7669 * E7669 + C7669 * E7669 * F7669)</f>
      </c>
    </row>
    <row r="7670">
      <c r="A7670" s="5" t="s">
        <v>2411</v>
      </c>
      <c r="B7670" s="13" t="s">
        <v>61</v>
      </c>
      <c r="C7670" s="22"/>
      <c r="D7670" s="22" t="s">
        <v>10</v>
      </c>
      <c r="E7670" s="22"/>
      <c r="F7670" s="22">
        <f>(0)</f>
      </c>
      <c r="G7670" s="22">
        <f>(C7670 * E7670 + C7670 * E7670 * F7670)</f>
      </c>
    </row>
    <row r="7671">
      <c r="A7671" s="5" t="s">
        <v>2449</v>
      </c>
      <c r="B7671" s="13" t="s">
        <v>67</v>
      </c>
      <c r="C7671" s="22"/>
      <c r="D7671" s="22" t="s">
        <v>10</v>
      </c>
      <c r="E7671" s="22"/>
      <c r="F7671" s="22">
        <f>(0)</f>
      </c>
      <c r="G7671" s="22">
        <f>(C7671 * E7671 + C7671 * E7671 * F7671)</f>
      </c>
    </row>
    <row r="7672">
      <c r="A7672" s="5" t="s">
        <v>2450</v>
      </c>
      <c r="B7672" s="13" t="s">
        <v>123</v>
      </c>
      <c r="C7672" s="22"/>
      <c r="D7672" s="22" t="s">
        <v>10</v>
      </c>
      <c r="E7672" s="22"/>
      <c r="F7672" s="22">
        <f>(0)</f>
      </c>
      <c r="G7672" s="22">
        <f>(C7672 * E7672 + C7672 * E7672 * F7672)</f>
      </c>
    </row>
    <row r="7673">
      <c r="A7673" s="3"/>
      <c r="B7673" s="11" t="s">
        <v>68</v>
      </c>
      <c r="C7673" s="20"/>
      <c r="D7673" s="20"/>
      <c r="E7673" s="20"/>
      <c r="F7673" s="20"/>
      <c r="G7673" s="20"/>
    </row>
    <row r="7674">
      <c r="A7674" s="5" t="s">
        <v>2412</v>
      </c>
      <c r="B7674" s="14" t="s">
        <v>83</v>
      </c>
      <c r="C7674" s="22">
        <f>(1)*(1)*(1)*(1)*(1 + (0))</f>
      </c>
      <c r="D7674" s="22" t="s">
        <v>71</v>
      </c>
      <c r="E7674" s="22"/>
      <c r="F7674" s="22">
        <f>(0)</f>
      </c>
      <c r="G7674" s="22">
        <f>(C7674 * E7674 + C7674 * E7674 * F7674)</f>
      </c>
    </row>
    <row r="7675">
      <c r="A7675" s="5" t="s">
        <v>2413</v>
      </c>
      <c r="B7675" s="14" t="s">
        <v>707</v>
      </c>
      <c r="C7675" s="22">
        <f>(1)*(1)*(1)*(1)*(1 + (0))</f>
      </c>
      <c r="D7675" s="22" t="s">
        <v>71</v>
      </c>
      <c r="E7675" s="22"/>
      <c r="F7675" s="22">
        <f>(0)</f>
      </c>
      <c r="G7675" s="22">
        <f>(C7675 * E7675 + C7675 * E7675 * F7675)</f>
      </c>
    </row>
    <row r="7676">
      <c r="A7676" s="5" t="s">
        <v>2415</v>
      </c>
      <c r="B7676" s="14" t="s">
        <v>2451</v>
      </c>
      <c r="C7676" s="22">
        <f>(1)*(1)*(1)*(1)*(1 + (0))</f>
      </c>
      <c r="D7676" s="22" t="s">
        <v>71</v>
      </c>
      <c r="E7676" s="22"/>
      <c r="F7676" s="22">
        <f>(0)</f>
      </c>
      <c r="G7676" s="22">
        <f>(C7676 * E7676 + C7676 * E7676 * F7676)</f>
      </c>
    </row>
    <row r="7677">
      <c r="A7677" s="5" t="s">
        <v>2416</v>
      </c>
      <c r="B7677" s="14" t="s">
        <v>492</v>
      </c>
      <c r="C7677" s="22">
        <f>(1)*(1)*(1)*(1)*(1 + (0))</f>
      </c>
      <c r="D7677" s="22" t="s">
        <v>71</v>
      </c>
      <c r="E7677" s="22"/>
      <c r="F7677" s="22">
        <f>(0)</f>
      </c>
      <c r="G7677" s="22">
        <f>(C7677 * E7677 + C7677 * E7677 * F7677)</f>
      </c>
    </row>
    <row r="7678">
      <c r="A7678" s="5" t="s">
        <v>2417</v>
      </c>
      <c r="B7678" s="14" t="s">
        <v>665</v>
      </c>
      <c r="C7678" s="22">
        <f>(1)*(1)*(1)*(1)*(1 + (0))</f>
      </c>
      <c r="D7678" s="22" t="s">
        <v>71</v>
      </c>
      <c r="E7678" s="22"/>
      <c r="F7678" s="22">
        <f>(0)</f>
      </c>
      <c r="G7678" s="22">
        <f>(C7678 * E7678 + C7678 * E7678 * F7678)</f>
      </c>
    </row>
    <row r="7679">
      <c r="A7679" s="5" t="s">
        <v>2418</v>
      </c>
      <c r="B7679" s="14" t="s">
        <v>81</v>
      </c>
      <c r="C7679" s="22">
        <f>(1)*(1)*(1)*(1)*(1 + (0))</f>
      </c>
      <c r="D7679" s="22" t="s">
        <v>71</v>
      </c>
      <c r="E7679" s="22"/>
      <c r="F7679" s="22">
        <f>(0)</f>
      </c>
      <c r="G7679" s="22">
        <f>(C7679 * E7679 + C7679 * E7679 * F7679)</f>
      </c>
    </row>
    <row r="7680">
      <c r="A7680" s="5" t="s">
        <v>2452</v>
      </c>
      <c r="B7680" s="14" t="s">
        <v>2453</v>
      </c>
      <c r="C7680" s="22">
        <f>(1)*(1)*(1)*(1)*(1 + (0))</f>
      </c>
      <c r="D7680" s="22" t="s">
        <v>71</v>
      </c>
      <c r="E7680" s="22"/>
      <c r="F7680" s="22">
        <f>(0)</f>
      </c>
      <c r="G7680" s="22">
        <f>(C7680 * E7680 + C7680 * E7680 * F7680)</f>
      </c>
    </row>
    <row r="7681">
      <c r="A7681" s="5" t="s">
        <v>2454</v>
      </c>
      <c r="B7681" s="14" t="s">
        <v>2455</v>
      </c>
      <c r="C7681" s="22">
        <f>(1)*(1)*(1)*(1)*(1 + (0))</f>
      </c>
      <c r="D7681" s="22" t="s">
        <v>71</v>
      </c>
      <c r="E7681" s="22"/>
      <c r="F7681" s="22">
        <f>(0)</f>
      </c>
      <c r="G7681" s="22">
        <f>(C7681 * E7681 + C7681 * E7681 * F7681)</f>
      </c>
    </row>
    <row r="7682">
      <c r="A7682" s="5" t="s">
        <v>2456</v>
      </c>
      <c r="B7682" s="14" t="s">
        <v>2457</v>
      </c>
      <c r="C7682" s="22">
        <f>(1)*(1)*(1)*(1)*(1 + (0))</f>
      </c>
      <c r="D7682" s="22" t="s">
        <v>71</v>
      </c>
      <c r="E7682" s="22"/>
      <c r="F7682" s="22">
        <f>(0)</f>
      </c>
      <c r="G7682" s="22">
        <f>(C7682 * E7682 + C7682 * E7682 * F7682)</f>
      </c>
    </row>
    <row r="7683">
      <c r="A7683" s="5" t="s">
        <v>2458</v>
      </c>
      <c r="B7683" s="14" t="s">
        <v>2459</v>
      </c>
      <c r="C7683" s="22">
        <f>(1)*(1)*(1)*(1)*(1 + (0))</f>
      </c>
      <c r="D7683" s="22" t="s">
        <v>71</v>
      </c>
      <c r="E7683" s="22"/>
      <c r="F7683" s="22">
        <f>(0)</f>
      </c>
      <c r="G7683" s="22">
        <f>(C7683 * E7683 + C7683 * E7683 * F7683)</f>
      </c>
    </row>
    <row r="7684">
      <c r="A7684" s="5" t="s">
        <v>2460</v>
      </c>
      <c r="B7684" s="14" t="s">
        <v>2461</v>
      </c>
      <c r="C7684" s="22">
        <f>(1)*(1)*(1)*(1)*(1 + (0))</f>
      </c>
      <c r="D7684" s="22" t="s">
        <v>71</v>
      </c>
      <c r="E7684" s="22"/>
      <c r="F7684" s="22">
        <f>(0)</f>
      </c>
      <c r="G7684" s="22">
        <f>(C7684 * E7684 + C7684 * E7684 * F7684)</f>
      </c>
    </row>
    <row r="7685">
      <c r="A7685" s="3"/>
      <c r="B7685" s="11" t="s">
        <v>106</v>
      </c>
      <c r="C7685" s="20"/>
      <c r="D7685" s="20"/>
      <c r="E7685" s="20"/>
      <c r="F7685" s="20"/>
      <c r="G7685" s="20"/>
    </row>
    <row r="7686">
      <c r="A7686" s="5"/>
      <c r="B7686" s="14" t="s">
        <v>2419</v>
      </c>
      <c r="C7686" s="22"/>
      <c r="D7686" s="22" t="s">
        <v>10</v>
      </c>
      <c r="E7686" s="22"/>
      <c r="F7686" s="22">
        <f>(0)</f>
      </c>
      <c r="G7686" s="22">
        <f>(C7686 * E7686 + C7686 * E7686 * F7686)</f>
      </c>
    </row>
    <row r="7687">
      <c r="A7687" s="3"/>
      <c r="B7687" s="11" t="s">
        <v>2667</v>
      </c>
      <c r="C7687" s="20"/>
      <c r="D7687" s="20"/>
      <c r="E7687" s="20"/>
      <c r="F7687" s="20"/>
      <c r="G7687" s="20"/>
    </row>
    <row r="7688">
      <c r="A7688" s="4"/>
      <c r="B7688" s="12" t="s">
        <v>2668</v>
      </c>
      <c r="C7688" s="21"/>
      <c r="D7688" s="21"/>
      <c r="E7688" s="21"/>
      <c r="F7688" s="21"/>
      <c r="G7688" s="21"/>
    </row>
    <row r="7689">
      <c r="A7689" s="6"/>
      <c r="B7689" s="15" t="s">
        <v>2669</v>
      </c>
      <c r="C7689" s="23"/>
      <c r="D7689" s="23"/>
      <c r="E7689" s="23"/>
      <c r="F7689" s="23"/>
      <c r="G7689" s="23"/>
    </row>
    <row r="7690">
      <c r="A7690" s="5"/>
      <c r="B7690" s="16" t="s">
        <v>2670</v>
      </c>
      <c r="C7690" s="22">
        <f>(84)*(1)*(1)*(1)*(1 + (0))</f>
      </c>
      <c r="D7690" s="22" t="s">
        <v>24</v>
      </c>
      <c r="E7690" s="22"/>
      <c r="F7690" s="22">
        <f>(0)</f>
      </c>
      <c r="G7690" s="22">
        <f>(C7690 * E7690 + C7690 * E7690 * F7690)</f>
      </c>
    </row>
    <row r="7691">
      <c r="A7691" s="5"/>
      <c r="B7691" s="16" t="s">
        <v>2671</v>
      </c>
      <c r="C7691" s="22">
        <f>(55)*(1)*(1)*(1)*(1 + (0))</f>
      </c>
      <c r="D7691" s="22" t="s">
        <v>153</v>
      </c>
      <c r="E7691" s="22"/>
      <c r="F7691" s="22">
        <f>(0)</f>
      </c>
      <c r="G7691" s="22">
        <f>(C7691 * E7691 + C7691 * E7691 * F7691)</f>
      </c>
    </row>
    <row r="7692">
      <c r="A7692" s="5"/>
      <c r="B7692" s="16" t="s">
        <v>2672</v>
      </c>
      <c r="C7692" s="22">
        <f>(84)*(1)*(1)*(1)*(1 + (0))</f>
      </c>
      <c r="D7692" s="22" t="s">
        <v>24</v>
      </c>
      <c r="E7692" s="22"/>
      <c r="F7692" s="22">
        <f>(0)</f>
      </c>
      <c r="G7692" s="22">
        <f>(C7692 * E7692 + C7692 * E7692 * F7692)</f>
      </c>
    </row>
    <row r="7693">
      <c r="A7693" s="5"/>
      <c r="B7693" s="16" t="s">
        <v>2673</v>
      </c>
      <c r="C7693" s="22">
        <f>(84)*(1)*(1)*(1)*(1 + (0))</f>
      </c>
      <c r="D7693" s="22" t="s">
        <v>24</v>
      </c>
      <c r="E7693" s="22"/>
      <c r="F7693" s="22">
        <f>(0)</f>
      </c>
      <c r="G7693" s="22">
        <f>(C7693 * E7693 + C7693 * E7693 * F7693)</f>
      </c>
    </row>
    <row r="7694">
      <c r="A7694" s="5"/>
      <c r="B7694" s="16" t="s">
        <v>2674</v>
      </c>
      <c r="C7694" s="22">
        <f>(84)*(1)*(1)*(1)*(1 + (0))</f>
      </c>
      <c r="D7694" s="22" t="s">
        <v>24</v>
      </c>
      <c r="E7694" s="22"/>
      <c r="F7694" s="22">
        <f>(0)</f>
      </c>
      <c r="G7694" s="22">
        <f>(C7694 * E7694 + C7694 * E7694 * F7694)</f>
      </c>
    </row>
    <row r="7695">
      <c r="A7695" s="6"/>
      <c r="B7695" s="15" t="s">
        <v>2675</v>
      </c>
      <c r="C7695" s="23"/>
      <c r="D7695" s="23"/>
      <c r="E7695" s="23"/>
      <c r="F7695" s="23"/>
      <c r="G7695" s="23"/>
    </row>
    <row r="7696">
      <c r="A7696" s="5"/>
      <c r="B7696" s="16" t="s">
        <v>2676</v>
      </c>
      <c r="C7696" s="22">
        <f>(1035)*(1)*(1)*(1)*(1 + (0))</f>
      </c>
      <c r="D7696" s="22" t="s">
        <v>24</v>
      </c>
      <c r="E7696" s="22"/>
      <c r="F7696" s="22">
        <f>(0)</f>
      </c>
      <c r="G7696" s="22">
        <f>(C7696 * E7696 + C7696 * E7696 * F7696)</f>
      </c>
    </row>
    <row r="7697">
      <c r="A7697" s="5"/>
      <c r="B7697" s="16" t="s">
        <v>2677</v>
      </c>
      <c r="C7697" s="22">
        <f>(1035)*(1)*(1)*(1)*(1 + (0))</f>
      </c>
      <c r="D7697" s="22" t="s">
        <v>24</v>
      </c>
      <c r="E7697" s="22"/>
      <c r="F7697" s="22">
        <f>(0)</f>
      </c>
      <c r="G7697" s="22">
        <f>(C7697 * E7697 + C7697 * E7697 * F7697)</f>
      </c>
    </row>
    <row r="7698">
      <c r="A7698" s="5"/>
      <c r="B7698" s="16" t="s">
        <v>2678</v>
      </c>
      <c r="C7698" s="22">
        <f>(1035)*(1)*(1)*(1)*(1 + (0))</f>
      </c>
      <c r="D7698" s="22" t="s">
        <v>24</v>
      </c>
      <c r="E7698" s="22"/>
      <c r="F7698" s="22">
        <f>(0)</f>
      </c>
      <c r="G7698" s="22">
        <f>(C7698 * E7698 + C7698 * E7698 * F7698)</f>
      </c>
    </row>
    <row r="7699">
      <c r="A7699" s="5"/>
      <c r="B7699" s="16" t="s">
        <v>2679</v>
      </c>
      <c r="C7699" s="22">
        <f>(1035)*(1)*(1)*(1)*(1 + (0))</f>
      </c>
      <c r="D7699" s="22" t="s">
        <v>24</v>
      </c>
      <c r="E7699" s="22"/>
      <c r="F7699" s="22">
        <f>(0)</f>
      </c>
      <c r="G7699" s="22">
        <f>(C7699 * E7699 + C7699 * E7699 * F7699)</f>
      </c>
    </row>
    <row r="7700">
      <c r="A7700" s="6"/>
      <c r="B7700" s="15" t="s">
        <v>2680</v>
      </c>
      <c r="C7700" s="23"/>
      <c r="D7700" s="23"/>
      <c r="E7700" s="23"/>
      <c r="F7700" s="23"/>
      <c r="G7700" s="23"/>
    </row>
    <row r="7701">
      <c r="A7701" s="5"/>
      <c r="B7701" s="16" t="s">
        <v>2681</v>
      </c>
      <c r="C7701" s="22">
        <f>(143)*(1)*(1)*(1)*(1 + (0))</f>
      </c>
      <c r="D7701" s="22" t="s">
        <v>24</v>
      </c>
      <c r="E7701" s="22"/>
      <c r="F7701" s="22">
        <f>(0)</f>
      </c>
      <c r="G7701" s="22">
        <f>(C7701 * E7701 + C7701 * E7701 * F7701)</f>
      </c>
    </row>
    <row r="7702">
      <c r="A7702" s="5"/>
      <c r="B7702" s="16" t="s">
        <v>2682</v>
      </c>
      <c r="C7702" s="22">
        <f>(143)*(1)*(1)*(1)*(1 + (0))</f>
      </c>
      <c r="D7702" s="22" t="s">
        <v>24</v>
      </c>
      <c r="E7702" s="22"/>
      <c r="F7702" s="22">
        <f>(0)</f>
      </c>
      <c r="G7702" s="22">
        <f>(C7702 * E7702 + C7702 * E7702 * F7702)</f>
      </c>
    </row>
    <row r="7703">
      <c r="A7703" s="5"/>
      <c r="B7703" s="16" t="s">
        <v>2683</v>
      </c>
      <c r="C7703" s="22">
        <f>(143)*(1)*(1)*(1)*(1 + (0))</f>
      </c>
      <c r="D7703" s="22" t="s">
        <v>24</v>
      </c>
      <c r="E7703" s="22"/>
      <c r="F7703" s="22">
        <f>(0)</f>
      </c>
      <c r="G7703" s="22">
        <f>(C7703 * E7703 + C7703 * E7703 * F7703)</f>
      </c>
    </row>
    <row r="7704">
      <c r="A7704" s="5"/>
      <c r="B7704" s="16" t="s">
        <v>2684</v>
      </c>
      <c r="C7704" s="22">
        <f>(33)*(1)*(1)*(1)*(1 + (0))</f>
      </c>
      <c r="D7704" s="22" t="s">
        <v>24</v>
      </c>
      <c r="E7704" s="22"/>
      <c r="F7704" s="22">
        <f>(0)</f>
      </c>
      <c r="G7704" s="22">
        <f>(C7704 * E7704 + C7704 * E7704 * F7704)</f>
      </c>
    </row>
    <row r="7705">
      <c r="A7705" s="5"/>
      <c r="B7705" s="16" t="s">
        <v>2685</v>
      </c>
      <c r="C7705" s="22">
        <f>(81)*(1)*(1)*(1)*(1 + (0))</f>
      </c>
      <c r="D7705" s="22" t="s">
        <v>24</v>
      </c>
      <c r="E7705" s="22"/>
      <c r="F7705" s="22">
        <f>(0)</f>
      </c>
      <c r="G7705" s="22">
        <f>(C7705 * E7705 + C7705 * E7705 * F7705)</f>
      </c>
    </row>
    <row r="7706">
      <c r="A7706" s="5"/>
      <c r="B7706" s="16" t="s">
        <v>2686</v>
      </c>
      <c r="C7706" s="22">
        <f>(30)*(1)*(1)*(1)*(1 + (0))</f>
      </c>
      <c r="D7706" s="22" t="s">
        <v>24</v>
      </c>
      <c r="E7706" s="22"/>
      <c r="F7706" s="22">
        <f>(0)</f>
      </c>
      <c r="G7706" s="22">
        <f>(C7706 * E7706 + C7706 * E7706 * F7706)</f>
      </c>
    </row>
    <row r="7707">
      <c r="A7707" s="6"/>
      <c r="B7707" s="15" t="s">
        <v>2687</v>
      </c>
      <c r="C7707" s="23"/>
      <c r="D7707" s="23"/>
      <c r="E7707" s="23"/>
      <c r="F7707" s="23"/>
      <c r="G7707" s="23"/>
    </row>
    <row r="7708">
      <c r="A7708" s="5"/>
      <c r="B7708" s="16" t="s">
        <v>2688</v>
      </c>
      <c r="C7708" s="22">
        <f>(5)*(1)*(1)*(1)*(1 + (0))</f>
      </c>
      <c r="D7708" s="22" t="s">
        <v>162</v>
      </c>
      <c r="E7708" s="22"/>
      <c r="F7708" s="22">
        <f>(0)</f>
      </c>
      <c r="G7708" s="22">
        <f>(C7708 * E7708 + C7708 * E7708 * F7708)</f>
      </c>
    </row>
    <row r="7709">
      <c r="A7709" s="5"/>
      <c r="B7709" s="16" t="s">
        <v>2689</v>
      </c>
      <c r="C7709" s="22">
        <f>(69)*(1)*(1)*(1)*(1 + (0))</f>
      </c>
      <c r="D7709" s="22" t="s">
        <v>24</v>
      </c>
      <c r="E7709" s="22"/>
      <c r="F7709" s="22">
        <f>(0)</f>
      </c>
      <c r="G7709" s="22">
        <f>(C7709 * E7709 + C7709 * E7709 * F7709)</f>
      </c>
    </row>
    <row r="7710">
      <c r="A7710" s="5"/>
      <c r="B7710" s="16" t="s">
        <v>2690</v>
      </c>
      <c r="C7710" s="22">
        <f>(388)*(1)*(1)*(1)*(1 + (0))</f>
      </c>
      <c r="D7710" s="22" t="s">
        <v>153</v>
      </c>
      <c r="E7710" s="22"/>
      <c r="F7710" s="22">
        <f>(0)</f>
      </c>
      <c r="G7710" s="22">
        <f>(C7710 * E7710 + C7710 * E7710 * F7710)</f>
      </c>
    </row>
    <row r="7711">
      <c r="A7711" s="5"/>
      <c r="B7711" s="16" t="s">
        <v>2691</v>
      </c>
      <c r="C7711" s="22">
        <f>(2)*(1)*(1)*(1)*(1 + (0))</f>
      </c>
      <c r="D7711" s="22" t="s">
        <v>162</v>
      </c>
      <c r="E7711" s="22"/>
      <c r="F7711" s="22">
        <f>(0)</f>
      </c>
      <c r="G7711" s="22">
        <f>(C7711 * E7711 + C7711 * E7711 * F7711)</f>
      </c>
    </row>
    <row r="7712">
      <c r="A7712" s="5"/>
      <c r="B7712" s="16" t="s">
        <v>2692</v>
      </c>
      <c r="C7712" s="22">
        <f>(4)*(1)*(1)*(1)*(1 + (0))</f>
      </c>
      <c r="D7712" s="22" t="s">
        <v>162</v>
      </c>
      <c r="E7712" s="22"/>
      <c r="F7712" s="22">
        <f>(0)</f>
      </c>
      <c r="G7712" s="22">
        <f>(C7712 * E7712 + C7712 * E7712 * F7712)</f>
      </c>
    </row>
    <row r="7713">
      <c r="A7713" s="5"/>
      <c r="B7713" s="16" t="s">
        <v>2693</v>
      </c>
      <c r="C7713" s="22">
        <f>(32)*(1)*(1)*(1)*(1 + (0))</f>
      </c>
      <c r="D7713" s="22" t="s">
        <v>162</v>
      </c>
      <c r="E7713" s="22"/>
      <c r="F7713" s="22">
        <f>(0)</f>
      </c>
      <c r="G7713" s="22">
        <f>(C7713 * E7713 + C7713 * E7713 * F7713)</f>
      </c>
    </row>
    <row r="7714">
      <c r="A7714" s="6"/>
      <c r="B7714" s="15" t="s">
        <v>2694</v>
      </c>
      <c r="C7714" s="23"/>
      <c r="D7714" s="23"/>
      <c r="E7714" s="23"/>
      <c r="F7714" s="23"/>
      <c r="G7714" s="23"/>
    </row>
    <row r="7715">
      <c r="A7715" s="5"/>
      <c r="B7715" s="16" t="s">
        <v>2695</v>
      </c>
      <c r="C7715" s="22">
        <f>(134)*(1)*(1)*(1)*(1 + (0))</f>
      </c>
      <c r="D7715" s="22" t="s">
        <v>24</v>
      </c>
      <c r="E7715" s="22"/>
      <c r="F7715" s="22">
        <f>(0)</f>
      </c>
      <c r="G7715" s="22">
        <f>(C7715 * E7715 + C7715 * E7715 * F7715)</f>
      </c>
    </row>
    <row r="7716">
      <c r="A7716" s="6"/>
      <c r="B7716" s="15" t="s">
        <v>2696</v>
      </c>
      <c r="C7716" s="23"/>
      <c r="D7716" s="23"/>
      <c r="E7716" s="23"/>
      <c r="F7716" s="23"/>
      <c r="G7716" s="23"/>
    </row>
    <row r="7717">
      <c r="A7717" s="5"/>
      <c r="B7717" s="16" t="s">
        <v>2697</v>
      </c>
      <c r="C7717" s="22">
        <f>(40)*(1)*(1)*(1)*(1 + (0))</f>
      </c>
      <c r="D7717" s="22" t="s">
        <v>24</v>
      </c>
      <c r="E7717" s="22"/>
      <c r="F7717" s="22">
        <f>(0)</f>
      </c>
      <c r="G7717" s="22">
        <f>(C7717 * E7717 + C7717 * E7717 * F7717)</f>
      </c>
    </row>
    <row r="7718">
      <c r="A7718" s="6"/>
      <c r="B7718" s="15" t="s">
        <v>2698</v>
      </c>
      <c r="C7718" s="23"/>
      <c r="D7718" s="23"/>
      <c r="E7718" s="23"/>
      <c r="F7718" s="23"/>
      <c r="G7718" s="23"/>
    </row>
    <row r="7719">
      <c r="A7719" s="5"/>
      <c r="B7719" s="16" t="s">
        <v>2699</v>
      </c>
      <c r="C7719" s="22">
        <f>(7)*(1)*(1)*(1)*(1 + (0))</f>
      </c>
      <c r="D7719" s="22" t="s">
        <v>162</v>
      </c>
      <c r="E7719" s="22"/>
      <c r="F7719" s="22">
        <f>(0)</f>
      </c>
      <c r="G7719" s="22">
        <f>(C7719 * E7719 + C7719 * E7719 * F7719)</f>
      </c>
    </row>
    <row r="7720">
      <c r="A7720" s="4"/>
      <c r="B7720" s="12" t="s">
        <v>2700</v>
      </c>
      <c r="C7720" s="21"/>
      <c r="D7720" s="21"/>
      <c r="E7720" s="21"/>
      <c r="F7720" s="21"/>
      <c r="G7720" s="21"/>
    </row>
    <row r="7721">
      <c r="A7721" s="6"/>
      <c r="B7721" s="15" t="s">
        <v>2701</v>
      </c>
      <c r="C7721" s="23"/>
      <c r="D7721" s="23"/>
      <c r="E7721" s="23"/>
      <c r="F7721" s="23"/>
      <c r="G7721" s="23"/>
    </row>
    <row r="7722">
      <c r="A7722" s="5"/>
      <c r="B7722" s="16" t="s">
        <v>2702</v>
      </c>
      <c r="C7722" s="22">
        <f>(19)*(1)*(1)*(1)*(1 + (0))</f>
      </c>
      <c r="D7722" s="22" t="s">
        <v>111</v>
      </c>
      <c r="E7722" s="22"/>
      <c r="F7722" s="22">
        <f>(0)</f>
      </c>
      <c r="G7722" s="22">
        <f>(C7722 * E7722 + C7722 * E7722 * F7722)</f>
      </c>
    </row>
    <row r="7723">
      <c r="A7723" s="5"/>
      <c r="B7723" s="16" t="s">
        <v>2703</v>
      </c>
      <c r="C7723" s="22">
        <f>(81)*(1)*(1)*(1)*(1 + (0))</f>
      </c>
      <c r="D7723" s="22" t="s">
        <v>24</v>
      </c>
      <c r="E7723" s="22"/>
      <c r="F7723" s="22">
        <f>(0)</f>
      </c>
      <c r="G7723" s="22">
        <f>(C7723 * E7723 + C7723 * E7723 * F7723)</f>
      </c>
    </row>
    <row r="7724">
      <c r="A7724" s="5"/>
      <c r="B7724" s="16" t="s">
        <v>2704</v>
      </c>
      <c r="C7724" s="22">
        <f>(2)*(1)*(1)*(1)*(1 + (0))</f>
      </c>
      <c r="D7724" s="22" t="s">
        <v>182</v>
      </c>
      <c r="E7724" s="22"/>
      <c r="F7724" s="22">
        <f>(0)</f>
      </c>
      <c r="G7724" s="22">
        <f>(C7724 * E7724 + C7724 * E7724 * F7724)</f>
      </c>
    </row>
    <row r="7725">
      <c r="A7725" s="5"/>
      <c r="B7725" s="16" t="s">
        <v>959</v>
      </c>
      <c r="C7725" s="22">
        <f>(33)*(1)*(1)*(1)*(1 + (0))</f>
      </c>
      <c r="D7725" s="22" t="s">
        <v>153</v>
      </c>
      <c r="E7725" s="22"/>
      <c r="F7725" s="22">
        <f>(0)</f>
      </c>
      <c r="G7725" s="22">
        <f>(C7725 * E7725 + C7725 * E7725 * F7725)</f>
      </c>
    </row>
    <row r="7726">
      <c r="A7726" s="5"/>
      <c r="B7726" s="16" t="s">
        <v>2705</v>
      </c>
      <c r="C7726" s="22">
        <f>(81)*(1)*(1)*(1)*(1 + (0))</f>
      </c>
      <c r="D7726" s="22" t="s">
        <v>24</v>
      </c>
      <c r="E7726" s="22"/>
      <c r="F7726" s="22">
        <f>(0)</f>
      </c>
      <c r="G7726" s="22">
        <f>(C7726 * E7726 + C7726 * E7726 * F7726)</f>
      </c>
    </row>
    <row r="7727">
      <c r="A7727" s="5"/>
      <c r="B7727" s="16" t="s">
        <v>2706</v>
      </c>
      <c r="C7727" s="22">
        <f>(41)*(1)*(1)*(1)*(1 + (0))</f>
      </c>
      <c r="D7727" s="22" t="s">
        <v>24</v>
      </c>
      <c r="E7727" s="22"/>
      <c r="F7727" s="22">
        <f>(0)</f>
      </c>
      <c r="G7727" s="22">
        <f>(C7727 * E7727 + C7727 * E7727 * F7727)</f>
      </c>
    </row>
    <row r="7728">
      <c r="A7728" s="6"/>
      <c r="B7728" s="15" t="s">
        <v>2707</v>
      </c>
      <c r="C7728" s="23"/>
      <c r="D7728" s="23"/>
      <c r="E7728" s="23"/>
      <c r="F7728" s="23"/>
      <c r="G7728" s="23"/>
    </row>
    <row r="7729">
      <c r="A7729" s="5"/>
      <c r="B7729" s="16" t="s">
        <v>2708</v>
      </c>
      <c r="C7729" s="22">
        <f>(45)*(1)*(1)*(1)*(1 + (0))</f>
      </c>
      <c r="D7729" s="22" t="s">
        <v>153</v>
      </c>
      <c r="E7729" s="22"/>
      <c r="F7729" s="22">
        <f>(0)</f>
      </c>
      <c r="G7729" s="22">
        <f>(C7729 * E7729 + C7729 * E7729 * F7729)</f>
      </c>
    </row>
    <row r="7730">
      <c r="A7730" s="5"/>
      <c r="B7730" s="16" t="s">
        <v>2709</v>
      </c>
      <c r="C7730" s="22">
        <f>(7)*(1)*(1)*(1)*(1 + (0))</f>
      </c>
      <c r="D7730" s="22" t="s">
        <v>111</v>
      </c>
      <c r="E7730" s="22"/>
      <c r="F7730" s="22">
        <f>(0)</f>
      </c>
      <c r="G7730" s="22">
        <f>(C7730 * E7730 + C7730 * E7730 * F7730)</f>
      </c>
    </row>
    <row r="7731">
      <c r="A7731" s="5"/>
      <c r="B7731" s="16" t="s">
        <v>2710</v>
      </c>
      <c r="C7731" s="22">
        <f>(18)*(1)*(1)*(1)*(1 + (0))</f>
      </c>
      <c r="D7731" s="22" t="s">
        <v>24</v>
      </c>
      <c r="E7731" s="22"/>
      <c r="F7731" s="22">
        <f>(0)</f>
      </c>
      <c r="G7731" s="22">
        <f>(C7731 * E7731 + C7731 * E7731 * F7731)</f>
      </c>
    </row>
    <row r="7732">
      <c r="A7732" s="5"/>
      <c r="B7732" s="16" t="s">
        <v>2711</v>
      </c>
      <c r="C7732" s="22">
        <f>(1)*(1)*(1)*(1)*(1 + (0))</f>
      </c>
      <c r="D7732" s="22" t="s">
        <v>182</v>
      </c>
      <c r="E7732" s="22"/>
      <c r="F7732" s="22">
        <f>(0)</f>
      </c>
      <c r="G7732" s="22">
        <f>(C7732 * E7732 + C7732 * E7732 * F7732)</f>
      </c>
    </row>
    <row r="7733">
      <c r="A7733" s="5"/>
      <c r="B7733" s="16" t="s">
        <v>2712</v>
      </c>
      <c r="C7733" s="22">
        <f>(32)*(1)*(1)*(1)*(1 + (0))</f>
      </c>
      <c r="D7733" s="22" t="s">
        <v>24</v>
      </c>
      <c r="E7733" s="22"/>
      <c r="F7733" s="22">
        <f>(0)</f>
      </c>
      <c r="G7733" s="22">
        <f>(C7733 * E7733 + C7733 * E7733 * F7733)</f>
      </c>
    </row>
    <row r="7734">
      <c r="A7734" s="5"/>
      <c r="B7734" s="16" t="s">
        <v>959</v>
      </c>
      <c r="C7734" s="22">
        <f>(8)*(1)*(1)*(1)*(1 + (0))</f>
      </c>
      <c r="D7734" s="22" t="s">
        <v>24</v>
      </c>
      <c r="E7734" s="22"/>
      <c r="F7734" s="22">
        <f>(0)</f>
      </c>
      <c r="G7734" s="22">
        <f>(C7734 * E7734 + C7734 * E7734 * F7734)</f>
      </c>
    </row>
    <row r="7735">
      <c r="A7735" s="6"/>
      <c r="B7735" s="15" t="s">
        <v>2713</v>
      </c>
      <c r="C7735" s="23"/>
      <c r="D7735" s="23"/>
      <c r="E7735" s="23"/>
      <c r="F7735" s="23"/>
      <c r="G7735" s="23"/>
    </row>
    <row r="7736">
      <c r="A7736" s="5"/>
      <c r="B7736" s="16" t="s">
        <v>2714</v>
      </c>
      <c r="C7736" s="22">
        <f>(11)*(1)*(1)*(1)*(1 + (0))</f>
      </c>
      <c r="D7736" s="22" t="s">
        <v>111</v>
      </c>
      <c r="E7736" s="22"/>
      <c r="F7736" s="22">
        <f>(0)</f>
      </c>
      <c r="G7736" s="22">
        <f>(C7736 * E7736 + C7736 * E7736 * F7736)</f>
      </c>
    </row>
    <row r="7737">
      <c r="A7737" s="5"/>
      <c r="B7737" s="16" t="s">
        <v>2715</v>
      </c>
      <c r="C7737" s="22">
        <f>(68)*(1)*(1)*(1)*(1 + (0))</f>
      </c>
      <c r="D7737" s="22" t="s">
        <v>24</v>
      </c>
      <c r="E7737" s="22"/>
      <c r="F7737" s="22">
        <f>(0)</f>
      </c>
      <c r="G7737" s="22">
        <f>(C7737 * E7737 + C7737 * E7737 * F7737)</f>
      </c>
    </row>
    <row r="7738">
      <c r="A7738" s="5"/>
      <c r="B7738" s="16" t="s">
        <v>2716</v>
      </c>
      <c r="C7738" s="22">
        <f>(2)*(1)*(1)*(1)*(1 + (0))</f>
      </c>
      <c r="D7738" s="22" t="s">
        <v>182</v>
      </c>
      <c r="E7738" s="22"/>
      <c r="F7738" s="22">
        <f>(0)</f>
      </c>
      <c r="G7738" s="22">
        <f>(C7738 * E7738 + C7738 * E7738 * F7738)</f>
      </c>
    </row>
    <row r="7739">
      <c r="A7739" s="6"/>
      <c r="B7739" s="15" t="s">
        <v>2717</v>
      </c>
      <c r="C7739" s="23"/>
      <c r="D7739" s="23"/>
      <c r="E7739" s="23"/>
      <c r="F7739" s="23"/>
      <c r="G7739" s="23"/>
    </row>
    <row r="7740">
      <c r="A7740" s="5"/>
      <c r="B7740" s="16" t="s">
        <v>2718</v>
      </c>
      <c r="C7740" s="22">
        <f>(7)*(1)*(1)*(1)*(1 + (0))</f>
      </c>
      <c r="D7740" s="22" t="s">
        <v>111</v>
      </c>
      <c r="E7740" s="22"/>
      <c r="F7740" s="22">
        <f>(0)</f>
      </c>
      <c r="G7740" s="22">
        <f>(C7740 * E7740 + C7740 * E7740 * F7740)</f>
      </c>
    </row>
    <row r="7741">
      <c r="A7741" s="5"/>
      <c r="B7741" s="16" t="s">
        <v>2719</v>
      </c>
      <c r="C7741" s="22">
        <f>(34)*(1)*(1)*(1)*(1 + (0))</f>
      </c>
      <c r="D7741" s="22" t="s">
        <v>24</v>
      </c>
      <c r="E7741" s="22"/>
      <c r="F7741" s="22">
        <f>(0)</f>
      </c>
      <c r="G7741" s="22">
        <f>(C7741 * E7741 + C7741 * E7741 * F7741)</f>
      </c>
    </row>
    <row r="7742">
      <c r="A7742" s="5"/>
      <c r="B7742" s="16" t="s">
        <v>2720</v>
      </c>
      <c r="C7742" s="22">
        <f>(1)*(1)*(1)*(1)*(1 + (0))</f>
      </c>
      <c r="D7742" s="22" t="s">
        <v>111</v>
      </c>
      <c r="E7742" s="22"/>
      <c r="F7742" s="22">
        <f>(0)</f>
      </c>
      <c r="G7742" s="22">
        <f>(C7742 * E7742 + C7742 * E7742 * F7742)</f>
      </c>
    </row>
    <row r="7743">
      <c r="A7743" s="5"/>
      <c r="B7743" s="16" t="s">
        <v>959</v>
      </c>
      <c r="C7743" s="22">
        <f>(34)*(1)*(1)*(1)*(1 + (0))</f>
      </c>
      <c r="D7743" s="22" t="s">
        <v>24</v>
      </c>
      <c r="E7743" s="22"/>
      <c r="F7743" s="22">
        <f>(0)</f>
      </c>
      <c r="G7743" s="22">
        <f>(C7743 * E7743 + C7743 * E7743 * F7743)</f>
      </c>
    </row>
    <row r="7744">
      <c r="A7744" s="6"/>
      <c r="B7744" s="15" t="s">
        <v>2721</v>
      </c>
      <c r="C7744" s="23"/>
      <c r="D7744" s="23"/>
      <c r="E7744" s="23"/>
      <c r="F7744" s="23"/>
      <c r="G7744" s="23"/>
    </row>
    <row r="7745">
      <c r="A7745" s="5"/>
      <c r="B7745" s="16" t="s">
        <v>2722</v>
      </c>
      <c r="C7745" s="22">
        <f>(1)*(1)*(1)*(1)*(1 + (0))</f>
      </c>
      <c r="D7745" s="22" t="s">
        <v>111</v>
      </c>
      <c r="E7745" s="22"/>
      <c r="F7745" s="22">
        <f>(0)</f>
      </c>
      <c r="G7745" s="22">
        <f>(C7745 * E7745 + C7745 * E7745 * F7745)</f>
      </c>
    </row>
    <row r="7746">
      <c r="A7746" s="5"/>
      <c r="B7746" s="16" t="s">
        <v>2723</v>
      </c>
      <c r="C7746" s="22">
        <f>(6)*(1)*(1)*(1)*(1 + (0))</f>
      </c>
      <c r="D7746" s="22" t="s">
        <v>24</v>
      </c>
      <c r="E7746" s="22"/>
      <c r="F7746" s="22">
        <f>(0)</f>
      </c>
      <c r="G7746" s="22">
        <f>(C7746 * E7746 + C7746 * E7746 * F7746)</f>
      </c>
    </row>
    <row r="7747">
      <c r="A7747" s="5"/>
      <c r="B7747" s="16" t="s">
        <v>2724</v>
      </c>
      <c r="C7747" s="22">
        <f>(1)*(1)*(1)*(1)*(1 + (0))</f>
      </c>
      <c r="D7747" s="22" t="s">
        <v>111</v>
      </c>
      <c r="E7747" s="22"/>
      <c r="F7747" s="22">
        <f>(0)</f>
      </c>
      <c r="G7747" s="22">
        <f>(C7747 * E7747 + C7747 * E7747 * F7747)</f>
      </c>
    </row>
    <row r="7748">
      <c r="A7748" s="5"/>
      <c r="B7748" s="16" t="s">
        <v>959</v>
      </c>
      <c r="C7748" s="22">
        <f>(3)*(1)*(1)*(1)*(1 + (0))</f>
      </c>
      <c r="D7748" s="22" t="s">
        <v>24</v>
      </c>
      <c r="E7748" s="22"/>
      <c r="F7748" s="22">
        <f>(0)</f>
      </c>
      <c r="G7748" s="22">
        <f>(C7748 * E7748 + C7748 * E7748 * F7748)</f>
      </c>
    </row>
    <row r="7749">
      <c r="A7749" s="6"/>
      <c r="B7749" s="15" t="s">
        <v>2725</v>
      </c>
      <c r="C7749" s="23"/>
      <c r="D7749" s="23"/>
      <c r="E7749" s="23"/>
      <c r="F7749" s="23"/>
      <c r="G7749" s="23"/>
    </row>
    <row r="7750">
      <c r="A7750" s="5"/>
      <c r="B7750" s="16" t="s">
        <v>2722</v>
      </c>
      <c r="C7750" s="22">
        <f>(2)*(1)*(1)*(1)*(1 + (0))</f>
      </c>
      <c r="D7750" s="22" t="s">
        <v>111</v>
      </c>
      <c r="E7750" s="22"/>
      <c r="F7750" s="22">
        <f>(0)</f>
      </c>
      <c r="G7750" s="22">
        <f>(C7750 * E7750 + C7750 * E7750 * F7750)</f>
      </c>
    </row>
    <row r="7751">
      <c r="A7751" s="5"/>
      <c r="B7751" s="16" t="s">
        <v>2723</v>
      </c>
      <c r="C7751" s="22">
        <f>(5)*(1)*(1)*(1)*(1 + (0))</f>
      </c>
      <c r="D7751" s="22" t="s">
        <v>24</v>
      </c>
      <c r="E7751" s="22"/>
      <c r="F7751" s="22">
        <f>(0)</f>
      </c>
      <c r="G7751" s="22">
        <f>(C7751 * E7751 + C7751 * E7751 * F7751)</f>
      </c>
    </row>
    <row r="7752">
      <c r="A7752" s="5"/>
      <c r="B7752" s="16" t="s">
        <v>2724</v>
      </c>
      <c r="C7752" s="22">
        <f>(2)*(1)*(1)*(1)*(1 + (0))</f>
      </c>
      <c r="D7752" s="22" t="s">
        <v>111</v>
      </c>
      <c r="E7752" s="22"/>
      <c r="F7752" s="22">
        <f>(0)</f>
      </c>
      <c r="G7752" s="22">
        <f>(C7752 * E7752 + C7752 * E7752 * F7752)</f>
      </c>
    </row>
    <row r="7753">
      <c r="A7753" s="5"/>
      <c r="B7753" s="16" t="s">
        <v>959</v>
      </c>
      <c r="C7753" s="22">
        <f>(5)*(1)*(1)*(1)*(1 + (0))</f>
      </c>
      <c r="D7753" s="22" t="s">
        <v>24</v>
      </c>
      <c r="E7753" s="22"/>
      <c r="F7753" s="22">
        <f>(0)</f>
      </c>
      <c r="G7753" s="22">
        <f>(C7753 * E7753 + C7753 * E7753 * F7753)</f>
      </c>
    </row>
    <row r="7754">
      <c r="A7754" s="6"/>
      <c r="B7754" s="15" t="s">
        <v>2726</v>
      </c>
      <c r="C7754" s="23"/>
      <c r="D7754" s="23"/>
      <c r="E7754" s="23"/>
      <c r="F7754" s="23"/>
      <c r="G7754" s="23"/>
    </row>
    <row r="7755">
      <c r="A7755" s="5"/>
      <c r="B7755" s="16" t="s">
        <v>2727</v>
      </c>
      <c r="C7755" s="22">
        <f>(9)*(1)*(1)*(1)*(1 + (0))</f>
      </c>
      <c r="D7755" s="22" t="s">
        <v>162</v>
      </c>
      <c r="E7755" s="22"/>
      <c r="F7755" s="22">
        <f>(0)</f>
      </c>
      <c r="G7755" s="22">
        <f>(C7755 * E7755 + C7755 * E7755 * F7755)</f>
      </c>
    </row>
    <row r="7756">
      <c r="A7756" s="5"/>
      <c r="B7756" s="16" t="s">
        <v>2728</v>
      </c>
      <c r="C7756" s="22">
        <f>(2)*(1)*(1)*(1)*(1 + (0))</f>
      </c>
      <c r="D7756" s="22" t="s">
        <v>162</v>
      </c>
      <c r="E7756" s="22"/>
      <c r="F7756" s="22">
        <f>(0)</f>
      </c>
      <c r="G7756" s="22">
        <f>(C7756 * E7756 + C7756 * E7756 * F7756)</f>
      </c>
    </row>
    <row r="7757">
      <c r="A7757" s="5"/>
      <c r="B7757" s="16" t="s">
        <v>2729</v>
      </c>
      <c r="C7757" s="22">
        <f>(4)*(1)*(1)*(1)*(1 + (0))</f>
      </c>
      <c r="D7757" s="22" t="s">
        <v>162</v>
      </c>
      <c r="E7757" s="22"/>
      <c r="F7757" s="22">
        <f>(0)</f>
      </c>
      <c r="G7757" s="22">
        <f>(C7757 * E7757 + C7757 * E7757 * F7757)</f>
      </c>
    </row>
    <row r="7758">
      <c r="A7758" s="6"/>
      <c r="B7758" s="15" t="s">
        <v>2730</v>
      </c>
      <c r="C7758" s="23"/>
      <c r="D7758" s="23"/>
      <c r="E7758" s="23"/>
      <c r="F7758" s="23"/>
      <c r="G7758" s="23"/>
    </row>
    <row r="7759">
      <c r="A7759" s="5"/>
      <c r="B7759" s="16" t="s">
        <v>2731</v>
      </c>
      <c r="C7759" s="22">
        <f>(1)*(1)*(1)*(1)*(1 + (0))</f>
      </c>
      <c r="D7759" s="22" t="s">
        <v>606</v>
      </c>
      <c r="E7759" s="22"/>
      <c r="F7759" s="22">
        <f>(0)</f>
      </c>
      <c r="G7759" s="22">
        <f>(C7759 * E7759 + C7759 * E7759 * F7759)</f>
      </c>
    </row>
    <row r="7760">
      <c r="A7760" s="6"/>
      <c r="B7760" s="15" t="s">
        <v>2732</v>
      </c>
      <c r="C7760" s="23"/>
      <c r="D7760" s="23"/>
      <c r="E7760" s="23"/>
      <c r="F7760" s="23"/>
      <c r="G7760" s="23"/>
    </row>
    <row r="7761">
      <c r="A7761" s="5"/>
      <c r="B7761" s="16" t="s">
        <v>2733</v>
      </c>
      <c r="C7761" s="22">
        <f>(6)*(1)*(1)*(1)*(1 + (0))</f>
      </c>
      <c r="D7761" s="22" t="s">
        <v>162</v>
      </c>
      <c r="E7761" s="22"/>
      <c r="F7761" s="22">
        <f>(0)</f>
      </c>
      <c r="G7761" s="22">
        <f>(C7761 * E7761 + C7761 * E7761 * F7761)</f>
      </c>
    </row>
    <row r="7762">
      <c r="A7762" s="5"/>
      <c r="B7762" s="16" t="s">
        <v>2734</v>
      </c>
      <c r="C7762" s="22">
        <f>(25)*(1)*(1)*(1)*(1 + (0))</f>
      </c>
      <c r="D7762" s="22" t="s">
        <v>153</v>
      </c>
      <c r="E7762" s="22"/>
      <c r="F7762" s="22">
        <f>(0)</f>
      </c>
      <c r="G7762" s="22">
        <f>(C7762 * E7762 + C7762 * E7762 * F7762)</f>
      </c>
    </row>
    <row r="7763">
      <c r="A7763" s="5"/>
      <c r="B7763" s="16" t="s">
        <v>2735</v>
      </c>
      <c r="C7763" s="22">
        <f>(11)*(1)*(1)*(1)*(1 + (0))</f>
      </c>
      <c r="D7763" s="22" t="s">
        <v>153</v>
      </c>
      <c r="E7763" s="22"/>
      <c r="F7763" s="22">
        <f>(0)</f>
      </c>
      <c r="G7763" s="22">
        <f>(C7763 * E7763 + C7763 * E7763 * F7763)</f>
      </c>
    </row>
    <row r="7764">
      <c r="A7764" s="5"/>
      <c r="B7764" s="16" t="s">
        <v>2736</v>
      </c>
      <c r="C7764" s="22">
        <f>(105)*(1)*(1)*(1)*(1 + (0))</f>
      </c>
      <c r="D7764" s="22" t="s">
        <v>153</v>
      </c>
      <c r="E7764" s="22"/>
      <c r="F7764" s="22">
        <f>(0)</f>
      </c>
      <c r="G7764" s="22">
        <f>(C7764 * E7764 + C7764 * E7764 * F7764)</f>
      </c>
    </row>
    <row r="7765">
      <c r="A7765" s="4"/>
      <c r="B7765" s="12" t="s">
        <v>2737</v>
      </c>
      <c r="C7765" s="21"/>
      <c r="D7765" s="21"/>
      <c r="E7765" s="21"/>
      <c r="F7765" s="21"/>
      <c r="G7765" s="21"/>
    </row>
    <row r="7766">
      <c r="A7766" s="6"/>
      <c r="B7766" s="15" t="s">
        <v>2738</v>
      </c>
      <c r="C7766" s="23"/>
      <c r="D7766" s="23"/>
      <c r="E7766" s="23"/>
      <c r="F7766" s="23"/>
      <c r="G7766" s="23"/>
    </row>
    <row r="7767">
      <c r="A7767" s="5"/>
      <c r="B7767" s="16" t="s">
        <v>2739</v>
      </c>
      <c r="C7767" s="22">
        <f>(6)*(1)*(1)*(1)*(1 + (0))</f>
      </c>
      <c r="D7767" s="22" t="s">
        <v>24</v>
      </c>
      <c r="E7767" s="22"/>
      <c r="F7767" s="22">
        <f>(0)</f>
      </c>
      <c r="G7767" s="22">
        <f>(C7767 * E7767 + C7767 * E7767 * F7767)</f>
      </c>
    </row>
    <row r="7768">
      <c r="A7768" s="5"/>
      <c r="B7768" s="16" t="s">
        <v>2740</v>
      </c>
      <c r="C7768" s="22">
        <f>(7)*(1)*(1)*(1)*(1 + (0))</f>
      </c>
      <c r="D7768" s="22" t="s">
        <v>24</v>
      </c>
      <c r="E7768" s="22"/>
      <c r="F7768" s="22">
        <f>(0)</f>
      </c>
      <c r="G7768" s="22">
        <f>(C7768 * E7768 + C7768 * E7768 * F7768)</f>
      </c>
    </row>
    <row r="7769">
      <c r="A7769" s="5"/>
      <c r="B7769" s="16" t="s">
        <v>2741</v>
      </c>
      <c r="C7769" s="22">
        <f>(26)*(1)*(1)*(1)*(1 + (0))</f>
      </c>
      <c r="D7769" s="22" t="s">
        <v>24</v>
      </c>
      <c r="E7769" s="22"/>
      <c r="F7769" s="22">
        <f>(0)</f>
      </c>
      <c r="G7769" s="22">
        <f>(C7769 * E7769 + C7769 * E7769 * F7769)</f>
      </c>
    </row>
    <row r="7770">
      <c r="A7770" s="5"/>
      <c r="B7770" s="16" t="s">
        <v>2742</v>
      </c>
      <c r="C7770" s="22">
        <f>(5)*(1)*(1)*(1)*(1 + (0))</f>
      </c>
      <c r="D7770" s="22" t="s">
        <v>24</v>
      </c>
      <c r="E7770" s="22"/>
      <c r="F7770" s="22">
        <f>(0)</f>
      </c>
      <c r="G7770" s="22">
        <f>(C7770 * E7770 + C7770 * E7770 * F7770)</f>
      </c>
    </row>
    <row r="7771">
      <c r="A7771" s="6"/>
      <c r="B7771" s="15" t="s">
        <v>2743</v>
      </c>
      <c r="C7771" s="23"/>
      <c r="D7771" s="23"/>
      <c r="E7771" s="23"/>
      <c r="F7771" s="23"/>
      <c r="G7771" s="23"/>
    </row>
    <row r="7772">
      <c r="A7772" s="5"/>
      <c r="B7772" s="16" t="s">
        <v>2744</v>
      </c>
      <c r="C7772" s="22"/>
      <c r="D7772" s="22"/>
      <c r="E7772" s="22"/>
      <c r="F7772" s="22"/>
      <c r="G7772" s="22"/>
    </row>
    <row r="7773">
      <c r="A7773" s="5"/>
      <c r="B7773" s="17" t="s">
        <v>2745</v>
      </c>
      <c r="C7773" s="22">
        <f>(228)*(1)*(1)*(1)*(1 + (0))</f>
      </c>
      <c r="D7773" s="22" t="s">
        <v>24</v>
      </c>
      <c r="E7773" s="22"/>
      <c r="F7773" s="22">
        <f>(0)</f>
      </c>
      <c r="G7773" s="22">
        <f>(C7773 * E7773 + C7773 * E7773 * F7773)</f>
      </c>
    </row>
    <row r="7774">
      <c r="A7774" s="5"/>
      <c r="B7774" s="16" t="s">
        <v>2746</v>
      </c>
      <c r="C7774" s="22"/>
      <c r="D7774" s="22"/>
      <c r="E7774" s="22"/>
      <c r="F7774" s="22"/>
      <c r="G7774" s="22"/>
    </row>
    <row r="7775">
      <c r="A7775" s="5"/>
      <c r="B7775" s="17" t="s">
        <v>2745</v>
      </c>
      <c r="C7775" s="22">
        <f>(52)*(1)*(1)*(1)*(1 + (0))</f>
      </c>
      <c r="D7775" s="22" t="s">
        <v>24</v>
      </c>
      <c r="E7775" s="22"/>
      <c r="F7775" s="22">
        <f>(0)</f>
      </c>
      <c r="G7775" s="22">
        <f>(C7775 * E7775 + C7775 * E7775 * F7775)</f>
      </c>
    </row>
    <row r="7776">
      <c r="A7776" s="6"/>
      <c r="B7776" s="15" t="s">
        <v>2747</v>
      </c>
      <c r="C7776" s="23"/>
      <c r="D7776" s="23"/>
      <c r="E7776" s="23"/>
      <c r="F7776" s="23"/>
      <c r="G7776" s="23"/>
    </row>
    <row r="7777">
      <c r="A7777" s="5"/>
      <c r="B7777" s="16" t="s">
        <v>2748</v>
      </c>
      <c r="C7777" s="22">
        <f>(3)*(1)*(1)*(1)*(1 + (0))</f>
      </c>
      <c r="D7777" s="22" t="s">
        <v>162</v>
      </c>
      <c r="E7777" s="22"/>
      <c r="F7777" s="22">
        <f>(0)</f>
      </c>
      <c r="G7777" s="22">
        <f>(C7777 * E7777 + C7777 * E7777 * F7777)</f>
      </c>
    </row>
    <row r="7778">
      <c r="A7778" s="5"/>
      <c r="B7778" s="16" t="s">
        <v>2749</v>
      </c>
      <c r="C7778" s="22">
        <f>(3)*(1)*(1)*(1)*(1 + (0))</f>
      </c>
      <c r="D7778" s="22" t="s">
        <v>162</v>
      </c>
      <c r="E7778" s="22"/>
      <c r="F7778" s="22">
        <f>(0)</f>
      </c>
      <c r="G7778" s="22">
        <f>(C7778 * E7778 + C7778 * E7778 * F7778)</f>
      </c>
    </row>
    <row r="7779">
      <c r="A7779" s="6"/>
      <c r="B7779" s="15" t="s">
        <v>2750</v>
      </c>
      <c r="C7779" s="23"/>
      <c r="D7779" s="23"/>
      <c r="E7779" s="23"/>
      <c r="F7779" s="23"/>
      <c r="G7779" s="23"/>
    </row>
    <row r="7780">
      <c r="A7780" s="5"/>
      <c r="B7780" s="16" t="s">
        <v>2751</v>
      </c>
      <c r="C7780" s="22">
        <f>(2)*(1)*(1)*(1)*(1 + (0))</f>
      </c>
      <c r="D7780" s="22" t="s">
        <v>162</v>
      </c>
      <c r="E7780" s="22"/>
      <c r="F7780" s="22">
        <f>(0)</f>
      </c>
      <c r="G7780" s="22">
        <f>(C7780 * E7780 + C7780 * E7780 * F7780)</f>
      </c>
    </row>
    <row r="7781">
      <c r="A7781" s="5"/>
      <c r="B7781" s="16" t="s">
        <v>2752</v>
      </c>
      <c r="C7781" s="22">
        <f>(2)*(1)*(1)*(1)*(1 + (0))</f>
      </c>
      <c r="D7781" s="22" t="s">
        <v>162</v>
      </c>
      <c r="E7781" s="22"/>
      <c r="F7781" s="22">
        <f>(0)</f>
      </c>
      <c r="G7781" s="22">
        <f>(C7781 * E7781 + C7781 * E7781 * F7781)</f>
      </c>
    </row>
    <row r="7782">
      <c r="A7782" s="5"/>
      <c r="B7782" s="16" t="s">
        <v>2753</v>
      </c>
      <c r="C7782" s="22">
        <f>(4)*(1)*(1)*(1)*(1 + (0))</f>
      </c>
      <c r="D7782" s="22" t="s">
        <v>162</v>
      </c>
      <c r="E7782" s="22"/>
      <c r="F7782" s="22">
        <f>(0)</f>
      </c>
      <c r="G7782" s="22">
        <f>(C7782 * E7782 + C7782 * E7782 * F7782)</f>
      </c>
    </row>
    <row r="7783">
      <c r="A7783" s="6"/>
      <c r="B7783" s="15" t="s">
        <v>2754</v>
      </c>
      <c r="C7783" s="23"/>
      <c r="D7783" s="23"/>
      <c r="E7783" s="23"/>
      <c r="F7783" s="23"/>
      <c r="G7783" s="23"/>
    </row>
    <row r="7784">
      <c r="A7784" s="5"/>
      <c r="B7784" s="16" t="s">
        <v>2755</v>
      </c>
      <c r="C7784" s="22">
        <f>(3)*(1)*(1)*(1)*(1 + (0))</f>
      </c>
      <c r="D7784" s="22" t="s">
        <v>162</v>
      </c>
      <c r="E7784" s="22"/>
      <c r="F7784" s="22">
        <f>(0)</f>
      </c>
      <c r="G7784" s="22">
        <f>(C7784 * E7784 + C7784 * E7784 * F7784)</f>
      </c>
    </row>
    <row r="7785">
      <c r="A7785" s="5"/>
      <c r="B7785" s="16" t="s">
        <v>2756</v>
      </c>
      <c r="C7785" s="22">
        <f>(1)*(1)*(1)*(1)*(1 + (0))</f>
      </c>
      <c r="D7785" s="22" t="s">
        <v>162</v>
      </c>
      <c r="E7785" s="22"/>
      <c r="F7785" s="22">
        <f>(0)</f>
      </c>
      <c r="G7785" s="22">
        <f>(C7785 * E7785 + C7785 * E7785 * F7785)</f>
      </c>
    </row>
    <row r="7786">
      <c r="A7786" s="5"/>
      <c r="B7786" s="16" t="s">
        <v>2757</v>
      </c>
      <c r="C7786" s="22">
        <f>(1)*(1)*(1)*(1)*(1 + (0))</f>
      </c>
      <c r="D7786" s="22" t="s">
        <v>162</v>
      </c>
      <c r="E7786" s="22"/>
      <c r="F7786" s="22">
        <f>(0)</f>
      </c>
      <c r="G7786" s="22">
        <f>(C7786 * E7786 + C7786 * E7786 * F7786)</f>
      </c>
    </row>
    <row r="7787">
      <c r="A7787" s="5"/>
      <c r="B7787" s="16" t="s">
        <v>2758</v>
      </c>
      <c r="C7787" s="22">
        <f>(19)*(1)*(1)*(1)*(1 + (0))</f>
      </c>
      <c r="D7787" s="22" t="s">
        <v>162</v>
      </c>
      <c r="E7787" s="22"/>
      <c r="F7787" s="22">
        <f>(0)</f>
      </c>
      <c r="G7787" s="22">
        <f>(C7787 * E7787 + C7787 * E7787 * F7787)</f>
      </c>
    </row>
    <row r="7788">
      <c r="A7788" s="5"/>
      <c r="B7788" s="16" t="s">
        <v>2759</v>
      </c>
      <c r="C7788" s="22">
        <f>(5)*(1)*(1)*(1)*(1 + (0))</f>
      </c>
      <c r="D7788" s="22" t="s">
        <v>162</v>
      </c>
      <c r="E7788" s="22"/>
      <c r="F7788" s="22">
        <f>(0)</f>
      </c>
      <c r="G7788" s="22">
        <f>(C7788 * E7788 + C7788 * E7788 * F7788)</f>
      </c>
    </row>
    <row r="7789">
      <c r="A7789" s="5"/>
      <c r="B7789" s="16" t="s">
        <v>2760</v>
      </c>
      <c r="C7789" s="22">
        <f>(6)*(1)*(1)*(1)*(1 + (0))</f>
      </c>
      <c r="D7789" s="22" t="s">
        <v>162</v>
      </c>
      <c r="E7789" s="22"/>
      <c r="F7789" s="22">
        <f>(0)</f>
      </c>
      <c r="G7789" s="22">
        <f>(C7789 * E7789 + C7789 * E7789 * F7789)</f>
      </c>
    </row>
    <row r="7790">
      <c r="A7790" s="5"/>
      <c r="B7790" s="16" t="s">
        <v>2761</v>
      </c>
      <c r="C7790" s="22">
        <f>(1)*(1)*(1)*(1)*(1 + (0))</f>
      </c>
      <c r="D7790" s="22" t="s">
        <v>606</v>
      </c>
      <c r="E7790" s="22"/>
      <c r="F7790" s="22">
        <f>(0)</f>
      </c>
      <c r="G7790" s="22">
        <f>(C7790 * E7790 + C7790 * E7790 * F7790)</f>
      </c>
    </row>
    <row r="7791">
      <c r="A7791" s="4"/>
      <c r="B7791" s="12" t="s">
        <v>2762</v>
      </c>
      <c r="C7791" s="21"/>
      <c r="D7791" s="21"/>
      <c r="E7791" s="21"/>
      <c r="F7791" s="21"/>
      <c r="G7791" s="21"/>
    </row>
    <row r="7792">
      <c r="A7792" s="5"/>
      <c r="B7792" s="13" t="s">
        <v>2763</v>
      </c>
      <c r="C7792" s="22">
        <f>(1)*(1)*(1)*(1)*(1 + (0))</f>
      </c>
      <c r="D7792" s="22" t="s">
        <v>162</v>
      </c>
      <c r="E7792" s="22"/>
      <c r="F7792" s="22">
        <f>(0)</f>
      </c>
      <c r="G7792" s="22">
        <f>(C7792 * E7792 + C7792 * E7792 * F7792)</f>
      </c>
    </row>
    <row r="7793">
      <c r="A7793" s="5"/>
      <c r="B7793" s="13" t="s">
        <v>2764</v>
      </c>
      <c r="C7793" s="22">
        <f>(1)*(1)*(1)*(1)*(1 + (0))</f>
      </c>
      <c r="D7793" s="22" t="s">
        <v>162</v>
      </c>
      <c r="E7793" s="22"/>
      <c r="F7793" s="22">
        <f>(0)</f>
      </c>
      <c r="G7793" s="22">
        <f>(C7793 * E7793 + C7793 * E7793 * F7793)</f>
      </c>
    </row>
    <row r="7794">
      <c r="A7794" s="5"/>
      <c r="B7794" s="13" t="s">
        <v>2765</v>
      </c>
      <c r="C7794" s="22">
        <f>(1)*(1)*(1)*(1)*(1 + (0))</f>
      </c>
      <c r="D7794" s="22" t="s">
        <v>162</v>
      </c>
      <c r="E7794" s="22"/>
      <c r="F7794" s="22">
        <f>(0)</f>
      </c>
      <c r="G7794" s="22">
        <f>(C7794 * E7794 + C7794 * E7794 * F7794)</f>
      </c>
    </row>
    <row r="7795">
      <c r="A7795" s="5"/>
      <c r="B7795" s="13" t="s">
        <v>2766</v>
      </c>
      <c r="C7795" s="22">
        <f>(1)*(1)*(1)*(1)*(1 + (0))</f>
      </c>
      <c r="D7795" s="22" t="s">
        <v>162</v>
      </c>
      <c r="E7795" s="22"/>
      <c r="F7795" s="22">
        <f>(0)</f>
      </c>
      <c r="G7795" s="22">
        <f>(C7795 * E7795 + C7795 * E7795 * F7795)</f>
      </c>
    </row>
    <row r="7796">
      <c r="A7796" s="5"/>
      <c r="B7796" s="13" t="s">
        <v>2767</v>
      </c>
      <c r="C7796" s="22">
        <f>(1)*(1)*(1)*(1)*(1 + (0))</f>
      </c>
      <c r="D7796" s="22" t="s">
        <v>162</v>
      </c>
      <c r="E7796" s="22"/>
      <c r="F7796" s="22">
        <f>(0)</f>
      </c>
      <c r="G7796" s="22">
        <f>(C7796 * E7796 + C7796 * E7796 * F7796)</f>
      </c>
    </row>
    <row r="7797">
      <c r="A7797" s="5"/>
      <c r="B7797" s="13" t="s">
        <v>2768</v>
      </c>
      <c r="C7797" s="22">
        <f>(4)*(1)*(1)*(1)*(1 + (0))</f>
      </c>
      <c r="D7797" s="22" t="s">
        <v>162</v>
      </c>
      <c r="E7797" s="22"/>
      <c r="F7797" s="22">
        <f>(0)</f>
      </c>
      <c r="G7797" s="22">
        <f>(C7797 * E7797 + C7797 * E7797 * F7797)</f>
      </c>
    </row>
    <row r="7798">
      <c r="A7798" s="5"/>
      <c r="B7798" s="13" t="s">
        <v>2769</v>
      </c>
      <c r="C7798" s="22">
        <f>(2)*(1)*(1)*(1)*(1 + (0))</f>
      </c>
      <c r="D7798" s="22" t="s">
        <v>162</v>
      </c>
      <c r="E7798" s="22"/>
      <c r="F7798" s="22">
        <f>(0)</f>
      </c>
      <c r="G7798" s="22">
        <f>(C7798 * E7798 + C7798 * E7798 * F7798)</f>
      </c>
    </row>
    <row r="7799">
      <c r="A7799" s="5"/>
      <c r="B7799" s="13" t="s">
        <v>2770</v>
      </c>
      <c r="C7799" s="22">
        <f>(59)*(1)*(1)*(1)*(1 + (0))</f>
      </c>
      <c r="D7799" s="22" t="s">
        <v>162</v>
      </c>
      <c r="E7799" s="22"/>
      <c r="F7799" s="22">
        <f>(0)</f>
      </c>
      <c r="G7799" s="22">
        <f>(C7799 * E7799 + C7799 * E7799 * F7799)</f>
      </c>
    </row>
    <row r="7800">
      <c r="A7800" s="5"/>
      <c r="B7800" s="13" t="s">
        <v>2771</v>
      </c>
      <c r="C7800" s="22">
        <f>(1)*(1)*(1)*(1)*(1 + (0))</f>
      </c>
      <c r="D7800" s="22" t="s">
        <v>606</v>
      </c>
      <c r="E7800" s="22"/>
      <c r="F7800" s="22">
        <f>(0)</f>
      </c>
      <c r="G7800" s="22">
        <f>(C7800 * E7800 + C7800 * E7800 * F7800)</f>
      </c>
    </row>
    <row r="7801">
      <c r="A7801" s="4"/>
      <c r="B7801" s="12" t="s">
        <v>1301</v>
      </c>
      <c r="C7801" s="21"/>
      <c r="D7801" s="21"/>
      <c r="E7801" s="21"/>
      <c r="F7801" s="21"/>
      <c r="G7801" s="21"/>
    </row>
    <row r="7802">
      <c r="A7802" s="6"/>
      <c r="B7802" s="15" t="s">
        <v>2772</v>
      </c>
      <c r="C7802" s="23"/>
      <c r="D7802" s="23"/>
      <c r="E7802" s="23"/>
      <c r="F7802" s="23"/>
      <c r="G7802" s="23"/>
    </row>
    <row r="7803">
      <c r="A7803" s="5"/>
      <c r="B7803" s="16" t="s">
        <v>2773</v>
      </c>
      <c r="C7803" s="22">
        <f>(216)*(1)*(1)*(1)*(1 + (0))</f>
      </c>
      <c r="D7803" s="22" t="s">
        <v>153</v>
      </c>
      <c r="E7803" s="22"/>
      <c r="F7803" s="22">
        <f>(0)</f>
      </c>
      <c r="G7803" s="22">
        <f>(C7803 * E7803 + C7803 * E7803 * F7803)</f>
      </c>
    </row>
    <row r="7804">
      <c r="A7804" s="5"/>
      <c r="B7804" s="16" t="s">
        <v>2774</v>
      </c>
      <c r="C7804" s="22">
        <f>(1194)*(1)*(1)*(1)*(1 + (0))</f>
      </c>
      <c r="D7804" s="22" t="s">
        <v>153</v>
      </c>
      <c r="E7804" s="22"/>
      <c r="F7804" s="22">
        <f>(0)</f>
      </c>
      <c r="G7804" s="22">
        <f>(C7804 * E7804 + C7804 * E7804 * F7804)</f>
      </c>
    </row>
    <row r="7805">
      <c r="A7805" s="6"/>
      <c r="B7805" s="15" t="s">
        <v>2775</v>
      </c>
      <c r="C7805" s="23"/>
      <c r="D7805" s="23"/>
      <c r="E7805" s="23"/>
      <c r="F7805" s="23"/>
      <c r="G7805" s="23"/>
    </row>
    <row r="7806">
      <c r="A7806" s="5"/>
      <c r="B7806" s="16" t="s">
        <v>2776</v>
      </c>
      <c r="C7806" s="22">
        <f>(1)*(1)*(1)*(1)*(1 + (0))</f>
      </c>
      <c r="D7806" s="22" t="s">
        <v>606</v>
      </c>
      <c r="E7806" s="22"/>
      <c r="F7806" s="22">
        <f>(0)</f>
      </c>
      <c r="G7806" s="22">
        <f>(C7806 * E7806 + C7806 * E7806 * F7806)</f>
      </c>
    </row>
    <row r="7807">
      <c r="A7807" s="5"/>
      <c r="B7807" s="16" t="s">
        <v>2777</v>
      </c>
      <c r="C7807" s="22">
        <f>(344)*(1)*(1)*(1)*(1 + (0))</f>
      </c>
      <c r="D7807" s="22" t="s">
        <v>24</v>
      </c>
      <c r="E7807" s="22"/>
      <c r="F7807" s="22">
        <f>(0)</f>
      </c>
      <c r="G7807" s="22">
        <f>(C7807 * E7807 + C7807 * E7807 * F7807)</f>
      </c>
    </row>
    <row r="7808">
      <c r="A7808" s="5"/>
      <c r="B7808" s="16" t="s">
        <v>2778</v>
      </c>
      <c r="C7808" s="22">
        <f>(164)*(1)*(1)*(1)*(1 + (0))</f>
      </c>
      <c r="D7808" s="22" t="s">
        <v>24</v>
      </c>
      <c r="E7808" s="22"/>
      <c r="F7808" s="22">
        <f>(0)</f>
      </c>
      <c r="G7808" s="22">
        <f>(C7808 * E7808 + C7808 * E7808 * F7808)</f>
      </c>
    </row>
    <row r="7809">
      <c r="A7809" s="5"/>
      <c r="B7809" s="16" t="s">
        <v>2779</v>
      </c>
      <c r="C7809" s="22">
        <f>(167)*(1)*(1)*(1)*(1 + (0))</f>
      </c>
      <c r="D7809" s="22" t="s">
        <v>24</v>
      </c>
      <c r="E7809" s="22"/>
      <c r="F7809" s="22">
        <f>(0)</f>
      </c>
      <c r="G7809" s="22">
        <f>(C7809 * E7809 + C7809 * E7809 * F7809)</f>
      </c>
    </row>
    <row r="7810">
      <c r="A7810" s="5"/>
      <c r="B7810" s="16" t="s">
        <v>2780</v>
      </c>
      <c r="C7810" s="22">
        <f>(78)*(1)*(1)*(1)*(1 + (0))</f>
      </c>
      <c r="D7810" s="22" t="s">
        <v>24</v>
      </c>
      <c r="E7810" s="22"/>
      <c r="F7810" s="22">
        <f>(0)</f>
      </c>
      <c r="G7810" s="22">
        <f>(C7810 * E7810 + C7810 * E7810 * F7810)</f>
      </c>
    </row>
    <row r="7811">
      <c r="A7811" s="6"/>
      <c r="B7811" s="15" t="s">
        <v>2781</v>
      </c>
      <c r="C7811" s="23"/>
      <c r="D7811" s="23"/>
      <c r="E7811" s="23"/>
      <c r="F7811" s="23"/>
      <c r="G7811" s="23"/>
    </row>
    <row r="7812">
      <c r="A7812" s="5"/>
      <c r="B7812" s="16" t="s">
        <v>2782</v>
      </c>
      <c r="C7812" s="22"/>
      <c r="D7812" s="22"/>
      <c r="E7812" s="22"/>
      <c r="F7812" s="22"/>
      <c r="G7812" s="22"/>
    </row>
    <row r="7813">
      <c r="A7813" s="5"/>
      <c r="B7813" s="17" t="s">
        <v>2783</v>
      </c>
      <c r="C7813" s="22">
        <f>(29)*(1)*(1)*(1)*(1 + (0))</f>
      </c>
      <c r="D7813" s="22" t="s">
        <v>153</v>
      </c>
      <c r="E7813" s="22"/>
      <c r="F7813" s="22">
        <f>(0)</f>
      </c>
      <c r="G7813" s="22">
        <f>(C7813 * E7813 + C7813 * E7813 * F7813)</f>
      </c>
    </row>
    <row r="7814">
      <c r="A7814" s="4"/>
      <c r="B7814" s="12" t="s">
        <v>2784</v>
      </c>
      <c r="C7814" s="21"/>
      <c r="D7814" s="21"/>
      <c r="E7814" s="21"/>
      <c r="F7814" s="21"/>
      <c r="G7814" s="21"/>
    </row>
    <row r="7815">
      <c r="A7815" s="6"/>
      <c r="B7815" s="15" t="s">
        <v>2785</v>
      </c>
      <c r="C7815" s="23"/>
      <c r="D7815" s="23"/>
      <c r="E7815" s="23"/>
      <c r="F7815" s="23"/>
      <c r="G7815" s="23"/>
    </row>
    <row r="7816">
      <c r="A7816" s="5"/>
      <c r="B7816" s="16" t="s">
        <v>2786</v>
      </c>
      <c r="C7816" s="22">
        <f>(4)*(1)*(1)*(1)*(1 + (0))</f>
      </c>
      <c r="D7816" s="22" t="s">
        <v>162</v>
      </c>
      <c r="E7816" s="22"/>
      <c r="F7816" s="22">
        <f>(0)</f>
      </c>
      <c r="G7816" s="22">
        <f>(C7816 * E7816 + C7816 * E7816 * F7816)</f>
      </c>
    </row>
    <row r="7817">
      <c r="A7817" s="5"/>
      <c r="B7817" s="16" t="s">
        <v>2787</v>
      </c>
      <c r="C7817" s="22">
        <f>(1)*(1)*(1)*(1)*(1 + (0))</f>
      </c>
      <c r="D7817" s="22" t="s">
        <v>162</v>
      </c>
      <c r="E7817" s="22"/>
      <c r="F7817" s="22">
        <f>(0)</f>
      </c>
      <c r="G7817" s="22">
        <f>(C7817 * E7817 + C7817 * E7817 * F7817)</f>
      </c>
    </row>
    <row r="7818">
      <c r="A7818" s="5"/>
      <c r="B7818" s="16" t="s">
        <v>2788</v>
      </c>
      <c r="C7818" s="22">
        <f>(7)*(1)*(1)*(1)*(1 + (0))</f>
      </c>
      <c r="D7818" s="22" t="s">
        <v>24</v>
      </c>
      <c r="E7818" s="22"/>
      <c r="F7818" s="22">
        <f>(0)</f>
      </c>
      <c r="G7818" s="22">
        <f>(C7818 * E7818 + C7818 * E7818 * F7818)</f>
      </c>
    </row>
    <row r="7819">
      <c r="A7819" s="6"/>
      <c r="B7819" s="15" t="s">
        <v>2789</v>
      </c>
      <c r="C7819" s="23"/>
      <c r="D7819" s="23"/>
      <c r="E7819" s="23"/>
      <c r="F7819" s="23"/>
      <c r="G7819" s="23"/>
    </row>
    <row r="7820">
      <c r="A7820" s="5"/>
      <c r="B7820" s="16" t="s">
        <v>2670</v>
      </c>
      <c r="C7820" s="22">
        <f>(44)*(1)*(1)*(1)*(1 + (0))</f>
      </c>
      <c r="D7820" s="22" t="s">
        <v>24</v>
      </c>
      <c r="E7820" s="22"/>
      <c r="F7820" s="22">
        <f>(0)</f>
      </c>
      <c r="G7820" s="22">
        <f>(C7820 * E7820 + C7820 * E7820 * F7820)</f>
      </c>
    </row>
    <row r="7821">
      <c r="A7821" s="5"/>
      <c r="B7821" s="16" t="s">
        <v>2790</v>
      </c>
      <c r="C7821" s="22">
        <f>(44)*(1)*(1)*(1)*(1 + (0))</f>
      </c>
      <c r="D7821" s="22" t="s">
        <v>24</v>
      </c>
      <c r="E7821" s="22"/>
      <c r="F7821" s="22">
        <f>(0)</f>
      </c>
      <c r="G7821" s="22">
        <f>(C7821 * E7821 + C7821 * E7821 * F7821)</f>
      </c>
    </row>
    <row r="7822">
      <c r="A7822" s="5"/>
      <c r="B7822" s="16" t="s">
        <v>2791</v>
      </c>
      <c r="C7822" s="22">
        <f>(4)*(1)*(1)*(1)*(1 + (0))</f>
      </c>
      <c r="D7822" s="22" t="s">
        <v>111</v>
      </c>
      <c r="E7822" s="22"/>
      <c r="F7822" s="22">
        <f>(0)</f>
      </c>
      <c r="G7822" s="22">
        <f>(C7822 * E7822 + C7822 * E7822 * F7822)</f>
      </c>
    </row>
    <row r="7823">
      <c r="A7823" s="5"/>
      <c r="B7823" s="16" t="s">
        <v>2792</v>
      </c>
      <c r="C7823" s="22">
        <f>(44)*(1)*(1)*(1)*(1 + (0))</f>
      </c>
      <c r="D7823" s="22" t="s">
        <v>24</v>
      </c>
      <c r="E7823" s="22"/>
      <c r="F7823" s="22">
        <f>(0)</f>
      </c>
      <c r="G7823" s="22">
        <f>(C7823 * E7823 + C7823 * E7823 * F7823)</f>
      </c>
    </row>
    <row r="7824">
      <c r="A7824" s="5"/>
      <c r="B7824" s="16" t="s">
        <v>2793</v>
      </c>
      <c r="C7824" s="22">
        <f>(44)*(1)*(1)*(1)*(1 + (0))</f>
      </c>
      <c r="D7824" s="22" t="s">
        <v>24</v>
      </c>
      <c r="E7824" s="22"/>
      <c r="F7824" s="22">
        <f>(0)</f>
      </c>
      <c r="G7824" s="22">
        <f>(C7824 * E7824 + C7824 * E7824 * F7824)</f>
      </c>
    </row>
    <row r="7825">
      <c r="A7825" s="5"/>
      <c r="B7825" s="16" t="s">
        <v>2679</v>
      </c>
      <c r="C7825" s="22">
        <f>(44)*(1)*(1)*(1)*(1 + (0))</f>
      </c>
      <c r="D7825" s="22" t="s">
        <v>24</v>
      </c>
      <c r="E7825" s="22"/>
      <c r="F7825" s="22">
        <f>(0)</f>
      </c>
      <c r="G7825" s="22">
        <f>(C7825 * E7825 + C7825 * E7825 * F7825)</f>
      </c>
    </row>
    <row r="7826">
      <c r="A7826" s="3"/>
      <c r="B7826" s="11" t="s">
        <v>2794</v>
      </c>
      <c r="C7826" s="20"/>
      <c r="D7826" s="20"/>
      <c r="E7826" s="20"/>
      <c r="F7826" s="20"/>
      <c r="G7826" s="20"/>
    </row>
    <row r="7827">
      <c r="A7827" s="4"/>
      <c r="B7827" s="12" t="s">
        <v>2795</v>
      </c>
      <c r="C7827" s="21"/>
      <c r="D7827" s="21"/>
      <c r="E7827" s="21"/>
      <c r="F7827" s="21"/>
      <c r="G7827" s="21"/>
    </row>
    <row r="7828">
      <c r="A7828" s="5"/>
      <c r="B7828" s="13" t="s">
        <v>2795</v>
      </c>
      <c r="C7828" s="22">
        <f>(75)*(1)*(1)*(1)*(1 + (0))</f>
      </c>
      <c r="D7828" s="22" t="s">
        <v>24</v>
      </c>
      <c r="E7828" s="22"/>
      <c r="F7828" s="22">
        <f>(0)</f>
      </c>
      <c r="G7828" s="22">
        <f>(C7828 * E7828 + C7828 * E7828 * F7828)</f>
      </c>
    </row>
    <row r="7829">
      <c r="A7829" s="4"/>
      <c r="B7829" s="12" t="s">
        <v>2796</v>
      </c>
      <c r="C7829" s="21"/>
      <c r="D7829" s="21"/>
      <c r="E7829" s="21"/>
      <c r="F7829" s="21"/>
      <c r="G7829" s="21"/>
    </row>
    <row r="7830">
      <c r="A7830" s="5"/>
      <c r="B7830" s="13" t="s">
        <v>2797</v>
      </c>
      <c r="C7830" s="22">
        <f>(815)*(1)*(1)*(1)*(1 + (0))</f>
      </c>
      <c r="D7830" s="22" t="s">
        <v>24</v>
      </c>
      <c r="E7830" s="22"/>
      <c r="F7830" s="22">
        <f>(0)</f>
      </c>
      <c r="G7830" s="22">
        <f>(C7830 * E7830 + C7830 * E7830 * F7830)</f>
      </c>
    </row>
    <row r="7831">
      <c r="A7831" s="5"/>
      <c r="B7831" s="13" t="s">
        <v>2798</v>
      </c>
      <c r="C7831" s="22">
        <f>(815)*(1)*(1)*(1)*(1 + (0))</f>
      </c>
      <c r="D7831" s="22" t="s">
        <v>24</v>
      </c>
      <c r="E7831" s="22"/>
      <c r="F7831" s="22">
        <f>(0)</f>
      </c>
      <c r="G7831" s="22">
        <f>(C7831 * E7831 + C7831 * E7831 * F7831)</f>
      </c>
    </row>
    <row r="7832">
      <c r="A7832" s="5"/>
      <c r="B7832" s="13" t="s">
        <v>2799</v>
      </c>
      <c r="C7832" s="22">
        <f>(815)*(1)*(1)*(1)*(1 + (0))</f>
      </c>
      <c r="D7832" s="22" t="s">
        <v>24</v>
      </c>
      <c r="E7832" s="22"/>
      <c r="F7832" s="22">
        <f>(0)</f>
      </c>
      <c r="G7832" s="22">
        <f>(C7832 * E7832 + C7832 * E7832 * F7832)</f>
      </c>
    </row>
    <row r="7833">
      <c r="A7833" s="4"/>
      <c r="B7833" s="12" t="s">
        <v>2800</v>
      </c>
      <c r="C7833" s="21"/>
      <c r="D7833" s="21"/>
      <c r="E7833" s="21"/>
      <c r="F7833" s="21"/>
      <c r="G7833" s="21"/>
    </row>
    <row r="7834">
      <c r="A7834" s="5"/>
      <c r="B7834" s="13" t="s">
        <v>2801</v>
      </c>
      <c r="C7834" s="22">
        <f>(4343)*(1)*(1)*(1)*(1 + (0))</f>
      </c>
      <c r="D7834" s="22" t="s">
        <v>24</v>
      </c>
      <c r="E7834" s="22"/>
      <c r="F7834" s="22">
        <f>(0)</f>
      </c>
      <c r="G7834" s="22">
        <f>(C7834 * E7834 + C7834 * E7834 * F7834)</f>
      </c>
    </row>
    <row r="7835">
      <c r="A7835" s="5"/>
      <c r="B7835" s="13" t="s">
        <v>2802</v>
      </c>
      <c r="C7835" s="22">
        <f>(4343)*(1)*(1)*(1)*(1 + (0))</f>
      </c>
      <c r="D7835" s="22" t="s">
        <v>24</v>
      </c>
      <c r="E7835" s="22"/>
      <c r="F7835" s="22">
        <f>(0)</f>
      </c>
      <c r="G7835" s="22">
        <f>(C7835 * E7835 + C7835 * E7835 * F7835)</f>
      </c>
    </row>
    <row r="7836">
      <c r="A7836" s="5"/>
      <c r="B7836" s="13" t="s">
        <v>2803</v>
      </c>
      <c r="C7836" s="22">
        <f>(543)*(1)*(1)*(1)*(1 + (0))</f>
      </c>
      <c r="D7836" s="22" t="s">
        <v>111</v>
      </c>
      <c r="E7836" s="22"/>
      <c r="F7836" s="22">
        <f>(0)</f>
      </c>
      <c r="G7836" s="22">
        <f>(C7836 * E7836 + C7836 * E7836 * F7836)</f>
      </c>
    </row>
    <row r="7837">
      <c r="A7837" s="5"/>
      <c r="B7837" s="13" t="s">
        <v>2804</v>
      </c>
      <c r="C7837" s="22">
        <f>(2778)*(1)*(1)*(1)*(1 + (0))</f>
      </c>
      <c r="D7837" s="22" t="s">
        <v>153</v>
      </c>
      <c r="E7837" s="22"/>
      <c r="F7837" s="22">
        <f>(0)</f>
      </c>
      <c r="G7837" s="22">
        <f>(C7837 * E7837 + C7837 * E7837 * F7837)</f>
      </c>
    </row>
    <row r="7838">
      <c r="A7838" s="5"/>
      <c r="B7838" s="13" t="s">
        <v>2805</v>
      </c>
      <c r="C7838" s="22">
        <f>(4343)*(1)*(1)*(1)*(1 + (0))</f>
      </c>
      <c r="D7838" s="22" t="s">
        <v>24</v>
      </c>
      <c r="E7838" s="22"/>
      <c r="F7838" s="22">
        <f>(0)</f>
      </c>
      <c r="G7838" s="22">
        <f>(C7838 * E7838 + C7838 * E7838 * F7838)</f>
      </c>
    </row>
    <row r="7839">
      <c r="A7839" s="5"/>
      <c r="B7839" s="13" t="s">
        <v>2806</v>
      </c>
      <c r="C7839" s="22">
        <f>(4343)*(1)*(1)*(1)*(1 + (0))</f>
      </c>
      <c r="D7839" s="22" t="s">
        <v>24</v>
      </c>
      <c r="E7839" s="22"/>
      <c r="F7839" s="22">
        <f>(0)</f>
      </c>
      <c r="G7839" s="22">
        <f>(C7839 * E7839 + C7839 * E7839 * F7839)</f>
      </c>
    </row>
    <row r="7840">
      <c r="A7840" s="5"/>
      <c r="B7840" s="13" t="s">
        <v>2807</v>
      </c>
      <c r="C7840" s="22">
        <f>(127)*(1)*(1)*(1)*(1 + (0))</f>
      </c>
      <c r="D7840" s="22" t="s">
        <v>111</v>
      </c>
      <c r="E7840" s="22"/>
      <c r="F7840" s="22">
        <f>(0)</f>
      </c>
      <c r="G7840" s="22">
        <f>(C7840 * E7840 + C7840 * E7840 * F7840)</f>
      </c>
    </row>
    <row r="7841">
      <c r="A7841" s="5"/>
      <c r="B7841" s="13" t="s">
        <v>2808</v>
      </c>
      <c r="C7841" s="22">
        <f>(37)*(1)*(1)*(1)*(1 + (0))</f>
      </c>
      <c r="D7841" s="22" t="s">
        <v>111</v>
      </c>
      <c r="E7841" s="22"/>
      <c r="F7841" s="22">
        <f>(0)</f>
      </c>
      <c r="G7841" s="22">
        <f>(C7841 * E7841 + C7841 * E7841 * F7841)</f>
      </c>
    </row>
    <row r="7842">
      <c r="A7842" s="6"/>
      <c r="B7842" s="15" t="s">
        <v>2809</v>
      </c>
      <c r="C7842" s="23"/>
      <c r="D7842" s="23"/>
      <c r="E7842" s="23"/>
      <c r="F7842" s="23"/>
      <c r="G7842" s="23"/>
    </row>
    <row r="7843">
      <c r="A7843" s="5"/>
      <c r="B7843" s="16" t="s">
        <v>2810</v>
      </c>
      <c r="C7843" s="22">
        <f>(3036)*(1)*(1)*(1)*(1 + (0))</f>
      </c>
      <c r="D7843" s="22" t="s">
        <v>24</v>
      </c>
      <c r="E7843" s="22"/>
      <c r="F7843" s="22">
        <f>(0)</f>
      </c>
      <c r="G7843" s="22">
        <f>(C7843 * E7843 + C7843 * E7843 * F7843)</f>
      </c>
    </row>
    <row r="7844">
      <c r="A7844" s="5"/>
      <c r="B7844" s="16" t="s">
        <v>2811</v>
      </c>
      <c r="C7844" s="22">
        <f>(1013)*(1)*(1)*(1)*(1 + (0))</f>
      </c>
      <c r="D7844" s="22" t="s">
        <v>24</v>
      </c>
      <c r="E7844" s="22"/>
      <c r="F7844" s="22">
        <f>(0)</f>
      </c>
      <c r="G7844" s="22">
        <f>(C7844 * E7844 + C7844 * E7844 * F7844)</f>
      </c>
    </row>
    <row r="7845">
      <c r="A7845" s="5"/>
      <c r="B7845" s="16" t="s">
        <v>2812</v>
      </c>
      <c r="C7845" s="22">
        <f>(295)*(1)*(1)*(1)*(1 + (0))</f>
      </c>
      <c r="D7845" s="22" t="s">
        <v>24</v>
      </c>
      <c r="E7845" s="22"/>
      <c r="F7845" s="22">
        <f>(0)</f>
      </c>
      <c r="G7845" s="22">
        <f>(C7845 * E7845 + C7845 * E7845 * F7845)</f>
      </c>
    </row>
    <row r="7846">
      <c r="A7846" s="4"/>
      <c r="B7846" s="12" t="s">
        <v>2813</v>
      </c>
      <c r="C7846" s="21"/>
      <c r="D7846" s="21"/>
      <c r="E7846" s="21"/>
      <c r="F7846" s="21"/>
      <c r="G7846" s="21"/>
    </row>
    <row r="7847">
      <c r="A7847" s="5"/>
      <c r="B7847" s="13" t="s">
        <v>2801</v>
      </c>
      <c r="C7847" s="22">
        <f>(182)*(1)*(1)*(1)*(1 + (0))</f>
      </c>
      <c r="D7847" s="22" t="s">
        <v>24</v>
      </c>
      <c r="E7847" s="22"/>
      <c r="F7847" s="22">
        <f>(0)</f>
      </c>
      <c r="G7847" s="22">
        <f>(C7847 * E7847 + C7847 * E7847 * F7847)</f>
      </c>
    </row>
    <row r="7848">
      <c r="A7848" s="5"/>
      <c r="B7848" s="13" t="s">
        <v>2802</v>
      </c>
      <c r="C7848" s="22">
        <f>(182)*(1)*(1)*(1)*(1 + (0))</f>
      </c>
      <c r="D7848" s="22" t="s">
        <v>24</v>
      </c>
      <c r="E7848" s="22"/>
      <c r="F7848" s="22">
        <f>(0)</f>
      </c>
      <c r="G7848" s="22">
        <f>(C7848 * E7848 + C7848 * E7848 * F7848)</f>
      </c>
    </row>
    <row r="7849">
      <c r="A7849" s="5"/>
      <c r="B7849" s="13" t="s">
        <v>2803</v>
      </c>
      <c r="C7849" s="22">
        <f>(23)*(1)*(1)*(1)*(1 + (0))</f>
      </c>
      <c r="D7849" s="22" t="s">
        <v>111</v>
      </c>
      <c r="E7849" s="22"/>
      <c r="F7849" s="22">
        <f>(0)</f>
      </c>
      <c r="G7849" s="22">
        <f>(C7849 * E7849 + C7849 * E7849 * F7849)</f>
      </c>
    </row>
    <row r="7850">
      <c r="A7850" s="5"/>
      <c r="B7850" s="13" t="s">
        <v>2804</v>
      </c>
      <c r="C7850" s="22">
        <f>(143)*(1)*(1)*(1)*(1 + (0))</f>
      </c>
      <c r="D7850" s="22" t="s">
        <v>153</v>
      </c>
      <c r="E7850" s="22"/>
      <c r="F7850" s="22">
        <f>(0)</f>
      </c>
      <c r="G7850" s="22">
        <f>(C7850 * E7850 + C7850 * E7850 * F7850)</f>
      </c>
    </row>
    <row r="7851">
      <c r="A7851" s="5"/>
      <c r="B7851" s="13" t="s">
        <v>2805</v>
      </c>
      <c r="C7851" s="22">
        <f>(182)*(1)*(1)*(1)*(1 + (0))</f>
      </c>
      <c r="D7851" s="22" t="s">
        <v>24</v>
      </c>
      <c r="E7851" s="22"/>
      <c r="F7851" s="22">
        <f>(0)</f>
      </c>
      <c r="G7851" s="22">
        <f>(C7851 * E7851 + C7851 * E7851 * F7851)</f>
      </c>
    </row>
    <row r="7852">
      <c r="A7852" s="5"/>
      <c r="B7852" s="13" t="s">
        <v>2806</v>
      </c>
      <c r="C7852" s="22">
        <f>(182)*(1)*(1)*(1)*(1 + (0))</f>
      </c>
      <c r="D7852" s="22" t="s">
        <v>24</v>
      </c>
      <c r="E7852" s="22"/>
      <c r="F7852" s="22">
        <f>(0)</f>
      </c>
      <c r="G7852" s="22">
        <f>(C7852 * E7852 + C7852 * E7852 * F7852)</f>
      </c>
    </row>
    <row r="7853">
      <c r="A7853" s="6"/>
      <c r="B7853" s="15" t="s">
        <v>2814</v>
      </c>
      <c r="C7853" s="23"/>
      <c r="D7853" s="23"/>
      <c r="E7853" s="23"/>
      <c r="F7853" s="23"/>
      <c r="G7853" s="23"/>
    </row>
    <row r="7854">
      <c r="A7854" s="5"/>
      <c r="B7854" s="16" t="s">
        <v>2815</v>
      </c>
      <c r="C7854" s="22">
        <f>(182)*(1)*(1)*(1)*(1 + (0))</f>
      </c>
      <c r="D7854" s="22" t="s">
        <v>24</v>
      </c>
      <c r="E7854" s="22"/>
      <c r="F7854" s="22">
        <f>(0)</f>
      </c>
      <c r="G7854" s="22">
        <f>(C7854 * E7854 + C7854 * E7854 * F7854)</f>
      </c>
    </row>
    <row r="7855">
      <c r="A7855" s="4"/>
      <c r="B7855" s="12" t="s">
        <v>2816</v>
      </c>
      <c r="C7855" s="21"/>
      <c r="D7855" s="21"/>
      <c r="E7855" s="21"/>
      <c r="F7855" s="21"/>
      <c r="G7855" s="21"/>
    </row>
    <row r="7856">
      <c r="A7856" s="5"/>
      <c r="B7856" s="13" t="s">
        <v>2801</v>
      </c>
      <c r="C7856" s="22">
        <f>(20)*(1)*(1)*(1)*(1 + (0))</f>
      </c>
      <c r="D7856" s="22" t="s">
        <v>24</v>
      </c>
      <c r="E7856" s="22"/>
      <c r="F7856" s="22">
        <f>(0)</f>
      </c>
      <c r="G7856" s="22">
        <f>(C7856 * E7856 + C7856 * E7856 * F7856)</f>
      </c>
    </row>
    <row r="7857">
      <c r="A7857" s="5"/>
      <c r="B7857" s="13" t="s">
        <v>2817</v>
      </c>
      <c r="C7857" s="22">
        <f>(20)*(1)*(1)*(1)*(1 + (0))</f>
      </c>
      <c r="D7857" s="22" t="s">
        <v>24</v>
      </c>
      <c r="E7857" s="22"/>
      <c r="F7857" s="22">
        <f>(0)</f>
      </c>
      <c r="G7857" s="22">
        <f>(C7857 * E7857 + C7857 * E7857 * F7857)</f>
      </c>
    </row>
    <row r="7858">
      <c r="A7858" s="5"/>
      <c r="B7858" s="13" t="s">
        <v>2818</v>
      </c>
      <c r="C7858" s="22">
        <f>(3)*(1)*(1)*(1)*(1 + (0))</f>
      </c>
      <c r="D7858" s="22" t="s">
        <v>111</v>
      </c>
      <c r="E7858" s="22"/>
      <c r="F7858" s="22">
        <f>(0)</f>
      </c>
      <c r="G7858" s="22">
        <f>(C7858 * E7858 + C7858 * E7858 * F7858)</f>
      </c>
    </row>
    <row r="7859">
      <c r="A7859" s="5"/>
      <c r="B7859" s="13" t="s">
        <v>2819</v>
      </c>
      <c r="C7859" s="22">
        <f>(30)*(1)*(1)*(1)*(1 + (0))</f>
      </c>
      <c r="D7859" s="22" t="s">
        <v>153</v>
      </c>
      <c r="E7859" s="22"/>
      <c r="F7859" s="22">
        <f>(0)</f>
      </c>
      <c r="G7859" s="22">
        <f>(C7859 * E7859 + C7859 * E7859 * F7859)</f>
      </c>
    </row>
    <row r="7860">
      <c r="A7860" s="5"/>
      <c r="B7860" s="13" t="s">
        <v>2820</v>
      </c>
      <c r="C7860" s="22">
        <f>(20)*(1)*(1)*(1)*(1 + (0))</f>
      </c>
      <c r="D7860" s="22" t="s">
        <v>24</v>
      </c>
      <c r="E7860" s="22"/>
      <c r="F7860" s="22">
        <f>(0)</f>
      </c>
      <c r="G7860" s="22">
        <f>(C7860 * E7860 + C7860 * E7860 * F7860)</f>
      </c>
    </row>
    <row r="7861">
      <c r="A7861" s="6"/>
      <c r="B7861" s="15" t="s">
        <v>2809</v>
      </c>
      <c r="C7861" s="23"/>
      <c r="D7861" s="23"/>
      <c r="E7861" s="23"/>
      <c r="F7861" s="23"/>
      <c r="G7861" s="23"/>
    </row>
    <row r="7862">
      <c r="A7862" s="5"/>
      <c r="B7862" s="16" t="s">
        <v>2821</v>
      </c>
      <c r="C7862" s="22">
        <f>(20)*(1)*(1)*(1)*(1 + (0))</f>
      </c>
      <c r="D7862" s="22" t="s">
        <v>24</v>
      </c>
      <c r="E7862" s="22"/>
      <c r="F7862" s="22">
        <f>(0)</f>
      </c>
      <c r="G7862" s="22">
        <f>(C7862 * E7862 + C7862 * E7862 * F7862)</f>
      </c>
    </row>
    <row r="7863">
      <c r="A7863" s="4"/>
      <c r="B7863" s="12" t="s">
        <v>2822</v>
      </c>
      <c r="C7863" s="21"/>
      <c r="D7863" s="21"/>
      <c r="E7863" s="21"/>
      <c r="F7863" s="21"/>
      <c r="G7863" s="21"/>
    </row>
    <row r="7864">
      <c r="A7864" s="5"/>
      <c r="B7864" s="13" t="s">
        <v>2823</v>
      </c>
      <c r="C7864" s="22">
        <f>(129)*(1)*(1)*(1)*(1 + (0))</f>
      </c>
      <c r="D7864" s="22" t="s">
        <v>153</v>
      </c>
      <c r="E7864" s="22"/>
      <c r="F7864" s="22">
        <f>(0)</f>
      </c>
      <c r="G7864" s="22">
        <f>(C7864 * E7864 + C7864 * E7864 * F7864)</f>
      </c>
    </row>
    <row r="7865">
      <c r="A7865" s="5"/>
      <c r="B7865" s="13" t="s">
        <v>2824</v>
      </c>
      <c r="C7865" s="22">
        <f>(43)*(1)*(1)*(1)*(1 + (0))</f>
      </c>
      <c r="D7865" s="22" t="s">
        <v>153</v>
      </c>
      <c r="E7865" s="22"/>
      <c r="F7865" s="22">
        <f>(0)</f>
      </c>
      <c r="G7865" s="22">
        <f>(C7865 * E7865 + C7865 * E7865 * F7865)</f>
      </c>
    </row>
    <row r="7866">
      <c r="A7866" s="4"/>
      <c r="B7866" s="12" t="s">
        <v>2825</v>
      </c>
      <c r="C7866" s="21"/>
      <c r="D7866" s="21"/>
      <c r="E7866" s="21"/>
      <c r="F7866" s="21"/>
      <c r="G7866" s="21"/>
    </row>
    <row r="7867">
      <c r="A7867" s="5"/>
      <c r="B7867" s="13" t="s">
        <v>2826</v>
      </c>
      <c r="C7867" s="22">
        <f>(104)*(1)*(1)*(1)*(1 + (0))</f>
      </c>
      <c r="D7867" s="22" t="s">
        <v>153</v>
      </c>
      <c r="E7867" s="22"/>
      <c r="F7867" s="22">
        <f>(0)</f>
      </c>
      <c r="G7867" s="22">
        <f>(C7867 * E7867 + C7867 * E7867 * F7867)</f>
      </c>
    </row>
    <row r="7868">
      <c r="A7868" s="4"/>
      <c r="B7868" s="12" t="s">
        <v>2687</v>
      </c>
      <c r="C7868" s="21"/>
      <c r="D7868" s="21"/>
      <c r="E7868" s="21"/>
      <c r="F7868" s="21"/>
      <c r="G7868" s="21"/>
    </row>
    <row r="7869">
      <c r="A7869" s="5"/>
      <c r="B7869" s="13" t="s">
        <v>2827</v>
      </c>
      <c r="C7869" s="22">
        <f>(58)*(1)*(1)*(1)*(1 + (0))</f>
      </c>
      <c r="D7869" s="22" t="s">
        <v>162</v>
      </c>
      <c r="E7869" s="22"/>
      <c r="F7869" s="22">
        <f>(0)</f>
      </c>
      <c r="G7869" s="22">
        <f>(C7869 * E7869 + C7869 * E7869 * F7869)</f>
      </c>
    </row>
    <row r="7870">
      <c r="A7870" s="5"/>
      <c r="B7870" s="13" t="s">
        <v>2828</v>
      </c>
      <c r="C7870" s="22">
        <f>(764)*(1)*(1)*(1)*(1 + (0))</f>
      </c>
      <c r="D7870" s="22" t="s">
        <v>24</v>
      </c>
      <c r="E7870" s="22"/>
      <c r="F7870" s="22">
        <f>(0)</f>
      </c>
      <c r="G7870" s="22">
        <f>(C7870 * E7870 + C7870 * E7870 * F7870)</f>
      </c>
    </row>
    <row r="7871">
      <c r="A7871" s="5"/>
      <c r="B7871" s="13" t="s">
        <v>2829</v>
      </c>
      <c r="C7871" s="22">
        <f>(21)*(1)*(1)*(1)*(1 + (0))</f>
      </c>
      <c r="D7871" s="22" t="s">
        <v>153</v>
      </c>
      <c r="E7871" s="22"/>
      <c r="F7871" s="22">
        <f>(0)</f>
      </c>
      <c r="G7871" s="22">
        <f>(C7871 * E7871 + C7871 * E7871 * F7871)</f>
      </c>
    </row>
    <row r="7872">
      <c r="A7872" s="5"/>
      <c r="B7872" s="7" t="s">
        <v>2830</v>
      </c>
      <c r="C7872" s="22"/>
      <c r="D7872" s="22"/>
      <c r="E7872" s="22"/>
      <c r="F7872" s="22">
        <f>(0)</f>
      </c>
      <c r="G7872" s="22">
        <f>(C7872 * E7872 + C7872 * E7872 * F7872)</f>
      </c>
    </row>
    <row r="7873">
      <c r="A7873" s="2"/>
      <c r="B7873" s="10" t="s">
        <v>2831</v>
      </c>
      <c r="C7873" s="19"/>
      <c r="D7873" s="19"/>
      <c r="E7873" s="19"/>
      <c r="F7873" s="19"/>
      <c r="G7873" s="19"/>
    </row>
    <row r="7874">
      <c r="A7874" s="3"/>
      <c r="B7874" s="11" t="s">
        <v>37</v>
      </c>
      <c r="C7874" s="20"/>
      <c r="D7874" s="20"/>
      <c r="E7874" s="20"/>
      <c r="F7874" s="20"/>
      <c r="G7874" s="20"/>
    </row>
    <row r="7875">
      <c r="A7875" s="5" t="s">
        <v>2832</v>
      </c>
      <c r="B7875" s="14" t="s">
        <v>2400</v>
      </c>
      <c r="C7875" s="22"/>
      <c r="D7875" s="22" t="s">
        <v>10</v>
      </c>
      <c r="E7875" s="22"/>
      <c r="F7875" s="22">
        <f>(0)</f>
      </c>
      <c r="G7875" s="22">
        <f>(C7875 * E7875 + C7875 * E7875 * F7875)</f>
      </c>
    </row>
    <row r="7876">
      <c r="A7876" s="5" t="s">
        <v>2833</v>
      </c>
      <c r="B7876" s="14" t="s">
        <v>41</v>
      </c>
      <c r="C7876" s="22"/>
      <c r="D7876" s="22" t="s">
        <v>10</v>
      </c>
      <c r="E7876" s="22"/>
      <c r="F7876" s="22">
        <f>(0)</f>
      </c>
      <c r="G7876" s="22">
        <f>(C7876 * E7876 + C7876 * E7876 * F7876)</f>
      </c>
    </row>
    <row r="7877">
      <c r="A7877" s="3"/>
      <c r="B7877" s="11" t="s">
        <v>42</v>
      </c>
      <c r="C7877" s="20"/>
      <c r="D7877" s="20"/>
      <c r="E7877" s="20"/>
      <c r="F7877" s="20"/>
      <c r="G7877" s="20"/>
    </row>
    <row r="7878">
      <c r="A7878" s="5"/>
      <c r="B7878" s="14" t="s">
        <v>2292</v>
      </c>
      <c r="C7878" s="22"/>
      <c r="D7878" s="22" t="s">
        <v>10</v>
      </c>
      <c r="E7878" s="22"/>
      <c r="F7878" s="22">
        <f>(0)</f>
      </c>
      <c r="G7878" s="22">
        <f>(C7878 * E7878 + C7878 * E7878 * F7878)</f>
      </c>
    </row>
    <row r="7879">
      <c r="A7879" s="5"/>
      <c r="B7879" s="14" t="s">
        <v>2665</v>
      </c>
      <c r="C7879" s="22"/>
      <c r="D7879" s="22" t="s">
        <v>10</v>
      </c>
      <c r="E7879" s="22"/>
      <c r="F7879" s="22">
        <f>(0)</f>
      </c>
      <c r="G7879" s="22">
        <f>(C7879 * E7879 + C7879 * E7879 * F7879)</f>
      </c>
    </row>
    <row r="7880">
      <c r="A7880" s="3"/>
      <c r="B7880" s="11" t="s">
        <v>44</v>
      </c>
      <c r="C7880" s="20"/>
      <c r="D7880" s="20"/>
      <c r="E7880" s="20"/>
      <c r="F7880" s="20"/>
      <c r="G7880" s="20"/>
    </row>
    <row r="7881">
      <c r="A7881" s="4"/>
      <c r="B7881" s="12" t="s">
        <v>45</v>
      </c>
      <c r="C7881" s="21"/>
      <c r="D7881" s="21"/>
      <c r="E7881" s="21"/>
      <c r="F7881" s="21"/>
      <c r="G7881" s="21"/>
    </row>
    <row r="7882">
      <c r="A7882" s="5" t="s">
        <v>2834</v>
      </c>
      <c r="B7882" s="13" t="s">
        <v>2446</v>
      </c>
      <c r="C7882" s="22"/>
      <c r="D7882" s="22" t="s">
        <v>10</v>
      </c>
      <c r="E7882" s="22"/>
      <c r="F7882" s="22">
        <f>(0)</f>
      </c>
      <c r="G7882" s="22">
        <f>(C7882 * E7882 + C7882 * E7882 * F7882)</f>
      </c>
    </row>
    <row r="7883">
      <c r="A7883" s="5" t="s">
        <v>2835</v>
      </c>
      <c r="B7883" s="13" t="s">
        <v>49</v>
      </c>
      <c r="C7883" s="22"/>
      <c r="D7883" s="22" t="s">
        <v>10</v>
      </c>
      <c r="E7883" s="22"/>
      <c r="F7883" s="22">
        <f>(0)</f>
      </c>
      <c r="G7883" s="22">
        <f>(C7883 * E7883 + C7883 * E7883 * F7883)</f>
      </c>
    </row>
    <row r="7884">
      <c r="A7884" s="5" t="s">
        <v>2836</v>
      </c>
      <c r="B7884" s="13" t="s">
        <v>2447</v>
      </c>
      <c r="C7884" s="22"/>
      <c r="D7884" s="22" t="s">
        <v>10</v>
      </c>
      <c r="E7884" s="22"/>
      <c r="F7884" s="22">
        <f>(0)</f>
      </c>
      <c r="G7884" s="22">
        <f>(C7884 * E7884 + C7884 * E7884 * F7884)</f>
      </c>
    </row>
    <row r="7885">
      <c r="A7885" s="5" t="s">
        <v>2837</v>
      </c>
      <c r="B7885" s="13" t="s">
        <v>2448</v>
      </c>
      <c r="C7885" s="22"/>
      <c r="D7885" s="22" t="s">
        <v>10</v>
      </c>
      <c r="E7885" s="22"/>
      <c r="F7885" s="22">
        <f>(0)</f>
      </c>
      <c r="G7885" s="22">
        <f>(C7885 * E7885 + C7885 * E7885 * F7885)</f>
      </c>
    </row>
    <row r="7886">
      <c r="A7886" s="5" t="s">
        <v>2838</v>
      </c>
      <c r="B7886" s="13" t="s">
        <v>57</v>
      </c>
      <c r="C7886" s="22"/>
      <c r="D7886" s="22" t="s">
        <v>10</v>
      </c>
      <c r="E7886" s="22"/>
      <c r="F7886" s="22">
        <f>(0)</f>
      </c>
      <c r="G7886" s="22">
        <f>(C7886 * E7886 + C7886 * E7886 * F7886)</f>
      </c>
    </row>
    <row r="7887">
      <c r="A7887" s="5" t="s">
        <v>2839</v>
      </c>
      <c r="B7887" s="13" t="s">
        <v>61</v>
      </c>
      <c r="C7887" s="22"/>
      <c r="D7887" s="22" t="s">
        <v>10</v>
      </c>
      <c r="E7887" s="22"/>
      <c r="F7887" s="22">
        <f>(0)</f>
      </c>
      <c r="G7887" s="22">
        <f>(C7887 * E7887 + C7887 * E7887 * F7887)</f>
      </c>
    </row>
    <row r="7888">
      <c r="A7888" s="5" t="s">
        <v>2840</v>
      </c>
      <c r="B7888" s="13" t="s">
        <v>67</v>
      </c>
      <c r="C7888" s="22"/>
      <c r="D7888" s="22" t="s">
        <v>10</v>
      </c>
      <c r="E7888" s="22"/>
      <c r="F7888" s="22">
        <f>(0)</f>
      </c>
      <c r="G7888" s="22">
        <f>(C7888 * E7888 + C7888 * E7888 * F7888)</f>
      </c>
    </row>
    <row r="7889">
      <c r="A7889" s="5" t="s">
        <v>2841</v>
      </c>
      <c r="B7889" s="13" t="s">
        <v>123</v>
      </c>
      <c r="C7889" s="22"/>
      <c r="D7889" s="22" t="s">
        <v>10</v>
      </c>
      <c r="E7889" s="22"/>
      <c r="F7889" s="22">
        <f>(0)</f>
      </c>
      <c r="G7889" s="22">
        <f>(C7889 * E7889 + C7889 * E7889 * F7889)</f>
      </c>
    </row>
    <row r="7890">
      <c r="A7890" s="3"/>
      <c r="B7890" s="11" t="s">
        <v>68</v>
      </c>
      <c r="C7890" s="20"/>
      <c r="D7890" s="20"/>
      <c r="E7890" s="20"/>
      <c r="F7890" s="20"/>
      <c r="G7890" s="20"/>
    </row>
    <row r="7891">
      <c r="A7891" s="5" t="s">
        <v>2842</v>
      </c>
      <c r="B7891" s="14" t="s">
        <v>70</v>
      </c>
      <c r="C7891" s="22">
        <f>(1)*(1)*(1)*(1)*(1 + (0))</f>
      </c>
      <c r="D7891" s="22" t="s">
        <v>71</v>
      </c>
      <c r="E7891" s="22"/>
      <c r="F7891" s="22">
        <f>(0)</f>
      </c>
      <c r="G7891" s="22">
        <f>(C7891 * E7891 + C7891 * E7891 * F7891)</f>
      </c>
    </row>
    <row r="7892">
      <c r="A7892" s="5" t="s">
        <v>2843</v>
      </c>
      <c r="B7892" s="14" t="s">
        <v>73</v>
      </c>
      <c r="C7892" s="22">
        <f>(1)*(1)*(1)*(1)*(1 + (0))</f>
      </c>
      <c r="D7892" s="22" t="s">
        <v>71</v>
      </c>
      <c r="E7892" s="22"/>
      <c r="F7892" s="22">
        <f>(0)</f>
      </c>
      <c r="G7892" s="22">
        <f>(C7892 * E7892 + C7892 * E7892 * F7892)</f>
      </c>
    </row>
    <row r="7893">
      <c r="A7893" s="5" t="s">
        <v>2844</v>
      </c>
      <c r="B7893" s="14" t="s">
        <v>83</v>
      </c>
      <c r="C7893" s="22">
        <f>(1)*(1)*(1)*(1)*(1 + (0))</f>
      </c>
      <c r="D7893" s="22" t="s">
        <v>71</v>
      </c>
      <c r="E7893" s="22"/>
      <c r="F7893" s="22">
        <f>(0)</f>
      </c>
      <c r="G7893" s="22">
        <f>(C7893 * E7893 + C7893 * E7893 * F7893)</f>
      </c>
    </row>
    <row r="7894">
      <c r="A7894" s="5" t="s">
        <v>2845</v>
      </c>
      <c r="B7894" s="14" t="s">
        <v>77</v>
      </c>
      <c r="C7894" s="22">
        <f>(1)*(1)*(1)*(1)*(1 + (0))</f>
      </c>
      <c r="D7894" s="22" t="s">
        <v>71</v>
      </c>
      <c r="E7894" s="22"/>
      <c r="F7894" s="22">
        <f>(0)</f>
      </c>
      <c r="G7894" s="22">
        <f>(C7894 * E7894 + C7894 * E7894 * F7894)</f>
      </c>
    </row>
    <row r="7895">
      <c r="A7895" s="5" t="s">
        <v>2846</v>
      </c>
      <c r="B7895" s="14" t="s">
        <v>228</v>
      </c>
      <c r="C7895" s="22">
        <f>(1)*(1)*(1)*(1)*(1 + (0))</f>
      </c>
      <c r="D7895" s="22" t="s">
        <v>71</v>
      </c>
      <c r="E7895" s="22"/>
      <c r="F7895" s="22">
        <f>(0)</f>
      </c>
      <c r="G7895" s="22">
        <f>(C7895 * E7895 + C7895 * E7895 * F7895)</f>
      </c>
    </row>
    <row r="7896">
      <c r="A7896" s="5" t="s">
        <v>2847</v>
      </c>
      <c r="B7896" s="14" t="s">
        <v>230</v>
      </c>
      <c r="C7896" s="22">
        <f>(1)*(1)*(1)*(1)*(1 + (0))</f>
      </c>
      <c r="D7896" s="22" t="s">
        <v>71</v>
      </c>
      <c r="E7896" s="22"/>
      <c r="F7896" s="22">
        <f>(0)</f>
      </c>
      <c r="G7896" s="22">
        <f>(C7896 * E7896 + C7896 * E7896 * F7896)</f>
      </c>
    </row>
    <row r="7897">
      <c r="A7897" s="5" t="s">
        <v>2848</v>
      </c>
      <c r="B7897" s="14" t="s">
        <v>2453</v>
      </c>
      <c r="C7897" s="22">
        <f>(1)*(1)*(1)*(1)*(1 + (0))</f>
      </c>
      <c r="D7897" s="22" t="s">
        <v>71</v>
      </c>
      <c r="E7897" s="22"/>
      <c r="F7897" s="22">
        <f>(0)</f>
      </c>
      <c r="G7897" s="22">
        <f>(C7897 * E7897 + C7897 * E7897 * F7897)</f>
      </c>
    </row>
    <row r="7898">
      <c r="A7898" s="5" t="s">
        <v>2849</v>
      </c>
      <c r="B7898" s="14" t="s">
        <v>232</v>
      </c>
      <c r="C7898" s="22">
        <f>(1)*(1)*(1)*(1)*(1 + (0))</f>
      </c>
      <c r="D7898" s="22" t="s">
        <v>71</v>
      </c>
      <c r="E7898" s="22"/>
      <c r="F7898" s="22">
        <f>(0)</f>
      </c>
      <c r="G7898" s="22">
        <f>(C7898 * E7898 + C7898 * E7898 * F7898)</f>
      </c>
    </row>
    <row r="7899">
      <c r="A7899" s="5" t="s">
        <v>2850</v>
      </c>
      <c r="B7899" s="14" t="s">
        <v>2851</v>
      </c>
      <c r="C7899" s="22">
        <f>(1)*(1)*(1)*(1)*(1 + (0))</f>
      </c>
      <c r="D7899" s="22" t="s">
        <v>71</v>
      </c>
      <c r="E7899" s="22"/>
      <c r="F7899" s="22">
        <f>(0)</f>
      </c>
      <c r="G7899" s="22">
        <f>(C7899 * E7899 + C7899 * E7899 * F7899)</f>
      </c>
    </row>
    <row r="7900">
      <c r="A7900" s="3"/>
      <c r="B7900" s="11" t="s">
        <v>2852</v>
      </c>
      <c r="C7900" s="20"/>
      <c r="D7900" s="20"/>
      <c r="E7900" s="20"/>
      <c r="F7900" s="20"/>
      <c r="G7900" s="20"/>
    </row>
    <row r="7901">
      <c r="A7901" s="4"/>
      <c r="B7901" s="12" t="s">
        <v>2853</v>
      </c>
      <c r="C7901" s="21"/>
      <c r="D7901" s="21"/>
      <c r="E7901" s="21"/>
      <c r="F7901" s="21"/>
      <c r="G7901" s="21"/>
    </row>
    <row r="7902">
      <c r="A7902" s="5"/>
      <c r="B7902" s="13" t="s">
        <v>2854</v>
      </c>
      <c r="C7902" s="22">
        <f>(28)*(1)*(1)*(1)*(1 + (0))</f>
      </c>
      <c r="D7902" s="22" t="s">
        <v>162</v>
      </c>
      <c r="E7902" s="22"/>
      <c r="F7902" s="22">
        <f>(0)</f>
      </c>
      <c r="G7902" s="22">
        <f>(C7902 * E7902 + C7902 * E7902 * F7902)</f>
      </c>
    </row>
    <row r="7903">
      <c r="A7903" s="5"/>
      <c r="B7903" s="13" t="s">
        <v>2855</v>
      </c>
      <c r="C7903" s="22">
        <f>(2)*(1)*(1)*(1)*(1 + (0))</f>
      </c>
      <c r="D7903" s="22" t="s">
        <v>162</v>
      </c>
      <c r="E7903" s="22"/>
      <c r="F7903" s="22">
        <f>(0)</f>
      </c>
      <c r="G7903" s="22">
        <f>(C7903 * E7903 + C7903 * E7903 * F7903)</f>
      </c>
    </row>
    <row r="7904">
      <c r="A7904" s="5"/>
      <c r="B7904" s="13" t="s">
        <v>2856</v>
      </c>
      <c r="C7904" s="22">
        <f>(1)*(1)*(1)*(1)*(1 + (0))</f>
      </c>
      <c r="D7904" s="22" t="s">
        <v>162</v>
      </c>
      <c r="E7904" s="22"/>
      <c r="F7904" s="22">
        <f>(0)</f>
      </c>
      <c r="G7904" s="22">
        <f>(C7904 * E7904 + C7904 * E7904 * F7904)</f>
      </c>
    </row>
    <row r="7905">
      <c r="A7905" s="5"/>
      <c r="B7905" s="13" t="s">
        <v>2857</v>
      </c>
      <c r="C7905" s="22">
        <f>(1)*(1)*(1)*(1)*(1 + (0))</f>
      </c>
      <c r="D7905" s="22" t="s">
        <v>162</v>
      </c>
      <c r="E7905" s="22"/>
      <c r="F7905" s="22">
        <f>(0)</f>
      </c>
      <c r="G7905" s="22">
        <f>(C7905 * E7905 + C7905 * E7905 * F7905)</f>
      </c>
    </row>
    <row r="7906">
      <c r="A7906" s="5"/>
      <c r="B7906" s="13" t="s">
        <v>2858</v>
      </c>
      <c r="C7906" s="22">
        <f>(1)*(1)*(1)*(1)*(1 + (0))</f>
      </c>
      <c r="D7906" s="22" t="s">
        <v>162</v>
      </c>
      <c r="E7906" s="22"/>
      <c r="F7906" s="22">
        <f>(0)</f>
      </c>
      <c r="G7906" s="22">
        <f>(C7906 * E7906 + C7906 * E7906 * F7906)</f>
      </c>
    </row>
    <row r="7907">
      <c r="A7907" s="5"/>
      <c r="B7907" s="13" t="s">
        <v>2859</v>
      </c>
      <c r="C7907" s="22">
        <f>(7)*(1)*(1)*(1)*(1 + (0))</f>
      </c>
      <c r="D7907" s="22" t="s">
        <v>153</v>
      </c>
      <c r="E7907" s="22"/>
      <c r="F7907" s="22">
        <f>(0)</f>
      </c>
      <c r="G7907" s="22">
        <f>(C7907 * E7907 + C7907 * E7907 * F7907)</f>
      </c>
    </row>
    <row r="7908">
      <c r="A7908" s="5"/>
      <c r="B7908" s="13" t="s">
        <v>2860</v>
      </c>
      <c r="C7908" s="22">
        <f>(15)*(1)*(1)*(1)*(1 + (0))</f>
      </c>
      <c r="D7908" s="22" t="s">
        <v>153</v>
      </c>
      <c r="E7908" s="22"/>
      <c r="F7908" s="22">
        <f>(0)</f>
      </c>
      <c r="G7908" s="22">
        <f>(C7908 * E7908 + C7908 * E7908 * F7908)</f>
      </c>
    </row>
    <row r="7909">
      <c r="A7909" s="4"/>
      <c r="B7909" s="12" t="s">
        <v>2861</v>
      </c>
      <c r="C7909" s="21"/>
      <c r="D7909" s="21"/>
      <c r="E7909" s="21"/>
      <c r="F7909" s="21"/>
      <c r="G7909" s="21"/>
    </row>
    <row r="7910">
      <c r="A7910" s="5"/>
      <c r="B7910" s="13" t="s">
        <v>2862</v>
      </c>
      <c r="C7910" s="22">
        <f>(21)*(1)*(1)*(1)*(1 + (0))</f>
      </c>
      <c r="D7910" s="22" t="s">
        <v>153</v>
      </c>
      <c r="E7910" s="22"/>
      <c r="F7910" s="22">
        <f>(0)</f>
      </c>
      <c r="G7910" s="22">
        <f>(C7910 * E7910 + C7910 * E7910 * F7910)</f>
      </c>
    </row>
    <row r="7911">
      <c r="A7911" s="5"/>
      <c r="B7911" s="13" t="s">
        <v>2863</v>
      </c>
      <c r="C7911" s="22">
        <f>(200)*(1)*(1)*(1)*(1 + (0))</f>
      </c>
      <c r="D7911" s="22" t="s">
        <v>153</v>
      </c>
      <c r="E7911" s="22"/>
      <c r="F7911" s="22">
        <f>(0)</f>
      </c>
      <c r="G7911" s="22">
        <f>(C7911 * E7911 + C7911 * E7911 * F7911)</f>
      </c>
    </row>
    <row r="7912">
      <c r="A7912" s="5"/>
      <c r="B7912" s="13" t="s">
        <v>2864</v>
      </c>
      <c r="C7912" s="22">
        <f>(346)*(1)*(1)*(1)*(1 + (0))</f>
      </c>
      <c r="D7912" s="22" t="s">
        <v>153</v>
      </c>
      <c r="E7912" s="22"/>
      <c r="F7912" s="22">
        <f>(0)</f>
      </c>
      <c r="G7912" s="22">
        <f>(C7912 * E7912 + C7912 * E7912 * F7912)</f>
      </c>
    </row>
    <row r="7913">
      <c r="A7913" s="5"/>
      <c r="B7913" s="13" t="s">
        <v>2865</v>
      </c>
      <c r="C7913" s="22">
        <f>(96)*(1)*(1)*(1)*(1 + (0))</f>
      </c>
      <c r="D7913" s="22" t="s">
        <v>153</v>
      </c>
      <c r="E7913" s="22"/>
      <c r="F7913" s="22">
        <f>(0)</f>
      </c>
      <c r="G7913" s="22">
        <f>(C7913 * E7913 + C7913 * E7913 * F7913)</f>
      </c>
    </row>
    <row r="7914">
      <c r="A7914" s="5"/>
      <c r="B7914" s="13" t="s">
        <v>2866</v>
      </c>
      <c r="C7914" s="22">
        <f>(183)*(1)*(1)*(1)*(1 + (0))</f>
      </c>
      <c r="D7914" s="22" t="s">
        <v>153</v>
      </c>
      <c r="E7914" s="22"/>
      <c r="F7914" s="22">
        <f>(0)</f>
      </c>
      <c r="G7914" s="22">
        <f>(C7914 * E7914 + C7914 * E7914 * F7914)</f>
      </c>
    </row>
    <row r="7915">
      <c r="A7915" s="5"/>
      <c r="B7915" s="13" t="s">
        <v>2867</v>
      </c>
      <c r="C7915" s="22">
        <f>(222)*(1)*(1)*(1)*(1 + (0))</f>
      </c>
      <c r="D7915" s="22" t="s">
        <v>153</v>
      </c>
      <c r="E7915" s="22"/>
      <c r="F7915" s="22">
        <f>(0)</f>
      </c>
      <c r="G7915" s="22">
        <f>(C7915 * E7915 + C7915 * E7915 * F7915)</f>
      </c>
    </row>
    <row r="7916">
      <c r="A7916" s="5"/>
      <c r="B7916" s="13" t="s">
        <v>2868</v>
      </c>
      <c r="C7916" s="22">
        <f>(134)*(1)*(1)*(1)*(1 + (0))</f>
      </c>
      <c r="D7916" s="22" t="s">
        <v>153</v>
      </c>
      <c r="E7916" s="22"/>
      <c r="F7916" s="22">
        <f>(0)</f>
      </c>
      <c r="G7916" s="22">
        <f>(C7916 * E7916 + C7916 * E7916 * F7916)</f>
      </c>
    </row>
    <row r="7917">
      <c r="A7917" s="5"/>
      <c r="B7917" s="13" t="s">
        <v>2869</v>
      </c>
      <c r="C7917" s="22">
        <f>(68)*(1)*(1)*(1)*(1 + (0))</f>
      </c>
      <c r="D7917" s="22" t="s">
        <v>153</v>
      </c>
      <c r="E7917" s="22"/>
      <c r="F7917" s="22">
        <f>(0)</f>
      </c>
      <c r="G7917" s="22">
        <f>(C7917 * E7917 + C7917 * E7917 * F7917)</f>
      </c>
    </row>
    <row r="7918">
      <c r="A7918" s="5"/>
      <c r="B7918" s="13" t="s">
        <v>2870</v>
      </c>
      <c r="C7918" s="22">
        <f>(5)*(1)*(1)*(1)*(1 + (0))</f>
      </c>
      <c r="D7918" s="22" t="s">
        <v>153</v>
      </c>
      <c r="E7918" s="22"/>
      <c r="F7918" s="22">
        <f>(0)</f>
      </c>
      <c r="G7918" s="22">
        <f>(C7918 * E7918 + C7918 * E7918 * F7918)</f>
      </c>
    </row>
    <row r="7919">
      <c r="A7919" s="5"/>
      <c r="B7919" s="13" t="s">
        <v>2871</v>
      </c>
      <c r="C7919" s="22">
        <f>(19)*(1)*(1)*(1)*(1 + (0))</f>
      </c>
      <c r="D7919" s="22" t="s">
        <v>153</v>
      </c>
      <c r="E7919" s="22"/>
      <c r="F7919" s="22">
        <f>(0)</f>
      </c>
      <c r="G7919" s="22">
        <f>(C7919 * E7919 + C7919 * E7919 * F7919)</f>
      </c>
    </row>
    <row r="7920">
      <c r="A7920" s="3"/>
      <c r="B7920" s="11" t="s">
        <v>2872</v>
      </c>
      <c r="C7920" s="20"/>
      <c r="D7920" s="20"/>
      <c r="E7920" s="20"/>
      <c r="F7920" s="20"/>
      <c r="G7920" s="20"/>
    </row>
    <row r="7921">
      <c r="A7921" s="5"/>
      <c r="B7921" s="14" t="s">
        <v>2873</v>
      </c>
      <c r="C7921" s="22">
        <f>(33)*(1)*(1)*(1)*(1 + (0))</f>
      </c>
      <c r="D7921" s="22" t="s">
        <v>153</v>
      </c>
      <c r="E7921" s="22"/>
      <c r="F7921" s="22">
        <f>(0)</f>
      </c>
      <c r="G7921" s="22">
        <f>(C7921 * E7921 + C7921 * E7921 * F7921)</f>
      </c>
    </row>
    <row r="7922">
      <c r="A7922" s="5"/>
      <c r="B7922" s="7" t="s">
        <v>2874</v>
      </c>
      <c r="C7922" s="22"/>
      <c r="D7922" s="22"/>
      <c r="E7922" s="22"/>
      <c r="F7922" s="22">
        <f>(0)</f>
      </c>
      <c r="G7922" s="22">
        <f>(C7922 * E7922 + C7922 * E7922 * F7922)</f>
      </c>
    </row>
    <row r="7923">
      <c r="A7923" s="5"/>
      <c r="B7923" s="7" t="s">
        <v>2875</v>
      </c>
      <c r="C7923" s="22"/>
      <c r="D7923" s="22"/>
      <c r="E7923" s="22"/>
      <c r="F7923" s="22">
        <f>(0)</f>
      </c>
      <c r="G7923" s="22">
        <f>(C7923 * E7923 + C7923 * E7923 * F7923)</f>
      </c>
    </row>
    <row r="7924">
      <c r="A7924" s="5"/>
      <c r="B7924" s="7" t="s">
        <v>2876</v>
      </c>
      <c r="C7924" s="22"/>
      <c r="D7924" s="22"/>
      <c r="E7924" s="22"/>
      <c r="F7924" s="22">
        <f>(0)</f>
      </c>
      <c r="G7924" s="22">
        <f>(C7924 * E7924 + C7924 * E7924 * F7924)</f>
      </c>
    </row>
    <row r="7925">
      <c r="A7925" s="5"/>
      <c r="B7925" s="7" t="s">
        <v>2877</v>
      </c>
      <c r="C7925" s="22"/>
      <c r="D7925" s="22"/>
      <c r="E7925" s="22"/>
      <c r="F7925" s="22">
        <f>(0)</f>
      </c>
      <c r="G7925" s="22">
        <f>(C7925 * E7925 + C7925 * E7925 * F7925)</f>
      </c>
    </row>
    <row r="7926">
      <c r="A7926" s="5"/>
      <c r="B7926" s="7" t="s">
        <v>2878</v>
      </c>
      <c r="C7926" s="22"/>
      <c r="D7926" s="22"/>
      <c r="E7926" s="22"/>
      <c r="F7926" s="22">
        <f>(0)</f>
      </c>
      <c r="G7926" s="22">
        <f>(C7926 * E7926 + C7926 * E7926 * F7926)</f>
      </c>
    </row>
    <row r="7927">
      <c r="A7927" s="5"/>
      <c r="B7927" s="7" t="s">
        <v>2879</v>
      </c>
      <c r="C7927" s="22"/>
      <c r="D7927" s="22"/>
      <c r="E7927" s="22"/>
      <c r="F7927" s="22">
        <f>(0)</f>
      </c>
      <c r="G7927" s="22">
        <f>(C7927 * E7927 + C7927 * E7927 * F7927)</f>
      </c>
    </row>
    <row r="7928">
      <c r="A7928" s="5"/>
      <c r="B7928" s="7" t="s">
        <v>2880</v>
      </c>
      <c r="C7928" s="22"/>
      <c r="D7928" s="22"/>
      <c r="E7928" s="22"/>
      <c r="F7928" s="22">
        <f>(0)</f>
      </c>
      <c r="G7928" s="22">
        <f>(C7928 * E7928 + C7928 * E7928 * F7928)</f>
      </c>
    </row>
    <row r="7929">
      <c r="A7929" s="5"/>
      <c r="B7929" s="7" t="s">
        <v>2881</v>
      </c>
      <c r="C7929" s="22"/>
      <c r="D7929" s="22"/>
      <c r="E7929" s="22"/>
      <c r="F7929" s="22">
        <f>(0)</f>
      </c>
      <c r="G7929" s="22">
        <f>(C7929 * E7929 + C7929 * E7929 * F7929)</f>
      </c>
    </row>
    <row r="7930">
      <c r="A7930" s="5"/>
      <c r="B7930" s="7"/>
      <c r="C7930" s="22"/>
      <c r="D7930" s="22"/>
      <c r="E7930" s="22"/>
      <c r="F7930" s="22">
        <f>(0)</f>
      </c>
      <c r="G7930" s="22">
        <f>(C7930 * E7930 + C7930 * E7930 * F7930)</f>
      </c>
    </row>
    <row r="7931">
      <c r="A7931" s="5"/>
      <c r="B7931" s="7"/>
      <c r="C7931" s="22"/>
      <c r="D7931" s="22"/>
      <c r="E7931" s="22"/>
      <c r="F7931" s="22">
        <f>(0)</f>
      </c>
      <c r="G7931" s="22">
        <f>(C7931 * E7931 + C7931 * E7931 * F7931)</f>
      </c>
    </row>
    <row r="7932">
      <c r="A7932" s="5"/>
      <c r="B7932" s="7" t="s">
        <v>2882</v>
      </c>
      <c r="C7932" s="22"/>
      <c r="D7932" s="22"/>
      <c r="E7932" s="22"/>
      <c r="F7932" s="22">
        <f>(0)</f>
      </c>
      <c r="G7932" s="22">
        <f>(C7932 * E7932 + C7932 * E7932 * F7932)</f>
      </c>
    </row>
    <row r="7933">
      <c r="A7933" s="5"/>
      <c r="B7933" s="7" t="s">
        <v>2883</v>
      </c>
      <c r="C7933" s="22"/>
      <c r="D7933" s="22"/>
      <c r="E7933" s="22"/>
      <c r="F7933" s="22">
        <f>(0)</f>
      </c>
      <c r="G7933" s="22">
        <f>(C7933 * E7933 + C7933 * E7933 * F7933)</f>
      </c>
    </row>
    <row r="7934">
      <c r="A7934" s="5"/>
      <c r="B7934" s="7" t="s">
        <v>2884</v>
      </c>
      <c r="C7934" s="22"/>
      <c r="D7934" s="22"/>
      <c r="E7934" s="22"/>
      <c r="F7934" s="22">
        <f>(0)</f>
      </c>
      <c r="G7934" s="22">
        <f>(C7934 * E7934 + C7934 * E7934 * F7934)</f>
      </c>
    </row>
    <row r="7935">
      <c r="A7935" s="5"/>
      <c r="B7935" s="7" t="s">
        <v>2885</v>
      </c>
      <c r="C7935" s="22"/>
      <c r="D7935" s="22"/>
      <c r="E7935" s="22"/>
      <c r="F7935" s="22">
        <f>(0)</f>
      </c>
      <c r="G7935" s="22">
        <f>(C7935 * E7935 + C7935 * E7935 * F7935)</f>
      </c>
    </row>
    <row r="7936">
      <c r="A7936" s="5"/>
      <c r="B7936" s="7" t="s">
        <v>2886</v>
      </c>
      <c r="C7936" s="22"/>
      <c r="D7936" s="22"/>
      <c r="E7936" s="22"/>
      <c r="F7936" s="22">
        <f>(0)</f>
      </c>
      <c r="G7936" s="22">
        <f>(C7936 * E7936 + C7936 * E7936 * F7936)</f>
      </c>
    </row>
    <row r="7937">
      <c r="A7937" s="5"/>
      <c r="B7937" s="7" t="s">
        <v>2887</v>
      </c>
      <c r="C7937" s="22"/>
      <c r="D7937" s="22"/>
      <c r="E7937" s="22"/>
      <c r="F7937" s="22">
        <f>(0)</f>
      </c>
      <c r="G7937" s="22">
        <f>(C7937 * E7937 + C7937 * E7937 * F7937)</f>
      </c>
    </row>
    <row r="7938">
      <c r="A7938" s="2"/>
      <c r="B7938" s="10" t="s">
        <v>2888</v>
      </c>
      <c r="C7938" s="19"/>
      <c r="D7938" s="19"/>
      <c r="E7938" s="19"/>
      <c r="F7938" s="19"/>
      <c r="G7938" s="19"/>
    </row>
    <row r="7939">
      <c r="A7939" s="3"/>
      <c r="B7939" s="11" t="s">
        <v>2889</v>
      </c>
      <c r="C7939" s="20"/>
      <c r="D7939" s="20"/>
      <c r="E7939" s="20"/>
      <c r="F7939" s="20"/>
      <c r="G7939" s="20"/>
    </row>
    <row r="7940">
      <c r="A7940" s="4"/>
      <c r="B7940" s="12" t="s">
        <v>721</v>
      </c>
      <c r="C7940" s="21"/>
      <c r="D7940" s="21"/>
      <c r="E7940" s="21"/>
      <c r="F7940" s="21"/>
      <c r="G7940" s="21"/>
    </row>
    <row r="7941">
      <c r="A7941" s="5"/>
      <c r="B7941" s="13" t="s">
        <v>1983</v>
      </c>
      <c r="C7941" s="22">
        <f>(123)*(1)*(1)*(1)*(1 + (0))</f>
      </c>
      <c r="D7941" s="22" t="s">
        <v>24</v>
      </c>
      <c r="E7941" s="22"/>
      <c r="F7941" s="22">
        <f>(0)</f>
      </c>
      <c r="G7941" s="22">
        <f>(C7941 * E7941 + C7941 * E7941 * F7941)</f>
      </c>
    </row>
    <row r="7942">
      <c r="A7942" s="4"/>
      <c r="B7942" s="12" t="s">
        <v>728</v>
      </c>
      <c r="C7942" s="21"/>
      <c r="D7942" s="21"/>
      <c r="E7942" s="21"/>
      <c r="F7942" s="21"/>
      <c r="G7942" s="21"/>
    </row>
    <row r="7943">
      <c r="A7943" s="5"/>
      <c r="B7943" s="13" t="s">
        <v>729</v>
      </c>
      <c r="C7943" s="22">
        <f>(123)*(1)*(1)*(1)*(1 + (0))</f>
      </c>
      <c r="D7943" s="22" t="s">
        <v>24</v>
      </c>
      <c r="E7943" s="22"/>
      <c r="F7943" s="22">
        <f>(0)</f>
      </c>
      <c r="G7943" s="22">
        <f>(C7943 * E7943 + C7943 * E7943 * F7943)</f>
      </c>
    </row>
    <row r="7944">
      <c r="A7944" s="4"/>
      <c r="B7944" s="12" t="s">
        <v>740</v>
      </c>
      <c r="C7944" s="21"/>
      <c r="D7944" s="21"/>
      <c r="E7944" s="21"/>
      <c r="F7944" s="21"/>
      <c r="G7944" s="21"/>
    </row>
    <row r="7945">
      <c r="A7945" s="5"/>
      <c r="B7945" s="13" t="s">
        <v>741</v>
      </c>
      <c r="C7945" s="22">
        <f>(33)*(1)*(1)*(1)*(1 + (0))</f>
      </c>
      <c r="D7945" s="22" t="s">
        <v>153</v>
      </c>
      <c r="E7945" s="22"/>
      <c r="F7945" s="22">
        <f>(0)</f>
      </c>
      <c r="G7945" s="22">
        <f>(C7945 * E7945 + C7945 * E7945 * F7945)</f>
      </c>
    </row>
    <row r="7946">
      <c r="A7946" s="5"/>
      <c r="B7946" s="13" t="s">
        <v>2890</v>
      </c>
      <c r="C7946" s="22">
        <f>(2)*(1)*(1)*(1)*(1 + (0))</f>
      </c>
      <c r="D7946" s="22" t="s">
        <v>162</v>
      </c>
      <c r="E7946" s="22"/>
      <c r="F7946" s="22">
        <f>(0)</f>
      </c>
      <c r="G7946" s="22">
        <f>(C7946 * E7946 + C7946 * E7946 * F7946)</f>
      </c>
    </row>
    <row r="7947">
      <c r="A7947" s="5"/>
      <c r="B7947" s="13" t="s">
        <v>748</v>
      </c>
      <c r="C7947" s="22">
        <f>(2)*(1)*(1)*(1)*(1 + (0))</f>
      </c>
      <c r="D7947" s="22" t="s">
        <v>162</v>
      </c>
      <c r="E7947" s="22"/>
      <c r="F7947" s="22">
        <f>(0)</f>
      </c>
      <c r="G7947" s="22">
        <f>(C7947 * E7947 + C7947 * E7947 * F7947)</f>
      </c>
    </row>
    <row r="7948">
      <c r="A7948" s="5"/>
      <c r="B7948" s="13" t="s">
        <v>749</v>
      </c>
      <c r="C7948" s="22">
        <f>(33)*(1)*(1)*(1)*(1 + (0))</f>
      </c>
      <c r="D7948" s="22" t="s">
        <v>153</v>
      </c>
      <c r="E7948" s="22"/>
      <c r="F7948" s="22">
        <f>(0)</f>
      </c>
      <c r="G7948" s="22">
        <f>(C7948 * E7948 + C7948 * E7948 * F7948)</f>
      </c>
    </row>
    <row r="7949">
      <c r="A7949" s="5"/>
      <c r="B7949" s="13" t="s">
        <v>751</v>
      </c>
      <c r="C7949" s="22">
        <f>(2)*(1)*(1)*(1)*(1 + (0))</f>
      </c>
      <c r="D7949" s="22" t="s">
        <v>162</v>
      </c>
      <c r="E7949" s="22"/>
      <c r="F7949" s="22">
        <f>(0)</f>
      </c>
      <c r="G7949" s="22">
        <f>(C7949 * E7949 + C7949 * E7949 * F7949)</f>
      </c>
    </row>
    <row r="7950">
      <c r="A7950" s="3"/>
      <c r="B7950" s="11" t="s">
        <v>520</v>
      </c>
      <c r="C7950" s="20"/>
      <c r="D7950" s="20"/>
      <c r="E7950" s="20"/>
      <c r="F7950" s="20"/>
      <c r="G7950" s="20"/>
    </row>
    <row r="7951">
      <c r="A7951" s="4"/>
      <c r="B7951" s="12" t="s">
        <v>565</v>
      </c>
      <c r="C7951" s="21"/>
      <c r="D7951" s="21"/>
      <c r="E7951" s="21"/>
      <c r="F7951" s="21"/>
      <c r="G7951" s="21"/>
    </row>
    <row r="7952">
      <c r="A7952" s="5"/>
      <c r="B7952" s="13" t="s">
        <v>2891</v>
      </c>
      <c r="C7952" s="22">
        <f>(123)*(1)*(1)*(1)*(1 + (0))</f>
      </c>
      <c r="D7952" s="22" t="s">
        <v>24</v>
      </c>
      <c r="E7952" s="22"/>
      <c r="F7952" s="22">
        <f>(0)</f>
      </c>
      <c r="G7952" s="22">
        <f>(C7952 * E7952 + C7952 * E7952 * F7952)</f>
      </c>
    </row>
    <row r="7953">
      <c r="A7953" s="2"/>
      <c r="B7953" s="10" t="s">
        <v>2892</v>
      </c>
      <c r="C7953" s="19"/>
      <c r="D7953" s="19"/>
      <c r="E7953" s="19"/>
      <c r="F7953" s="19"/>
      <c r="G7953" s="19"/>
    </row>
    <row r="7954">
      <c r="A7954" s="3"/>
      <c r="B7954" s="11" t="s">
        <v>2893</v>
      </c>
      <c r="C7954" s="20"/>
      <c r="D7954" s="20"/>
      <c r="E7954" s="20"/>
      <c r="F7954" s="20"/>
      <c r="G7954" s="20"/>
    </row>
    <row r="7955">
      <c r="A7955" s="4"/>
      <c r="B7955" s="12" t="s">
        <v>2794</v>
      </c>
      <c r="C7955" s="21"/>
      <c r="D7955" s="21"/>
      <c r="E7955" s="21"/>
      <c r="F7955" s="21"/>
      <c r="G7955" s="21"/>
    </row>
    <row r="7956">
      <c r="A7956" s="6"/>
      <c r="B7956" s="15" t="s">
        <v>2800</v>
      </c>
      <c r="C7956" s="23"/>
      <c r="D7956" s="23"/>
      <c r="E7956" s="23"/>
      <c r="F7956" s="23"/>
      <c r="G7956" s="23"/>
    </row>
    <row r="7957">
      <c r="A7957" s="5"/>
      <c r="B7957" s="16" t="s">
        <v>2894</v>
      </c>
      <c r="C7957" s="22">
        <f>(-96)*(1)*(1)*(1)*(1 + (0))</f>
      </c>
      <c r="D7957" s="22" t="s">
        <v>111</v>
      </c>
      <c r="E7957" s="22"/>
      <c r="F7957" s="22">
        <f>(0)</f>
      </c>
      <c r="G7957" s="22">
        <f>(C7957 * E7957 + C7957 * E7957 * F7957)</f>
      </c>
    </row>
    <row r="7958">
      <c r="A7958" s="5"/>
      <c r="B7958" s="16" t="s">
        <v>2809</v>
      </c>
      <c r="C7958" s="22"/>
      <c r="D7958" s="22"/>
      <c r="E7958" s="22"/>
      <c r="F7958" s="22"/>
      <c r="G7958" s="22"/>
    </row>
    <row r="7959">
      <c r="A7959" s="5"/>
      <c r="B7959" s="17" t="s">
        <v>2895</v>
      </c>
      <c r="C7959" s="22">
        <f>(-766)*(1)*(1)*(1)*(1 + (0))</f>
      </c>
      <c r="D7959" s="22" t="s">
        <v>24</v>
      </c>
      <c r="E7959" s="22"/>
      <c r="F7959" s="22">
        <f>(0)</f>
      </c>
      <c r="G7959" s="22">
        <f>(C7959 * E7959 + C7959 * E7959 * F7959)</f>
      </c>
    </row>
    <row r="7960">
      <c r="A7960" s="6"/>
      <c r="B7960" s="15" t="s">
        <v>2896</v>
      </c>
      <c r="C7960" s="23"/>
      <c r="D7960" s="23"/>
      <c r="E7960" s="23"/>
      <c r="F7960" s="23"/>
      <c r="G7960" s="23"/>
    </row>
    <row r="7961">
      <c r="A7961" s="5"/>
      <c r="B7961" s="16" t="s">
        <v>2809</v>
      </c>
      <c r="C7961" s="22"/>
      <c r="D7961" s="22"/>
      <c r="E7961" s="22"/>
      <c r="F7961" s="22"/>
      <c r="G7961" s="22"/>
    </row>
    <row r="7962">
      <c r="A7962" s="5"/>
      <c r="B7962" s="17" t="s">
        <v>2897</v>
      </c>
      <c r="C7962" s="22">
        <f>(766)*(1)*(1)*(1)*(1 + (0))</f>
      </c>
      <c r="D7962" s="22" t="s">
        <v>24</v>
      </c>
      <c r="E7962" s="22"/>
      <c r="F7962" s="22">
        <f>(0)</f>
      </c>
      <c r="G7962" s="22">
        <f>(C7962 * E7962 + C7962 * E7962 * F7962)</f>
      </c>
    </row>
    <row r="7963">
      <c r="A7963" s="2"/>
      <c r="B7963" s="10" t="s">
        <v>2898</v>
      </c>
      <c r="C7963" s="19"/>
      <c r="D7963" s="19"/>
      <c r="E7963" s="19"/>
      <c r="F7963" s="19"/>
      <c r="G7963" s="19"/>
    </row>
    <row r="7964">
      <c r="A7964" s="3"/>
      <c r="B7964" s="11" t="s">
        <v>2444</v>
      </c>
      <c r="C7964" s="20"/>
      <c r="D7964" s="20"/>
      <c r="E7964" s="20"/>
      <c r="F7964" s="20"/>
      <c r="G7964" s="20"/>
    </row>
    <row r="7965">
      <c r="A7965" s="4"/>
      <c r="B7965" s="12" t="s">
        <v>2463</v>
      </c>
      <c r="C7965" s="21"/>
      <c r="D7965" s="21"/>
      <c r="E7965" s="21"/>
      <c r="F7965" s="21"/>
      <c r="G7965" s="21"/>
    </row>
    <row r="7966">
      <c r="A7966" s="6"/>
      <c r="B7966" s="15" t="s">
        <v>2899</v>
      </c>
      <c r="C7966" s="23"/>
      <c r="D7966" s="23"/>
      <c r="E7966" s="23"/>
      <c r="F7966" s="23"/>
      <c r="G7966" s="23"/>
    </row>
    <row r="7967">
      <c r="A7967" s="5"/>
      <c r="B7967" s="16" t="s">
        <v>2465</v>
      </c>
      <c r="C7967" s="22"/>
      <c r="D7967" s="22"/>
      <c r="E7967" s="22"/>
      <c r="F7967" s="22"/>
      <c r="G7967" s="22"/>
    </row>
    <row r="7968">
      <c r="A7968" s="5"/>
      <c r="B7968" s="17" t="s">
        <v>2466</v>
      </c>
      <c r="C7968" s="22">
        <f>(-10)*(1)*(1)*(1)*(1 + (0))</f>
      </c>
      <c r="D7968" s="22" t="s">
        <v>162</v>
      </c>
      <c r="E7968" s="22"/>
      <c r="F7968" s="22">
        <f>(0)</f>
      </c>
      <c r="G7968" s="22">
        <f>(C7968 * E7968 + C7968 * E7968 * F7968)</f>
      </c>
    </row>
    <row r="7969">
      <c r="A7969" s="5"/>
      <c r="B7969" s="17" t="s">
        <v>2467</v>
      </c>
      <c r="C7969" s="22">
        <f>(-6)*(1)*(1)*(1)*(1 + (0))</f>
      </c>
      <c r="D7969" s="22" t="s">
        <v>162</v>
      </c>
      <c r="E7969" s="22"/>
      <c r="F7969" s="22">
        <f>(0)</f>
      </c>
      <c r="G7969" s="22">
        <f>(C7969 * E7969 + C7969 * E7969 * F7969)</f>
      </c>
    </row>
    <row r="7970">
      <c r="A7970" s="5"/>
      <c r="B7970" s="17" t="s">
        <v>2469</v>
      </c>
      <c r="C7970" s="22">
        <f>(-3)*(1)*(1)*(1)*(1 + (0))</f>
      </c>
      <c r="D7970" s="22" t="s">
        <v>162</v>
      </c>
      <c r="E7970" s="22"/>
      <c r="F7970" s="22">
        <f>(0)</f>
      </c>
      <c r="G7970" s="22">
        <f>(C7970 * E7970 + C7970 * E7970 * F7970)</f>
      </c>
    </row>
    <row r="7971">
      <c r="A7971" s="5"/>
      <c r="B7971" s="17" t="s">
        <v>2471</v>
      </c>
      <c r="C7971" s="22">
        <f>(-3)*(1)*(1)*(1)*(1 + (0))</f>
      </c>
      <c r="D7971" s="22" t="s">
        <v>162</v>
      </c>
      <c r="E7971" s="22"/>
      <c r="F7971" s="22">
        <f>(0)</f>
      </c>
      <c r="G7971" s="22">
        <f>(C7971 * E7971 + C7971 * E7971 * F7971)</f>
      </c>
    </row>
    <row r="7972">
      <c r="A7972" s="5"/>
      <c r="B7972" s="17" t="s">
        <v>2473</v>
      </c>
      <c r="C7972" s="22">
        <f>(-1)*(1)*(1)*(1)*(1 + (0))</f>
      </c>
      <c r="D7972" s="22" t="s">
        <v>162</v>
      </c>
      <c r="E7972" s="22"/>
      <c r="F7972" s="22">
        <f>(0)</f>
      </c>
      <c r="G7972" s="22">
        <f>(C7972 * E7972 + C7972 * E7972 * F7972)</f>
      </c>
    </row>
    <row r="7973">
      <c r="A7973" s="5"/>
      <c r="B7973" s="17" t="s">
        <v>2475</v>
      </c>
      <c r="C7973" s="22">
        <f>(-3)*(1)*(1)*(1)*(1 + (0))</f>
      </c>
      <c r="D7973" s="22" t="s">
        <v>162</v>
      </c>
      <c r="E7973" s="22"/>
      <c r="F7973" s="22">
        <f>(0)</f>
      </c>
      <c r="G7973" s="22">
        <f>(C7973 * E7973 + C7973 * E7973 * F7973)</f>
      </c>
    </row>
    <row r="7974">
      <c r="A7974" s="5"/>
      <c r="B7974" s="16" t="s">
        <v>2477</v>
      </c>
      <c r="C7974" s="22"/>
      <c r="D7974" s="22"/>
      <c r="E7974" s="22"/>
      <c r="F7974" s="22"/>
      <c r="G7974" s="22"/>
    </row>
    <row r="7975">
      <c r="A7975" s="5"/>
      <c r="B7975" s="17" t="s">
        <v>2479</v>
      </c>
      <c r="C7975" s="22">
        <f>(-1)*(1)*(1)*(1)*(1 + (0))</f>
      </c>
      <c r="D7975" s="22" t="s">
        <v>162</v>
      </c>
      <c r="E7975" s="22"/>
      <c r="F7975" s="22">
        <f>(0)</f>
      </c>
      <c r="G7975" s="22">
        <f>(C7975 * E7975 + C7975 * E7975 * F7975)</f>
      </c>
    </row>
    <row r="7976">
      <c r="A7976" s="5"/>
      <c r="B7976" s="17" t="s">
        <v>2481</v>
      </c>
      <c r="C7976" s="22">
        <f>(-4)*(1)*(1)*(1)*(1 + (0))</f>
      </c>
      <c r="D7976" s="22" t="s">
        <v>162</v>
      </c>
      <c r="E7976" s="22"/>
      <c r="F7976" s="22">
        <f>(0)</f>
      </c>
      <c r="G7976" s="22">
        <f>(C7976 * E7976 + C7976 * E7976 * F7976)</f>
      </c>
    </row>
    <row r="7977">
      <c r="A7977" s="5"/>
      <c r="B7977" s="17" t="s">
        <v>2482</v>
      </c>
      <c r="C7977" s="22">
        <f>(-1)*(1)*(1)*(1)*(1 + (0))</f>
      </c>
      <c r="D7977" s="22" t="s">
        <v>162</v>
      </c>
      <c r="E7977" s="22"/>
      <c r="F7977" s="22">
        <f>(0)</f>
      </c>
      <c r="G7977" s="22">
        <f>(C7977 * E7977 + C7977 * E7977 * F7977)</f>
      </c>
    </row>
    <row r="7978">
      <c r="A7978" s="5"/>
      <c r="B7978" s="17" t="s">
        <v>2483</v>
      </c>
      <c r="C7978" s="22">
        <f>(-2)*(1)*(1)*(1)*(1 + (0))</f>
      </c>
      <c r="D7978" s="22" t="s">
        <v>162</v>
      </c>
      <c r="E7978" s="22"/>
      <c r="F7978" s="22">
        <f>(0)</f>
      </c>
      <c r="G7978" s="22">
        <f>(C7978 * E7978 + C7978 * E7978 * F7978)</f>
      </c>
    </row>
    <row r="7979">
      <c r="A7979" s="5"/>
      <c r="B7979" s="17" t="s">
        <v>2484</v>
      </c>
      <c r="C7979" s="22">
        <f>(-2)*(1)*(1)*(1)*(1 + (0))</f>
      </c>
      <c r="D7979" s="22" t="s">
        <v>162</v>
      </c>
      <c r="E7979" s="22"/>
      <c r="F7979" s="22">
        <f>(0)</f>
      </c>
      <c r="G7979" s="22">
        <f>(C7979 * E7979 + C7979 * E7979 * F7979)</f>
      </c>
    </row>
    <row r="7980">
      <c r="A7980" s="5"/>
      <c r="B7980" s="17" t="s">
        <v>2485</v>
      </c>
      <c r="C7980" s="22">
        <f>(-3)*(1)*(1)*(1)*(1 + (0))</f>
      </c>
      <c r="D7980" s="22" t="s">
        <v>162</v>
      </c>
      <c r="E7980" s="22"/>
      <c r="F7980" s="22">
        <f>(0)</f>
      </c>
      <c r="G7980" s="22">
        <f>(C7980 * E7980 + C7980 * E7980 * F7980)</f>
      </c>
    </row>
    <row r="7981">
      <c r="A7981" s="5"/>
      <c r="B7981" s="17" t="s">
        <v>2486</v>
      </c>
      <c r="C7981" s="22">
        <f>(-4)*(1)*(1)*(1)*(1 + (0))</f>
      </c>
      <c r="D7981" s="22" t="s">
        <v>162</v>
      </c>
      <c r="E7981" s="22"/>
      <c r="F7981" s="22">
        <f>(0)</f>
      </c>
      <c r="G7981" s="22">
        <f>(C7981 * E7981 + C7981 * E7981 * F7981)</f>
      </c>
    </row>
    <row r="7982">
      <c r="A7982" s="5"/>
      <c r="B7982" s="16" t="s">
        <v>2487</v>
      </c>
      <c r="C7982" s="22"/>
      <c r="D7982" s="22"/>
      <c r="E7982" s="22"/>
      <c r="F7982" s="22"/>
      <c r="G7982" s="22"/>
    </row>
    <row r="7983">
      <c r="A7983" s="5"/>
      <c r="B7983" s="17" t="s">
        <v>2488</v>
      </c>
      <c r="C7983" s="22">
        <f>(-4)*(1)*(1)*(1)*(1 + (0))</f>
      </c>
      <c r="D7983" s="22" t="s">
        <v>162</v>
      </c>
      <c r="E7983" s="22"/>
      <c r="F7983" s="22">
        <f>(0)</f>
      </c>
      <c r="G7983" s="22">
        <f>(C7983 * E7983 + C7983 * E7983 * F7983)</f>
      </c>
    </row>
    <row r="7984">
      <c r="A7984" s="5"/>
      <c r="B7984" s="17" t="s">
        <v>2471</v>
      </c>
      <c r="C7984" s="22">
        <f>(-3)*(1)*(1)*(1)*(1 + (0))</f>
      </c>
      <c r="D7984" s="22" t="s">
        <v>162</v>
      </c>
      <c r="E7984" s="22"/>
      <c r="F7984" s="22">
        <f>(0)</f>
      </c>
      <c r="G7984" s="22">
        <f>(C7984 * E7984 + C7984 * E7984 * F7984)</f>
      </c>
    </row>
    <row r="7985">
      <c r="A7985" s="5"/>
      <c r="B7985" s="17" t="s">
        <v>2490</v>
      </c>
      <c r="C7985" s="22">
        <f>(-1)*(1)*(1)*(1)*(1 + (0))</f>
      </c>
      <c r="D7985" s="22" t="s">
        <v>162</v>
      </c>
      <c r="E7985" s="22"/>
      <c r="F7985" s="22">
        <f>(0)</f>
      </c>
      <c r="G7985" s="22">
        <f>(C7985 * E7985 + C7985 * E7985 * F7985)</f>
      </c>
    </row>
    <row r="7986">
      <c r="A7986" s="5"/>
      <c r="B7986" s="17" t="s">
        <v>2492</v>
      </c>
      <c r="C7986" s="22">
        <f>(-5)*(1)*(1)*(1)*(1 + (0))</f>
      </c>
      <c r="D7986" s="22" t="s">
        <v>162</v>
      </c>
      <c r="E7986" s="22"/>
      <c r="F7986" s="22">
        <f>(0)</f>
      </c>
      <c r="G7986" s="22">
        <f>(C7986 * E7986 + C7986 * E7986 * F7986)</f>
      </c>
    </row>
    <row r="7987">
      <c r="A7987" s="5"/>
      <c r="B7987" s="16" t="s">
        <v>2494</v>
      </c>
      <c r="C7987" s="22"/>
      <c r="D7987" s="22"/>
      <c r="E7987" s="22"/>
      <c r="F7987" s="22"/>
      <c r="G7987" s="22"/>
    </row>
    <row r="7988">
      <c r="A7988" s="5"/>
      <c r="B7988" s="17" t="s">
        <v>2495</v>
      </c>
      <c r="C7988" s="22">
        <f>(-5)*(1)*(1)*(1)*(1 + (0))</f>
      </c>
      <c r="D7988" s="22" t="s">
        <v>162</v>
      </c>
      <c r="E7988" s="22"/>
      <c r="F7988" s="22">
        <f>(0)</f>
      </c>
      <c r="G7988" s="22">
        <f>(C7988 * E7988 + C7988 * E7988 * F7988)</f>
      </c>
    </row>
    <row r="7989">
      <c r="A7989" s="5"/>
      <c r="B7989" s="17" t="s">
        <v>2497</v>
      </c>
      <c r="C7989" s="22">
        <f>(-2)*(1)*(1)*(1)*(1 + (0))</f>
      </c>
      <c r="D7989" s="22" t="s">
        <v>162</v>
      </c>
      <c r="E7989" s="22"/>
      <c r="F7989" s="22">
        <f>(0)</f>
      </c>
      <c r="G7989" s="22">
        <f>(C7989 * E7989 + C7989 * E7989 * F7989)</f>
      </c>
    </row>
    <row r="7990">
      <c r="A7990" s="5"/>
      <c r="B7990" s="17" t="s">
        <v>2475</v>
      </c>
      <c r="C7990" s="22">
        <f>(-3)*(1)*(1)*(1)*(1 + (0))</f>
      </c>
      <c r="D7990" s="22" t="s">
        <v>162</v>
      </c>
      <c r="E7990" s="22"/>
      <c r="F7990" s="22">
        <f>(0)</f>
      </c>
      <c r="G7990" s="22">
        <f>(C7990 * E7990 + C7990 * E7990 * F7990)</f>
      </c>
    </row>
    <row r="7991">
      <c r="A7991" s="5"/>
      <c r="B7991" s="17" t="s">
        <v>2500</v>
      </c>
      <c r="C7991" s="22">
        <f>(-5)*(1)*(1)*(1)*(1 + (0))</f>
      </c>
      <c r="D7991" s="22" t="s">
        <v>162</v>
      </c>
      <c r="E7991" s="22"/>
      <c r="F7991" s="22">
        <f>(0)</f>
      </c>
      <c r="G7991" s="22">
        <f>(C7991 * E7991 + C7991 * E7991 * F7991)</f>
      </c>
    </row>
    <row r="7992">
      <c r="A7992" s="5"/>
      <c r="B7992" s="16" t="s">
        <v>2502</v>
      </c>
      <c r="C7992" s="22"/>
      <c r="D7992" s="22"/>
      <c r="E7992" s="22"/>
      <c r="F7992" s="22"/>
      <c r="G7992" s="22"/>
    </row>
    <row r="7993">
      <c r="A7993" s="5"/>
      <c r="B7993" s="17" t="s">
        <v>2503</v>
      </c>
      <c r="C7993" s="22">
        <f>(-8)*(1)*(1)*(1)*(1 + (0))</f>
      </c>
      <c r="D7993" s="22" t="s">
        <v>162</v>
      </c>
      <c r="E7993" s="22"/>
      <c r="F7993" s="22">
        <f>(0)</f>
      </c>
      <c r="G7993" s="22">
        <f>(C7993 * E7993 + C7993 * E7993 * F7993)</f>
      </c>
    </row>
    <row r="7994">
      <c r="A7994" s="6"/>
      <c r="B7994" s="15" t="s">
        <v>2900</v>
      </c>
      <c r="C7994" s="23"/>
      <c r="D7994" s="23"/>
      <c r="E7994" s="23"/>
      <c r="F7994" s="23"/>
      <c r="G7994" s="23"/>
    </row>
    <row r="7995">
      <c r="A7995" s="5"/>
      <c r="B7995" s="16" t="s">
        <v>2901</v>
      </c>
      <c r="C7995" s="22">
        <f>(3)*(1)*(1)*(1)*(1 + (0))</f>
      </c>
      <c r="D7995" s="22" t="s">
        <v>162</v>
      </c>
      <c r="E7995" s="22"/>
      <c r="F7995" s="22">
        <f>(0)</f>
      </c>
      <c r="G7995" s="22">
        <f>(C7995 * E7995 + C7995 * E7995 * F7995)</f>
      </c>
    </row>
    <row r="7996">
      <c r="A7996" s="6"/>
      <c r="B7996" s="15" t="s">
        <v>2902</v>
      </c>
      <c r="C7996" s="23"/>
      <c r="D7996" s="23"/>
      <c r="E7996" s="23"/>
      <c r="F7996" s="23"/>
      <c r="G7996" s="23"/>
    </row>
    <row r="7997">
      <c r="A7997" s="5"/>
      <c r="B7997" s="16" t="s">
        <v>2903</v>
      </c>
      <c r="C7997" s="22">
        <f>(27)*(1)*(1)*(1)*(1 + (0))</f>
      </c>
      <c r="D7997" s="22" t="s">
        <v>162</v>
      </c>
      <c r="E7997" s="22"/>
      <c r="F7997" s="22">
        <f>(0)</f>
      </c>
      <c r="G7997" s="22">
        <f>(C7997 * E7997 + C7997 * E7997 * F7997)</f>
      </c>
    </row>
    <row r="7998">
      <c r="A7998" s="5"/>
      <c r="B7998" s="7"/>
      <c r="C7998" s="22"/>
      <c r="D7998" s="22"/>
      <c r="E7998" s="22"/>
      <c r="F7998" s="22">
        <f>(0)</f>
      </c>
      <c r="G7998" s="22">
        <f>(C7998 * E7998 + C7998 * E7998 * F7998)</f>
      </c>
    </row>
    <row r="7999">
      <c r="A7999" s="5"/>
      <c r="B7999" s="7"/>
      <c r="C7999" s="22"/>
      <c r="D7999" s="22"/>
      <c r="E7999" s="22"/>
      <c r="F7999" s="22">
        <f>(0)</f>
      </c>
      <c r="G7999" s="22">
        <f>(C7999 * E7999 + C7999 * E7999 * F7999)</f>
      </c>
    </row>
    <row r="8000">
      <c r="A8000" s="5"/>
      <c r="B8000" s="7" t="s">
        <v>2904</v>
      </c>
      <c r="C8000" s="22"/>
      <c r="D8000" s="22"/>
      <c r="E8000" s="22"/>
      <c r="F8000" s="22">
        <f>(0)</f>
      </c>
      <c r="G8000" s="22">
        <f>(C8000 * E8000 + C8000 * E8000 * F8000)</f>
      </c>
    </row>
    <row r="8001">
      <c r="A8001" s="2"/>
      <c r="B8001" s="10" t="s">
        <v>2905</v>
      </c>
      <c r="C8001" s="19"/>
      <c r="D8001" s="19"/>
      <c r="E8001" s="19"/>
      <c r="F8001" s="19"/>
      <c r="G8001" s="19"/>
    </row>
    <row r="8002">
      <c r="A8002" s="3"/>
      <c r="B8002" s="11" t="s">
        <v>22</v>
      </c>
      <c r="C8002" s="20"/>
      <c r="D8002" s="20"/>
      <c r="E8002" s="20"/>
      <c r="F8002" s="20"/>
      <c r="G8002" s="20"/>
    </row>
    <row r="8003">
      <c r="A8003" s="4"/>
      <c r="B8003" s="12" t="s">
        <v>689</v>
      </c>
      <c r="C8003" s="21"/>
      <c r="D8003" s="21"/>
      <c r="E8003" s="21"/>
      <c r="F8003" s="21"/>
      <c r="G8003" s="21"/>
    </row>
    <row r="8004">
      <c r="A8004" s="6"/>
      <c r="B8004" s="15" t="s">
        <v>721</v>
      </c>
      <c r="C8004" s="23"/>
      <c r="D8004" s="23"/>
      <c r="E8004" s="23"/>
      <c r="F8004" s="23"/>
      <c r="G8004" s="23"/>
    </row>
    <row r="8005">
      <c r="A8005" s="5"/>
      <c r="B8005" s="16" t="s">
        <v>2906</v>
      </c>
      <c r="C8005" s="22">
        <f>(1682)*(1)*(1)*(1)*(1 + (0))</f>
      </c>
      <c r="D8005" s="22" t="s">
        <v>24</v>
      </c>
      <c r="E8005" s="22"/>
      <c r="F8005" s="22">
        <f>(0)</f>
      </c>
      <c r="G8005" s="22">
        <f>(C8005 * E8005 + C8005 * E8005 * F8005)</f>
      </c>
    </row>
    <row r="8006">
      <c r="A8006" s="6"/>
      <c r="B8006" s="15" t="s">
        <v>723</v>
      </c>
      <c r="C8006" s="23"/>
      <c r="D8006" s="23"/>
      <c r="E8006" s="23"/>
      <c r="F8006" s="23"/>
      <c r="G8006" s="23"/>
    </row>
    <row r="8007">
      <c r="A8007" s="5"/>
      <c r="B8007" s="16" t="s">
        <v>724</v>
      </c>
      <c r="C8007" s="22">
        <f>(1682)*(1)*(1)*(1)*(1 + (0))</f>
      </c>
      <c r="D8007" s="22" t="s">
        <v>24</v>
      </c>
      <c r="E8007" s="22"/>
      <c r="F8007" s="22">
        <f>(0)</f>
      </c>
      <c r="G8007" s="22">
        <f>(C8007 * E8007 + C8007 * E8007 * F8007)</f>
      </c>
    </row>
    <row r="8008">
      <c r="A8008" s="5"/>
      <c r="B8008" s="16" t="s">
        <v>725</v>
      </c>
      <c r="C8008" s="22">
        <f>(57)*(1)*(1)*(1)*(1 + (0))</f>
      </c>
      <c r="D8008" s="22" t="s">
        <v>24</v>
      </c>
      <c r="E8008" s="22"/>
      <c r="F8008" s="22">
        <f>(0)</f>
      </c>
      <c r="G8008" s="22">
        <f>(C8008 * E8008 + C8008 * E8008 * F8008)</f>
      </c>
    </row>
    <row r="8009">
      <c r="A8009" s="5"/>
      <c r="B8009" s="16" t="s">
        <v>726</v>
      </c>
      <c r="C8009" s="22">
        <f>(265)*(1)*(1)*(1)*(1 + (0))</f>
      </c>
      <c r="D8009" s="22" t="s">
        <v>24</v>
      </c>
      <c r="E8009" s="22"/>
      <c r="F8009" s="22">
        <f>(0)</f>
      </c>
      <c r="G8009" s="22">
        <f>(C8009 * E8009 + C8009 * E8009 * F8009)</f>
      </c>
    </row>
    <row r="8010">
      <c r="A8010" s="5"/>
      <c r="B8010" s="16" t="s">
        <v>727</v>
      </c>
      <c r="C8010" s="22">
        <f>(1682)*(1)*(1)*(1)*(1 + (0))</f>
      </c>
      <c r="D8010" s="22" t="s">
        <v>24</v>
      </c>
      <c r="E8010" s="22"/>
      <c r="F8010" s="22">
        <f>(0)</f>
      </c>
      <c r="G8010" s="22">
        <f>(C8010 * E8010 + C8010 * E8010 * F8010)</f>
      </c>
    </row>
    <row r="8011">
      <c r="A8011" s="6"/>
      <c r="B8011" s="15" t="s">
        <v>728</v>
      </c>
      <c r="C8011" s="23"/>
      <c r="D8011" s="23"/>
      <c r="E8011" s="23"/>
      <c r="F8011" s="23"/>
      <c r="G8011" s="23"/>
    </row>
    <row r="8012">
      <c r="A8012" s="5"/>
      <c r="B8012" s="16" t="s">
        <v>729</v>
      </c>
      <c r="C8012" s="22">
        <f>(1682)*(1)*(1)*(1)*(1 + (0))</f>
      </c>
      <c r="D8012" s="22" t="s">
        <v>24</v>
      </c>
      <c r="E8012" s="22"/>
      <c r="F8012" s="22">
        <f>(0)</f>
      </c>
      <c r="G8012" s="22">
        <f>(C8012 * E8012 + C8012 * E8012 * F8012)</f>
      </c>
    </row>
    <row r="8013">
      <c r="A8013" s="6"/>
      <c r="B8013" s="15" t="s">
        <v>730</v>
      </c>
      <c r="C8013" s="23"/>
      <c r="D8013" s="23"/>
      <c r="E8013" s="23"/>
      <c r="F8013" s="23"/>
      <c r="G8013" s="23"/>
    </row>
    <row r="8014">
      <c r="A8014" s="5"/>
      <c r="B8014" s="16" t="s">
        <v>731</v>
      </c>
      <c r="C8014" s="22"/>
      <c r="D8014" s="22"/>
      <c r="E8014" s="22"/>
      <c r="F8014" s="22"/>
      <c r="G8014" s="22"/>
    </row>
    <row r="8015">
      <c r="A8015" s="5"/>
      <c r="B8015" s="17" t="s">
        <v>733</v>
      </c>
      <c r="C8015" s="22">
        <f>(141)*(1)*(1)*(1)*(1 + (0))</f>
      </c>
      <c r="D8015" s="22" t="s">
        <v>153</v>
      </c>
      <c r="E8015" s="22"/>
      <c r="F8015" s="22">
        <f>(0)</f>
      </c>
      <c r="G8015" s="22">
        <f>(C8015 * E8015 + C8015 * E8015 * F8015)</f>
      </c>
    </row>
    <row r="8016">
      <c r="A8016" s="5"/>
      <c r="B8016" s="16" t="s">
        <v>734</v>
      </c>
      <c r="C8016" s="22"/>
      <c r="D8016" s="22"/>
      <c r="E8016" s="22"/>
      <c r="F8016" s="22"/>
      <c r="G8016" s="22"/>
    </row>
    <row r="8017">
      <c r="A8017" s="5"/>
      <c r="B8017" s="17" t="s">
        <v>735</v>
      </c>
      <c r="C8017" s="22">
        <f>(81)*(1)*(1)*(1)*(1 + (0))</f>
      </c>
      <c r="D8017" s="22" t="s">
        <v>153</v>
      </c>
      <c r="E8017" s="22"/>
      <c r="F8017" s="22">
        <f>(0)</f>
      </c>
      <c r="G8017" s="22">
        <f>(C8017 * E8017 + C8017 * E8017 * F8017)</f>
      </c>
    </row>
    <row r="8018">
      <c r="A8018" s="5"/>
      <c r="B8018" s="17" t="s">
        <v>737</v>
      </c>
      <c r="C8018" s="22">
        <f>(189)*(1)*(1)*(1)*(1 + (0))</f>
      </c>
      <c r="D8018" s="22" t="s">
        <v>153</v>
      </c>
      <c r="E8018" s="22"/>
      <c r="F8018" s="22">
        <f>(0)</f>
      </c>
      <c r="G8018" s="22">
        <f>(C8018 * E8018 + C8018 * E8018 * F8018)</f>
      </c>
    </row>
    <row r="8019">
      <c r="A8019" s="5"/>
      <c r="B8019" s="16" t="s">
        <v>738</v>
      </c>
      <c r="C8019" s="22"/>
      <c r="D8019" s="22"/>
      <c r="E8019" s="22"/>
      <c r="F8019" s="22"/>
      <c r="G8019" s="22"/>
    </row>
    <row r="8020">
      <c r="A8020" s="5"/>
      <c r="B8020" s="17" t="s">
        <v>739</v>
      </c>
      <c r="C8020" s="22">
        <f>(99)*(1)*(1)*(1)*(1 + (0))</f>
      </c>
      <c r="D8020" s="22" t="s">
        <v>24</v>
      </c>
      <c r="E8020" s="22"/>
      <c r="F8020" s="22">
        <f>(0)</f>
      </c>
      <c r="G8020" s="22">
        <f>(C8020 * E8020 + C8020 * E8020 * F8020)</f>
      </c>
    </row>
    <row r="8021">
      <c r="A8021" s="6"/>
      <c r="B8021" s="15" t="s">
        <v>740</v>
      </c>
      <c r="C8021" s="23"/>
      <c r="D8021" s="23"/>
      <c r="E8021" s="23"/>
      <c r="F8021" s="23"/>
      <c r="G8021" s="23"/>
    </row>
    <row r="8022">
      <c r="A8022" s="5"/>
      <c r="B8022" s="16" t="s">
        <v>741</v>
      </c>
      <c r="C8022" s="22">
        <f>(163)*(1)*(1)*(1)*(1 + (0))</f>
      </c>
      <c r="D8022" s="22" t="s">
        <v>153</v>
      </c>
      <c r="E8022" s="22"/>
      <c r="F8022" s="22">
        <f>(0)</f>
      </c>
      <c r="G8022" s="22">
        <f>(C8022 * E8022 + C8022 * E8022 * F8022)</f>
      </c>
    </row>
    <row r="8023">
      <c r="A8023" s="5"/>
      <c r="B8023" s="16" t="s">
        <v>2907</v>
      </c>
      <c r="C8023" s="22">
        <f>(20)*(1)*(1)*(1)*(1 + (0))</f>
      </c>
      <c r="D8023" s="22" t="s">
        <v>153</v>
      </c>
      <c r="E8023" s="22"/>
      <c r="F8023" s="22">
        <f>(0)</f>
      </c>
      <c r="G8023" s="22">
        <f>(C8023 * E8023 + C8023 * E8023 * F8023)</f>
      </c>
    </row>
    <row r="8024">
      <c r="A8024" s="5"/>
      <c r="B8024" s="16" t="s">
        <v>2908</v>
      </c>
      <c r="C8024" s="22">
        <f>(10)*(1)*(1)*(1)*(1 + (0))</f>
      </c>
      <c r="D8024" s="22" t="s">
        <v>153</v>
      </c>
      <c r="E8024" s="22"/>
      <c r="F8024" s="22">
        <f>(0)</f>
      </c>
      <c r="G8024" s="22">
        <f>(C8024 * E8024 + C8024 * E8024 * F8024)</f>
      </c>
    </row>
    <row r="8025">
      <c r="A8025" s="5"/>
      <c r="B8025" s="16" t="s">
        <v>748</v>
      </c>
      <c r="C8025" s="22">
        <f>(30)*(1)*(1)*(1)*(1 + (0))</f>
      </c>
      <c r="D8025" s="22" t="s">
        <v>162</v>
      </c>
      <c r="E8025" s="22"/>
      <c r="F8025" s="22">
        <f>(0)</f>
      </c>
      <c r="G8025" s="22">
        <f>(C8025 * E8025 + C8025 * E8025 * F8025)</f>
      </c>
    </row>
    <row r="8026">
      <c r="A8026" s="5"/>
      <c r="B8026" s="16" t="s">
        <v>749</v>
      </c>
      <c r="C8026" s="22">
        <f>(141)*(1)*(1)*(1)*(1 + (0))</f>
      </c>
      <c r="D8026" s="22" t="s">
        <v>153</v>
      </c>
      <c r="E8026" s="22"/>
      <c r="F8026" s="22">
        <f>(0)</f>
      </c>
      <c r="G8026" s="22">
        <f>(C8026 * E8026 + C8026 * E8026 * F8026)</f>
      </c>
    </row>
    <row r="8027">
      <c r="A8027" s="5"/>
      <c r="B8027" s="16" t="s">
        <v>751</v>
      </c>
      <c r="C8027" s="22">
        <f>(20)*(1)*(1)*(1)*(1 + (0))</f>
      </c>
      <c r="D8027" s="22" t="s">
        <v>162</v>
      </c>
      <c r="E8027" s="22"/>
      <c r="F8027" s="22">
        <f>(0)</f>
      </c>
      <c r="G8027" s="22">
        <f>(C8027 * E8027 + C8027 * E8027 * F8027)</f>
      </c>
    </row>
    <row r="8028">
      <c r="A8028" s="6"/>
      <c r="B8028" s="15" t="s">
        <v>753</v>
      </c>
      <c r="C8028" s="23"/>
      <c r="D8028" s="23"/>
      <c r="E8028" s="23"/>
      <c r="F8028" s="23"/>
      <c r="G8028" s="23"/>
    </row>
    <row r="8029">
      <c r="A8029" s="5"/>
      <c r="B8029" s="16" t="s">
        <v>754</v>
      </c>
      <c r="C8029" s="22">
        <f>(1)*(1)*(1)*(1)*(1 + (0))</f>
      </c>
      <c r="D8029" s="22" t="s">
        <v>162</v>
      </c>
      <c r="E8029" s="22"/>
      <c r="F8029" s="22">
        <f>(0)</f>
      </c>
      <c r="G8029" s="22">
        <f>(C8029 * E8029 + C8029 * E8029 * F8029)</f>
      </c>
    </row>
    <row r="8030">
      <c r="A8030" s="5"/>
      <c r="B8030" s="16" t="s">
        <v>755</v>
      </c>
      <c r="C8030" s="22">
        <f>(1)*(1)*(1)*(1)*(1 + (0))</f>
      </c>
      <c r="D8030" s="22" t="s">
        <v>162</v>
      </c>
      <c r="E8030" s="22"/>
      <c r="F8030" s="22">
        <f>(0)</f>
      </c>
      <c r="G8030" s="22">
        <f>(C8030 * E8030 + C8030 * E8030 * F8030)</f>
      </c>
    </row>
    <row r="8031">
      <c r="A8031" s="4"/>
      <c r="B8031" s="12" t="s">
        <v>757</v>
      </c>
      <c r="C8031" s="21"/>
      <c r="D8031" s="21"/>
      <c r="E8031" s="21"/>
      <c r="F8031" s="21"/>
      <c r="G8031" s="21"/>
    </row>
    <row r="8032">
      <c r="A8032" s="6"/>
      <c r="B8032" s="15" t="s">
        <v>819</v>
      </c>
      <c r="C8032" s="23"/>
      <c r="D8032" s="23"/>
      <c r="E8032" s="23"/>
      <c r="F8032" s="23"/>
      <c r="G8032" s="23"/>
    </row>
    <row r="8033">
      <c r="A8033" s="5"/>
      <c r="B8033" s="16" t="s">
        <v>820</v>
      </c>
      <c r="C8033" s="22"/>
      <c r="D8033" s="22"/>
      <c r="E8033" s="22"/>
      <c r="F8033" s="22"/>
      <c r="G8033" s="22"/>
    </row>
    <row r="8034">
      <c r="A8034" s="5"/>
      <c r="B8034" s="17" t="s">
        <v>822</v>
      </c>
      <c r="C8034" s="22">
        <f>(-97)*(1)*(1)*(1)*(1 + (0))</f>
      </c>
      <c r="D8034" s="22" t="s">
        <v>24</v>
      </c>
      <c r="E8034" s="22"/>
      <c r="F8034" s="22">
        <f>(0)</f>
      </c>
      <c r="G8034" s="22">
        <f>(C8034 * E8034 + C8034 * E8034 * F8034)</f>
      </c>
    </row>
    <row r="8035">
      <c r="A8035" s="4"/>
      <c r="B8035" s="12" t="s">
        <v>935</v>
      </c>
      <c r="C8035" s="21"/>
      <c r="D8035" s="21"/>
      <c r="E8035" s="21"/>
      <c r="F8035" s="21"/>
      <c r="G8035" s="21"/>
    </row>
    <row r="8036">
      <c r="A8036" s="6"/>
      <c r="B8036" s="15" t="s">
        <v>947</v>
      </c>
      <c r="C8036" s="23"/>
      <c r="D8036" s="23"/>
      <c r="E8036" s="23"/>
      <c r="F8036" s="23"/>
      <c r="G8036" s="23"/>
    </row>
    <row r="8037">
      <c r="A8037" s="5"/>
      <c r="B8037" s="16" t="s">
        <v>956</v>
      </c>
      <c r="C8037" s="22"/>
      <c r="D8037" s="22"/>
      <c r="E8037" s="22"/>
      <c r="F8037" s="22"/>
      <c r="G8037" s="22"/>
    </row>
    <row r="8038">
      <c r="A8038" s="5"/>
      <c r="B8038" s="17" t="s">
        <v>822</v>
      </c>
      <c r="C8038" s="22">
        <f>(-88)*(1)*(1)*(1)*(1 + (0))</f>
      </c>
      <c r="D8038" s="22" t="s">
        <v>24</v>
      </c>
      <c r="E8038" s="22"/>
      <c r="F8038" s="22">
        <f>(0)</f>
      </c>
      <c r="G8038" s="22">
        <f>(C8038 * E8038 + C8038 * E8038 * F8038)</f>
      </c>
    </row>
    <row r="8039">
      <c r="A8039" s="3"/>
      <c r="B8039" s="11" t="s">
        <v>26</v>
      </c>
      <c r="C8039" s="20"/>
      <c r="D8039" s="20"/>
      <c r="E8039" s="20"/>
      <c r="F8039" s="20"/>
      <c r="G8039" s="20"/>
    </row>
    <row r="8040">
      <c r="A8040" s="4"/>
      <c r="B8040" s="12" t="s">
        <v>689</v>
      </c>
      <c r="C8040" s="21"/>
      <c r="D8040" s="21"/>
      <c r="E8040" s="21"/>
      <c r="F8040" s="21"/>
      <c r="G8040" s="21"/>
    </row>
    <row r="8041">
      <c r="A8041" s="6"/>
      <c r="B8041" s="15" t="s">
        <v>721</v>
      </c>
      <c r="C8041" s="23"/>
      <c r="D8041" s="23"/>
      <c r="E8041" s="23"/>
      <c r="F8041" s="23"/>
      <c r="G8041" s="23"/>
    </row>
    <row r="8042">
      <c r="A8042" s="5"/>
      <c r="B8042" s="16" t="s">
        <v>722</v>
      </c>
      <c r="C8042" s="22">
        <f>(1143)*(1)*(1)*(1)*(1 + (0))</f>
      </c>
      <c r="D8042" s="22" t="s">
        <v>24</v>
      </c>
      <c r="E8042" s="22"/>
      <c r="F8042" s="22">
        <f>(0)</f>
      </c>
      <c r="G8042" s="22">
        <f>(C8042 * E8042 + C8042 * E8042 * F8042)</f>
      </c>
    </row>
    <row r="8043">
      <c r="A8043" s="6"/>
      <c r="B8043" s="15" t="s">
        <v>723</v>
      </c>
      <c r="C8043" s="23"/>
      <c r="D8043" s="23"/>
      <c r="E8043" s="23"/>
      <c r="F8043" s="23"/>
      <c r="G8043" s="23"/>
    </row>
    <row r="8044">
      <c r="A8044" s="5"/>
      <c r="B8044" s="16" t="s">
        <v>724</v>
      </c>
      <c r="C8044" s="22">
        <f>(1143)*(1)*(1)*(1)*(1 + (0))</f>
      </c>
      <c r="D8044" s="22" t="s">
        <v>24</v>
      </c>
      <c r="E8044" s="22"/>
      <c r="F8044" s="22">
        <f>(0)</f>
      </c>
      <c r="G8044" s="22">
        <f>(C8044 * E8044 + C8044 * E8044 * F8044)</f>
      </c>
    </row>
    <row r="8045">
      <c r="A8045" s="5"/>
      <c r="B8045" s="16" t="s">
        <v>727</v>
      </c>
      <c r="C8045" s="22">
        <f>(1143)*(1)*(1)*(1)*(1 + (0))</f>
      </c>
      <c r="D8045" s="22" t="s">
        <v>24</v>
      </c>
      <c r="E8045" s="22"/>
      <c r="F8045" s="22">
        <f>(0)</f>
      </c>
      <c r="G8045" s="22">
        <f>(C8045 * E8045 + C8045 * E8045 * F8045)</f>
      </c>
    </row>
    <row r="8046">
      <c r="A8046" s="6"/>
      <c r="B8046" s="15" t="s">
        <v>728</v>
      </c>
      <c r="C8046" s="23"/>
      <c r="D8046" s="23"/>
      <c r="E8046" s="23"/>
      <c r="F8046" s="23"/>
      <c r="G8046" s="23"/>
    </row>
    <row r="8047">
      <c r="A8047" s="5"/>
      <c r="B8047" s="16" t="s">
        <v>729</v>
      </c>
      <c r="C8047" s="22">
        <f>(1143)*(1)*(1)*(1)*(1 + (0))</f>
      </c>
      <c r="D8047" s="22" t="s">
        <v>24</v>
      </c>
      <c r="E8047" s="22"/>
      <c r="F8047" s="22">
        <f>(0)</f>
      </c>
      <c r="G8047" s="22">
        <f>(C8047 * E8047 + C8047 * E8047 * F8047)</f>
      </c>
    </row>
    <row r="8048">
      <c r="A8048" s="6"/>
      <c r="B8048" s="15" t="s">
        <v>730</v>
      </c>
      <c r="C8048" s="23"/>
      <c r="D8048" s="23"/>
      <c r="E8048" s="23"/>
      <c r="F8048" s="23"/>
      <c r="G8048" s="23"/>
    </row>
    <row r="8049">
      <c r="A8049" s="5"/>
      <c r="B8049" s="16" t="s">
        <v>731</v>
      </c>
      <c r="C8049" s="22"/>
      <c r="D8049" s="22"/>
      <c r="E8049" s="22"/>
      <c r="F8049" s="22"/>
      <c r="G8049" s="22"/>
    </row>
    <row r="8050">
      <c r="A8050" s="5"/>
      <c r="B8050" s="17" t="s">
        <v>733</v>
      </c>
      <c r="C8050" s="22">
        <f>(96)*(1)*(1)*(1)*(1 + (0))</f>
      </c>
      <c r="D8050" s="22" t="s">
        <v>153</v>
      </c>
      <c r="E8050" s="22"/>
      <c r="F8050" s="22">
        <f>(0)</f>
      </c>
      <c r="G8050" s="22">
        <f>(C8050 * E8050 + C8050 * E8050 * F8050)</f>
      </c>
    </row>
    <row r="8051">
      <c r="A8051" s="5"/>
      <c r="B8051" s="16" t="s">
        <v>734</v>
      </c>
      <c r="C8051" s="22"/>
      <c r="D8051" s="22"/>
      <c r="E8051" s="22"/>
      <c r="F8051" s="22"/>
      <c r="G8051" s="22"/>
    </row>
    <row r="8052">
      <c r="A8052" s="5"/>
      <c r="B8052" s="17" t="s">
        <v>735</v>
      </c>
      <c r="C8052" s="22">
        <f>(48)*(1)*(1)*(1)*(1 + (0))</f>
      </c>
      <c r="D8052" s="22" t="s">
        <v>153</v>
      </c>
      <c r="E8052" s="22"/>
      <c r="F8052" s="22">
        <f>(0)</f>
      </c>
      <c r="G8052" s="22">
        <f>(C8052 * E8052 + C8052 * E8052 * F8052)</f>
      </c>
    </row>
    <row r="8053">
      <c r="A8053" s="5"/>
      <c r="B8053" s="17" t="s">
        <v>1714</v>
      </c>
      <c r="C8053" s="22">
        <f>(144)*(1)*(1)*(1)*(1 + (0))</f>
      </c>
      <c r="D8053" s="22" t="s">
        <v>153</v>
      </c>
      <c r="E8053" s="22"/>
      <c r="F8053" s="22">
        <f>(0)</f>
      </c>
      <c r="G8053" s="22">
        <f>(C8053 * E8053 + C8053 * E8053 * F8053)</f>
      </c>
    </row>
    <row r="8054">
      <c r="A8054" s="5"/>
      <c r="B8054" s="16" t="s">
        <v>738</v>
      </c>
      <c r="C8054" s="22"/>
      <c r="D8054" s="22"/>
      <c r="E8054" s="22"/>
      <c r="F8054" s="22"/>
      <c r="G8054" s="22"/>
    </row>
    <row r="8055">
      <c r="A8055" s="5"/>
      <c r="B8055" s="17" t="s">
        <v>739</v>
      </c>
      <c r="C8055" s="22">
        <f>(75)*(1)*(1)*(1)*(1 + (0))</f>
      </c>
      <c r="D8055" s="22" t="s">
        <v>24</v>
      </c>
      <c r="E8055" s="22"/>
      <c r="F8055" s="22">
        <f>(0)</f>
      </c>
      <c r="G8055" s="22">
        <f>(C8055 * E8055 + C8055 * E8055 * F8055)</f>
      </c>
    </row>
    <row r="8056">
      <c r="A8056" s="6"/>
      <c r="B8056" s="15" t="s">
        <v>740</v>
      </c>
      <c r="C8056" s="23"/>
      <c r="D8056" s="23"/>
      <c r="E8056" s="23"/>
      <c r="F8056" s="23"/>
      <c r="G8056" s="23"/>
    </row>
    <row r="8057">
      <c r="A8057" s="5"/>
      <c r="B8057" s="16" t="s">
        <v>741</v>
      </c>
      <c r="C8057" s="22">
        <f>(96)*(1)*(1)*(1)*(1 + (0))</f>
      </c>
      <c r="D8057" s="22" t="s">
        <v>153</v>
      </c>
      <c r="E8057" s="22"/>
      <c r="F8057" s="22">
        <f>(0)</f>
      </c>
      <c r="G8057" s="22">
        <f>(C8057 * E8057 + C8057 * E8057 * F8057)</f>
      </c>
    </row>
    <row r="8058">
      <c r="A8058" s="5"/>
      <c r="B8058" s="16" t="s">
        <v>2908</v>
      </c>
      <c r="C8058" s="22">
        <f>(7)*(1)*(1)*(1)*(1 + (0))</f>
      </c>
      <c r="D8058" s="22" t="s">
        <v>153</v>
      </c>
      <c r="E8058" s="22"/>
      <c r="F8058" s="22">
        <f>(0)</f>
      </c>
      <c r="G8058" s="22">
        <f>(C8058 * E8058 + C8058 * E8058 * F8058)</f>
      </c>
    </row>
    <row r="8059">
      <c r="A8059" s="5"/>
      <c r="B8059" s="16" t="s">
        <v>2909</v>
      </c>
      <c r="C8059" s="22">
        <f>(7)*(1)*(1)*(1)*(1 + (0))</f>
      </c>
      <c r="D8059" s="22" t="s">
        <v>162</v>
      </c>
      <c r="E8059" s="22"/>
      <c r="F8059" s="22">
        <f>(0)</f>
      </c>
      <c r="G8059" s="22">
        <f>(C8059 * E8059 + C8059 * E8059 * F8059)</f>
      </c>
    </row>
    <row r="8060">
      <c r="A8060" s="5"/>
      <c r="B8060" s="16" t="s">
        <v>748</v>
      </c>
      <c r="C8060" s="22">
        <f>(14)*(1)*(1)*(1)*(1 + (0))</f>
      </c>
      <c r="D8060" s="22" t="s">
        <v>162</v>
      </c>
      <c r="E8060" s="22"/>
      <c r="F8060" s="22">
        <f>(0)</f>
      </c>
      <c r="G8060" s="22">
        <f>(C8060 * E8060 + C8060 * E8060 * F8060)</f>
      </c>
    </row>
    <row r="8061">
      <c r="A8061" s="5"/>
      <c r="B8061" s="16" t="s">
        <v>749</v>
      </c>
      <c r="C8061" s="22">
        <f>(96)*(1)*(1)*(1)*(1 + (0))</f>
      </c>
      <c r="D8061" s="22" t="s">
        <v>153</v>
      </c>
      <c r="E8061" s="22"/>
      <c r="F8061" s="22">
        <f>(0)</f>
      </c>
      <c r="G8061" s="22">
        <f>(C8061 * E8061 + C8061 * E8061 * F8061)</f>
      </c>
    </row>
    <row r="8062">
      <c r="A8062" s="5"/>
      <c r="B8062" s="16" t="s">
        <v>751</v>
      </c>
      <c r="C8062" s="22">
        <f>(14)*(1)*(1)*(1)*(1 + (0))</f>
      </c>
      <c r="D8062" s="22" t="s">
        <v>162</v>
      </c>
      <c r="E8062" s="22"/>
      <c r="F8062" s="22">
        <f>(0)</f>
      </c>
      <c r="G8062" s="22">
        <f>(C8062 * E8062 + C8062 * E8062 * F8062)</f>
      </c>
    </row>
    <row r="8063">
      <c r="A8063" s="6"/>
      <c r="B8063" s="15" t="s">
        <v>753</v>
      </c>
      <c r="C8063" s="23"/>
      <c r="D8063" s="23"/>
      <c r="E8063" s="23"/>
      <c r="F8063" s="23"/>
      <c r="G8063" s="23"/>
    </row>
    <row r="8064">
      <c r="A8064" s="5"/>
      <c r="B8064" s="16" t="s">
        <v>754</v>
      </c>
      <c r="C8064" s="22">
        <f>(1)*(1)*(1)*(1)*(1 + (0))</f>
      </c>
      <c r="D8064" s="22" t="s">
        <v>162</v>
      </c>
      <c r="E8064" s="22"/>
      <c r="F8064" s="22">
        <f>(0)</f>
      </c>
      <c r="G8064" s="22">
        <f>(C8064 * E8064 + C8064 * E8064 * F8064)</f>
      </c>
    </row>
    <row r="8065">
      <c r="A8065" s="5"/>
      <c r="B8065" s="16" t="s">
        <v>755</v>
      </c>
      <c r="C8065" s="22">
        <f>(1)*(1)*(1)*(1)*(1 + (0))</f>
      </c>
      <c r="D8065" s="22" t="s">
        <v>162</v>
      </c>
      <c r="E8065" s="22"/>
      <c r="F8065" s="22">
        <f>(0)</f>
      </c>
      <c r="G8065" s="22">
        <f>(C8065 * E8065 + C8065 * E8065 * F8065)</f>
      </c>
    </row>
    <row r="8066">
      <c r="A8066" s="4"/>
      <c r="B8066" s="12" t="s">
        <v>757</v>
      </c>
      <c r="C8066" s="21"/>
      <c r="D8066" s="21"/>
      <c r="E8066" s="21"/>
      <c r="F8066" s="21"/>
      <c r="G8066" s="21"/>
    </row>
    <row r="8067">
      <c r="A8067" s="6"/>
      <c r="B8067" s="15" t="s">
        <v>819</v>
      </c>
      <c r="C8067" s="23"/>
      <c r="D8067" s="23"/>
      <c r="E8067" s="23"/>
      <c r="F8067" s="23"/>
      <c r="G8067" s="23"/>
    </row>
    <row r="8068">
      <c r="A8068" s="5"/>
      <c r="B8068" s="16" t="s">
        <v>1719</v>
      </c>
      <c r="C8068" s="22"/>
      <c r="D8068" s="22"/>
      <c r="E8068" s="22"/>
      <c r="F8068" s="22"/>
      <c r="G8068" s="22"/>
    </row>
    <row r="8069">
      <c r="A8069" s="5"/>
      <c r="B8069" s="17" t="s">
        <v>1718</v>
      </c>
      <c r="C8069" s="22">
        <f>(-68)*(1)*(1)*(1)*(1 + (0))</f>
      </c>
      <c r="D8069" s="22" t="s">
        <v>24</v>
      </c>
      <c r="E8069" s="22"/>
      <c r="F8069" s="22">
        <f>(0)</f>
      </c>
      <c r="G8069" s="22">
        <f>(C8069 * E8069 + C8069 * E8069 * F8069)</f>
      </c>
    </row>
    <row r="8070">
      <c r="A8070" s="4"/>
      <c r="B8070" s="12" t="s">
        <v>935</v>
      </c>
      <c r="C8070" s="21"/>
      <c r="D8070" s="21"/>
      <c r="E8070" s="21"/>
      <c r="F8070" s="21"/>
      <c r="G8070" s="21"/>
    </row>
    <row r="8071">
      <c r="A8071" s="6"/>
      <c r="B8071" s="15" t="s">
        <v>947</v>
      </c>
      <c r="C8071" s="23"/>
      <c r="D8071" s="23"/>
      <c r="E8071" s="23"/>
      <c r="F8071" s="23"/>
      <c r="G8071" s="23"/>
    </row>
    <row r="8072">
      <c r="A8072" s="5"/>
      <c r="B8072" s="16" t="s">
        <v>956</v>
      </c>
      <c r="C8072" s="22"/>
      <c r="D8072" s="22"/>
      <c r="E8072" s="22"/>
      <c r="F8072" s="22"/>
      <c r="G8072" s="22"/>
    </row>
    <row r="8073">
      <c r="A8073" s="5"/>
      <c r="B8073" s="17" t="s">
        <v>1718</v>
      </c>
      <c r="C8073" s="22">
        <f>(-68)*(1)*(1)*(1)*(1 + (0))</f>
      </c>
      <c r="D8073" s="22" t="s">
        <v>24</v>
      </c>
      <c r="E8073" s="22"/>
      <c r="F8073" s="22">
        <f>(0)</f>
      </c>
      <c r="G8073" s="22">
        <f>(C8073 * E8073 + C8073 * E8073 * F8073)</f>
      </c>
    </row>
    <row r="8074">
      <c r="A8074" s="5"/>
      <c r="B8074" s="7" t="s">
        <v>2910</v>
      </c>
      <c r="C8074" s="22"/>
      <c r="D8074" s="22"/>
      <c r="E8074" s="22"/>
      <c r="F8074" s="22">
        <f>(0)</f>
      </c>
      <c r="G8074" s="22">
        <f>(C8074 * E8074 + C8074 * E8074 * F8074)</f>
      </c>
    </row>
    <row r="8075">
      <c r="A8075" s="2"/>
      <c r="B8075" s="10" t="s">
        <v>2911</v>
      </c>
      <c r="C8075" s="19"/>
      <c r="D8075" s="19"/>
      <c r="E8075" s="19"/>
      <c r="F8075" s="19"/>
      <c r="G8075" s="19"/>
    </row>
    <row r="8076">
      <c r="A8076" s="3"/>
      <c r="B8076" s="11" t="s">
        <v>2893</v>
      </c>
      <c r="C8076" s="20"/>
      <c r="D8076" s="20"/>
      <c r="E8076" s="20"/>
      <c r="F8076" s="20"/>
      <c r="G8076" s="20"/>
    </row>
    <row r="8077">
      <c r="A8077" s="4"/>
      <c r="B8077" s="12" t="s">
        <v>2667</v>
      </c>
      <c r="C8077" s="21"/>
      <c r="D8077" s="21"/>
      <c r="E8077" s="21"/>
      <c r="F8077" s="21"/>
      <c r="G8077" s="21"/>
    </row>
    <row r="8078">
      <c r="A8078" s="6"/>
      <c r="B8078" s="15" t="s">
        <v>2668</v>
      </c>
      <c r="C8078" s="23"/>
      <c r="D8078" s="23"/>
      <c r="E8078" s="23"/>
      <c r="F8078" s="23"/>
      <c r="G8078" s="23"/>
    </row>
    <row r="8079">
      <c r="A8079" s="5"/>
      <c r="B8079" s="16" t="s">
        <v>2675</v>
      </c>
      <c r="C8079" s="22"/>
      <c r="D8079" s="22"/>
      <c r="E8079" s="22"/>
      <c r="F8079" s="22"/>
      <c r="G8079" s="22"/>
    </row>
    <row r="8080">
      <c r="A8080" s="5"/>
      <c r="B8080" s="17" t="s">
        <v>2676</v>
      </c>
      <c r="C8080" s="22">
        <f>(-1035)*(1)*(1)*(1)*(1 + (0))</f>
      </c>
      <c r="D8080" s="22" t="s">
        <v>24</v>
      </c>
      <c r="E8080" s="22"/>
      <c r="F8080" s="22">
        <f>(0)</f>
      </c>
      <c r="G8080" s="22">
        <f>(C8080 * E8080 + C8080 * E8080 * F8080)</f>
      </c>
    </row>
    <row r="8081">
      <c r="A8081" s="5"/>
      <c r="B8081" s="17" t="s">
        <v>2677</v>
      </c>
      <c r="C8081" s="22">
        <f>(-1035)*(1)*(1)*(1)*(1 + (0))</f>
      </c>
      <c r="D8081" s="22" t="s">
        <v>24</v>
      </c>
      <c r="E8081" s="22"/>
      <c r="F8081" s="22">
        <f>(0)</f>
      </c>
      <c r="G8081" s="22">
        <f>(C8081 * E8081 + C8081 * E8081 * F8081)</f>
      </c>
    </row>
    <row r="8082">
      <c r="A8082" s="5"/>
      <c r="B8082" s="17" t="s">
        <v>2678</v>
      </c>
      <c r="C8082" s="22">
        <f>(-1035)*(1)*(1)*(1)*(1 + (0))</f>
      </c>
      <c r="D8082" s="22" t="s">
        <v>24</v>
      </c>
      <c r="E8082" s="22"/>
      <c r="F8082" s="22">
        <f>(0)</f>
      </c>
      <c r="G8082" s="22">
        <f>(C8082 * E8082 + C8082 * E8082 * F8082)</f>
      </c>
    </row>
    <row r="8083">
      <c r="A8083" s="5"/>
      <c r="B8083" s="17" t="s">
        <v>2679</v>
      </c>
      <c r="C8083" s="22">
        <f>(-1035)*(1)*(1)*(1)*(1 + (0))</f>
      </c>
      <c r="D8083" s="22" t="s">
        <v>24</v>
      </c>
      <c r="E8083" s="22"/>
      <c r="F8083" s="22">
        <f>(0)</f>
      </c>
      <c r="G8083" s="22">
        <f>(C8083 * E8083 + C8083 * E8083 * F8083)</f>
      </c>
    </row>
    <row r="8084">
      <c r="A8084" s="4"/>
      <c r="B8084" s="12" t="s">
        <v>2794</v>
      </c>
      <c r="C8084" s="21"/>
      <c r="D8084" s="21"/>
      <c r="E8084" s="21"/>
      <c r="F8084" s="21"/>
      <c r="G8084" s="21"/>
    </row>
    <row r="8085">
      <c r="A8085" s="6"/>
      <c r="B8085" s="15" t="s">
        <v>2912</v>
      </c>
      <c r="C8085" s="23"/>
      <c r="D8085" s="23"/>
      <c r="E8085" s="23"/>
      <c r="F8085" s="23"/>
      <c r="G8085" s="23"/>
    </row>
    <row r="8086">
      <c r="A8086" s="5"/>
      <c r="B8086" s="16" t="s">
        <v>2797</v>
      </c>
      <c r="C8086" s="22">
        <f>(1035)*(1)*(1)*(1)*(1 + (0))</f>
      </c>
      <c r="D8086" s="22" t="s">
        <v>24</v>
      </c>
      <c r="E8086" s="22"/>
      <c r="F8086" s="22">
        <f>(0)</f>
      </c>
      <c r="G8086" s="22">
        <f>(C8086 * E8086 + C8086 * E8086 * F8086)</f>
      </c>
    </row>
    <row r="8087">
      <c r="A8087" s="5"/>
      <c r="B8087" s="16" t="s">
        <v>2913</v>
      </c>
      <c r="C8087" s="22">
        <f>(1035)*(1)*(1)*(1)*(1 + (0))</f>
      </c>
      <c r="D8087" s="22" t="s">
        <v>24</v>
      </c>
      <c r="E8087" s="22"/>
      <c r="F8087" s="22">
        <f>(0)</f>
      </c>
      <c r="G8087" s="22">
        <f>(C8087 * E8087 + C8087 * E8087 * F8087)</f>
      </c>
    </row>
    <row r="8088">
      <c r="A8088" s="5"/>
      <c r="B8088" s="16" t="s">
        <v>2799</v>
      </c>
      <c r="C8088" s="22">
        <f>(1035)*(1)*(1)*(1)*(1 + (0))</f>
      </c>
      <c r="D8088" s="22" t="s">
        <v>24</v>
      </c>
      <c r="E8088" s="22"/>
      <c r="F8088" s="22">
        <f>(0)</f>
      </c>
      <c r="G8088" s="22">
        <f>(C8088 * E8088 + C8088 * E8088 * F8088)</f>
      </c>
    </row>
    <row r="8089">
      <c r="A8089" s="2"/>
      <c r="B8089" s="10" t="s">
        <v>2914</v>
      </c>
      <c r="C8089" s="19"/>
      <c r="D8089" s="19"/>
      <c r="E8089" s="19"/>
      <c r="F8089" s="19"/>
      <c r="G8089" s="19"/>
    </row>
    <row r="8090">
      <c r="A8090" s="3"/>
      <c r="B8090" s="11" t="s">
        <v>2915</v>
      </c>
      <c r="C8090" s="20"/>
      <c r="D8090" s="20"/>
      <c r="E8090" s="20"/>
      <c r="F8090" s="20"/>
      <c r="G8090" s="20"/>
    </row>
    <row r="8091">
      <c r="A8091" s="4"/>
      <c r="B8091" s="12" t="s">
        <v>2463</v>
      </c>
      <c r="C8091" s="21"/>
      <c r="D8091" s="21"/>
      <c r="E8091" s="21"/>
      <c r="F8091" s="21"/>
      <c r="G8091" s="21"/>
    </row>
    <row r="8092">
      <c r="A8092" s="6"/>
      <c r="B8092" s="15" t="s">
        <v>2520</v>
      </c>
      <c r="C8092" s="23"/>
      <c r="D8092" s="23"/>
      <c r="E8092" s="23"/>
      <c r="F8092" s="23"/>
      <c r="G8092" s="23"/>
    </row>
    <row r="8093">
      <c r="A8093" s="5"/>
      <c r="B8093" s="16" t="s">
        <v>2614</v>
      </c>
      <c r="C8093" s="22">
        <f>(-50)*(1)*(1)*(1)*(1 + (0))</f>
      </c>
      <c r="D8093" s="22" t="s">
        <v>162</v>
      </c>
      <c r="E8093" s="22"/>
      <c r="F8093" s="22">
        <f>(0)</f>
      </c>
      <c r="G8093" s="22">
        <f>(C8093 * E8093 + C8093 * E8093 * F8093)</f>
      </c>
    </row>
    <row r="8094">
      <c r="A8094" s="5"/>
      <c r="B8094" s="16" t="s">
        <v>2615</v>
      </c>
      <c r="C8094" s="22">
        <f>(-40)*(1)*(1)*(1)*(1 + (0))</f>
      </c>
      <c r="D8094" s="22" t="s">
        <v>162</v>
      </c>
      <c r="E8094" s="22"/>
      <c r="F8094" s="22">
        <f>(0)</f>
      </c>
      <c r="G8094" s="22">
        <f>(C8094 * E8094 + C8094 * E8094 * F8094)</f>
      </c>
    </row>
    <row r="8095">
      <c r="A8095" s="5"/>
      <c r="B8095" s="16" t="s">
        <v>2616</v>
      </c>
      <c r="C8095" s="22">
        <f>(-52)*(1)*(1)*(1)*(1 + (0))</f>
      </c>
      <c r="D8095" s="22" t="s">
        <v>162</v>
      </c>
      <c r="E8095" s="22"/>
      <c r="F8095" s="22">
        <f>(0)</f>
      </c>
      <c r="G8095" s="22">
        <f>(C8095 * E8095 + C8095 * E8095 * F8095)</f>
      </c>
    </row>
    <row r="8096">
      <c r="A8096" s="5"/>
      <c r="B8096" s="16" t="s">
        <v>2617</v>
      </c>
      <c r="C8096" s="22">
        <f>(-174)*(1)*(1)*(1)*(1 + (0))</f>
      </c>
      <c r="D8096" s="22" t="s">
        <v>162</v>
      </c>
      <c r="E8096" s="22"/>
      <c r="F8096" s="22">
        <f>(0)</f>
      </c>
      <c r="G8096" s="22">
        <f>(C8096 * E8096 + C8096 * E8096 * F8096)</f>
      </c>
    </row>
    <row r="8097">
      <c r="A8097" s="5"/>
      <c r="B8097" s="16" t="s">
        <v>2618</v>
      </c>
      <c r="C8097" s="22">
        <f>(-156)*(1)*(1)*(1)*(1 + (0))</f>
      </c>
      <c r="D8097" s="22" t="s">
        <v>162</v>
      </c>
      <c r="E8097" s="22"/>
      <c r="F8097" s="22">
        <f>(0)</f>
      </c>
      <c r="G8097" s="22">
        <f>(C8097 * E8097 + C8097 * E8097 * F8097)</f>
      </c>
    </row>
    <row r="8098">
      <c r="A8098" s="5"/>
      <c r="B8098" s="16" t="s">
        <v>2619</v>
      </c>
      <c r="C8098" s="22">
        <f>(-228)*(1)*(1)*(1)*(1 + (0))</f>
      </c>
      <c r="D8098" s="22" t="s">
        <v>162</v>
      </c>
      <c r="E8098" s="22"/>
      <c r="F8098" s="22">
        <f>(0)</f>
      </c>
      <c r="G8098" s="22">
        <f>(C8098 * E8098 + C8098 * E8098 * F8098)</f>
      </c>
    </row>
    <row r="8099">
      <c r="A8099" s="5"/>
      <c r="B8099" s="16" t="s">
        <v>2621</v>
      </c>
      <c r="C8099" s="22">
        <f>(-97)*(1)*(1)*(1)*(1 + (0))</f>
      </c>
      <c r="D8099" s="22" t="s">
        <v>162</v>
      </c>
      <c r="E8099" s="22"/>
      <c r="F8099" s="22">
        <f>(0)</f>
      </c>
      <c r="G8099" s="22">
        <f>(C8099 * E8099 + C8099 * E8099 * F8099)</f>
      </c>
    </row>
    <row r="8100">
      <c r="A8100" s="5"/>
      <c r="B8100" s="16" t="s">
        <v>2624</v>
      </c>
      <c r="C8100" s="22">
        <f>(-50)*(1)*(1)*(1)*(1 + (0))</f>
      </c>
      <c r="D8100" s="22" t="s">
        <v>162</v>
      </c>
      <c r="E8100" s="22"/>
      <c r="F8100" s="22">
        <f>(0)</f>
      </c>
      <c r="G8100" s="22">
        <f>(C8100 * E8100 + C8100 * E8100 * F8100)</f>
      </c>
    </row>
    <row r="8101">
      <c r="A8101" s="5"/>
      <c r="B8101" s="16" t="s">
        <v>2626</v>
      </c>
      <c r="C8101" s="22">
        <f>(-132)*(1)*(1)*(1)*(1 + (0))</f>
      </c>
      <c r="D8101" s="22" t="s">
        <v>162</v>
      </c>
      <c r="E8101" s="22"/>
      <c r="F8101" s="22">
        <f>(0)</f>
      </c>
      <c r="G8101" s="22">
        <f>(C8101 * E8101 + C8101 * E8101 * F8101)</f>
      </c>
    </row>
    <row r="8102">
      <c r="A8102" s="5"/>
      <c r="B8102" s="16" t="s">
        <v>2627</v>
      </c>
      <c r="C8102" s="22">
        <f>(-134)*(1)*(1)*(1)*(1 + (0))</f>
      </c>
      <c r="D8102" s="22" t="s">
        <v>162</v>
      </c>
      <c r="E8102" s="22"/>
      <c r="F8102" s="22">
        <f>(0)</f>
      </c>
      <c r="G8102" s="22">
        <f>(C8102 * E8102 + C8102 * E8102 * F8102)</f>
      </c>
    </row>
    <row r="8103">
      <c r="A8103" s="5"/>
      <c r="B8103" s="16" t="s">
        <v>2628</v>
      </c>
      <c r="C8103" s="22">
        <f>(-268)*(1)*(1)*(1)*(1 + (0))</f>
      </c>
      <c r="D8103" s="22" t="s">
        <v>162</v>
      </c>
      <c r="E8103" s="22"/>
      <c r="F8103" s="22">
        <f>(0)</f>
      </c>
      <c r="G8103" s="22">
        <f>(C8103 * E8103 + C8103 * E8103 * F8103)</f>
      </c>
    </row>
    <row r="8104">
      <c r="A8104" s="5"/>
      <c r="B8104" s="16" t="s">
        <v>2629</v>
      </c>
      <c r="C8104" s="22">
        <f>(-132)*(1)*(1)*(1)*(1 + (0))</f>
      </c>
      <c r="D8104" s="22" t="s">
        <v>162</v>
      </c>
      <c r="E8104" s="22"/>
      <c r="F8104" s="22">
        <f>(0)</f>
      </c>
      <c r="G8104" s="22">
        <f>(C8104 * E8104 + C8104 * E8104 * F8104)</f>
      </c>
    </row>
    <row r="8105">
      <c r="A8105" s="5"/>
      <c r="B8105" s="16" t="s">
        <v>2631</v>
      </c>
      <c r="C8105" s="22">
        <f>(-62)*(1)*(1)*(1)*(1 + (0))</f>
      </c>
      <c r="D8105" s="22" t="s">
        <v>162</v>
      </c>
      <c r="E8105" s="22"/>
      <c r="F8105" s="22">
        <f>(0)</f>
      </c>
      <c r="G8105" s="22">
        <f>(C8105 * E8105 + C8105 * E8105 * F8105)</f>
      </c>
    </row>
    <row r="8106">
      <c r="A8106" s="5"/>
      <c r="B8106" s="16" t="s">
        <v>2632</v>
      </c>
      <c r="C8106" s="22">
        <f>(-62)*(1)*(1)*(1)*(1 + (0))</f>
      </c>
      <c r="D8106" s="22" t="s">
        <v>162</v>
      </c>
      <c r="E8106" s="22"/>
      <c r="F8106" s="22">
        <f>(0)</f>
      </c>
      <c r="G8106" s="22">
        <f>(C8106 * E8106 + C8106 * E8106 * F8106)</f>
      </c>
    </row>
    <row r="8107">
      <c r="A8107" s="5"/>
      <c r="B8107" s="16"/>
      <c r="C8107" s="22"/>
      <c r="D8107" s="22"/>
      <c r="E8107" s="22"/>
      <c r="F8107" s="22">
        <f>(0)</f>
      </c>
      <c r="G8107" s="22">
        <f>(C8107 * E8107 + C8107 * E8107 * F8107)</f>
      </c>
    </row>
    <row r="8108">
      <c r="A8108" s="5"/>
      <c r="B8108" s="13" t="s">
        <v>2916</v>
      </c>
      <c r="C8108" s="22">
        <f>(-117)*(1)*(1)*(1)*(1 + (0))</f>
      </c>
      <c r="D8108" s="22" t="s">
        <v>24</v>
      </c>
      <c r="E8108" s="22"/>
      <c r="F8108" s="22">
        <f>(0)</f>
      </c>
      <c r="G8108" s="22">
        <f>(C8108 * E8108 + C8108 * E8108 * F8108)</f>
      </c>
    </row>
    <row r="8109">
      <c r="A8109" s="4"/>
      <c r="B8109" s="12" t="s">
        <v>2633</v>
      </c>
      <c r="C8109" s="21"/>
      <c r="D8109" s="21"/>
      <c r="E8109" s="21"/>
      <c r="F8109" s="21"/>
      <c r="G8109" s="21"/>
    </row>
    <row r="8110">
      <c r="A8110" s="6"/>
      <c r="B8110" s="15" t="s">
        <v>2634</v>
      </c>
      <c r="C8110" s="23"/>
      <c r="D8110" s="23"/>
      <c r="E8110" s="23"/>
      <c r="F8110" s="23"/>
      <c r="G8110" s="23"/>
    </row>
    <row r="8111">
      <c r="A8111" s="5"/>
      <c r="B8111" s="16" t="s">
        <v>2635</v>
      </c>
      <c r="C8111" s="22">
        <f>(-294)*(1)*(1)*(1)*(1 + (0))</f>
      </c>
      <c r="D8111" s="22" t="s">
        <v>24</v>
      </c>
      <c r="E8111" s="22"/>
      <c r="F8111" s="22">
        <f>(0)</f>
      </c>
      <c r="G8111" s="22">
        <f>(C8111 * E8111 + C8111 * E8111 * F8111)</f>
      </c>
    </row>
    <row r="8112">
      <c r="A8112" s="5"/>
      <c r="B8112" s="16" t="s">
        <v>2636</v>
      </c>
      <c r="C8112" s="22">
        <f>(-294)*(1)*(1)*(1)*(1 + (0))</f>
      </c>
      <c r="D8112" s="22" t="s">
        <v>24</v>
      </c>
      <c r="E8112" s="22"/>
      <c r="F8112" s="22">
        <f>(0)</f>
      </c>
      <c r="G8112" s="22">
        <f>(C8112 * E8112 + C8112 * E8112 * F8112)</f>
      </c>
    </row>
    <row r="8113">
      <c r="A8113" s="5"/>
      <c r="B8113" s="16" t="s">
        <v>2637</v>
      </c>
      <c r="C8113" s="22">
        <f>(-294)*(1)*(1)*(1)*(1 + (0))</f>
      </c>
      <c r="D8113" s="22" t="s">
        <v>24</v>
      </c>
      <c r="E8113" s="22"/>
      <c r="F8113" s="22">
        <f>(0)</f>
      </c>
      <c r="G8113" s="22">
        <f>(C8113 * E8113 + C8113 * E8113 * F8113)</f>
      </c>
    </row>
    <row r="8114">
      <c r="A8114" s="5"/>
      <c r="B8114" s="16" t="s">
        <v>2640</v>
      </c>
      <c r="C8114" s="22">
        <f>(-294)*(1)*(1)*(1)*(1 + (0))</f>
      </c>
      <c r="D8114" s="22" t="s">
        <v>24</v>
      </c>
      <c r="E8114" s="22"/>
      <c r="F8114" s="22">
        <f>(0)</f>
      </c>
      <c r="G8114" s="22">
        <f>(C8114 * E8114 + C8114 * E8114 * F8114)</f>
      </c>
    </row>
    <row r="8115">
      <c r="A8115" s="5"/>
      <c r="B8115" s="16" t="s">
        <v>2639</v>
      </c>
      <c r="C8115" s="22">
        <f>(-89)*(1)*(1)*(1)*(1 + (0))</f>
      </c>
      <c r="D8115" s="22" t="s">
        <v>111</v>
      </c>
      <c r="E8115" s="22"/>
      <c r="F8115" s="22">
        <f>(0)</f>
      </c>
      <c r="G8115" s="22">
        <f>(C8115 * E8115 + C8115 * E8115 * F8115)</f>
      </c>
    </row>
    <row r="8116">
      <c r="A8116" s="6"/>
      <c r="B8116" s="15" t="s">
        <v>2654</v>
      </c>
      <c r="C8116" s="23"/>
      <c r="D8116" s="23"/>
      <c r="E8116" s="23"/>
      <c r="F8116" s="23"/>
      <c r="G8116" s="23"/>
    </row>
    <row r="8117">
      <c r="A8117" s="5"/>
      <c r="B8117" s="16" t="s">
        <v>2656</v>
      </c>
      <c r="C8117" s="22">
        <f>(-118)*(1)*(1)*(1)*(1 + (0))</f>
      </c>
      <c r="D8117" s="22" t="s">
        <v>24</v>
      </c>
      <c r="E8117" s="22"/>
      <c r="F8117" s="22">
        <f>(0)</f>
      </c>
      <c r="G8117" s="22">
        <f>(C8117 * E8117 + C8117 * E8117 * F8117)</f>
      </c>
    </row>
    <row r="8118">
      <c r="A8118" s="5"/>
      <c r="B8118" s="16" t="s">
        <v>2640</v>
      </c>
      <c r="C8118" s="22">
        <f>(-118)*(1)*(1)*(1)*(1 + (0))</f>
      </c>
      <c r="D8118" s="22" t="s">
        <v>24</v>
      </c>
      <c r="E8118" s="22"/>
      <c r="F8118" s="22">
        <f>(0)</f>
      </c>
      <c r="G8118" s="22">
        <f>(C8118 * E8118 + C8118 * E8118 * F8118)</f>
      </c>
    </row>
    <row r="8119">
      <c r="A8119" s="3"/>
      <c r="B8119" s="11" t="s">
        <v>2917</v>
      </c>
      <c r="C8119" s="20"/>
      <c r="D8119" s="20"/>
      <c r="E8119" s="20"/>
      <c r="F8119" s="20"/>
      <c r="G8119" s="20"/>
    </row>
    <row r="8120">
      <c r="A8120" s="4"/>
      <c r="B8120" s="12" t="s">
        <v>2667</v>
      </c>
      <c r="C8120" s="21"/>
      <c r="D8120" s="21"/>
      <c r="E8120" s="21"/>
      <c r="F8120" s="21"/>
      <c r="G8120" s="21"/>
    </row>
    <row r="8121">
      <c r="A8121" s="6"/>
      <c r="B8121" s="15" t="s">
        <v>2668</v>
      </c>
      <c r="C8121" s="23"/>
      <c r="D8121" s="23"/>
      <c r="E8121" s="23"/>
      <c r="F8121" s="23"/>
      <c r="G8121" s="23"/>
    </row>
    <row r="8122">
      <c r="A8122" s="5"/>
      <c r="B8122" s="16" t="s">
        <v>2669</v>
      </c>
      <c r="C8122" s="22"/>
      <c r="D8122" s="22"/>
      <c r="E8122" s="22"/>
      <c r="F8122" s="22"/>
      <c r="G8122" s="22"/>
    </row>
    <row r="8123">
      <c r="A8123" s="5"/>
      <c r="B8123" s="17" t="s">
        <v>2670</v>
      </c>
      <c r="C8123" s="22">
        <f>(-21)*(1)*(1)*(1)*(1 + (0))</f>
      </c>
      <c r="D8123" s="22" t="s">
        <v>24</v>
      </c>
      <c r="E8123" s="22"/>
      <c r="F8123" s="22">
        <f>(0)</f>
      </c>
      <c r="G8123" s="22">
        <f>(C8123 * E8123 + C8123 * E8123 * F8123)</f>
      </c>
    </row>
    <row r="8124">
      <c r="A8124" s="5"/>
      <c r="B8124" s="17" t="s">
        <v>2671</v>
      </c>
      <c r="C8124" s="22">
        <f>(-17)*(1)*(1)*(1)*(1 + (0))</f>
      </c>
      <c r="D8124" s="22" t="s">
        <v>153</v>
      </c>
      <c r="E8124" s="22"/>
      <c r="F8124" s="22">
        <f>(0)</f>
      </c>
      <c r="G8124" s="22">
        <f>(C8124 * E8124 + C8124 * E8124 * F8124)</f>
      </c>
    </row>
    <row r="8125">
      <c r="A8125" s="5"/>
      <c r="B8125" s="17" t="s">
        <v>2672</v>
      </c>
      <c r="C8125" s="22">
        <f>(-21)*(1)*(1)*(1)*(1 + (0))</f>
      </c>
      <c r="D8125" s="22" t="s">
        <v>24</v>
      </c>
      <c r="E8125" s="22"/>
      <c r="F8125" s="22">
        <f>(0)</f>
      </c>
      <c r="G8125" s="22">
        <f>(C8125 * E8125 + C8125 * E8125 * F8125)</f>
      </c>
    </row>
    <row r="8126">
      <c r="A8126" s="5"/>
      <c r="B8126" s="17" t="s">
        <v>2673</v>
      </c>
      <c r="C8126" s="22">
        <f>(-21)*(1)*(1)*(1)*(1 + (0))</f>
      </c>
      <c r="D8126" s="22" t="s">
        <v>24</v>
      </c>
      <c r="E8126" s="22"/>
      <c r="F8126" s="22">
        <f>(0)</f>
      </c>
      <c r="G8126" s="22">
        <f>(C8126 * E8126 + C8126 * E8126 * F8126)</f>
      </c>
    </row>
    <row r="8127">
      <c r="A8127" s="5"/>
      <c r="B8127" s="17" t="s">
        <v>2674</v>
      </c>
      <c r="C8127" s="22">
        <f>(-21)*(1)*(1)*(1)*(1 + (0))</f>
      </c>
      <c r="D8127" s="22" t="s">
        <v>24</v>
      </c>
      <c r="E8127" s="22"/>
      <c r="F8127" s="22">
        <f>(0)</f>
      </c>
      <c r="G8127" s="22">
        <f>(C8127 * E8127 + C8127 * E8127 * F8127)</f>
      </c>
    </row>
    <row r="8128">
      <c r="A8128" s="5"/>
      <c r="B8128" s="16" t="s">
        <v>2680</v>
      </c>
      <c r="C8128" s="22"/>
      <c r="D8128" s="22"/>
      <c r="E8128" s="22"/>
      <c r="F8128" s="22"/>
      <c r="G8128" s="22"/>
    </row>
    <row r="8129">
      <c r="A8129" s="5"/>
      <c r="B8129" s="17" t="s">
        <v>2681</v>
      </c>
      <c r="C8129" s="22">
        <f>(-92)*(1)*(1)*(1)*(1 + (0))</f>
      </c>
      <c r="D8129" s="22" t="s">
        <v>24</v>
      </c>
      <c r="E8129" s="22"/>
      <c r="F8129" s="22">
        <f>(0)</f>
      </c>
      <c r="G8129" s="22">
        <f>(C8129 * E8129 + C8129 * E8129 * F8129)</f>
      </c>
    </row>
    <row r="8130">
      <c r="A8130" s="5"/>
      <c r="B8130" s="17" t="s">
        <v>2682</v>
      </c>
      <c r="C8130" s="22">
        <f>(-92)*(1)*(1)*(1)*(1 + (0))</f>
      </c>
      <c r="D8130" s="22" t="s">
        <v>24</v>
      </c>
      <c r="E8130" s="22"/>
      <c r="F8130" s="22">
        <f>(0)</f>
      </c>
      <c r="G8130" s="22">
        <f>(C8130 * E8130 + C8130 * E8130 * F8130)</f>
      </c>
    </row>
    <row r="8131">
      <c r="A8131" s="5"/>
      <c r="B8131" s="17" t="s">
        <v>2683</v>
      </c>
      <c r="C8131" s="22">
        <f>(-92)*(1)*(1)*(1)*(1 + (0))</f>
      </c>
      <c r="D8131" s="22" t="s">
        <v>24</v>
      </c>
      <c r="E8131" s="22"/>
      <c r="F8131" s="22">
        <f>(0)</f>
      </c>
      <c r="G8131" s="22">
        <f>(C8131 * E8131 + C8131 * E8131 * F8131)</f>
      </c>
    </row>
    <row r="8132">
      <c r="A8132" s="5"/>
      <c r="B8132" s="17" t="s">
        <v>2684</v>
      </c>
      <c r="C8132" s="22">
        <f>(-27)*(1)*(1)*(1)*(1 + (0))</f>
      </c>
      <c r="D8132" s="22" t="s">
        <v>24</v>
      </c>
      <c r="E8132" s="22"/>
      <c r="F8132" s="22">
        <f>(0)</f>
      </c>
      <c r="G8132" s="22">
        <f>(C8132 * E8132 + C8132 * E8132 * F8132)</f>
      </c>
    </row>
    <row r="8133">
      <c r="A8133" s="5"/>
      <c r="B8133" s="17" t="s">
        <v>2685</v>
      </c>
      <c r="C8133" s="22">
        <f>(-66)*(1)*(1)*(1)*(1 + (0))</f>
      </c>
      <c r="D8133" s="22" t="s">
        <v>24</v>
      </c>
      <c r="E8133" s="22"/>
      <c r="F8133" s="22">
        <f>(0)</f>
      </c>
      <c r="G8133" s="22">
        <f>(C8133 * E8133 + C8133 * E8133 * F8133)</f>
      </c>
    </row>
    <row r="8134">
      <c r="A8134" s="5"/>
      <c r="B8134" s="16" t="s">
        <v>2696</v>
      </c>
      <c r="C8134" s="22">
        <f>(-40)*(1)*(1)*(1)*(1 + (0))</f>
      </c>
      <c r="D8134" s="22" t="s">
        <v>24</v>
      </c>
      <c r="E8134" s="22"/>
      <c r="F8134" s="22">
        <f>(0)</f>
      </c>
      <c r="G8134" s="22">
        <f>(C8134 * E8134 + C8134 * E8134 * F8134)</f>
      </c>
    </row>
    <row r="8135">
      <c r="A8135" s="5"/>
      <c r="B8135" s="16" t="s">
        <v>2694</v>
      </c>
      <c r="C8135" s="22">
        <f>(-134)*(1)*(1)*(1)*(1 + (0))</f>
      </c>
      <c r="D8135" s="22" t="s">
        <v>24</v>
      </c>
      <c r="E8135" s="22"/>
      <c r="F8135" s="22">
        <f>(0)</f>
      </c>
      <c r="G8135" s="22">
        <f>(C8135 * E8135 + C8135 * E8135 * F8135)</f>
      </c>
    </row>
    <row r="8136">
      <c r="A8136" s="6"/>
      <c r="B8136" s="15" t="s">
        <v>2700</v>
      </c>
      <c r="C8136" s="23"/>
      <c r="D8136" s="23"/>
      <c r="E8136" s="23"/>
      <c r="F8136" s="23"/>
      <c r="G8136" s="23"/>
    </row>
    <row r="8137">
      <c r="A8137" s="5"/>
      <c r="B8137" s="16" t="s">
        <v>2717</v>
      </c>
      <c r="C8137" s="22"/>
      <c r="D8137" s="22"/>
      <c r="E8137" s="22"/>
      <c r="F8137" s="22"/>
      <c r="G8137" s="22"/>
    </row>
    <row r="8138">
      <c r="A8138" s="5"/>
      <c r="B8138" s="17" t="s">
        <v>2718</v>
      </c>
      <c r="C8138" s="22">
        <f>(-7)*(1)*(1)*(1)*(1 + (0))</f>
      </c>
      <c r="D8138" s="22" t="s">
        <v>111</v>
      </c>
      <c r="E8138" s="22"/>
      <c r="F8138" s="22">
        <f>(0)</f>
      </c>
      <c r="G8138" s="22">
        <f>(C8138 * E8138 + C8138 * E8138 * F8138)</f>
      </c>
    </row>
    <row r="8139">
      <c r="A8139" s="5"/>
      <c r="B8139" s="17" t="s">
        <v>2719</v>
      </c>
      <c r="C8139" s="22">
        <f>(-34)*(1)*(1)*(1)*(1 + (0))</f>
      </c>
      <c r="D8139" s="22" t="s">
        <v>24</v>
      </c>
      <c r="E8139" s="22"/>
      <c r="F8139" s="22">
        <f>(0)</f>
      </c>
      <c r="G8139" s="22">
        <f>(C8139 * E8139 + C8139 * E8139 * F8139)</f>
      </c>
    </row>
    <row r="8140">
      <c r="A8140" s="5"/>
      <c r="B8140" s="17" t="s">
        <v>2720</v>
      </c>
      <c r="C8140" s="22">
        <f>(-1)*(1)*(1)*(1)*(1 + (0))</f>
      </c>
      <c r="D8140" s="22" t="s">
        <v>111</v>
      </c>
      <c r="E8140" s="22"/>
      <c r="F8140" s="22">
        <f>(0)</f>
      </c>
      <c r="G8140" s="22">
        <f>(C8140 * E8140 + C8140 * E8140 * F8140)</f>
      </c>
    </row>
    <row r="8141">
      <c r="A8141" s="5"/>
      <c r="B8141" s="17" t="s">
        <v>959</v>
      </c>
      <c r="C8141" s="22">
        <f>(-34)*(1)*(1)*(1)*(1 + (0))</f>
      </c>
      <c r="D8141" s="22" t="s">
        <v>24</v>
      </c>
      <c r="E8141" s="22"/>
      <c r="F8141" s="22">
        <f>(0)</f>
      </c>
      <c r="G8141" s="22">
        <f>(C8141 * E8141 + C8141 * E8141 * F8141)</f>
      </c>
    </row>
    <row r="8142">
      <c r="A8142" s="5"/>
      <c r="B8142" s="16" t="s">
        <v>2725</v>
      </c>
      <c r="C8142" s="22"/>
      <c r="D8142" s="22"/>
      <c r="E8142" s="22"/>
      <c r="F8142" s="22"/>
      <c r="G8142" s="22"/>
    </row>
    <row r="8143">
      <c r="A8143" s="5"/>
      <c r="B8143" s="17" t="s">
        <v>2722</v>
      </c>
      <c r="C8143" s="22">
        <f>(-2)*(1)*(1)*(1)*(1 + (0))</f>
      </c>
      <c r="D8143" s="22" t="s">
        <v>111</v>
      </c>
      <c r="E8143" s="22"/>
      <c r="F8143" s="22">
        <f>(0)</f>
      </c>
      <c r="G8143" s="22">
        <f>(C8143 * E8143 + C8143 * E8143 * F8143)</f>
      </c>
    </row>
    <row r="8144">
      <c r="A8144" s="5"/>
      <c r="B8144" s="17" t="s">
        <v>2723</v>
      </c>
      <c r="C8144" s="22">
        <f>(-5)*(1)*(1)*(1)*(1 + (0))</f>
      </c>
      <c r="D8144" s="22" t="s">
        <v>24</v>
      </c>
      <c r="E8144" s="22"/>
      <c r="F8144" s="22">
        <f>(0)</f>
      </c>
      <c r="G8144" s="22">
        <f>(C8144 * E8144 + C8144 * E8144 * F8144)</f>
      </c>
    </row>
    <row r="8145">
      <c r="A8145" s="5"/>
      <c r="B8145" s="17" t="s">
        <v>2724</v>
      </c>
      <c r="C8145" s="22">
        <f>(-2)*(1)*(1)*(1)*(1 + (0))</f>
      </c>
      <c r="D8145" s="22" t="s">
        <v>111</v>
      </c>
      <c r="E8145" s="22"/>
      <c r="F8145" s="22">
        <f>(0)</f>
      </c>
      <c r="G8145" s="22">
        <f>(C8145 * E8145 + C8145 * E8145 * F8145)</f>
      </c>
    </row>
    <row r="8146">
      <c r="A8146" s="5"/>
      <c r="B8146" s="17" t="s">
        <v>959</v>
      </c>
      <c r="C8146" s="22">
        <f>(-5)*(1)*(1)*(1)*(1 + (0))</f>
      </c>
      <c r="D8146" s="22" t="s">
        <v>24</v>
      </c>
      <c r="E8146" s="22"/>
      <c r="F8146" s="22">
        <f>(0)</f>
      </c>
      <c r="G8146" s="22">
        <f>(C8146 * E8146 + C8146 * E8146 * F8146)</f>
      </c>
    </row>
    <row r="8147">
      <c r="A8147" s="6"/>
      <c r="B8147" s="15" t="s">
        <v>2737</v>
      </c>
      <c r="C8147" s="23"/>
      <c r="D8147" s="23"/>
      <c r="E8147" s="23"/>
      <c r="F8147" s="23"/>
      <c r="G8147" s="23"/>
    </row>
    <row r="8148">
      <c r="A8148" s="5"/>
      <c r="B8148" s="16" t="s">
        <v>2738</v>
      </c>
      <c r="C8148" s="22"/>
      <c r="D8148" s="22"/>
      <c r="E8148" s="22"/>
      <c r="F8148" s="22"/>
      <c r="G8148" s="22"/>
    </row>
    <row r="8149">
      <c r="A8149" s="5"/>
      <c r="B8149" s="17" t="s">
        <v>2742</v>
      </c>
      <c r="C8149" s="22">
        <f>(-5)*(1)*(1)*(1)*(1 + (0))</f>
      </c>
      <c r="D8149" s="22" t="s">
        <v>24</v>
      </c>
      <c r="E8149" s="22"/>
      <c r="F8149" s="22">
        <f>(0)</f>
      </c>
      <c r="G8149" s="22">
        <f>(C8149 * E8149 + C8149 * E8149 * F8149)</f>
      </c>
    </row>
    <row r="8150">
      <c r="A8150" s="6"/>
      <c r="B8150" s="15" t="s">
        <v>2762</v>
      </c>
      <c r="C8150" s="23"/>
      <c r="D8150" s="23"/>
      <c r="E8150" s="23"/>
      <c r="F8150" s="23"/>
      <c r="G8150" s="23"/>
    </row>
    <row r="8151">
      <c r="A8151" s="5"/>
      <c r="B8151" s="16" t="s">
        <v>2768</v>
      </c>
      <c r="C8151" s="22">
        <f>(-3)*(1)*(1)*(1)*(1 + (0))</f>
      </c>
      <c r="D8151" s="22" t="s">
        <v>162</v>
      </c>
      <c r="E8151" s="22"/>
      <c r="F8151" s="22">
        <f>(0)</f>
      </c>
      <c r="G8151" s="22">
        <f>(C8151 * E8151 + C8151 * E8151 * F8151)</f>
      </c>
    </row>
    <row r="8152">
      <c r="A8152" s="5"/>
      <c r="B8152" s="16" t="s">
        <v>2770</v>
      </c>
      <c r="C8152" s="22">
        <f>(-59)*(1)*(1)*(1)*(1 + (0))</f>
      </c>
      <c r="D8152" s="22" t="s">
        <v>162</v>
      </c>
      <c r="E8152" s="22"/>
      <c r="F8152" s="22">
        <f>(0)</f>
      </c>
      <c r="G8152" s="22">
        <f>(C8152 * E8152 + C8152 * E8152 * F8152)</f>
      </c>
    </row>
    <row r="8153">
      <c r="A8153" s="5"/>
      <c r="B8153" s="16" t="s">
        <v>2766</v>
      </c>
      <c r="C8153" s="22">
        <f>(-1)*(1)*(1)*(1)*(1 + (0))</f>
      </c>
      <c r="D8153" s="22" t="s">
        <v>162</v>
      </c>
      <c r="E8153" s="22"/>
      <c r="F8153" s="22">
        <f>(0)</f>
      </c>
      <c r="G8153" s="22">
        <f>(C8153 * E8153 + C8153 * E8153 * F8153)</f>
      </c>
    </row>
    <row r="8154">
      <c r="A8154" s="5"/>
      <c r="B8154" s="16" t="s">
        <v>2767</v>
      </c>
      <c r="C8154" s="22">
        <f>(-1)*(1)*(1)*(1)*(1 + (0))</f>
      </c>
      <c r="D8154" s="22" t="s">
        <v>162</v>
      </c>
      <c r="E8154" s="22"/>
      <c r="F8154" s="22">
        <f>(0)</f>
      </c>
      <c r="G8154" s="22">
        <f>(C8154 * E8154 + C8154 * E8154 * F8154)</f>
      </c>
    </row>
    <row r="8155">
      <c r="A8155" s="5"/>
      <c r="B8155" s="16"/>
      <c r="C8155" s="22"/>
      <c r="D8155" s="22"/>
      <c r="E8155" s="22"/>
      <c r="F8155" s="22">
        <f>(0)</f>
      </c>
      <c r="G8155" s="22">
        <f>(C8155 * E8155 + C8155 * E8155 * F8155)</f>
      </c>
    </row>
    <row r="8156">
      <c r="A8156" s="4"/>
      <c r="B8156" s="12" t="s">
        <v>2794</v>
      </c>
      <c r="C8156" s="21"/>
      <c r="D8156" s="21"/>
      <c r="E8156" s="21"/>
      <c r="F8156" s="21"/>
      <c r="G8156" s="21"/>
    </row>
    <row r="8157">
      <c r="A8157" s="6"/>
      <c r="B8157" s="15" t="s">
        <v>2918</v>
      </c>
      <c r="C8157" s="23"/>
      <c r="D8157" s="23"/>
      <c r="E8157" s="23"/>
      <c r="F8157" s="23"/>
      <c r="G8157" s="23"/>
    </row>
    <row r="8158">
      <c r="A8158" s="5"/>
      <c r="B8158" s="16" t="s">
        <v>2801</v>
      </c>
      <c r="C8158" s="22">
        <f>(-55)*(1)*(1)*(1)*(1 + (0))</f>
      </c>
      <c r="D8158" s="22" t="s">
        <v>24</v>
      </c>
      <c r="E8158" s="22"/>
      <c r="F8158" s="22">
        <f>(0)</f>
      </c>
      <c r="G8158" s="22">
        <f>(C8158 * E8158 + C8158 * E8158 * F8158)</f>
      </c>
    </row>
    <row r="8159">
      <c r="A8159" s="5"/>
      <c r="B8159" s="16" t="s">
        <v>2802</v>
      </c>
      <c r="C8159" s="22">
        <f>(-55)*(1)*(1)*(1)*(1 + (0))</f>
      </c>
      <c r="D8159" s="22" t="s">
        <v>24</v>
      </c>
      <c r="E8159" s="22"/>
      <c r="F8159" s="22">
        <f>(0)</f>
      </c>
      <c r="G8159" s="22">
        <f>(C8159 * E8159 + C8159 * E8159 * F8159)</f>
      </c>
    </row>
    <row r="8160">
      <c r="A8160" s="5"/>
      <c r="B8160" s="16" t="s">
        <v>2803</v>
      </c>
      <c r="C8160" s="22">
        <f>(-7)*(1)*(1)*(1)*(1 + (0))</f>
      </c>
      <c r="D8160" s="22" t="s">
        <v>111</v>
      </c>
      <c r="E8160" s="22"/>
      <c r="F8160" s="22">
        <f>(0)</f>
      </c>
      <c r="G8160" s="22">
        <f>(C8160 * E8160 + C8160 * E8160 * F8160)</f>
      </c>
    </row>
    <row r="8161">
      <c r="A8161" s="5"/>
      <c r="B8161" s="16" t="s">
        <v>2804</v>
      </c>
      <c r="C8161" s="22">
        <f>(-88)*(1)*(1)*(1)*(1 + (0))</f>
      </c>
      <c r="D8161" s="22" t="s">
        <v>153</v>
      </c>
      <c r="E8161" s="22"/>
      <c r="F8161" s="22">
        <f>(0)</f>
      </c>
      <c r="G8161" s="22">
        <f>(C8161 * E8161 + C8161 * E8161 * F8161)</f>
      </c>
    </row>
    <row r="8162">
      <c r="A8162" s="5"/>
      <c r="B8162" s="16" t="s">
        <v>2805</v>
      </c>
      <c r="C8162" s="22">
        <f>(-55)*(1)*(1)*(1)*(1 + (0))</f>
      </c>
      <c r="D8162" s="22" t="s">
        <v>24</v>
      </c>
      <c r="E8162" s="22"/>
      <c r="F8162" s="22">
        <f>(0)</f>
      </c>
      <c r="G8162" s="22">
        <f>(C8162 * E8162 + C8162 * E8162 * F8162)</f>
      </c>
    </row>
    <row r="8163">
      <c r="A8163" s="5"/>
      <c r="B8163" s="16" t="s">
        <v>2806</v>
      </c>
      <c r="C8163" s="22">
        <f>(-55)*(1)*(1)*(1)*(1 + (0))</f>
      </c>
      <c r="D8163" s="22" t="s">
        <v>24</v>
      </c>
      <c r="E8163" s="22"/>
      <c r="F8163" s="22">
        <f>(0)</f>
      </c>
      <c r="G8163" s="22">
        <f>(C8163 * E8163 + C8163 * E8163 * F8163)</f>
      </c>
    </row>
    <row r="8164">
      <c r="A8164" s="3"/>
      <c r="B8164" s="11" t="s">
        <v>2919</v>
      </c>
      <c r="C8164" s="20"/>
      <c r="D8164" s="20"/>
      <c r="E8164" s="20"/>
      <c r="F8164" s="20"/>
      <c r="G8164" s="20"/>
    </row>
    <row r="8165">
      <c r="A8165" s="5"/>
      <c r="B8165" s="14" t="s">
        <v>2920</v>
      </c>
      <c r="C8165" s="22">
        <f>(420)*(1)*(1)*(1)*(1 + (0))</f>
      </c>
      <c r="D8165" s="22" t="s">
        <v>24</v>
      </c>
      <c r="E8165" s="22"/>
      <c r="F8165" s="22">
        <f>(0)</f>
      </c>
      <c r="G8165" s="22">
        <f>(C8165 * E8165 + C8165 * E8165 * F8165)</f>
      </c>
    </row>
    <row r="8166">
      <c r="A8166" s="2"/>
      <c r="B8166" s="10" t="s">
        <v>2921</v>
      </c>
      <c r="C8166" s="19"/>
      <c r="D8166" s="19"/>
      <c r="E8166" s="19"/>
      <c r="F8166" s="19"/>
      <c r="G8166" s="19"/>
    </row>
    <row r="8167">
      <c r="A8167" s="3"/>
      <c r="B8167" s="11" t="s">
        <v>2398</v>
      </c>
      <c r="C8167" s="20"/>
      <c r="D8167" s="20"/>
      <c r="E8167" s="20"/>
      <c r="F8167" s="20"/>
      <c r="G8167" s="20"/>
    </row>
    <row r="8168">
      <c r="A8168" s="4"/>
      <c r="B8168" s="12" t="s">
        <v>2420</v>
      </c>
      <c r="C8168" s="21"/>
      <c r="D8168" s="21"/>
      <c r="E8168" s="21"/>
      <c r="F8168" s="21"/>
      <c r="G8168" s="21"/>
    </row>
    <row r="8169">
      <c r="A8169" s="6"/>
      <c r="B8169" s="15" t="s">
        <v>2431</v>
      </c>
      <c r="C8169" s="23"/>
      <c r="D8169" s="23"/>
      <c r="E8169" s="23"/>
      <c r="F8169" s="23"/>
      <c r="G8169" s="23"/>
    </row>
    <row r="8170">
      <c r="A8170" s="5"/>
      <c r="B8170" s="16" t="s">
        <v>2239</v>
      </c>
      <c r="C8170" s="22">
        <f>(-668)*(1)*(1)*(1)*(1 + (0))</f>
      </c>
      <c r="D8170" s="22" t="s">
        <v>153</v>
      </c>
      <c r="E8170" s="22"/>
      <c r="F8170" s="22">
        <f>(0)</f>
      </c>
      <c r="G8170" s="22">
        <f>(C8170 * E8170 + C8170 * E8170 * F8170)</f>
      </c>
    </row>
    <row r="8171">
      <c r="A8171" s="6"/>
      <c r="B8171" s="15" t="s">
        <v>2922</v>
      </c>
      <c r="C8171" s="23"/>
      <c r="D8171" s="23"/>
      <c r="E8171" s="23"/>
      <c r="F8171" s="23"/>
      <c r="G8171" s="23"/>
    </row>
    <row r="8172">
      <c r="A8172" s="5"/>
      <c r="B8172" s="16" t="s">
        <v>2923</v>
      </c>
      <c r="C8172" s="22">
        <f>(668)*(1)*(1)*(1)*(1 + (0))</f>
      </c>
      <c r="D8172" s="22" t="s">
        <v>153</v>
      </c>
      <c r="E8172" s="22"/>
      <c r="F8172" s="22">
        <f>(0)</f>
      </c>
      <c r="G8172" s="22">
        <f>(C8172 * E8172 + C8172 * E8172 * F8172)</f>
      </c>
    </row>
    <row r="8173">
      <c r="A8173" s="2"/>
      <c r="B8173" s="10" t="s">
        <v>2924</v>
      </c>
      <c r="C8173" s="19"/>
      <c r="D8173" s="19"/>
      <c r="E8173" s="19"/>
      <c r="F8173" s="19"/>
      <c r="G8173" s="19"/>
    </row>
    <row r="8174">
      <c r="A8174" s="3"/>
      <c r="B8174" s="11" t="s">
        <v>2444</v>
      </c>
      <c r="C8174" s="20"/>
      <c r="D8174" s="20"/>
      <c r="E8174" s="20"/>
      <c r="F8174" s="20"/>
      <c r="G8174" s="20"/>
    </row>
    <row r="8175">
      <c r="A8175" s="4"/>
      <c r="B8175" s="12" t="s">
        <v>2463</v>
      </c>
      <c r="C8175" s="21"/>
      <c r="D8175" s="21"/>
      <c r="E8175" s="21"/>
      <c r="F8175" s="21"/>
      <c r="G8175" s="21"/>
    </row>
    <row r="8176">
      <c r="A8176" s="5"/>
      <c r="B8176" s="13" t="s">
        <v>2925</v>
      </c>
      <c r="C8176" s="22">
        <f>(-461)*(1)*(1)*(1)*(1 + (0))</f>
      </c>
      <c r="D8176" s="22" t="s">
        <v>24</v>
      </c>
      <c r="E8176" s="22"/>
      <c r="F8176" s="22">
        <f>(0)</f>
      </c>
      <c r="G8176" s="22">
        <f>(C8176 * E8176 + C8176 * E8176 * F8176)</f>
      </c>
    </row>
    <row r="8177">
      <c r="A8177" s="5"/>
      <c r="B8177" s="13" t="s">
        <v>2926</v>
      </c>
      <c r="C8177" s="22">
        <f>(461)*(1)*(1)*(1)*(1 + (0))</f>
      </c>
      <c r="D8177" s="22" t="s">
        <v>24</v>
      </c>
      <c r="E8177" s="22"/>
      <c r="F8177" s="22">
        <f>(0)</f>
      </c>
      <c r="G8177" s="22">
        <f>(C8177 * E8177 + C8177 * E8177 * F8177)</f>
      </c>
    </row>
    <row r="8178">
      <c r="A8178" s="2"/>
      <c r="B8178" s="10" t="s">
        <v>2927</v>
      </c>
      <c r="C8178" s="19"/>
      <c r="D8178" s="19"/>
      <c r="E8178" s="19"/>
      <c r="F8178" s="19"/>
      <c r="G8178" s="19"/>
    </row>
    <row r="8179">
      <c r="A8179" s="3"/>
      <c r="B8179" s="11" t="s">
        <v>42</v>
      </c>
      <c r="C8179" s="20"/>
      <c r="D8179" s="20"/>
      <c r="E8179" s="20"/>
      <c r="F8179" s="20"/>
      <c r="G8179" s="20"/>
    </row>
    <row r="8180">
      <c r="A8180" s="5" t="s">
        <v>2401</v>
      </c>
      <c r="B8180" s="14" t="s">
        <v>2928</v>
      </c>
      <c r="C8180" s="22"/>
      <c r="D8180" s="22" t="s">
        <v>10</v>
      </c>
      <c r="E8180" s="22"/>
      <c r="F8180" s="22">
        <f>(0)</f>
      </c>
      <c r="G8180" s="22">
        <f>(C8180 * E8180 + C8180 * E8180 * F8180)</f>
      </c>
    </row>
    <row r="8181">
      <c r="A8181" s="3"/>
      <c r="B8181" s="11" t="s">
        <v>2915</v>
      </c>
      <c r="C8181" s="20"/>
      <c r="D8181" s="20"/>
      <c r="E8181" s="20"/>
      <c r="F8181" s="20"/>
      <c r="G8181" s="20"/>
    </row>
    <row r="8182">
      <c r="A8182" s="4"/>
      <c r="B8182" s="12" t="s">
        <v>2929</v>
      </c>
      <c r="C8182" s="21"/>
      <c r="D8182" s="21"/>
      <c r="E8182" s="21"/>
      <c r="F8182" s="21"/>
      <c r="G8182" s="21"/>
    </row>
    <row r="8183">
      <c r="A8183" s="6"/>
      <c r="B8183" s="15" t="s">
        <v>2464</v>
      </c>
      <c r="C8183" s="23"/>
      <c r="D8183" s="23"/>
      <c r="E8183" s="23"/>
      <c r="F8183" s="23"/>
      <c r="G8183" s="23"/>
    </row>
    <row r="8184">
      <c r="A8184" s="5"/>
      <c r="B8184" s="16" t="s">
        <v>2465</v>
      </c>
      <c r="C8184" s="22"/>
      <c r="D8184" s="22"/>
      <c r="E8184" s="22"/>
      <c r="F8184" s="22"/>
      <c r="G8184" s="22"/>
    </row>
    <row r="8185">
      <c r="A8185" s="5"/>
      <c r="B8185" s="17" t="s">
        <v>2466</v>
      </c>
      <c r="C8185" s="22">
        <f>(-10)*(1)*(1)*(1)*(1 + (0))</f>
      </c>
      <c r="D8185" s="22" t="s">
        <v>162</v>
      </c>
      <c r="E8185" s="22"/>
      <c r="F8185" s="22">
        <f>(0)</f>
      </c>
      <c r="G8185" s="22">
        <f>(C8185 * E8185 + C8185 * E8185 * F8185)</f>
      </c>
    </row>
    <row r="8186">
      <c r="A8186" s="5"/>
      <c r="B8186" s="17" t="s">
        <v>2467</v>
      </c>
      <c r="C8186" s="22">
        <f>(-6)*(1)*(1)*(1)*(1 + (0))</f>
      </c>
      <c r="D8186" s="22" t="s">
        <v>162</v>
      </c>
      <c r="E8186" s="22"/>
      <c r="F8186" s="22">
        <f>(0)</f>
      </c>
      <c r="G8186" s="22">
        <f>(C8186 * E8186 + C8186 * E8186 * F8186)</f>
      </c>
    </row>
    <row r="8187">
      <c r="A8187" s="2"/>
      <c r="B8187" s="10" t="s">
        <v>2930</v>
      </c>
      <c r="C8187" s="19"/>
      <c r="D8187" s="19"/>
      <c r="E8187" s="19"/>
      <c r="F8187" s="19"/>
      <c r="G8187" s="19"/>
    </row>
    <row r="8188">
      <c r="A8188" s="3"/>
      <c r="B8188" s="11" t="s">
        <v>42</v>
      </c>
      <c r="C8188" s="20"/>
      <c r="D8188" s="20"/>
      <c r="E8188" s="20"/>
      <c r="F8188" s="20"/>
      <c r="G8188" s="20"/>
    </row>
    <row r="8189">
      <c r="A8189" s="5" t="s">
        <v>2401</v>
      </c>
      <c r="B8189" s="14" t="s">
        <v>2928</v>
      </c>
      <c r="C8189" s="22"/>
      <c r="D8189" s="22" t="s">
        <v>10</v>
      </c>
      <c r="E8189" s="22"/>
      <c r="F8189" s="22">
        <f>(0)</f>
      </c>
      <c r="G8189" s="22">
        <f>(C8189 * E8189 + C8189 * E8189 * F8189)</f>
      </c>
    </row>
    <row r="8190">
      <c r="A8190" s="3"/>
      <c r="B8190" s="11" t="s">
        <v>2917</v>
      </c>
      <c r="C8190" s="20"/>
      <c r="D8190" s="20"/>
      <c r="E8190" s="20"/>
      <c r="F8190" s="20"/>
      <c r="G8190" s="20"/>
    </row>
    <row r="8191">
      <c r="A8191" s="4"/>
      <c r="B8191" s="12" t="s">
        <v>2667</v>
      </c>
      <c r="C8191" s="21"/>
      <c r="D8191" s="21"/>
      <c r="E8191" s="21"/>
      <c r="F8191" s="21"/>
      <c r="G8191" s="21"/>
    </row>
    <row r="8192">
      <c r="A8192" s="6"/>
      <c r="B8192" s="15" t="s">
        <v>2700</v>
      </c>
      <c r="C8192" s="23"/>
      <c r="D8192" s="23"/>
      <c r="E8192" s="23"/>
      <c r="F8192" s="23"/>
      <c r="G8192" s="23"/>
    </row>
    <row r="8193">
      <c r="A8193" s="5"/>
      <c r="B8193" s="16" t="s">
        <v>2701</v>
      </c>
      <c r="C8193" s="22"/>
      <c r="D8193" s="22"/>
      <c r="E8193" s="22"/>
      <c r="F8193" s="22"/>
      <c r="G8193" s="22"/>
    </row>
    <row r="8194">
      <c r="A8194" s="5"/>
      <c r="B8194" s="17" t="s">
        <v>2702</v>
      </c>
      <c r="C8194" s="22">
        <f>(-19)*(1)*(1)*(1)*(1 + (0))</f>
      </c>
      <c r="D8194" s="22" t="s">
        <v>111</v>
      </c>
      <c r="E8194" s="22"/>
      <c r="F8194" s="22">
        <f>(0)</f>
      </c>
      <c r="G8194" s="22">
        <f>(C8194 * E8194 + C8194 * E8194 * F8194)</f>
      </c>
    </row>
    <row r="8195">
      <c r="A8195" s="5"/>
      <c r="B8195" s="17" t="s">
        <v>2703</v>
      </c>
      <c r="C8195" s="22">
        <f>(-81)*(1)*(1)*(1)*(1 + (0))</f>
      </c>
      <c r="D8195" s="22" t="s">
        <v>24</v>
      </c>
      <c r="E8195" s="22"/>
      <c r="F8195" s="22">
        <f>(0)</f>
      </c>
      <c r="G8195" s="22">
        <f>(C8195 * E8195 + C8195 * E8195 * F8195)</f>
      </c>
    </row>
    <row r="8196">
      <c r="A8196" s="5"/>
      <c r="B8196" s="17" t="s">
        <v>2704</v>
      </c>
      <c r="C8196" s="22">
        <f>(-2)*(1)*(1)*(1)*(1 + (0))</f>
      </c>
      <c r="D8196" s="22" t="s">
        <v>182</v>
      </c>
      <c r="E8196" s="22"/>
      <c r="F8196" s="22">
        <f>(0)</f>
      </c>
      <c r="G8196" s="22">
        <f>(C8196 * E8196 + C8196 * E8196 * F8196)</f>
      </c>
    </row>
    <row r="8197">
      <c r="A8197" s="5"/>
      <c r="B8197" s="17" t="s">
        <v>959</v>
      </c>
      <c r="C8197" s="22">
        <f>(-33)*(1)*(1)*(1)*(1 + (0))</f>
      </c>
      <c r="D8197" s="22" t="s">
        <v>153</v>
      </c>
      <c r="E8197" s="22"/>
      <c r="F8197" s="22">
        <f>(0)</f>
      </c>
      <c r="G8197" s="22">
        <f>(C8197 * E8197 + C8197 * E8197 * F8197)</f>
      </c>
    </row>
    <row r="8198">
      <c r="A8198" s="5"/>
      <c r="B8198" s="17" t="s">
        <v>2705</v>
      </c>
      <c r="C8198" s="22">
        <f>(-81)*(1)*(1)*(1)*(1 + (0))</f>
      </c>
      <c r="D8198" s="22" t="s">
        <v>24</v>
      </c>
      <c r="E8198" s="22"/>
      <c r="F8198" s="22">
        <f>(0)</f>
      </c>
      <c r="G8198" s="22">
        <f>(C8198 * E8198 + C8198 * E8198 * F8198)</f>
      </c>
    </row>
    <row r="8199">
      <c r="A8199" s="5"/>
      <c r="B8199" s="17" t="s">
        <v>2706</v>
      </c>
      <c r="C8199" s="22">
        <f>(-41)*(1)*(1)*(1)*(1 + (0))</f>
      </c>
      <c r="D8199" s="22" t="s">
        <v>24</v>
      </c>
      <c r="E8199" s="22"/>
      <c r="F8199" s="22">
        <f>(0)</f>
      </c>
      <c r="G8199" s="22">
        <f>(C8199 * E8199 + C8199 * E8199 * F8199)</f>
      </c>
    </row>
    <row r="8200">
      <c r="A8200" s="5"/>
      <c r="B8200" s="16" t="s">
        <v>2707</v>
      </c>
      <c r="C8200" s="22"/>
      <c r="D8200" s="22"/>
      <c r="E8200" s="22"/>
      <c r="F8200" s="22"/>
      <c r="G8200" s="22"/>
    </row>
    <row r="8201">
      <c r="A8201" s="5"/>
      <c r="B8201" s="17" t="s">
        <v>2931</v>
      </c>
      <c r="C8201" s="22">
        <f>(-45)*(1)*(1)*(1)*(1 + (0))</f>
      </c>
      <c r="D8201" s="22" t="s">
        <v>153</v>
      </c>
      <c r="E8201" s="22"/>
      <c r="F8201" s="22">
        <f>(0)</f>
      </c>
      <c r="G8201" s="22">
        <f>(C8201 * E8201 + C8201 * E8201 * F8201)</f>
      </c>
    </row>
    <row r="8202">
      <c r="A8202" s="5"/>
      <c r="B8202" s="17" t="s">
        <v>2709</v>
      </c>
      <c r="C8202" s="22">
        <f>(-7)*(1)*(1)*(1)*(1 + (0))</f>
      </c>
      <c r="D8202" s="22" t="s">
        <v>111</v>
      </c>
      <c r="E8202" s="22"/>
      <c r="F8202" s="22">
        <f>(0)</f>
      </c>
      <c r="G8202" s="22">
        <f>(C8202 * E8202 + C8202 * E8202 * F8202)</f>
      </c>
    </row>
    <row r="8203">
      <c r="A8203" s="5"/>
      <c r="B8203" s="17" t="s">
        <v>2710</v>
      </c>
      <c r="C8203" s="22">
        <f>(-18)*(1)*(1)*(1)*(1 + (0))</f>
      </c>
      <c r="D8203" s="22" t="s">
        <v>24</v>
      </c>
      <c r="E8203" s="22"/>
      <c r="F8203" s="22">
        <f>(0)</f>
      </c>
      <c r="G8203" s="22">
        <f>(C8203 * E8203 + C8203 * E8203 * F8203)</f>
      </c>
    </row>
    <row r="8204">
      <c r="A8204" s="5"/>
      <c r="B8204" s="17" t="s">
        <v>2711</v>
      </c>
      <c r="C8204" s="22">
        <f>(-1)*(1)*(1)*(1)*(1 + (0))</f>
      </c>
      <c r="D8204" s="22" t="s">
        <v>182</v>
      </c>
      <c r="E8204" s="22"/>
      <c r="F8204" s="22">
        <f>(0)</f>
      </c>
      <c r="G8204" s="22">
        <f>(C8204 * E8204 + C8204 * E8204 * F8204)</f>
      </c>
    </row>
    <row r="8205">
      <c r="A8205" s="5"/>
      <c r="B8205" s="17" t="s">
        <v>2712</v>
      </c>
      <c r="C8205" s="22">
        <f>(-32)*(1)*(1)*(1)*(1 + (0))</f>
      </c>
      <c r="D8205" s="22" t="s">
        <v>24</v>
      </c>
      <c r="E8205" s="22"/>
      <c r="F8205" s="22">
        <f>(0)</f>
      </c>
      <c r="G8205" s="22">
        <f>(C8205 * E8205 + C8205 * E8205 * F8205)</f>
      </c>
    </row>
    <row r="8206">
      <c r="A8206" s="5"/>
      <c r="B8206" s="17" t="s">
        <v>959</v>
      </c>
      <c r="C8206" s="22">
        <f>(-8)*(1)*(1)*(1)*(1 + (0))</f>
      </c>
      <c r="D8206" s="22" t="s">
        <v>24</v>
      </c>
      <c r="E8206" s="22"/>
      <c r="F8206" s="22">
        <f>(0)</f>
      </c>
      <c r="G8206" s="22">
        <f>(C8206 * E8206 + C8206 * E8206 * F8206)</f>
      </c>
    </row>
    <row r="8207">
      <c r="A8207" s="5"/>
      <c r="B8207" s="16" t="s">
        <v>2932</v>
      </c>
      <c r="C8207" s="22"/>
      <c r="D8207" s="22"/>
      <c r="E8207" s="22"/>
      <c r="F8207" s="22"/>
      <c r="G8207" s="22"/>
    </row>
    <row r="8208">
      <c r="A8208" s="5"/>
      <c r="B8208" s="17" t="s">
        <v>2933</v>
      </c>
      <c r="C8208" s="22">
        <f>(131)*(1)*(1)*(1)*(1 + (0))</f>
      </c>
      <c r="D8208" s="22" t="s">
        <v>153</v>
      </c>
      <c r="E8208" s="22"/>
      <c r="F8208" s="22">
        <f>(0)</f>
      </c>
      <c r="G8208" s="22">
        <f>(C8208 * E8208 + C8208 * E8208 * F8208)</f>
      </c>
    </row>
    <row r="8209">
      <c r="A8209" s="2"/>
      <c r="B8209" s="10" t="s">
        <v>2934</v>
      </c>
      <c r="C8209" s="19"/>
      <c r="D8209" s="19"/>
      <c r="E8209" s="19"/>
      <c r="F8209" s="19"/>
      <c r="G8209" s="19"/>
    </row>
    <row r="8210">
      <c r="A8210" s="3"/>
      <c r="B8210" s="11" t="s">
        <v>42</v>
      </c>
      <c r="C8210" s="20"/>
      <c r="D8210" s="20"/>
      <c r="E8210" s="20"/>
      <c r="F8210" s="20"/>
      <c r="G8210" s="20"/>
    </row>
    <row r="8211">
      <c r="A8211" s="5" t="s">
        <v>2401</v>
      </c>
      <c r="B8211" s="14" t="s">
        <v>2928</v>
      </c>
      <c r="C8211" s="22"/>
      <c r="D8211" s="22" t="s">
        <v>10</v>
      </c>
      <c r="E8211" s="22"/>
      <c r="F8211" s="22">
        <f>(0)</f>
      </c>
      <c r="G8211" s="22">
        <f>(C8211 * E8211 + C8211 * E8211 * F8211)</f>
      </c>
    </row>
    <row r="8212">
      <c r="A8212" s="3"/>
      <c r="B8212" s="11" t="s">
        <v>2917</v>
      </c>
      <c r="C8212" s="20"/>
      <c r="D8212" s="20"/>
      <c r="E8212" s="20"/>
      <c r="F8212" s="20"/>
      <c r="G8212" s="20"/>
    </row>
    <row r="8213">
      <c r="A8213" s="4"/>
      <c r="B8213" s="12" t="s">
        <v>2667</v>
      </c>
      <c r="C8213" s="21"/>
      <c r="D8213" s="21"/>
      <c r="E8213" s="21"/>
      <c r="F8213" s="21"/>
      <c r="G8213" s="21"/>
    </row>
    <row r="8214">
      <c r="A8214" s="6"/>
      <c r="B8214" s="15" t="s">
        <v>2737</v>
      </c>
      <c r="C8214" s="23"/>
      <c r="D8214" s="23"/>
      <c r="E8214" s="23"/>
      <c r="F8214" s="23"/>
      <c r="G8214" s="23"/>
    </row>
    <row r="8215">
      <c r="A8215" s="5"/>
      <c r="B8215" s="16" t="s">
        <v>2755</v>
      </c>
      <c r="C8215" s="22">
        <f>(-3)*(1)*(1)*(1)*(1 + (0))</f>
      </c>
      <c r="D8215" s="22" t="s">
        <v>162</v>
      </c>
      <c r="E8215" s="22"/>
      <c r="F8215" s="22">
        <f>(0)</f>
      </c>
      <c r="G8215" s="22">
        <f>(C8215 * E8215 + C8215 * E8215 * F8215)</f>
      </c>
    </row>
    <row r="8216">
      <c r="A8216" s="5"/>
      <c r="B8216" s="16" t="s">
        <v>2935</v>
      </c>
      <c r="C8216" s="22">
        <f>(3)*(1)*(1)*(1)*(1 + (0))</f>
      </c>
      <c r="D8216" s="22" t="s">
        <v>162</v>
      </c>
      <c r="E8216" s="22"/>
      <c r="F8216" s="22">
        <f>(0)</f>
      </c>
      <c r="G8216" s="22">
        <f>(C8216 * E8216 + C8216 * E8216 * F8216)</f>
      </c>
    </row>
    <row r="8217">
      <c r="A8217" s="2"/>
      <c r="B8217" s="10" t="s">
        <v>2936</v>
      </c>
      <c r="C8217" s="19"/>
      <c r="D8217" s="19"/>
      <c r="E8217" s="19"/>
      <c r="F8217" s="19"/>
      <c r="G8217" s="19"/>
    </row>
    <row r="8218">
      <c r="A8218" s="3"/>
      <c r="B8218" s="11" t="s">
        <v>2917</v>
      </c>
      <c r="C8218" s="20"/>
      <c r="D8218" s="20"/>
      <c r="E8218" s="20"/>
      <c r="F8218" s="20"/>
      <c r="G8218" s="20"/>
    </row>
    <row r="8219">
      <c r="A8219" s="4"/>
      <c r="B8219" s="12" t="s">
        <v>2667</v>
      </c>
      <c r="C8219" s="21"/>
      <c r="D8219" s="21"/>
      <c r="E8219" s="21"/>
      <c r="F8219" s="21"/>
      <c r="G8219" s="21"/>
    </row>
    <row r="8220">
      <c r="A8220" s="6"/>
      <c r="B8220" s="15" t="s">
        <v>2937</v>
      </c>
      <c r="C8220" s="23"/>
      <c r="D8220" s="23"/>
      <c r="E8220" s="23"/>
      <c r="F8220" s="23"/>
      <c r="G8220" s="23"/>
    </row>
    <row r="8221">
      <c r="A8221" s="5"/>
      <c r="B8221" s="16" t="s">
        <v>2747</v>
      </c>
      <c r="C8221" s="22"/>
      <c r="D8221" s="22"/>
      <c r="E8221" s="22"/>
      <c r="F8221" s="22"/>
      <c r="G8221" s="22"/>
    </row>
    <row r="8222">
      <c r="A8222" s="5"/>
      <c r="B8222" s="17" t="s">
        <v>2748</v>
      </c>
      <c r="C8222" s="22">
        <f>(-3)*(1)*(1)*(1)*(1 + (0))</f>
      </c>
      <c r="D8222" s="22" t="s">
        <v>162</v>
      </c>
      <c r="E8222" s="22"/>
      <c r="F8222" s="22">
        <f>(0)</f>
      </c>
      <c r="G8222" s="22">
        <f>(C8222 * E8222 + C8222 * E8222 * F8222)</f>
      </c>
    </row>
    <row r="8223">
      <c r="A8223" s="5"/>
      <c r="B8223" s="17" t="s">
        <v>2749</v>
      </c>
      <c r="C8223" s="22">
        <f>(-3)*(1)*(1)*(1)*(1 + (0))</f>
      </c>
      <c r="D8223" s="22" t="s">
        <v>162</v>
      </c>
      <c r="E8223" s="22"/>
      <c r="F8223" s="22">
        <f>(0)</f>
      </c>
      <c r="G8223" s="22">
        <f>(C8223 * E8223 + C8223 * E8223 * F8223)</f>
      </c>
    </row>
    <row r="8224">
      <c r="A8224" s="5"/>
      <c r="B8224" s="16" t="s">
        <v>2938</v>
      </c>
      <c r="C8224" s="22"/>
      <c r="D8224" s="22"/>
      <c r="E8224" s="22"/>
      <c r="F8224" s="22"/>
      <c r="G8224" s="22"/>
    </row>
    <row r="8225">
      <c r="A8225" s="5"/>
      <c r="B8225" s="17" t="s">
        <v>2939</v>
      </c>
      <c r="C8225" s="22">
        <f>(3)*(1)*(1)*(1)*(1 + (0))</f>
      </c>
      <c r="D8225" s="22" t="s">
        <v>162</v>
      </c>
      <c r="E8225" s="22"/>
      <c r="F8225" s="22">
        <f>(0)</f>
      </c>
      <c r="G8225" s="22">
        <f>(C8225 * E8225 + C8225 * E8225 * F8225)</f>
      </c>
    </row>
    <row r="8226">
      <c r="A8226" s="5"/>
      <c r="B8226" s="17" t="s">
        <v>2940</v>
      </c>
      <c r="C8226" s="22">
        <f>(3)*(1)*(1)*(1)*(1 + (0))</f>
      </c>
      <c r="D8226" s="22" t="s">
        <v>162</v>
      </c>
      <c r="E8226" s="22"/>
      <c r="F8226" s="22">
        <f>(0)</f>
      </c>
      <c r="G8226" s="22">
        <f>(C8226 * E8226 + C8226 * E8226 * F8226)</f>
      </c>
    </row>
    <row r="8227">
      <c r="A8227" s="2"/>
      <c r="B8227" s="10" t="s">
        <v>2941</v>
      </c>
      <c r="C8227" s="19"/>
      <c r="D8227" s="19"/>
      <c r="E8227" s="19"/>
      <c r="F8227" s="19"/>
      <c r="G8227" s="19"/>
    </row>
    <row r="8228">
      <c r="A8228" s="3"/>
      <c r="B8228" s="11" t="s">
        <v>36</v>
      </c>
      <c r="C8228" s="20"/>
      <c r="D8228" s="20"/>
      <c r="E8228" s="20"/>
      <c r="F8228" s="20"/>
      <c r="G8228" s="20"/>
    </row>
    <row r="8229">
      <c r="A8229" s="4"/>
      <c r="B8229" s="12" t="s">
        <v>108</v>
      </c>
      <c r="C8229" s="21"/>
      <c r="D8229" s="21"/>
      <c r="E8229" s="21"/>
      <c r="F8229" s="21"/>
      <c r="G8229" s="21"/>
    </row>
    <row r="8230">
      <c r="A8230" s="6"/>
      <c r="B8230" s="15" t="s">
        <v>109</v>
      </c>
      <c r="C8230" s="23"/>
      <c r="D8230" s="23"/>
      <c r="E8230" s="23"/>
      <c r="F8230" s="23"/>
      <c r="G8230" s="23"/>
    </row>
    <row r="8231">
      <c r="A8231" s="5"/>
      <c r="B8231" s="16" t="s">
        <v>114</v>
      </c>
      <c r="C8231" s="22">
        <f>(-4)*(1)*(1)*(1)*(1 + (0))</f>
      </c>
      <c r="D8231" s="22" t="s">
        <v>111</v>
      </c>
      <c r="E8231" s="22"/>
      <c r="F8231" s="22">
        <f>(0)</f>
      </c>
      <c r="G8231" s="22">
        <f>(C8231 * E8231 + C8231 * E8231 * F8231)</f>
      </c>
    </row>
    <row r="8232">
      <c r="A8232" s="3"/>
      <c r="B8232" s="11" t="s">
        <v>207</v>
      </c>
      <c r="C8232" s="20"/>
      <c r="D8232" s="20"/>
      <c r="E8232" s="20"/>
      <c r="F8232" s="20"/>
      <c r="G8232" s="20"/>
    </row>
    <row r="8233">
      <c r="A8233" s="4"/>
      <c r="B8233" s="12" t="s">
        <v>242</v>
      </c>
      <c r="C8233" s="21"/>
      <c r="D8233" s="21"/>
      <c r="E8233" s="21"/>
      <c r="F8233" s="21"/>
      <c r="G8233" s="21"/>
    </row>
    <row r="8234">
      <c r="A8234" s="5"/>
      <c r="B8234" s="13" t="s">
        <v>2125</v>
      </c>
      <c r="C8234" s="22">
        <f>(-10)*(1)*(1)*(1)*(1 + (0))</f>
      </c>
      <c r="D8234" s="22" t="s">
        <v>111</v>
      </c>
      <c r="E8234" s="22"/>
      <c r="F8234" s="22">
        <f>(0)</f>
      </c>
      <c r="G8234" s="22">
        <f>(C8234 * E8234 + C8234 * E8234 * F8234)</f>
      </c>
    </row>
    <row r="8235">
      <c r="A8235" s="4"/>
      <c r="B8235" s="12" t="s">
        <v>245</v>
      </c>
      <c r="C8235" s="21"/>
      <c r="D8235" s="21"/>
      <c r="E8235" s="21"/>
      <c r="F8235" s="21"/>
      <c r="G8235" s="21"/>
    </row>
    <row r="8236">
      <c r="A8236" s="6"/>
      <c r="B8236" s="15" t="s">
        <v>2126</v>
      </c>
      <c r="C8236" s="23"/>
      <c r="D8236" s="23"/>
      <c r="E8236" s="23"/>
      <c r="F8236" s="23"/>
      <c r="G8236" s="23"/>
    </row>
    <row r="8237">
      <c r="A8237" s="5"/>
      <c r="B8237" s="16" t="s">
        <v>252</v>
      </c>
      <c r="C8237" s="22"/>
      <c r="D8237" s="22"/>
      <c r="E8237" s="22"/>
      <c r="F8237" s="22"/>
      <c r="G8237" s="22"/>
    </row>
    <row r="8238">
      <c r="A8238" s="5"/>
      <c r="B8238" s="17" t="s">
        <v>2942</v>
      </c>
      <c r="C8238" s="22">
        <f>(-4)*(1)*(1)*(1)*(1 + (0))</f>
      </c>
      <c r="D8238" s="22" t="s">
        <v>111</v>
      </c>
      <c r="E8238" s="22"/>
      <c r="F8238" s="22">
        <f>(0)</f>
      </c>
      <c r="G8238" s="22">
        <f>(C8238 * E8238 + C8238 * E8238 * F8238)</f>
      </c>
    </row>
    <row r="8239">
      <c r="A8239" s="5"/>
      <c r="B8239" s="17" t="s">
        <v>2130</v>
      </c>
      <c r="C8239" s="22">
        <f>(-2)*(1)*(1)*(1)*(1 + (0))</f>
      </c>
      <c r="D8239" s="22" t="s">
        <v>111</v>
      </c>
      <c r="E8239" s="22"/>
      <c r="F8239" s="22">
        <f>(0)</f>
      </c>
      <c r="G8239" s="22">
        <f>(C8239 * E8239 + C8239 * E8239 * F8239)</f>
      </c>
    </row>
    <row r="8240">
      <c r="A8240" s="6"/>
      <c r="B8240" s="15" t="s">
        <v>2131</v>
      </c>
      <c r="C8240" s="23"/>
      <c r="D8240" s="23"/>
      <c r="E8240" s="23"/>
      <c r="F8240" s="23"/>
      <c r="G8240" s="23"/>
    </row>
    <row r="8241">
      <c r="A8241" s="5"/>
      <c r="B8241" s="16" t="s">
        <v>252</v>
      </c>
      <c r="C8241" s="22"/>
      <c r="D8241" s="22"/>
      <c r="E8241" s="22"/>
      <c r="F8241" s="22"/>
      <c r="G8241" s="22"/>
    </row>
    <row r="8242">
      <c r="A8242" s="5"/>
      <c r="B8242" s="17" t="s">
        <v>2943</v>
      </c>
      <c r="C8242" s="22">
        <f>(-3)*(1)*(1)*(1)*(1 + (0))</f>
      </c>
      <c r="D8242" s="22" t="s">
        <v>111</v>
      </c>
      <c r="E8242" s="22"/>
      <c r="F8242" s="22">
        <f>(0)</f>
      </c>
      <c r="G8242" s="22">
        <f>(C8242 * E8242 + C8242 * E8242 * F8242)</f>
      </c>
    </row>
    <row r="8243">
      <c r="A8243" s="6"/>
      <c r="B8243" s="15" t="s">
        <v>2137</v>
      </c>
      <c r="C8243" s="23"/>
      <c r="D8243" s="23"/>
      <c r="E8243" s="23"/>
      <c r="F8243" s="23"/>
      <c r="G8243" s="23"/>
    </row>
    <row r="8244">
      <c r="A8244" s="5"/>
      <c r="B8244" s="16" t="s">
        <v>2138</v>
      </c>
      <c r="C8244" s="22"/>
      <c r="D8244" s="22"/>
      <c r="E8244" s="22"/>
      <c r="F8244" s="22"/>
      <c r="G8244" s="22"/>
    </row>
    <row r="8245">
      <c r="A8245" s="5"/>
      <c r="B8245" s="17" t="s">
        <v>2944</v>
      </c>
      <c r="C8245" s="22">
        <f>(-1)*(1)*(1)*(1)*(1 + (0))</f>
      </c>
      <c r="D8245" s="22" t="s">
        <v>111</v>
      </c>
      <c r="E8245" s="22"/>
      <c r="F8245" s="22">
        <f>(0)</f>
      </c>
      <c r="G8245" s="22">
        <f>(C8245 * E8245 + C8245 * E8245 * F8245)</f>
      </c>
    </row>
    <row r="8246">
      <c r="A8246" s="4"/>
      <c r="B8246" s="12" t="s">
        <v>325</v>
      </c>
      <c r="C8246" s="21"/>
      <c r="D8246" s="21"/>
      <c r="E8246" s="21"/>
      <c r="F8246" s="21"/>
      <c r="G8246" s="21"/>
    </row>
    <row r="8247">
      <c r="A8247" s="6"/>
      <c r="B8247" s="15" t="s">
        <v>326</v>
      </c>
      <c r="C8247" s="23"/>
      <c r="D8247" s="23"/>
      <c r="E8247" s="23"/>
      <c r="F8247" s="23"/>
      <c r="G8247" s="23"/>
    </row>
    <row r="8248">
      <c r="A8248" s="5"/>
      <c r="B8248" s="16" t="s">
        <v>327</v>
      </c>
      <c r="C8248" s="22">
        <f>(-29)*(1)*(1)*(1)*(1 + (0))</f>
      </c>
      <c r="D8248" s="22" t="s">
        <v>24</v>
      </c>
      <c r="E8248" s="22"/>
      <c r="F8248" s="22">
        <f>(0)</f>
      </c>
      <c r="G8248" s="22">
        <f>(C8248 * E8248 + C8248 * E8248 * F8248)</f>
      </c>
    </row>
    <row r="8249">
      <c r="A8249" s="6"/>
      <c r="B8249" s="15" t="s">
        <v>330</v>
      </c>
      <c r="C8249" s="23"/>
      <c r="D8249" s="23"/>
      <c r="E8249" s="23"/>
      <c r="F8249" s="23"/>
      <c r="G8249" s="23"/>
    </row>
    <row r="8250">
      <c r="A8250" s="5"/>
      <c r="B8250" s="16" t="s">
        <v>331</v>
      </c>
      <c r="C8250" s="22">
        <f>(-29)*(1)*(1)*(1)*(1 + (0))</f>
      </c>
      <c r="D8250" s="22" t="s">
        <v>24</v>
      </c>
      <c r="E8250" s="22"/>
      <c r="F8250" s="22">
        <f>(0)</f>
      </c>
      <c r="G8250" s="22">
        <f>(C8250 * E8250 + C8250 * E8250 * F8250)</f>
      </c>
    </row>
    <row r="8251">
      <c r="A8251" s="4"/>
      <c r="B8251" s="12" t="s">
        <v>344</v>
      </c>
      <c r="C8251" s="21"/>
      <c r="D8251" s="21"/>
      <c r="E8251" s="21"/>
      <c r="F8251" s="21"/>
      <c r="G8251" s="21"/>
    </row>
    <row r="8252">
      <c r="A8252" s="5"/>
      <c r="B8252" s="13" t="s">
        <v>1663</v>
      </c>
      <c r="C8252" s="22">
        <f>(-6)*(1)*(1)*(1)*(1 + (0))</f>
      </c>
      <c r="D8252" s="22" t="s">
        <v>153</v>
      </c>
      <c r="E8252" s="22"/>
      <c r="F8252" s="22">
        <f>(0)</f>
      </c>
      <c r="G8252" s="22">
        <f>(C8252 * E8252 + C8252 * E8252 * F8252)</f>
      </c>
    </row>
    <row r="8253">
      <c r="A8253" s="4"/>
      <c r="B8253" s="12" t="s">
        <v>347</v>
      </c>
      <c r="C8253" s="21"/>
      <c r="D8253" s="21"/>
      <c r="E8253" s="21"/>
      <c r="F8253" s="21"/>
      <c r="G8253" s="21"/>
    </row>
    <row r="8254">
      <c r="A8254" s="5"/>
      <c r="B8254" s="13" t="s">
        <v>1866</v>
      </c>
      <c r="C8254" s="22">
        <f>(-29)*(1)*(1)*(1)*(1 + (0))</f>
      </c>
      <c r="D8254" s="22" t="s">
        <v>24</v>
      </c>
      <c r="E8254" s="22"/>
      <c r="F8254" s="22">
        <f>(0)</f>
      </c>
      <c r="G8254" s="22">
        <f>(C8254 * E8254 + C8254 * E8254 * F8254)</f>
      </c>
    </row>
    <row r="8255">
      <c r="A8255" s="5"/>
      <c r="B8255" s="13" t="s">
        <v>349</v>
      </c>
      <c r="C8255" s="22">
        <f>(-42)*(1)*(1)*(1)*(1 + (0))</f>
      </c>
      <c r="D8255" s="22" t="s">
        <v>24</v>
      </c>
      <c r="E8255" s="22"/>
      <c r="F8255" s="22">
        <f>(0)</f>
      </c>
      <c r="G8255" s="22">
        <f>(C8255 * E8255 + C8255 * E8255 * F8255)</f>
      </c>
    </row>
    <row r="8256">
      <c r="A8256" s="3"/>
      <c r="B8256" s="11" t="s">
        <v>350</v>
      </c>
      <c r="C8256" s="20"/>
      <c r="D8256" s="20"/>
      <c r="E8256" s="20"/>
      <c r="F8256" s="20"/>
      <c r="G8256" s="20"/>
    </row>
    <row r="8257">
      <c r="A8257" s="4"/>
      <c r="B8257" s="12" t="s">
        <v>381</v>
      </c>
      <c r="C8257" s="21"/>
      <c r="D8257" s="21"/>
      <c r="E8257" s="21"/>
      <c r="F8257" s="21"/>
      <c r="G8257" s="21"/>
    </row>
    <row r="8258">
      <c r="A8258" s="6"/>
      <c r="B8258" s="15" t="s">
        <v>397</v>
      </c>
      <c r="C8258" s="23"/>
      <c r="D8258" s="23"/>
      <c r="E8258" s="23"/>
      <c r="F8258" s="23"/>
      <c r="G8258" s="23"/>
    </row>
    <row r="8259">
      <c r="A8259" s="5"/>
      <c r="B8259" s="16" t="s">
        <v>2138</v>
      </c>
      <c r="C8259" s="22"/>
      <c r="D8259" s="22"/>
      <c r="E8259" s="22"/>
      <c r="F8259" s="22"/>
      <c r="G8259" s="22"/>
    </row>
    <row r="8260">
      <c r="A8260" s="5"/>
      <c r="B8260" s="17" t="s">
        <v>398</v>
      </c>
      <c r="C8260" s="22">
        <f>(-21)*(1)*(1)*(1)*(1 + (0))</f>
      </c>
      <c r="D8260" s="22" t="s">
        <v>153</v>
      </c>
      <c r="E8260" s="22"/>
      <c r="F8260" s="22">
        <f>(0)</f>
      </c>
      <c r="G8260" s="22">
        <f>(C8260 * E8260 + C8260 * E8260 * F8260)</f>
      </c>
    </row>
    <row r="8261">
      <c r="A8261" s="4"/>
      <c r="B8261" s="12" t="s">
        <v>399</v>
      </c>
      <c r="C8261" s="21"/>
      <c r="D8261" s="21"/>
      <c r="E8261" s="21"/>
      <c r="F8261" s="21"/>
      <c r="G8261" s="21"/>
    </row>
    <row r="8262">
      <c r="A8262" s="6"/>
      <c r="B8262" s="15" t="s">
        <v>408</v>
      </c>
      <c r="C8262" s="23"/>
      <c r="D8262" s="23"/>
      <c r="E8262" s="23"/>
      <c r="F8262" s="23"/>
      <c r="G8262" s="23"/>
    </row>
    <row r="8263">
      <c r="A8263" s="5"/>
      <c r="B8263" s="16" t="s">
        <v>252</v>
      </c>
      <c r="C8263" s="22"/>
      <c r="D8263" s="22"/>
      <c r="E8263" s="22"/>
      <c r="F8263" s="22"/>
      <c r="G8263" s="22"/>
    </row>
    <row r="8264">
      <c r="A8264" s="5"/>
      <c r="B8264" s="17" t="s">
        <v>1671</v>
      </c>
      <c r="C8264" s="22">
        <f>(-14)*(1)*(1)*(1)*(1 + (0))</f>
      </c>
      <c r="D8264" s="22" t="s">
        <v>24</v>
      </c>
      <c r="E8264" s="22"/>
      <c r="F8264" s="22">
        <f>(0)</f>
      </c>
      <c r="G8264" s="22">
        <f>(C8264 * E8264 + C8264 * E8264 * F8264)</f>
      </c>
    </row>
    <row r="8265">
      <c r="A8265" s="6"/>
      <c r="B8265" s="15" t="s">
        <v>411</v>
      </c>
      <c r="C8265" s="23"/>
      <c r="D8265" s="23"/>
      <c r="E8265" s="23"/>
      <c r="F8265" s="23"/>
      <c r="G8265" s="23"/>
    </row>
    <row r="8266">
      <c r="A8266" s="5"/>
      <c r="B8266" s="16" t="s">
        <v>252</v>
      </c>
      <c r="C8266" s="22"/>
      <c r="D8266" s="22"/>
      <c r="E8266" s="22"/>
      <c r="F8266" s="22"/>
      <c r="G8266" s="22"/>
    </row>
    <row r="8267">
      <c r="A8267" s="5"/>
      <c r="B8267" s="17" t="s">
        <v>413</v>
      </c>
      <c r="C8267" s="22">
        <f>(-12)*(1)*(1)*(1)*(1 + (0))</f>
      </c>
      <c r="D8267" s="22" t="s">
        <v>153</v>
      </c>
      <c r="E8267" s="22"/>
      <c r="F8267" s="22">
        <f>(0)</f>
      </c>
      <c r="G8267" s="22">
        <f>(C8267 * E8267 + C8267 * E8267 * F8267)</f>
      </c>
    </row>
    <row r="8268">
      <c r="A8268" s="5"/>
      <c r="B8268" s="17" t="s">
        <v>2140</v>
      </c>
      <c r="C8268" s="22">
        <f>(-23)*(1)*(1)*(1)*(1 + (0))</f>
      </c>
      <c r="D8268" s="22" t="s">
        <v>24</v>
      </c>
      <c r="E8268" s="22"/>
      <c r="F8268" s="22">
        <f>(0)</f>
      </c>
      <c r="G8268" s="22">
        <f>(C8268 * E8268 + C8268 * E8268 * F8268)</f>
      </c>
    </row>
    <row r="8269">
      <c r="A8269" s="3"/>
      <c r="B8269" s="11" t="s">
        <v>178</v>
      </c>
      <c r="C8269" s="20"/>
      <c r="D8269" s="20"/>
      <c r="E8269" s="20"/>
      <c r="F8269" s="20"/>
      <c r="G8269" s="20"/>
    </row>
    <row r="8270">
      <c r="A8270" s="4"/>
      <c r="B8270" s="12" t="s">
        <v>453</v>
      </c>
      <c r="C8270" s="21"/>
      <c r="D8270" s="21"/>
      <c r="E8270" s="21"/>
      <c r="F8270" s="21"/>
      <c r="G8270" s="21"/>
    </row>
    <row r="8271">
      <c r="A8271" s="5"/>
      <c r="B8271" s="13" t="s">
        <v>454</v>
      </c>
      <c r="C8271" s="22">
        <f>(-0.2)*(1)*(1)*(1)*(1 + (0))</f>
      </c>
      <c r="D8271" s="22" t="s">
        <v>182</v>
      </c>
      <c r="E8271" s="22"/>
      <c r="F8271" s="22">
        <f>(0)</f>
      </c>
      <c r="G8271" s="22">
        <f>(C8271 * E8271 + C8271 * E8271 * F8271)</f>
      </c>
    </row>
    <row r="8272">
      <c r="A8272" s="5"/>
      <c r="B8272" s="13" t="s">
        <v>455</v>
      </c>
      <c r="C8272" s="22">
        <f>(-0.63)*(1)*(1)*(1)*(1 + (0))</f>
      </c>
      <c r="D8272" s="22" t="s">
        <v>182</v>
      </c>
      <c r="E8272" s="22"/>
      <c r="F8272" s="22">
        <f>(0)</f>
      </c>
      <c r="G8272" s="22">
        <f>(C8272 * E8272 + C8272 * E8272 * F8272)</f>
      </c>
    </row>
    <row r="8273">
      <c r="A8273" s="5"/>
      <c r="B8273" s="13" t="s">
        <v>1875</v>
      </c>
      <c r="C8273" s="22">
        <f>(-29)*(1)*(1)*(1)*(1 + (0))</f>
      </c>
      <c r="D8273" s="22" t="s">
        <v>24</v>
      </c>
      <c r="E8273" s="22"/>
      <c r="F8273" s="22">
        <f>(0)</f>
      </c>
      <c r="G8273" s="22">
        <f>(C8273 * E8273 + C8273 * E8273 * F8273)</f>
      </c>
    </row>
    <row r="8274">
      <c r="A8274" s="4"/>
      <c r="B8274" s="12" t="s">
        <v>457</v>
      </c>
      <c r="C8274" s="21"/>
      <c r="D8274" s="21"/>
      <c r="E8274" s="21"/>
      <c r="F8274" s="21"/>
      <c r="G8274" s="21"/>
    </row>
    <row r="8275">
      <c r="A8275" s="6"/>
      <c r="B8275" s="15" t="s">
        <v>408</v>
      </c>
      <c r="C8275" s="23"/>
      <c r="D8275" s="23"/>
      <c r="E8275" s="23"/>
      <c r="F8275" s="23"/>
      <c r="G8275" s="23"/>
    </row>
    <row r="8276">
      <c r="A8276" s="5"/>
      <c r="B8276" s="16" t="s">
        <v>252</v>
      </c>
      <c r="C8276" s="22"/>
      <c r="D8276" s="22"/>
      <c r="E8276" s="22"/>
      <c r="F8276" s="22"/>
      <c r="G8276" s="22"/>
    </row>
    <row r="8277">
      <c r="A8277" s="5"/>
      <c r="B8277" s="17" t="s">
        <v>2142</v>
      </c>
      <c r="C8277" s="22">
        <f>(-0.090836096)*(1)*(1)*(1)*(1 + (0))</f>
      </c>
      <c r="D8277" s="22" t="s">
        <v>182</v>
      </c>
      <c r="E8277" s="22"/>
      <c r="F8277" s="22">
        <f>(0)</f>
      </c>
      <c r="G8277" s="22">
        <f>(C8277 * E8277 + C8277 * E8277 * F8277)</f>
      </c>
    </row>
    <row r="8278">
      <c r="A8278" s="5"/>
      <c r="B8278" s="17" t="s">
        <v>2143</v>
      </c>
      <c r="C8278" s="22">
        <f>(-0.048503)*(1)*(1)*(1)*(1 + (0))</f>
      </c>
      <c r="D8278" s="22" t="s">
        <v>182</v>
      </c>
      <c r="E8278" s="22"/>
      <c r="F8278" s="22">
        <f>(0)</f>
      </c>
      <c r="G8278" s="22">
        <f>(C8278 * E8278 + C8278 * E8278 * F8278)</f>
      </c>
    </row>
    <row r="8279">
      <c r="A8279" s="6"/>
      <c r="B8279" s="15" t="s">
        <v>397</v>
      </c>
      <c r="C8279" s="23"/>
      <c r="D8279" s="23"/>
      <c r="E8279" s="23"/>
      <c r="F8279" s="23"/>
      <c r="G8279" s="23"/>
    </row>
    <row r="8280">
      <c r="A8280" s="5"/>
      <c r="B8280" s="16" t="s">
        <v>2138</v>
      </c>
      <c r="C8280" s="22"/>
      <c r="D8280" s="22"/>
      <c r="E8280" s="22"/>
      <c r="F8280" s="22"/>
      <c r="G8280" s="22"/>
    </row>
    <row r="8281">
      <c r="A8281" s="5"/>
      <c r="B8281" s="17" t="s">
        <v>2945</v>
      </c>
      <c r="C8281" s="22">
        <f>(-0.056515758)*(1)*(1)*(1)*(1 + (0))</f>
      </c>
      <c r="D8281" s="22" t="s">
        <v>182</v>
      </c>
      <c r="E8281" s="22"/>
      <c r="F8281" s="22">
        <f>(0)</f>
      </c>
      <c r="G8281" s="22">
        <f>(C8281 * E8281 + C8281 * E8281 * F8281)</f>
      </c>
    </row>
    <row r="8282">
      <c r="A8282" s="4"/>
      <c r="B8282" s="12" t="s">
        <v>459</v>
      </c>
      <c r="C8282" s="21"/>
      <c r="D8282" s="21"/>
      <c r="E8282" s="21"/>
      <c r="F8282" s="21"/>
      <c r="G8282" s="21"/>
    </row>
    <row r="8283">
      <c r="A8283" s="6"/>
      <c r="B8283" s="15" t="s">
        <v>408</v>
      </c>
      <c r="C8283" s="23"/>
      <c r="D8283" s="23"/>
      <c r="E8283" s="23"/>
      <c r="F8283" s="23"/>
      <c r="G8283" s="23"/>
    </row>
    <row r="8284">
      <c r="A8284" s="5"/>
      <c r="B8284" s="16" t="s">
        <v>252</v>
      </c>
      <c r="C8284" s="22"/>
      <c r="D8284" s="22"/>
      <c r="E8284" s="22"/>
      <c r="F8284" s="22"/>
      <c r="G8284" s="22"/>
    </row>
    <row r="8285">
      <c r="A8285" s="5"/>
      <c r="B8285" s="17" t="s">
        <v>463</v>
      </c>
      <c r="C8285" s="22">
        <f>(-0.628029465224802)*(1)*(1)*(1)*(1 + (0))</f>
      </c>
      <c r="D8285" s="22" t="s">
        <v>182</v>
      </c>
      <c r="E8285" s="22"/>
      <c r="F8285" s="22">
        <f>(0)</f>
      </c>
      <c r="G8285" s="22">
        <f>(C8285 * E8285 + C8285 * E8285 * F8285)</f>
      </c>
    </row>
    <row r="8286">
      <c r="A8286" s="4"/>
      <c r="B8286" s="12" t="s">
        <v>482</v>
      </c>
      <c r="C8286" s="21"/>
      <c r="D8286" s="21"/>
      <c r="E8286" s="21"/>
      <c r="F8286" s="21"/>
      <c r="G8286" s="21"/>
    </row>
    <row r="8287">
      <c r="A8287" s="6"/>
      <c r="B8287" s="15" t="s">
        <v>411</v>
      </c>
      <c r="C8287" s="23"/>
      <c r="D8287" s="23"/>
      <c r="E8287" s="23"/>
      <c r="F8287" s="23"/>
      <c r="G8287" s="23"/>
    </row>
    <row r="8288">
      <c r="A8288" s="5"/>
      <c r="B8288" s="16" t="s">
        <v>252</v>
      </c>
      <c r="C8288" s="22"/>
      <c r="D8288" s="22"/>
      <c r="E8288" s="22"/>
      <c r="F8288" s="22"/>
      <c r="G8288" s="22"/>
    </row>
    <row r="8289">
      <c r="A8289" s="5"/>
      <c r="B8289" s="17" t="s">
        <v>1878</v>
      </c>
      <c r="C8289" s="22">
        <f>(-29)*(1)*(1)*(1)*(1 + (0))</f>
      </c>
      <c r="D8289" s="22" t="s">
        <v>24</v>
      </c>
      <c r="E8289" s="22"/>
      <c r="F8289" s="22">
        <f>(0)</f>
      </c>
      <c r="G8289" s="22">
        <f>(C8289 * E8289 + C8289 * E8289 * F8289)</f>
      </c>
    </row>
    <row r="8290">
      <c r="A8290" s="3"/>
      <c r="B8290" s="11" t="s">
        <v>2946</v>
      </c>
      <c r="C8290" s="20"/>
      <c r="D8290" s="20"/>
      <c r="E8290" s="20"/>
      <c r="F8290" s="20"/>
      <c r="G8290" s="20"/>
    </row>
    <row r="8291">
      <c r="A8291" s="4"/>
      <c r="B8291" s="12" t="s">
        <v>2947</v>
      </c>
      <c r="C8291" s="21"/>
      <c r="D8291" s="21"/>
      <c r="E8291" s="21"/>
      <c r="F8291" s="21"/>
      <c r="G8291" s="21"/>
    </row>
    <row r="8292">
      <c r="A8292" s="6"/>
      <c r="B8292" s="15" t="s">
        <v>820</v>
      </c>
      <c r="C8292" s="23"/>
      <c r="D8292" s="23"/>
      <c r="E8292" s="23"/>
      <c r="F8292" s="23"/>
      <c r="G8292" s="23"/>
    </row>
    <row r="8293">
      <c r="A8293" s="5"/>
      <c r="B8293" s="16" t="s">
        <v>2151</v>
      </c>
      <c r="C8293" s="22">
        <f>(-9)*(1)*(1)*(1)*(1 + (0))</f>
      </c>
      <c r="D8293" s="22" t="s">
        <v>24</v>
      </c>
      <c r="E8293" s="22"/>
      <c r="F8293" s="22">
        <f>(0)</f>
      </c>
      <c r="G8293" s="22">
        <f>(C8293 * E8293 + C8293 * E8293 * F8293)</f>
      </c>
    </row>
    <row r="8294">
      <c r="A8294" s="6"/>
      <c r="B8294" s="15" t="s">
        <v>826</v>
      </c>
      <c r="C8294" s="23"/>
      <c r="D8294" s="23"/>
      <c r="E8294" s="23"/>
      <c r="F8294" s="23"/>
      <c r="G8294" s="23"/>
    </row>
    <row r="8295">
      <c r="A8295" s="5"/>
      <c r="B8295" s="16" t="s">
        <v>2151</v>
      </c>
      <c r="C8295" s="22">
        <f>(-9)*(1)*(1)*(1)*(1 + (0))</f>
      </c>
      <c r="D8295" s="22" t="s">
        <v>24</v>
      </c>
      <c r="E8295" s="22"/>
      <c r="F8295" s="22">
        <f>(0)</f>
      </c>
      <c r="G8295" s="22">
        <f>(C8295 * E8295 + C8295 * E8295 * F8295)</f>
      </c>
    </row>
    <row r="8296">
      <c r="A8296" s="3"/>
      <c r="B8296" s="11" t="s">
        <v>897</v>
      </c>
      <c r="C8296" s="20"/>
      <c r="D8296" s="20"/>
      <c r="E8296" s="20"/>
      <c r="F8296" s="20"/>
      <c r="G8296" s="20"/>
    </row>
    <row r="8297">
      <c r="A8297" s="4"/>
      <c r="B8297" s="12" t="s">
        <v>914</v>
      </c>
      <c r="C8297" s="21"/>
      <c r="D8297" s="21"/>
      <c r="E8297" s="21"/>
      <c r="F8297" s="21"/>
      <c r="G8297" s="21"/>
    </row>
    <row r="8298">
      <c r="A8298" s="6"/>
      <c r="B8298" s="15" t="s">
        <v>1711</v>
      </c>
      <c r="C8298" s="23"/>
      <c r="D8298" s="23"/>
      <c r="E8298" s="23"/>
      <c r="F8298" s="23"/>
      <c r="G8298" s="23"/>
    </row>
    <row r="8299">
      <c r="A8299" s="5"/>
      <c r="B8299" s="16" t="s">
        <v>918</v>
      </c>
      <c r="C8299" s="22"/>
      <c r="D8299" s="22"/>
      <c r="E8299" s="22"/>
      <c r="F8299" s="22"/>
      <c r="G8299" s="22"/>
    </row>
    <row r="8300">
      <c r="A8300" s="5"/>
      <c r="B8300" s="17" t="s">
        <v>2173</v>
      </c>
      <c r="C8300" s="22">
        <f>(-2)*(1)*(1)*(1)*(1 + (0))</f>
      </c>
      <c r="D8300" s="22" t="s">
        <v>162</v>
      </c>
      <c r="E8300" s="22"/>
      <c r="F8300" s="22">
        <f>(0)</f>
      </c>
      <c r="G8300" s="22">
        <f>(C8300 * E8300 + C8300 * E8300 * F8300)</f>
      </c>
    </row>
    <row r="8301">
      <c r="A8301" s="4"/>
      <c r="B8301" s="12" t="s">
        <v>931</v>
      </c>
      <c r="C8301" s="21"/>
      <c r="D8301" s="21"/>
      <c r="E8301" s="21"/>
      <c r="F8301" s="21"/>
      <c r="G8301" s="21"/>
    </row>
    <row r="8302">
      <c r="A8302" s="6"/>
      <c r="B8302" s="15" t="s">
        <v>1711</v>
      </c>
      <c r="C8302" s="23"/>
      <c r="D8302" s="23"/>
      <c r="E8302" s="23"/>
      <c r="F8302" s="23"/>
      <c r="G8302" s="23"/>
    </row>
    <row r="8303">
      <c r="A8303" s="5"/>
      <c r="B8303" s="16" t="s">
        <v>933</v>
      </c>
      <c r="C8303" s="22">
        <f>(-2)*(1)*(1)*(1)*(1 + (0))</f>
      </c>
      <c r="D8303" s="22" t="s">
        <v>162</v>
      </c>
      <c r="E8303" s="22"/>
      <c r="F8303" s="22">
        <f>(0)</f>
      </c>
      <c r="G8303" s="22">
        <f>(C8303 * E8303 + C8303 * E8303 * F8303)</f>
      </c>
    </row>
    <row r="8304">
      <c r="A8304" s="3"/>
      <c r="B8304" s="11" t="s">
        <v>935</v>
      </c>
      <c r="C8304" s="20"/>
      <c r="D8304" s="20"/>
      <c r="E8304" s="20"/>
      <c r="F8304" s="20"/>
      <c r="G8304" s="20"/>
    </row>
    <row r="8305">
      <c r="A8305" s="4"/>
      <c r="B8305" s="12" t="s">
        <v>947</v>
      </c>
      <c r="C8305" s="21"/>
      <c r="D8305" s="21"/>
      <c r="E8305" s="21"/>
      <c r="F8305" s="21"/>
      <c r="G8305" s="21"/>
    </row>
    <row r="8306">
      <c r="A8306" s="6"/>
      <c r="B8306" s="15" t="s">
        <v>956</v>
      </c>
      <c r="C8306" s="23"/>
      <c r="D8306" s="23"/>
      <c r="E8306" s="23"/>
      <c r="F8306" s="23"/>
      <c r="G8306" s="23"/>
    </row>
    <row r="8307">
      <c r="A8307" s="5"/>
      <c r="B8307" s="16" t="s">
        <v>2180</v>
      </c>
      <c r="C8307" s="22">
        <f>(-54)*(1)*(1)*(1)*(1 + (0))</f>
      </c>
      <c r="D8307" s="22" t="s">
        <v>24</v>
      </c>
      <c r="E8307" s="22"/>
      <c r="F8307" s="22">
        <f>(0)</f>
      </c>
      <c r="G8307" s="22">
        <f>(C8307 * E8307 + C8307 * E8307 * F8307)</f>
      </c>
    </row>
    <row r="8308">
      <c r="A8308" s="3"/>
      <c r="B8308" s="11" t="s">
        <v>1006</v>
      </c>
      <c r="C8308" s="20"/>
      <c r="D8308" s="20"/>
      <c r="E8308" s="20"/>
      <c r="F8308" s="20"/>
      <c r="G8308" s="20"/>
    </row>
    <row r="8309">
      <c r="A8309" s="4"/>
      <c r="B8309" s="12" t="s">
        <v>1033</v>
      </c>
      <c r="C8309" s="21"/>
      <c r="D8309" s="21"/>
      <c r="E8309" s="21"/>
      <c r="F8309" s="21"/>
      <c r="G8309" s="21"/>
    </row>
    <row r="8310">
      <c r="A8310" s="6"/>
      <c r="B8310" s="15" t="s">
        <v>1034</v>
      </c>
      <c r="C8310" s="23"/>
      <c r="D8310" s="23"/>
      <c r="E8310" s="23"/>
      <c r="F8310" s="23"/>
      <c r="G8310" s="23"/>
    </row>
    <row r="8311">
      <c r="A8311" s="5"/>
      <c r="B8311" s="16" t="s">
        <v>1035</v>
      </c>
      <c r="C8311" s="22"/>
      <c r="D8311" s="22"/>
      <c r="E8311" s="22"/>
      <c r="F8311" s="22"/>
      <c r="G8311" s="22"/>
    </row>
    <row r="8312">
      <c r="A8312" s="5"/>
      <c r="B8312" s="17" t="s">
        <v>32</v>
      </c>
      <c r="C8312" s="22">
        <f>(-25)*(1)*(1)*(1)*(1 + (0))</f>
      </c>
      <c r="D8312" s="22" t="s">
        <v>24</v>
      </c>
      <c r="E8312" s="22"/>
      <c r="F8312" s="22">
        <f>(0)</f>
      </c>
      <c r="G8312" s="22">
        <f>(C8312 * E8312 + C8312 * E8312 * F8312)</f>
      </c>
    </row>
    <row r="8313">
      <c r="A8313" s="5"/>
      <c r="B8313" s="16" t="s">
        <v>2191</v>
      </c>
      <c r="C8313" s="22"/>
      <c r="D8313" s="22"/>
      <c r="E8313" s="22"/>
      <c r="F8313" s="22"/>
      <c r="G8313" s="22"/>
    </row>
    <row r="8314">
      <c r="A8314" s="5"/>
      <c r="B8314" s="17" t="s">
        <v>32</v>
      </c>
      <c r="C8314" s="22">
        <f>(25)*(1)*(1)*(1)*(1 + (0))</f>
      </c>
      <c r="D8314" s="22" t="s">
        <v>24</v>
      </c>
      <c r="E8314" s="22"/>
      <c r="F8314" s="22">
        <f>(0)</f>
      </c>
      <c r="G8314" s="22">
        <f>(C8314 * E8314 + C8314 * E8314 * F8314)</f>
      </c>
    </row>
    <row r="8315">
      <c r="A8315" s="4"/>
      <c r="B8315" s="12" t="s">
        <v>1044</v>
      </c>
      <c r="C8315" s="21"/>
      <c r="D8315" s="21"/>
      <c r="E8315" s="21"/>
      <c r="F8315" s="21"/>
      <c r="G8315" s="21"/>
    </row>
    <row r="8316">
      <c r="A8316" s="6"/>
      <c r="B8316" s="15" t="s">
        <v>1047</v>
      </c>
      <c r="C8316" s="23"/>
      <c r="D8316" s="23"/>
      <c r="E8316" s="23"/>
      <c r="F8316" s="23"/>
      <c r="G8316" s="23"/>
    </row>
    <row r="8317">
      <c r="A8317" s="5"/>
      <c r="B8317" s="16" t="s">
        <v>1049</v>
      </c>
      <c r="C8317" s="22"/>
      <c r="D8317" s="22"/>
      <c r="E8317" s="22"/>
      <c r="F8317" s="22"/>
      <c r="G8317" s="22"/>
    </row>
    <row r="8318">
      <c r="A8318" s="5"/>
      <c r="B8318" s="17" t="s">
        <v>32</v>
      </c>
      <c r="C8318" s="22">
        <f>(-23)*(1)*(1)*(1)*(1 + (0))</f>
      </c>
      <c r="D8318" s="22" t="s">
        <v>153</v>
      </c>
      <c r="E8318" s="22"/>
      <c r="F8318" s="22">
        <f>(0)</f>
      </c>
      <c r="G8318" s="22">
        <f>(C8318 * E8318 + C8318 * E8318 * F8318)</f>
      </c>
    </row>
    <row r="8319">
      <c r="A8319" s="3"/>
      <c r="B8319" s="11" t="s">
        <v>1123</v>
      </c>
      <c r="C8319" s="20"/>
      <c r="D8319" s="20"/>
      <c r="E8319" s="20"/>
      <c r="F8319" s="20"/>
      <c r="G8319" s="20"/>
    </row>
    <row r="8320">
      <c r="A8320" s="4"/>
      <c r="B8320" s="12" t="s">
        <v>1144</v>
      </c>
      <c r="C8320" s="21"/>
      <c r="D8320" s="21"/>
      <c r="E8320" s="21"/>
      <c r="F8320" s="21"/>
      <c r="G8320" s="21"/>
    </row>
    <row r="8321">
      <c r="A8321" s="6"/>
      <c r="B8321" s="15" t="s">
        <v>2219</v>
      </c>
      <c r="C8321" s="23"/>
      <c r="D8321" s="23"/>
      <c r="E8321" s="23"/>
      <c r="F8321" s="23"/>
      <c r="G8321" s="23"/>
    </row>
    <row r="8322">
      <c r="A8322" s="5"/>
      <c r="B8322" s="16" t="s">
        <v>1711</v>
      </c>
      <c r="C8322" s="22">
        <f>(-25)*(1)*(1)*(1)*(1 + (0))</f>
      </c>
      <c r="D8322" s="22" t="s">
        <v>24</v>
      </c>
      <c r="E8322" s="22"/>
      <c r="F8322" s="22">
        <f>(0)</f>
      </c>
      <c r="G8322" s="22">
        <f>(C8322 * E8322 + C8322 * E8322 * F8322)</f>
      </c>
    </row>
    <row r="8323">
      <c r="A8323" s="3"/>
      <c r="B8323" s="11" t="s">
        <v>1301</v>
      </c>
      <c r="C8323" s="20"/>
      <c r="D8323" s="20"/>
      <c r="E8323" s="20"/>
      <c r="F8323" s="20"/>
      <c r="G8323" s="20"/>
    </row>
    <row r="8324">
      <c r="A8324" s="4"/>
      <c r="B8324" s="12" t="s">
        <v>1336</v>
      </c>
      <c r="C8324" s="21"/>
      <c r="D8324" s="21"/>
      <c r="E8324" s="21"/>
      <c r="F8324" s="21"/>
      <c r="G8324" s="21"/>
    </row>
    <row r="8325">
      <c r="A8325" s="6"/>
      <c r="B8325" s="15" t="s">
        <v>1337</v>
      </c>
      <c r="C8325" s="23"/>
      <c r="D8325" s="23"/>
      <c r="E8325" s="23"/>
      <c r="F8325" s="23"/>
      <c r="G8325" s="23"/>
    </row>
    <row r="8326">
      <c r="A8326" s="5"/>
      <c r="B8326" s="16" t="s">
        <v>1338</v>
      </c>
      <c r="C8326" s="22"/>
      <c r="D8326" s="22"/>
      <c r="E8326" s="22"/>
      <c r="F8326" s="22"/>
      <c r="G8326" s="22"/>
    </row>
    <row r="8327">
      <c r="A8327" s="5"/>
      <c r="B8327" s="17" t="s">
        <v>1339</v>
      </c>
      <c r="C8327" s="22"/>
      <c r="D8327" s="22"/>
      <c r="E8327" s="22"/>
      <c r="F8327" s="22"/>
      <c r="G8327" s="22"/>
    </row>
    <row r="8328">
      <c r="A8328" s="5"/>
      <c r="B8328" s="18" t="s">
        <v>32</v>
      </c>
      <c r="C8328" s="22">
        <f>(-25)*(1)*(1)*(1)*(1 + (0))</f>
      </c>
      <c r="D8328" s="22" t="s">
        <v>24</v>
      </c>
      <c r="E8328" s="22"/>
      <c r="F8328" s="22">
        <f>(0)</f>
      </c>
      <c r="G8328" s="22">
        <f>(C8328 * E8328 + C8328 * E8328 * F8328)</f>
      </c>
    </row>
    <row r="8329">
      <c r="A8329" s="4"/>
      <c r="B8329" s="12" t="s">
        <v>1350</v>
      </c>
      <c r="C8329" s="21"/>
      <c r="D8329" s="21"/>
      <c r="E8329" s="21"/>
      <c r="F8329" s="21"/>
      <c r="G8329" s="21"/>
    </row>
    <row r="8330">
      <c r="A8330" s="6"/>
      <c r="B8330" s="15" t="s">
        <v>1351</v>
      </c>
      <c r="C8330" s="23"/>
      <c r="D8330" s="23"/>
      <c r="E8330" s="23"/>
      <c r="F8330" s="23"/>
      <c r="G8330" s="23"/>
    </row>
    <row r="8331">
      <c r="A8331" s="5"/>
      <c r="B8331" s="16" t="s">
        <v>2187</v>
      </c>
      <c r="C8331" s="22">
        <f>(-53)*(1)*(1)*(1)*(1 + (0))</f>
      </c>
      <c r="D8331" s="22" t="s">
        <v>24</v>
      </c>
      <c r="E8331" s="22"/>
      <c r="F8331" s="22">
        <f>(0)</f>
      </c>
      <c r="G8331" s="22">
        <f>(C8331 * E8331 + C8331 * E8331 * F8331)</f>
      </c>
    </row>
    <row r="8332">
      <c r="A8332" s="2"/>
      <c r="B8332" s="10" t="s">
        <v>2948</v>
      </c>
      <c r="C8332" s="19"/>
      <c r="D8332" s="19"/>
      <c r="E8332" s="19"/>
      <c r="F8332" s="19"/>
      <c r="G8332" s="19"/>
    </row>
    <row r="8333">
      <c r="A8333" s="3"/>
      <c r="B8333" s="11" t="s">
        <v>36</v>
      </c>
      <c r="C8333" s="20"/>
      <c r="D8333" s="20"/>
      <c r="E8333" s="20"/>
      <c r="F8333" s="20"/>
      <c r="G8333" s="20"/>
    </row>
    <row r="8334">
      <c r="A8334" s="4"/>
      <c r="B8334" s="12" t="s">
        <v>108</v>
      </c>
      <c r="C8334" s="21"/>
      <c r="D8334" s="21"/>
      <c r="E8334" s="21"/>
      <c r="F8334" s="21"/>
      <c r="G8334" s="21"/>
    </row>
    <row r="8335">
      <c r="A8335" s="6"/>
      <c r="B8335" s="15" t="s">
        <v>109</v>
      </c>
      <c r="C8335" s="23"/>
      <c r="D8335" s="23"/>
      <c r="E8335" s="23"/>
      <c r="F8335" s="23"/>
      <c r="G8335" s="23"/>
    </row>
    <row r="8336">
      <c r="A8336" s="5"/>
      <c r="B8336" s="16" t="s">
        <v>114</v>
      </c>
      <c r="C8336" s="22">
        <f>(-2)*(1)*(1)*(1)*(1 + (0))</f>
      </c>
      <c r="D8336" s="22" t="s">
        <v>111</v>
      </c>
      <c r="E8336" s="22"/>
      <c r="F8336" s="22">
        <f>(0)</f>
      </c>
      <c r="G8336" s="22">
        <f>(C8336 * E8336 + C8336 * E8336 * F8336)</f>
      </c>
    </row>
    <row r="8337">
      <c r="A8337" s="3"/>
      <c r="B8337" s="11" t="s">
        <v>207</v>
      </c>
      <c r="C8337" s="20"/>
      <c r="D8337" s="20"/>
      <c r="E8337" s="20"/>
      <c r="F8337" s="20"/>
      <c r="G8337" s="20"/>
    </row>
    <row r="8338">
      <c r="A8338" s="4"/>
      <c r="B8338" s="12" t="s">
        <v>242</v>
      </c>
      <c r="C8338" s="21"/>
      <c r="D8338" s="21"/>
      <c r="E8338" s="21"/>
      <c r="F8338" s="21"/>
      <c r="G8338" s="21"/>
    </row>
    <row r="8339">
      <c r="A8339" s="5"/>
      <c r="B8339" s="13" t="s">
        <v>2125</v>
      </c>
      <c r="C8339" s="22">
        <f>(-4)*(1)*(1)*(1)*(1 + (0))</f>
      </c>
      <c r="D8339" s="22" t="s">
        <v>111</v>
      </c>
      <c r="E8339" s="22"/>
      <c r="F8339" s="22">
        <f>(0)</f>
      </c>
      <c r="G8339" s="22">
        <f>(C8339 * E8339 + C8339 * E8339 * F8339)</f>
      </c>
    </row>
    <row r="8340">
      <c r="A8340" s="4"/>
      <c r="B8340" s="12" t="s">
        <v>245</v>
      </c>
      <c r="C8340" s="21"/>
      <c r="D8340" s="21"/>
      <c r="E8340" s="21"/>
      <c r="F8340" s="21"/>
      <c r="G8340" s="21"/>
    </row>
    <row r="8341">
      <c r="A8341" s="6"/>
      <c r="B8341" s="15" t="s">
        <v>2126</v>
      </c>
      <c r="C8341" s="23"/>
      <c r="D8341" s="23"/>
      <c r="E8341" s="23"/>
      <c r="F8341" s="23"/>
      <c r="G8341" s="23"/>
    </row>
    <row r="8342">
      <c r="A8342" s="5"/>
      <c r="B8342" s="16" t="s">
        <v>252</v>
      </c>
      <c r="C8342" s="22"/>
      <c r="D8342" s="22"/>
      <c r="E8342" s="22"/>
      <c r="F8342" s="22"/>
      <c r="G8342" s="22"/>
    </row>
    <row r="8343">
      <c r="A8343" s="5"/>
      <c r="B8343" s="17" t="s">
        <v>2949</v>
      </c>
      <c r="C8343" s="22">
        <f>(-2)*(1)*(1)*(1)*(1 + (0))</f>
      </c>
      <c r="D8343" s="22" t="s">
        <v>111</v>
      </c>
      <c r="E8343" s="22"/>
      <c r="F8343" s="22">
        <f>(0)</f>
      </c>
      <c r="G8343" s="22">
        <f>(C8343 * E8343 + C8343 * E8343 * F8343)</f>
      </c>
    </row>
    <row r="8344">
      <c r="A8344" s="5"/>
      <c r="B8344" s="17" t="s">
        <v>2130</v>
      </c>
      <c r="C8344" s="22">
        <f>(-1)*(1)*(1)*(1)*(1 + (0))</f>
      </c>
      <c r="D8344" s="22" t="s">
        <v>111</v>
      </c>
      <c r="E8344" s="22"/>
      <c r="F8344" s="22">
        <f>(0)</f>
      </c>
      <c r="G8344" s="22">
        <f>(C8344 * E8344 + C8344 * E8344 * F8344)</f>
      </c>
    </row>
    <row r="8345">
      <c r="A8345" s="6"/>
      <c r="B8345" s="15" t="s">
        <v>2131</v>
      </c>
      <c r="C8345" s="23"/>
      <c r="D8345" s="23"/>
      <c r="E8345" s="23"/>
      <c r="F8345" s="23"/>
      <c r="G8345" s="23"/>
    </row>
    <row r="8346">
      <c r="A8346" s="5"/>
      <c r="B8346" s="16" t="s">
        <v>252</v>
      </c>
      <c r="C8346" s="22"/>
      <c r="D8346" s="22"/>
      <c r="E8346" s="22"/>
      <c r="F8346" s="22"/>
      <c r="G8346" s="22"/>
    </row>
    <row r="8347">
      <c r="A8347" s="5"/>
      <c r="B8347" s="17" t="s">
        <v>2950</v>
      </c>
      <c r="C8347" s="22">
        <f>(-1)*(1)*(1)*(1)*(1 + (0))</f>
      </c>
      <c r="D8347" s="22" t="s">
        <v>111</v>
      </c>
      <c r="E8347" s="22"/>
      <c r="F8347" s="22">
        <f>(0)</f>
      </c>
      <c r="G8347" s="22">
        <f>(C8347 * E8347 + C8347 * E8347 * F8347)</f>
      </c>
    </row>
    <row r="8348">
      <c r="A8348" s="4"/>
      <c r="B8348" s="12" t="s">
        <v>325</v>
      </c>
      <c r="C8348" s="21"/>
      <c r="D8348" s="21"/>
      <c r="E8348" s="21"/>
      <c r="F8348" s="21"/>
      <c r="G8348" s="21"/>
    </row>
    <row r="8349">
      <c r="A8349" s="6"/>
      <c r="B8349" s="15" t="s">
        <v>326</v>
      </c>
      <c r="C8349" s="23"/>
      <c r="D8349" s="23"/>
      <c r="E8349" s="23"/>
      <c r="F8349" s="23"/>
      <c r="G8349" s="23"/>
    </row>
    <row r="8350">
      <c r="A8350" s="5"/>
      <c r="B8350" s="16" t="s">
        <v>327</v>
      </c>
      <c r="C8350" s="22">
        <f>(-11)*(1)*(1)*(1)*(1 + (0))</f>
      </c>
      <c r="D8350" s="22" t="s">
        <v>24</v>
      </c>
      <c r="E8350" s="22"/>
      <c r="F8350" s="22">
        <f>(0)</f>
      </c>
      <c r="G8350" s="22">
        <f>(C8350 * E8350 + C8350 * E8350 * F8350)</f>
      </c>
    </row>
    <row r="8351">
      <c r="A8351" s="6"/>
      <c r="B8351" s="15" t="s">
        <v>330</v>
      </c>
      <c r="C8351" s="23"/>
      <c r="D8351" s="23"/>
      <c r="E8351" s="23"/>
      <c r="F8351" s="23"/>
      <c r="G8351" s="23"/>
    </row>
    <row r="8352">
      <c r="A8352" s="5"/>
      <c r="B8352" s="16" t="s">
        <v>331</v>
      </c>
      <c r="C8352" s="22">
        <f>(-11)*(1)*(1)*(1)*(1 + (0))</f>
      </c>
      <c r="D8352" s="22" t="s">
        <v>24</v>
      </c>
      <c r="E8352" s="22"/>
      <c r="F8352" s="22">
        <f>(0)</f>
      </c>
      <c r="G8352" s="22">
        <f>(C8352 * E8352 + C8352 * E8352 * F8352)</f>
      </c>
    </row>
    <row r="8353">
      <c r="A8353" s="4"/>
      <c r="B8353" s="12" t="s">
        <v>347</v>
      </c>
      <c r="C8353" s="21"/>
      <c r="D8353" s="21"/>
      <c r="E8353" s="21"/>
      <c r="F8353" s="21"/>
      <c r="G8353" s="21"/>
    </row>
    <row r="8354">
      <c r="A8354" s="5"/>
      <c r="B8354" s="13" t="s">
        <v>1866</v>
      </c>
      <c r="C8354" s="22">
        <f>(-11)*(1)*(1)*(1)*(1 + (0))</f>
      </c>
      <c r="D8354" s="22" t="s">
        <v>24</v>
      </c>
      <c r="E8354" s="22"/>
      <c r="F8354" s="22">
        <f>(0)</f>
      </c>
      <c r="G8354" s="22">
        <f>(C8354 * E8354 + C8354 * E8354 * F8354)</f>
      </c>
    </row>
    <row r="8355">
      <c r="A8355" s="5"/>
      <c r="B8355" s="13" t="s">
        <v>349</v>
      </c>
      <c r="C8355" s="22">
        <f>(-19)*(1)*(1)*(1)*(1 + (0))</f>
      </c>
      <c r="D8355" s="22" t="s">
        <v>24</v>
      </c>
      <c r="E8355" s="22"/>
      <c r="F8355" s="22">
        <f>(0)</f>
      </c>
      <c r="G8355" s="22">
        <f>(C8355 * E8355 + C8355 * E8355 * F8355)</f>
      </c>
    </row>
    <row r="8356">
      <c r="A8356" s="3"/>
      <c r="B8356" s="11" t="s">
        <v>350</v>
      </c>
      <c r="C8356" s="20"/>
      <c r="D8356" s="20"/>
      <c r="E8356" s="20"/>
      <c r="F8356" s="20"/>
      <c r="G8356" s="20"/>
    </row>
    <row r="8357">
      <c r="A8357" s="4"/>
      <c r="B8357" s="12" t="s">
        <v>399</v>
      </c>
      <c r="C8357" s="21"/>
      <c r="D8357" s="21"/>
      <c r="E8357" s="21"/>
      <c r="F8357" s="21"/>
      <c r="G8357" s="21"/>
    </row>
    <row r="8358">
      <c r="A8358" s="6"/>
      <c r="B8358" s="15" t="s">
        <v>408</v>
      </c>
      <c r="C8358" s="23"/>
      <c r="D8358" s="23"/>
      <c r="E8358" s="23"/>
      <c r="F8358" s="23"/>
      <c r="G8358" s="23"/>
    </row>
    <row r="8359">
      <c r="A8359" s="5"/>
      <c r="B8359" s="16" t="s">
        <v>252</v>
      </c>
      <c r="C8359" s="22"/>
      <c r="D8359" s="22"/>
      <c r="E8359" s="22"/>
      <c r="F8359" s="22"/>
      <c r="G8359" s="22"/>
    </row>
    <row r="8360">
      <c r="A8360" s="5"/>
      <c r="B8360" s="17" t="s">
        <v>1671</v>
      </c>
      <c r="C8360" s="22">
        <f>(-8)*(1)*(1)*(1)*(1 + (0))</f>
      </c>
      <c r="D8360" s="22" t="s">
        <v>24</v>
      </c>
      <c r="E8360" s="22"/>
      <c r="F8360" s="22">
        <f>(0)</f>
      </c>
      <c r="G8360" s="22">
        <f>(C8360 * E8360 + C8360 * E8360 * F8360)</f>
      </c>
    </row>
    <row r="8361">
      <c r="A8361" s="6"/>
      <c r="B8361" s="15" t="s">
        <v>411</v>
      </c>
      <c r="C8361" s="23"/>
      <c r="D8361" s="23"/>
      <c r="E8361" s="23"/>
      <c r="F8361" s="23"/>
      <c r="G8361" s="23"/>
    </row>
    <row r="8362">
      <c r="A8362" s="5"/>
      <c r="B8362" s="16" t="s">
        <v>252</v>
      </c>
      <c r="C8362" s="22"/>
      <c r="D8362" s="22"/>
      <c r="E8362" s="22"/>
      <c r="F8362" s="22"/>
      <c r="G8362" s="22"/>
    </row>
    <row r="8363">
      <c r="A8363" s="5"/>
      <c r="B8363" s="17" t="s">
        <v>413</v>
      </c>
      <c r="C8363" s="22">
        <f>(-7)*(1)*(1)*(1)*(1 + (0))</f>
      </c>
      <c r="D8363" s="22" t="s">
        <v>153</v>
      </c>
      <c r="E8363" s="22"/>
      <c r="F8363" s="22">
        <f>(0)</f>
      </c>
      <c r="G8363" s="22">
        <f>(C8363 * E8363 + C8363 * E8363 * F8363)</f>
      </c>
    </row>
    <row r="8364">
      <c r="A8364" s="5"/>
      <c r="B8364" s="17" t="s">
        <v>2140</v>
      </c>
      <c r="C8364" s="22">
        <f>(-8)*(1)*(1)*(1)*(1 + (0))</f>
      </c>
      <c r="D8364" s="22" t="s">
        <v>24</v>
      </c>
      <c r="E8364" s="22"/>
      <c r="F8364" s="22">
        <f>(0)</f>
      </c>
      <c r="G8364" s="22">
        <f>(C8364 * E8364 + C8364 * E8364 * F8364)</f>
      </c>
    </row>
    <row r="8365">
      <c r="A8365" s="3"/>
      <c r="B8365" s="11" t="s">
        <v>178</v>
      </c>
      <c r="C8365" s="20"/>
      <c r="D8365" s="20"/>
      <c r="E8365" s="20"/>
      <c r="F8365" s="20"/>
      <c r="G8365" s="20"/>
    </row>
    <row r="8366">
      <c r="A8366" s="4"/>
      <c r="B8366" s="12" t="s">
        <v>453</v>
      </c>
      <c r="C8366" s="21"/>
      <c r="D8366" s="21"/>
      <c r="E8366" s="21"/>
      <c r="F8366" s="21"/>
      <c r="G8366" s="21"/>
    </row>
    <row r="8367">
      <c r="A8367" s="5"/>
      <c r="B8367" s="13" t="s">
        <v>454</v>
      </c>
      <c r="C8367" s="22">
        <f>(-0.07)*(1)*(1)*(1)*(1 + (0))</f>
      </c>
      <c r="D8367" s="22" t="s">
        <v>182</v>
      </c>
      <c r="E8367" s="22"/>
      <c r="F8367" s="22">
        <f>(0)</f>
      </c>
      <c r="G8367" s="22">
        <f>(C8367 * E8367 + C8367 * E8367 * F8367)</f>
      </c>
    </row>
    <row r="8368">
      <c r="A8368" s="5"/>
      <c r="B8368" s="13" t="s">
        <v>455</v>
      </c>
      <c r="C8368" s="22">
        <f>(-0.34)*(1)*(1)*(1)*(1 + (0))</f>
      </c>
      <c r="D8368" s="22" t="s">
        <v>182</v>
      </c>
      <c r="E8368" s="22"/>
      <c r="F8368" s="22">
        <f>(0)</f>
      </c>
      <c r="G8368" s="22">
        <f>(C8368 * E8368 + C8368 * E8368 * F8368)</f>
      </c>
    </row>
    <row r="8369">
      <c r="A8369" s="5"/>
      <c r="B8369" s="13" t="s">
        <v>1875</v>
      </c>
      <c r="C8369" s="22">
        <f>(-11)*(1)*(1)*(1)*(1 + (0))</f>
      </c>
      <c r="D8369" s="22" t="s">
        <v>24</v>
      </c>
      <c r="E8369" s="22"/>
      <c r="F8369" s="22">
        <f>(0)</f>
      </c>
      <c r="G8369" s="22">
        <f>(C8369 * E8369 + C8369 * E8369 * F8369)</f>
      </c>
    </row>
    <row r="8370">
      <c r="A8370" s="4"/>
      <c r="B8370" s="12" t="s">
        <v>457</v>
      </c>
      <c r="C8370" s="21"/>
      <c r="D8370" s="21"/>
      <c r="E8370" s="21"/>
      <c r="F8370" s="21"/>
      <c r="G8370" s="21"/>
    </row>
    <row r="8371">
      <c r="A8371" s="6"/>
      <c r="B8371" s="15" t="s">
        <v>408</v>
      </c>
      <c r="C8371" s="23"/>
      <c r="D8371" s="23"/>
      <c r="E8371" s="23"/>
      <c r="F8371" s="23"/>
      <c r="G8371" s="23"/>
    </row>
    <row r="8372">
      <c r="A8372" s="5"/>
      <c r="B8372" s="16" t="s">
        <v>252</v>
      </c>
      <c r="C8372" s="22"/>
      <c r="D8372" s="22"/>
      <c r="E8372" s="22"/>
      <c r="F8372" s="22"/>
      <c r="G8372" s="22"/>
    </row>
    <row r="8373">
      <c r="A8373" s="5"/>
      <c r="B8373" s="17" t="s">
        <v>2142</v>
      </c>
      <c r="C8373" s="22">
        <f>(-0.035437504)*(1)*(1)*(1)*(1 + (0))</f>
      </c>
      <c r="D8373" s="22" t="s">
        <v>182</v>
      </c>
      <c r="E8373" s="22"/>
      <c r="F8373" s="22">
        <f>(0)</f>
      </c>
      <c r="G8373" s="22">
        <f>(C8373 * E8373 + C8373 * E8373 * F8373)</f>
      </c>
    </row>
    <row r="8374">
      <c r="A8374" s="5"/>
      <c r="B8374" s="17" t="s">
        <v>2143</v>
      </c>
      <c r="C8374" s="22">
        <f>(-0.027209)*(1)*(1)*(1)*(1 + (0))</f>
      </c>
      <c r="D8374" s="22" t="s">
        <v>182</v>
      </c>
      <c r="E8374" s="22"/>
      <c r="F8374" s="22">
        <f>(0)</f>
      </c>
      <c r="G8374" s="22">
        <f>(C8374 * E8374 + C8374 * E8374 * F8374)</f>
      </c>
    </row>
    <row r="8375">
      <c r="A8375" s="4"/>
      <c r="B8375" s="12" t="s">
        <v>459</v>
      </c>
      <c r="C8375" s="21"/>
      <c r="D8375" s="21"/>
      <c r="E8375" s="21"/>
      <c r="F8375" s="21"/>
      <c r="G8375" s="21"/>
    </row>
    <row r="8376">
      <c r="A8376" s="6"/>
      <c r="B8376" s="15" t="s">
        <v>408</v>
      </c>
      <c r="C8376" s="23"/>
      <c r="D8376" s="23"/>
      <c r="E8376" s="23"/>
      <c r="F8376" s="23"/>
      <c r="G8376" s="23"/>
    </row>
    <row r="8377">
      <c r="A8377" s="5"/>
      <c r="B8377" s="16" t="s">
        <v>252</v>
      </c>
      <c r="C8377" s="22"/>
      <c r="D8377" s="22"/>
      <c r="E8377" s="22"/>
      <c r="F8377" s="22"/>
      <c r="G8377" s="22"/>
    </row>
    <row r="8378">
      <c r="A8378" s="5"/>
      <c r="B8378" s="17" t="s">
        <v>463</v>
      </c>
      <c r="C8378" s="22">
        <f>(-0.336392242871935)*(1)*(1)*(1)*(1 + (0))</f>
      </c>
      <c r="D8378" s="22" t="s">
        <v>182</v>
      </c>
      <c r="E8378" s="22"/>
      <c r="F8378" s="22">
        <f>(0)</f>
      </c>
      <c r="G8378" s="22">
        <f>(C8378 * E8378 + C8378 * E8378 * F8378)</f>
      </c>
    </row>
    <row r="8379">
      <c r="A8379" s="4"/>
      <c r="B8379" s="12" t="s">
        <v>482</v>
      </c>
      <c r="C8379" s="21"/>
      <c r="D8379" s="21"/>
      <c r="E8379" s="21"/>
      <c r="F8379" s="21"/>
      <c r="G8379" s="21"/>
    </row>
    <row r="8380">
      <c r="A8380" s="6"/>
      <c r="B8380" s="15" t="s">
        <v>411</v>
      </c>
      <c r="C8380" s="23"/>
      <c r="D8380" s="23"/>
      <c r="E8380" s="23"/>
      <c r="F8380" s="23"/>
      <c r="G8380" s="23"/>
    </row>
    <row r="8381">
      <c r="A8381" s="5"/>
      <c r="B8381" s="16" t="s">
        <v>252</v>
      </c>
      <c r="C8381" s="22"/>
      <c r="D8381" s="22"/>
      <c r="E8381" s="22"/>
      <c r="F8381" s="22"/>
      <c r="G8381" s="22"/>
    </row>
    <row r="8382">
      <c r="A8382" s="5"/>
      <c r="B8382" s="17" t="s">
        <v>1878</v>
      </c>
      <c r="C8382" s="22">
        <f>(-11)*(1)*(1)*(1)*(1 + (0))</f>
      </c>
      <c r="D8382" s="22" t="s">
        <v>24</v>
      </c>
      <c r="E8382" s="22"/>
      <c r="F8382" s="22">
        <f>(0)</f>
      </c>
      <c r="G8382" s="22">
        <f>(C8382 * E8382 + C8382 * E8382 * F8382)</f>
      </c>
    </row>
    <row r="8383">
      <c r="A8383" s="2"/>
      <c r="B8383" s="10" t="s">
        <v>2951</v>
      </c>
      <c r="C8383" s="19"/>
      <c r="D8383" s="19"/>
      <c r="E8383" s="19"/>
      <c r="F8383" s="19"/>
      <c r="G8383" s="19"/>
    </row>
    <row r="8384">
      <c r="A8384" s="3"/>
      <c r="B8384" s="11" t="s">
        <v>42</v>
      </c>
      <c r="C8384" s="20"/>
      <c r="D8384" s="20"/>
      <c r="E8384" s="20"/>
      <c r="F8384" s="20"/>
      <c r="G8384" s="20"/>
    </row>
    <row r="8385">
      <c r="A8385" s="5" t="s">
        <v>2401</v>
      </c>
      <c r="B8385" s="14" t="s">
        <v>2928</v>
      </c>
      <c r="C8385" s="22"/>
      <c r="D8385" s="22" t="s">
        <v>10</v>
      </c>
      <c r="E8385" s="22"/>
      <c r="F8385" s="22">
        <f>(0)</f>
      </c>
      <c r="G8385" s="22">
        <f>(C8385 * E8385 + C8385 * E8385 * F8385)</f>
      </c>
    </row>
    <row r="8386">
      <c r="A8386" s="3"/>
      <c r="B8386" s="11" t="s">
        <v>2917</v>
      </c>
      <c r="C8386" s="20"/>
      <c r="D8386" s="20"/>
      <c r="E8386" s="20"/>
      <c r="F8386" s="20"/>
      <c r="G8386" s="20"/>
    </row>
    <row r="8387">
      <c r="A8387" s="4"/>
      <c r="B8387" s="12" t="s">
        <v>2667</v>
      </c>
      <c r="C8387" s="21"/>
      <c r="D8387" s="21"/>
      <c r="E8387" s="21"/>
      <c r="F8387" s="21"/>
      <c r="G8387" s="21"/>
    </row>
    <row r="8388">
      <c r="A8388" s="6"/>
      <c r="B8388" s="15" t="s">
        <v>2668</v>
      </c>
      <c r="C8388" s="23"/>
      <c r="D8388" s="23"/>
      <c r="E8388" s="23"/>
      <c r="F8388" s="23"/>
      <c r="G8388" s="23"/>
    </row>
    <row r="8389">
      <c r="A8389" s="5"/>
      <c r="B8389" s="16" t="s">
        <v>2669</v>
      </c>
      <c r="C8389" s="22"/>
      <c r="D8389" s="22"/>
      <c r="E8389" s="22"/>
      <c r="F8389" s="22"/>
      <c r="G8389" s="22"/>
    </row>
    <row r="8390">
      <c r="A8390" s="5"/>
      <c r="B8390" s="17" t="s">
        <v>2670</v>
      </c>
      <c r="C8390" s="22">
        <f>(-51)*(1)*(1)*(1)*(1 + (0))</f>
      </c>
      <c r="D8390" s="22" t="s">
        <v>24</v>
      </c>
      <c r="E8390" s="22"/>
      <c r="F8390" s="22">
        <f>(0)</f>
      </c>
      <c r="G8390" s="22">
        <f>(C8390 * E8390 + C8390 * E8390 * F8390)</f>
      </c>
    </row>
    <row r="8391">
      <c r="A8391" s="5"/>
      <c r="B8391" s="17" t="s">
        <v>2671</v>
      </c>
      <c r="C8391" s="22">
        <f>(-26)*(1)*(1)*(1)*(1 + (0))</f>
      </c>
      <c r="D8391" s="22" t="s">
        <v>153</v>
      </c>
      <c r="E8391" s="22"/>
      <c r="F8391" s="22">
        <f>(0)</f>
      </c>
      <c r="G8391" s="22">
        <f>(C8391 * E8391 + C8391 * E8391 * F8391)</f>
      </c>
    </row>
    <row r="8392">
      <c r="A8392" s="5"/>
      <c r="B8392" s="17" t="s">
        <v>2672</v>
      </c>
      <c r="C8392" s="22">
        <f>(-51)*(1)*(1)*(1)*(1 + (0))</f>
      </c>
      <c r="D8392" s="22" t="s">
        <v>24</v>
      </c>
      <c r="E8392" s="22"/>
      <c r="F8392" s="22">
        <f>(0)</f>
      </c>
      <c r="G8392" s="22">
        <f>(C8392 * E8392 + C8392 * E8392 * F8392)</f>
      </c>
    </row>
    <row r="8393">
      <c r="A8393" s="5"/>
      <c r="B8393" s="17" t="s">
        <v>2673</v>
      </c>
      <c r="C8393" s="22">
        <f>(-51)*(1)*(1)*(1)*(1 + (0))</f>
      </c>
      <c r="D8393" s="22" t="s">
        <v>24</v>
      </c>
      <c r="E8393" s="22"/>
      <c r="F8393" s="22">
        <f>(0)</f>
      </c>
      <c r="G8393" s="22">
        <f>(C8393 * E8393 + C8393 * E8393 * F8393)</f>
      </c>
    </row>
    <row r="8394">
      <c r="A8394" s="5"/>
      <c r="B8394" s="17" t="s">
        <v>2674</v>
      </c>
      <c r="C8394" s="22">
        <f>(-51)*(1)*(1)*(1)*(1 + (0))</f>
      </c>
      <c r="D8394" s="22" t="s">
        <v>24</v>
      </c>
      <c r="E8394" s="22"/>
      <c r="F8394" s="22">
        <f>(0)</f>
      </c>
      <c r="G8394" s="22">
        <f>(C8394 * E8394 + C8394 * E8394 * F8394)</f>
      </c>
    </row>
    <row r="8395">
      <c r="A8395" s="5"/>
      <c r="B8395" s="16" t="s">
        <v>2952</v>
      </c>
      <c r="C8395" s="22">
        <f>(51)*(1)*(1)*(1)*(1 + (0))</f>
      </c>
      <c r="D8395" s="22" t="s">
        <v>24</v>
      </c>
      <c r="E8395" s="22"/>
      <c r="F8395" s="22">
        <f>(0)</f>
      </c>
      <c r="G8395" s="22">
        <f>(C8395 * E8395 + C8395 * E8395 * F8395)</f>
      </c>
    </row>
    <row r="8396">
      <c r="A8396" s="6"/>
      <c r="B8396" s="15" t="s">
        <v>2737</v>
      </c>
      <c r="C8396" s="23"/>
      <c r="D8396" s="23"/>
      <c r="E8396" s="23"/>
      <c r="F8396" s="23"/>
      <c r="G8396" s="23"/>
    </row>
    <row r="8397">
      <c r="A8397" s="5"/>
      <c r="B8397" s="16" t="s">
        <v>2738</v>
      </c>
      <c r="C8397" s="22"/>
      <c r="D8397" s="22"/>
      <c r="E8397" s="22"/>
      <c r="F8397" s="22"/>
      <c r="G8397" s="22"/>
    </row>
    <row r="8398">
      <c r="A8398" s="5"/>
      <c r="B8398" s="17" t="s">
        <v>2953</v>
      </c>
      <c r="C8398" s="22">
        <f>(-6)*(1)*(1)*(1)*(1 + (0))</f>
      </c>
      <c r="D8398" s="22" t="s">
        <v>24</v>
      </c>
      <c r="E8398" s="22"/>
      <c r="F8398" s="22">
        <f>(0)</f>
      </c>
      <c r="G8398" s="22">
        <f>(C8398 * E8398 + C8398 * E8398 * F8398)</f>
      </c>
    </row>
    <row r="8399">
      <c r="A8399" s="5"/>
      <c r="B8399" s="17" t="s">
        <v>2954</v>
      </c>
      <c r="C8399" s="22">
        <f>(-7)*(1)*(1)*(1)*(1 + (0))</f>
      </c>
      <c r="D8399" s="22" t="s">
        <v>24</v>
      </c>
      <c r="E8399" s="22"/>
      <c r="F8399" s="22">
        <f>(0)</f>
      </c>
      <c r="G8399" s="22">
        <f>(C8399 * E8399 + C8399 * E8399 * F8399)</f>
      </c>
    </row>
    <row r="8400">
      <c r="A8400" s="5"/>
      <c r="B8400" s="16" t="s">
        <v>2955</v>
      </c>
      <c r="C8400" s="22">
        <f>(13)*(1)*(1)*(1)*(1 + (0))</f>
      </c>
      <c r="D8400" s="22" t="s">
        <v>24</v>
      </c>
      <c r="E8400" s="22"/>
      <c r="F8400" s="22">
        <f>(0)</f>
      </c>
      <c r="G8400" s="22">
        <f>(C8400 * E8400 + C8400 * E8400 * F8400)</f>
      </c>
    </row>
    <row r="8401">
      <c r="A8401" s="2"/>
      <c r="B8401" s="10" t="s">
        <v>2956</v>
      </c>
      <c r="C8401" s="19"/>
      <c r="D8401" s="19"/>
      <c r="E8401" s="19"/>
      <c r="F8401" s="19"/>
      <c r="G8401" s="19"/>
    </row>
    <row r="8402">
      <c r="A8402" s="3"/>
      <c r="B8402" s="11" t="s">
        <v>2917</v>
      </c>
      <c r="C8402" s="20"/>
      <c r="D8402" s="20"/>
      <c r="E8402" s="20"/>
      <c r="F8402" s="20"/>
      <c r="G8402" s="20"/>
    </row>
    <row r="8403">
      <c r="A8403" s="4"/>
      <c r="B8403" s="12" t="s">
        <v>2667</v>
      </c>
      <c r="C8403" s="21"/>
      <c r="D8403" s="21"/>
      <c r="E8403" s="21"/>
      <c r="F8403" s="21"/>
      <c r="G8403" s="21"/>
    </row>
    <row r="8404">
      <c r="A8404" s="6"/>
      <c r="B8404" s="15" t="s">
        <v>2937</v>
      </c>
      <c r="C8404" s="23"/>
      <c r="D8404" s="23"/>
      <c r="E8404" s="23"/>
      <c r="F8404" s="23"/>
      <c r="G8404" s="23"/>
    </row>
    <row r="8405">
      <c r="A8405" s="5"/>
      <c r="B8405" s="16" t="s">
        <v>2743</v>
      </c>
      <c r="C8405" s="22">
        <f>(-227)*(1)*(1)*(1)*(1 + (0))</f>
      </c>
      <c r="D8405" s="22" t="s">
        <v>24</v>
      </c>
      <c r="E8405" s="22"/>
      <c r="F8405" s="22">
        <f>(0)</f>
      </c>
      <c r="G8405" s="22">
        <f>(C8405 * E8405 + C8405 * E8405 * F8405)</f>
      </c>
    </row>
    <row r="8406">
      <c r="A8406" s="5"/>
      <c r="B8406" s="16" t="s">
        <v>2759</v>
      </c>
      <c r="C8406" s="22">
        <f>(-5)*(1)*(1)*(1)*(1 + (0))</f>
      </c>
      <c r="D8406" s="22" t="s">
        <v>162</v>
      </c>
      <c r="E8406" s="22"/>
      <c r="F8406" s="22">
        <f>(0)</f>
      </c>
      <c r="G8406" s="22">
        <f>(C8406 * E8406 + C8406 * E8406 * F8406)</f>
      </c>
    </row>
    <row r="8407">
      <c r="A8407" s="5"/>
      <c r="B8407" s="16" t="s">
        <v>2957</v>
      </c>
      <c r="C8407" s="22">
        <f>(252)*(1)*(1)*(1)*(1 + (0))</f>
      </c>
      <c r="D8407" s="22" t="s">
        <v>24</v>
      </c>
      <c r="E8407" s="22"/>
      <c r="F8407" s="22">
        <f>(0)</f>
      </c>
      <c r="G8407" s="22">
        <f>(C8407 * E8407 + C8407 * E8407 * F8407)</f>
      </c>
    </row>
    <row r="8408">
      <c r="A8408" s="7"/>
      <c r="B8408" s="7"/>
      <c r="C8408" s="22"/>
      <c r="D8408" s="22"/>
      <c r="E8408" s="22"/>
      <c r="F8408" s="22"/>
      <c r="G8408" s="22"/>
    </row>
    <row r="8409">
      <c r="A8409" s="8" t="s">
        <v>2958</v>
      </c>
      <c r="B8409" s="8"/>
      <c r="C8409" s="8"/>
      <c r="D8409" s="8"/>
      <c r="E8409" s="8"/>
      <c r="F8409" s="8"/>
      <c r="G8409" s="8">
        <f>(SUM(G2:G8408))</f>
      </c>
    </row>
    <row r="8410">
      <c r="A8410" s="8" t="s">
        <v>2959</v>
      </c>
      <c r="B8410" s="8"/>
      <c r="C8410" s="8"/>
      <c r="D8410" s="8"/>
      <c r="E8410" s="8"/>
      <c r="F8410" s="8"/>
      <c r="G8410" s="8">
        <v>0</v>
      </c>
    </row>
    <row r="8411">
      <c r="A8411" s="8" t="s">
        <v>2960</v>
      </c>
      <c r="B8411" s="8"/>
      <c r="C8411" s="8"/>
      <c r="D8411" s="8"/>
      <c r="E8411" s="8"/>
      <c r="F8411" s="8"/>
      <c r="G8411" s="8">
        <f>0.1*(SUM(G8409:G8410))</f>
      </c>
    </row>
    <row r="8412">
      <c r="A8412" s="9" t="s">
        <v>5</v>
      </c>
      <c r="B8412" s="9"/>
      <c r="C8412" s="9"/>
      <c r="D8412" s="9"/>
      <c r="E8412" s="9"/>
      <c r="F8412" s="9"/>
      <c r="G8412" s="9">
        <f>SUM(G8409:G8411)</f>
      </c>
    </row>
  </sheetData>
  <headerFooter/>
</worksheet>
</file>

<file path=xl/worksheets/sheet3.xml><?xml version="1.0" encoding="utf-8"?>
<worksheet xmlns:r="http://schemas.openxmlformats.org/officeDocument/2006/relationships" xmlns="http://schemas.openxmlformats.org/spreadsheetml/2006/main">
  <dimension ref="A1:D229"/>
  <sheetViews>
    <sheetView workbookViewId="0">
      <pane xSplit="4" ySplit="1" topLeftCell="E2" state="frozen" activePane="bottomRight"/>
      <selection pane="topRight" activeCell="E1" sqref="E1"/>
      <selection pane="bottomLeft" activeCell="A2" sqref="A2"/>
      <selection pane="bottomRight" activeCell="A1" sqref="A1"/>
    </sheetView>
  </sheetViews>
  <sheetFormatPr defaultRowHeight="15"/>
  <cols>
    <col min="1" max="1" width="30" customWidth="1"/>
    <col min="2" max="2" width="9.140625" customWidth="1"/>
    <col min="3" max="3" width="15" customWidth="1"/>
    <col min="4" max="4" width="20" customWidth="1"/>
  </cols>
  <sheetData>
    <row r="1">
      <c r="A1" s="1" t="s">
        <v>1</v>
      </c>
      <c r="B1" s="1" t="s">
        <v>2962</v>
      </c>
      <c r="C1" s="1" t="s">
        <v>2963</v>
      </c>
      <c r="D1" s="1" t="s">
        <v>5</v>
      </c>
    </row>
    <row r="2">
      <c r="A2" s="7" t="s">
        <v>6</v>
      </c>
      <c r="B2" s="22"/>
      <c r="C2" s="22"/>
      <c r="D2" s="22">
        <f>SUBTOTAL(9,'Trade Breakup Showing Markup'!G$2:G$42)</f>
      </c>
    </row>
    <row r="3">
      <c r="A3" s="7" t="s">
        <v>22</v>
      </c>
      <c r="B3" s="22"/>
      <c r="C3" s="22"/>
      <c r="D3" s="22">
        <f>SUBTOTAL(9,'Trade Breakup Showing Markup'!G$43:G$43)</f>
      </c>
    </row>
    <row r="4">
      <c r="A4" s="7" t="s">
        <v>36</v>
      </c>
      <c r="B4" s="22"/>
      <c r="C4" s="22"/>
      <c r="D4" s="22">
        <f>SUBTOTAL(9,'Trade Breakup Showing Markup'!G$44:G$89)</f>
      </c>
    </row>
    <row r="5">
      <c r="A5" s="7" t="s">
        <v>115</v>
      </c>
      <c r="B5" s="22"/>
      <c r="C5" s="22"/>
      <c r="D5" s="22">
        <f>SUBTOTAL(9,'Trade Breakup Showing Markup'!G$90:G$176)</f>
      </c>
    </row>
    <row r="6">
      <c r="A6" s="7" t="s">
        <v>207</v>
      </c>
      <c r="B6" s="22"/>
      <c r="C6" s="22"/>
      <c r="D6" s="22">
        <f>SUBTOTAL(9,'Trade Breakup Showing Markup'!G$177:G$323)</f>
      </c>
    </row>
    <row r="7">
      <c r="A7" s="7" t="s">
        <v>350</v>
      </c>
      <c r="B7" s="22"/>
      <c r="C7" s="22"/>
      <c r="D7" s="22">
        <f>SUBTOTAL(9,'Trade Breakup Showing Markup'!G$324:G$444)</f>
      </c>
    </row>
    <row r="8">
      <c r="A8" s="7" t="s">
        <v>178</v>
      </c>
      <c r="B8" s="22"/>
      <c r="C8" s="22"/>
      <c r="D8" s="22">
        <f>SUBTOTAL(9,'Trade Breakup Showing Markup'!G$445:G$538)</f>
      </c>
    </row>
    <row r="9">
      <c r="A9" s="7" t="s">
        <v>484</v>
      </c>
      <c r="B9" s="22"/>
      <c r="C9" s="22"/>
      <c r="D9" s="22">
        <f>SUBTOTAL(9,'Trade Breakup Showing Markup'!G$539:G$572)</f>
      </c>
    </row>
    <row r="10">
      <c r="A10" s="7" t="s">
        <v>519</v>
      </c>
      <c r="B10" s="22"/>
      <c r="C10" s="22"/>
      <c r="D10" s="22">
        <f>SUBTOTAL(9,'Trade Breakup Showing Markup'!G$573:G$573)</f>
      </c>
    </row>
    <row r="11">
      <c r="A11" s="7" t="s">
        <v>520</v>
      </c>
      <c r="B11" s="22"/>
      <c r="C11" s="22"/>
      <c r="D11" s="22">
        <f>SUBTOTAL(9,'Trade Breakup Showing Markup'!G$574:G$705)</f>
      </c>
    </row>
    <row r="12">
      <c r="A12" s="7" t="s">
        <v>631</v>
      </c>
      <c r="B12" s="22"/>
      <c r="C12" s="22"/>
      <c r="D12" s="22">
        <f>SUBTOTAL(9,'Trade Breakup Showing Markup'!G$706:G$763)</f>
      </c>
    </row>
    <row r="13">
      <c r="A13" s="7" t="s">
        <v>689</v>
      </c>
      <c r="B13" s="22"/>
      <c r="C13" s="22"/>
      <c r="D13" s="22">
        <f>SUBTOTAL(9,'Trade Breakup Showing Markup'!G$764:G$825)</f>
      </c>
    </row>
    <row r="14">
      <c r="A14" s="7" t="s">
        <v>757</v>
      </c>
      <c r="B14" s="22"/>
      <c r="C14" s="22"/>
      <c r="D14" s="22">
        <f>SUBTOTAL(9,'Trade Breakup Showing Markup'!G$826:G$890)</f>
      </c>
    </row>
    <row r="15">
      <c r="A15" s="7" t="s">
        <v>828</v>
      </c>
      <c r="B15" s="22"/>
      <c r="C15" s="22"/>
      <c r="D15" s="22">
        <f>SUBTOTAL(9,'Trade Breakup Showing Markup'!G$891:G$967)</f>
      </c>
    </row>
    <row r="16">
      <c r="A16" s="7" t="s">
        <v>897</v>
      </c>
      <c r="B16" s="22"/>
      <c r="C16" s="22"/>
      <c r="D16" s="22">
        <f>SUBTOTAL(9,'Trade Breakup Showing Markup'!G$968:G$1036)</f>
      </c>
    </row>
    <row r="17">
      <c r="A17" s="7" t="s">
        <v>935</v>
      </c>
      <c r="B17" s="22"/>
      <c r="C17" s="22"/>
      <c r="D17" s="22">
        <f>SUBTOTAL(9,'Trade Breakup Showing Markup'!G$1037:G$1185)</f>
      </c>
    </row>
    <row r="18">
      <c r="A18" s="7" t="s">
        <v>1003</v>
      </c>
      <c r="B18" s="22"/>
      <c r="C18" s="22"/>
      <c r="D18" s="22">
        <f>SUBTOTAL(9,'Trade Breakup Showing Markup'!G$1186:G$1215)</f>
      </c>
    </row>
    <row r="19">
      <c r="A19" s="7" t="s">
        <v>1006</v>
      </c>
      <c r="B19" s="22"/>
      <c r="C19" s="22"/>
      <c r="D19" s="22">
        <f>SUBTOTAL(9,'Trade Breakup Showing Markup'!G$1216:G$1287)</f>
      </c>
    </row>
    <row r="20">
      <c r="A20" s="7" t="s">
        <v>1054</v>
      </c>
      <c r="B20" s="22"/>
      <c r="C20" s="22"/>
      <c r="D20" s="22">
        <f>SUBTOTAL(9,'Trade Breakup Showing Markup'!G$1288:G$1332)</f>
      </c>
    </row>
    <row r="21">
      <c r="A21" s="7" t="s">
        <v>1095</v>
      </c>
      <c r="B21" s="22"/>
      <c r="C21" s="22"/>
      <c r="D21" s="22">
        <f>SUBTOTAL(9,'Trade Breakup Showing Markup'!G$1333:G$1377)</f>
      </c>
    </row>
    <row r="22">
      <c r="A22" s="7" t="s">
        <v>1123</v>
      </c>
      <c r="B22" s="22"/>
      <c r="C22" s="22"/>
      <c r="D22" s="22">
        <f>SUBTOTAL(9,'Trade Breakup Showing Markup'!G$1378:G$1427)</f>
      </c>
    </row>
    <row r="23">
      <c r="A23" s="7" t="s">
        <v>1150</v>
      </c>
      <c r="B23" s="22"/>
      <c r="C23" s="22"/>
      <c r="D23" s="22">
        <f>SUBTOTAL(9,'Trade Breakup Showing Markup'!G$1428:G$1428)</f>
      </c>
    </row>
    <row r="24">
      <c r="A24" s="7" t="s">
        <v>1151</v>
      </c>
      <c r="B24" s="22"/>
      <c r="C24" s="22"/>
      <c r="D24" s="22">
        <f>SUBTOTAL(9,'Trade Breakup Showing Markup'!G$1429:G$1429)</f>
      </c>
    </row>
    <row r="25">
      <c r="A25" s="7" t="s">
        <v>1152</v>
      </c>
      <c r="B25" s="22"/>
      <c r="C25" s="22"/>
      <c r="D25" s="22">
        <f>SUBTOTAL(9,'Trade Breakup Showing Markup'!G$1430:G$1503)</f>
      </c>
    </row>
    <row r="26">
      <c r="A26" s="7" t="s">
        <v>1224</v>
      </c>
      <c r="B26" s="22"/>
      <c r="C26" s="22"/>
      <c r="D26" s="22">
        <f>SUBTOTAL(9,'Trade Breakup Showing Markup'!G$1504:G$1575)</f>
      </c>
    </row>
    <row r="27">
      <c r="A27" s="7" t="s">
        <v>1279</v>
      </c>
      <c r="B27" s="22"/>
      <c r="C27" s="22"/>
      <c r="D27" s="22">
        <f>SUBTOTAL(9,'Trade Breakup Showing Markup'!G$1576:G$1602)</f>
      </c>
    </row>
    <row r="28">
      <c r="A28" s="7" t="s">
        <v>1284</v>
      </c>
      <c r="B28" s="22"/>
      <c r="C28" s="22"/>
      <c r="D28" s="22">
        <f>SUBTOTAL(9,'Trade Breakup Showing Markup'!G$1603:G$1624)</f>
      </c>
    </row>
    <row r="29">
      <c r="A29" s="7" t="s">
        <v>1301</v>
      </c>
      <c r="B29" s="22"/>
      <c r="C29" s="22"/>
      <c r="D29" s="22">
        <f>SUBTOTAL(9,'Trade Breakup Showing Markup'!G$1625:G$1713)</f>
      </c>
    </row>
    <row r="30">
      <c r="A30" s="7" t="s">
        <v>1361</v>
      </c>
      <c r="B30" s="22"/>
      <c r="C30" s="22"/>
      <c r="D30" s="22">
        <f>SUBTOTAL(9,'Trade Breakup Showing Markup'!G$1714:G$1736)</f>
      </c>
    </row>
    <row r="31">
      <c r="A31" s="7" t="s">
        <v>1366</v>
      </c>
      <c r="B31" s="22"/>
      <c r="C31" s="22"/>
      <c r="D31" s="22">
        <f>SUBTOTAL(9,'Trade Breakup Showing Markup'!G$1737:G$1810)</f>
      </c>
    </row>
    <row r="32">
      <c r="A32" s="7" t="s">
        <v>1437</v>
      </c>
      <c r="B32" s="22"/>
      <c r="C32" s="22"/>
      <c r="D32" s="22">
        <f>SUBTOTAL(9,'Trade Breakup Showing Markup'!G$1811:G$1811)</f>
      </c>
    </row>
    <row r="33">
      <c r="A33" s="7" t="s">
        <v>1438</v>
      </c>
      <c r="B33" s="22"/>
      <c r="C33" s="22"/>
      <c r="D33" s="22">
        <f>SUBTOTAL(9,'Trade Breakup Showing Markup'!G$1812:G$1812)</f>
      </c>
    </row>
    <row r="34">
      <c r="A34" s="7" t="s">
        <v>1439</v>
      </c>
      <c r="B34" s="22"/>
      <c r="C34" s="22"/>
      <c r="D34" s="22">
        <f>SUBTOTAL(9,'Trade Breakup Showing Markup'!G$1813:G$1813)</f>
      </c>
    </row>
    <row r="35">
      <c r="A35" s="7" t="s">
        <v>1440</v>
      </c>
      <c r="B35" s="22"/>
      <c r="C35" s="22"/>
      <c r="D35" s="22">
        <f>SUBTOTAL(9,'Trade Breakup Showing Markup'!G$1814:G$1814)</f>
      </c>
    </row>
    <row r="36">
      <c r="A36" s="7" t="s">
        <v>1441</v>
      </c>
      <c r="B36" s="22"/>
      <c r="C36" s="22"/>
      <c r="D36" s="22">
        <f>SUBTOTAL(9,'Trade Breakup Showing Markup'!G$1815:G$1842)</f>
      </c>
    </row>
    <row r="37">
      <c r="A37" s="7" t="s">
        <v>1452</v>
      </c>
      <c r="B37" s="22"/>
      <c r="C37" s="22"/>
      <c r="D37" s="22">
        <f>SUBTOTAL(9,'Trade Breakup Showing Markup'!G$1843:G$1843)</f>
      </c>
    </row>
    <row r="38">
      <c r="A38" s="7" t="s">
        <v>1453</v>
      </c>
      <c r="B38" s="22"/>
      <c r="C38" s="22"/>
      <c r="D38" s="22">
        <f>SUBTOTAL(9,'Trade Breakup Showing Markup'!G$1844:G$1844)</f>
      </c>
    </row>
    <row r="39">
      <c r="A39" s="7" t="s">
        <v>1454</v>
      </c>
      <c r="B39" s="22"/>
      <c r="C39" s="22"/>
      <c r="D39" s="22">
        <f>SUBTOTAL(9,'Trade Breakup Showing Markup'!G$1845:G$1941)</f>
      </c>
    </row>
    <row r="40">
      <c r="A40" s="7" t="s">
        <v>1533</v>
      </c>
      <c r="B40" s="22"/>
      <c r="C40" s="22"/>
      <c r="D40" s="22">
        <f>SUBTOTAL(9,'Trade Breakup Showing Markup'!G$1942:G$2014)</f>
      </c>
    </row>
    <row r="41">
      <c r="A41" s="7" t="s">
        <v>1584</v>
      </c>
      <c r="B41" s="22"/>
      <c r="C41" s="22"/>
      <c r="D41" s="22">
        <f>SUBTOTAL(9,'Trade Breakup Showing Markup'!G$2015:G$2044)</f>
      </c>
    </row>
    <row r="42">
      <c r="A42" s="7" t="s">
        <v>1593</v>
      </c>
      <c r="B42" s="22"/>
      <c r="C42" s="22"/>
      <c r="D42" s="22">
        <f>SUBTOTAL(9,'Trade Breakup Showing Markup'!G$2045:G$2060)</f>
      </c>
    </row>
    <row r="43">
      <c r="A43" s="7"/>
      <c r="B43" s="22"/>
      <c r="C43" s="22"/>
      <c r="D43" s="22">
        <f>SUBTOTAL(9,'Trade Breakup Showing Markup'!G$2061:G$2061)</f>
      </c>
    </row>
    <row r="44">
      <c r="A44" s="7"/>
      <c r="B44" s="22"/>
      <c r="C44" s="22"/>
      <c r="D44" s="22">
        <f>SUBTOTAL(9,'Trade Breakup Showing Markup'!G$2062:G$2062)</f>
      </c>
    </row>
    <row r="45">
      <c r="A45" s="7" t="s">
        <v>26</v>
      </c>
      <c r="B45" s="22"/>
      <c r="C45" s="22"/>
      <c r="D45" s="22">
        <f>SUBTOTAL(9,'Trade Breakup Showing Markup'!G$2063:G$2063)</f>
      </c>
    </row>
    <row r="46">
      <c r="A46" s="7" t="s">
        <v>36</v>
      </c>
      <c r="B46" s="22"/>
      <c r="C46" s="22"/>
      <c r="D46" s="22">
        <f>SUBTOTAL(9,'Trade Breakup Showing Markup'!G$2064:G$2108)</f>
      </c>
    </row>
    <row r="47">
      <c r="A47" s="7" t="s">
        <v>115</v>
      </c>
      <c r="B47" s="22"/>
      <c r="C47" s="22"/>
      <c r="D47" s="22">
        <f>SUBTOTAL(9,'Trade Breakup Showing Markup'!G$2109:G$2181)</f>
      </c>
    </row>
    <row r="48">
      <c r="A48" s="7" t="s">
        <v>207</v>
      </c>
      <c r="B48" s="22"/>
      <c r="C48" s="22"/>
      <c r="D48" s="22">
        <f>SUBTOTAL(9,'Trade Breakup Showing Markup'!G$2182:G$2305)</f>
      </c>
    </row>
    <row r="49">
      <c r="A49" s="7" t="s">
        <v>350</v>
      </c>
      <c r="B49" s="22"/>
      <c r="C49" s="22"/>
      <c r="D49" s="22">
        <f>SUBTOTAL(9,'Trade Breakup Showing Markup'!G$2306:G$2410)</f>
      </c>
    </row>
    <row r="50">
      <c r="A50" s="7" t="s">
        <v>178</v>
      </c>
      <c r="B50" s="22"/>
      <c r="C50" s="22"/>
      <c r="D50" s="22">
        <f>SUBTOTAL(9,'Trade Breakup Showing Markup'!G$2411:G$2486)</f>
      </c>
    </row>
    <row r="51">
      <c r="A51" s="7" t="s">
        <v>484</v>
      </c>
      <c r="B51" s="22"/>
      <c r="C51" s="22"/>
      <c r="D51" s="22">
        <f>SUBTOTAL(9,'Trade Breakup Showing Markup'!G$2487:G$2517)</f>
      </c>
    </row>
    <row r="52">
      <c r="A52" s="7" t="s">
        <v>519</v>
      </c>
      <c r="B52" s="22"/>
      <c r="C52" s="22"/>
      <c r="D52" s="22">
        <f>SUBTOTAL(9,'Trade Breakup Showing Markup'!G$2518:G$2518)</f>
      </c>
    </row>
    <row r="53">
      <c r="A53" s="7" t="s">
        <v>520</v>
      </c>
      <c r="B53" s="22"/>
      <c r="C53" s="22"/>
      <c r="D53" s="22">
        <f>SUBTOTAL(9,'Trade Breakup Showing Markup'!G$2519:G$2666)</f>
      </c>
    </row>
    <row r="54">
      <c r="A54" s="7" t="s">
        <v>631</v>
      </c>
      <c r="B54" s="22"/>
      <c r="C54" s="22"/>
      <c r="D54" s="22">
        <f>SUBTOTAL(9,'Trade Breakup Showing Markup'!G$2667:G$2725)</f>
      </c>
    </row>
    <row r="55">
      <c r="A55" s="7" t="s">
        <v>689</v>
      </c>
      <c r="B55" s="22"/>
      <c r="C55" s="22"/>
      <c r="D55" s="22">
        <f>SUBTOTAL(9,'Trade Breakup Showing Markup'!G$2726:G$2785)</f>
      </c>
    </row>
    <row r="56">
      <c r="A56" s="7" t="s">
        <v>757</v>
      </c>
      <c r="B56" s="22"/>
      <c r="C56" s="22"/>
      <c r="D56" s="22">
        <f>SUBTOTAL(9,'Trade Breakup Showing Markup'!G$2786:G$2853)</f>
      </c>
    </row>
    <row r="57">
      <c r="A57" s="7" t="s">
        <v>828</v>
      </c>
      <c r="B57" s="22"/>
      <c r="C57" s="22"/>
      <c r="D57" s="22">
        <f>SUBTOTAL(9,'Trade Breakup Showing Markup'!G$2854:G$2920)</f>
      </c>
    </row>
    <row r="58">
      <c r="A58" s="7" t="s">
        <v>897</v>
      </c>
      <c r="B58" s="22"/>
      <c r="C58" s="22"/>
      <c r="D58" s="22">
        <f>SUBTOTAL(9,'Trade Breakup Showing Markup'!G$2921:G$2984)</f>
      </c>
    </row>
    <row r="59">
      <c r="A59" s="7" t="s">
        <v>935</v>
      </c>
      <c r="B59" s="22"/>
      <c r="C59" s="22"/>
      <c r="D59" s="22">
        <f>SUBTOTAL(9,'Trade Breakup Showing Markup'!G$2985:G$3124)</f>
      </c>
    </row>
    <row r="60">
      <c r="A60" s="7" t="s">
        <v>1003</v>
      </c>
      <c r="B60" s="22"/>
      <c r="C60" s="22"/>
      <c r="D60" s="22">
        <f>SUBTOTAL(9,'Trade Breakup Showing Markup'!G$3125:G$3125)</f>
      </c>
    </row>
    <row r="61">
      <c r="A61" s="7" t="s">
        <v>1006</v>
      </c>
      <c r="B61" s="22"/>
      <c r="C61" s="22"/>
      <c r="D61" s="22">
        <f>SUBTOTAL(9,'Trade Breakup Showing Markup'!G$3126:G$3191)</f>
      </c>
    </row>
    <row r="62">
      <c r="A62" s="7" t="s">
        <v>1054</v>
      </c>
      <c r="B62" s="22"/>
      <c r="C62" s="22"/>
      <c r="D62" s="22">
        <f>SUBTOTAL(9,'Trade Breakup Showing Markup'!G$3192:G$3236)</f>
      </c>
    </row>
    <row r="63">
      <c r="A63" s="7" t="s">
        <v>1095</v>
      </c>
      <c r="B63" s="22"/>
      <c r="C63" s="22"/>
      <c r="D63" s="22">
        <f>SUBTOTAL(9,'Trade Breakup Showing Markup'!G$3237:G$3279)</f>
      </c>
    </row>
    <row r="64">
      <c r="A64" s="7" t="s">
        <v>1123</v>
      </c>
      <c r="B64" s="22"/>
      <c r="C64" s="22"/>
      <c r="D64" s="22">
        <f>SUBTOTAL(9,'Trade Breakup Showing Markup'!G$3280:G$3324)</f>
      </c>
    </row>
    <row r="65">
      <c r="A65" s="7" t="s">
        <v>1150</v>
      </c>
      <c r="B65" s="22"/>
      <c r="C65" s="22"/>
      <c r="D65" s="22">
        <f>SUBTOTAL(9,'Trade Breakup Showing Markup'!G$3325:G$3325)</f>
      </c>
    </row>
    <row r="66">
      <c r="A66" s="7" t="s">
        <v>1151</v>
      </c>
      <c r="B66" s="22"/>
      <c r="C66" s="22"/>
      <c r="D66" s="22">
        <f>SUBTOTAL(9,'Trade Breakup Showing Markup'!G$3326:G$3347)</f>
      </c>
    </row>
    <row r="67">
      <c r="A67" s="7" t="s">
        <v>1152</v>
      </c>
      <c r="B67" s="22"/>
      <c r="C67" s="22"/>
      <c r="D67" s="22">
        <f>SUBTOTAL(9,'Trade Breakup Showing Markup'!G$3348:G$3407)</f>
      </c>
    </row>
    <row r="68">
      <c r="A68" s="7" t="s">
        <v>1224</v>
      </c>
      <c r="B68" s="22"/>
      <c r="C68" s="22"/>
      <c r="D68" s="22">
        <f>SUBTOTAL(9,'Trade Breakup Showing Markup'!G$3408:G$3482)</f>
      </c>
    </row>
    <row r="69">
      <c r="A69" s="7" t="s">
        <v>1784</v>
      </c>
      <c r="B69" s="22"/>
      <c r="C69" s="22"/>
      <c r="D69" s="22">
        <f>SUBTOTAL(9,'Trade Breakup Showing Markup'!G$3483:G$3483)</f>
      </c>
    </row>
    <row r="70">
      <c r="A70" s="7" t="s">
        <v>1284</v>
      </c>
      <c r="B70" s="22"/>
      <c r="C70" s="22"/>
      <c r="D70" s="22">
        <f>SUBTOTAL(9,'Trade Breakup Showing Markup'!G$3484:G$3507)</f>
      </c>
    </row>
    <row r="71">
      <c r="A71" s="7" t="s">
        <v>1301</v>
      </c>
      <c r="B71" s="22"/>
      <c r="C71" s="22"/>
      <c r="D71" s="22">
        <f>SUBTOTAL(9,'Trade Breakup Showing Markup'!G$3508:G$3584)</f>
      </c>
    </row>
    <row r="72">
      <c r="A72" s="7" t="s">
        <v>1361</v>
      </c>
      <c r="B72" s="22"/>
      <c r="C72" s="22"/>
      <c r="D72" s="22">
        <f>SUBTOTAL(9,'Trade Breakup Showing Markup'!G$3585:G$3609)</f>
      </c>
    </row>
    <row r="73">
      <c r="A73" s="7" t="s">
        <v>1366</v>
      </c>
      <c r="B73" s="22"/>
      <c r="C73" s="22"/>
      <c r="D73" s="22">
        <f>SUBTOTAL(9,'Trade Breakup Showing Markup'!G$3610:G$3653)</f>
      </c>
    </row>
    <row r="74">
      <c r="A74" s="7" t="s">
        <v>1437</v>
      </c>
      <c r="B74" s="22"/>
      <c r="C74" s="22"/>
      <c r="D74" s="22">
        <f>SUBTOTAL(9,'Trade Breakup Showing Markup'!G$3654:G$3654)</f>
      </c>
    </row>
    <row r="75">
      <c r="A75" s="7" t="s">
        <v>1438</v>
      </c>
      <c r="B75" s="22"/>
      <c r="C75" s="22"/>
      <c r="D75" s="22">
        <f>SUBTOTAL(9,'Trade Breakup Showing Markup'!G$3655:G$3655)</f>
      </c>
    </row>
    <row r="76">
      <c r="A76" s="7" t="s">
        <v>1439</v>
      </c>
      <c r="B76" s="22"/>
      <c r="C76" s="22"/>
      <c r="D76" s="22">
        <f>SUBTOTAL(9,'Trade Breakup Showing Markup'!G$3656:G$3656)</f>
      </c>
    </row>
    <row r="77">
      <c r="A77" s="7" t="s">
        <v>1440</v>
      </c>
      <c r="B77" s="22"/>
      <c r="C77" s="22"/>
      <c r="D77" s="22">
        <f>SUBTOTAL(9,'Trade Breakup Showing Markup'!G$3657:G$3657)</f>
      </c>
    </row>
    <row r="78">
      <c r="A78" s="7" t="s">
        <v>1441</v>
      </c>
      <c r="B78" s="22"/>
      <c r="C78" s="22"/>
      <c r="D78" s="22">
        <f>SUBTOTAL(9,'Trade Breakup Showing Markup'!G$3658:G$3679)</f>
      </c>
    </row>
    <row r="79">
      <c r="A79" s="7" t="s">
        <v>1452</v>
      </c>
      <c r="B79" s="22"/>
      <c r="C79" s="22"/>
      <c r="D79" s="22">
        <f>SUBTOTAL(9,'Trade Breakup Showing Markup'!G$3680:G$3680)</f>
      </c>
    </row>
    <row r="80">
      <c r="A80" s="7" t="s">
        <v>1453</v>
      </c>
      <c r="B80" s="22"/>
      <c r="C80" s="22"/>
      <c r="D80" s="22">
        <f>SUBTOTAL(9,'Trade Breakup Showing Markup'!G$3681:G$3681)</f>
      </c>
    </row>
    <row r="81">
      <c r="A81" s="7" t="s">
        <v>1454</v>
      </c>
      <c r="B81" s="22"/>
      <c r="C81" s="22"/>
      <c r="D81" s="22">
        <f>SUBTOTAL(9,'Trade Breakup Showing Markup'!G$3682:G$3771)</f>
      </c>
    </row>
    <row r="82">
      <c r="A82" s="7" t="s">
        <v>1533</v>
      </c>
      <c r="B82" s="22"/>
      <c r="C82" s="22"/>
      <c r="D82" s="22">
        <f>SUBTOTAL(9,'Trade Breakup Showing Markup'!G$3772:G$3817)</f>
      </c>
    </row>
    <row r="83">
      <c r="A83" s="7" t="s">
        <v>1841</v>
      </c>
      <c r="B83" s="22"/>
      <c r="C83" s="22"/>
      <c r="D83" s="22">
        <f>SUBTOTAL(9,'Trade Breakup Showing Markup'!G$3818:G$3838)</f>
      </c>
    </row>
    <row r="84">
      <c r="A84" s="7"/>
      <c r="B84" s="22"/>
      <c r="C84" s="22"/>
      <c r="D84" s="22">
        <f>SUBTOTAL(9,'Trade Breakup Showing Markup'!G$3839:G$3839)</f>
      </c>
    </row>
    <row r="85">
      <c r="A85" s="7"/>
      <c r="B85" s="22"/>
      <c r="C85" s="22"/>
      <c r="D85" s="22">
        <f>SUBTOTAL(9,'Trade Breakup Showing Markup'!G$3840:G$3840)</f>
      </c>
    </row>
    <row r="86">
      <c r="A86" s="7" t="s">
        <v>29</v>
      </c>
      <c r="B86" s="22"/>
      <c r="C86" s="22"/>
      <c r="D86" s="22">
        <f>SUBTOTAL(9,'Trade Breakup Showing Markup'!G$3841:G$3841)</f>
      </c>
    </row>
    <row r="87">
      <c r="A87" s="7" t="s">
        <v>36</v>
      </c>
      <c r="B87" s="22"/>
      <c r="C87" s="22"/>
      <c r="D87" s="22">
        <f>SUBTOTAL(9,'Trade Breakup Showing Markup'!G$3842:G$3885)</f>
      </c>
    </row>
    <row r="88">
      <c r="A88" s="7" t="s">
        <v>207</v>
      </c>
      <c r="B88" s="22"/>
      <c r="C88" s="22"/>
      <c r="D88" s="22">
        <f>SUBTOTAL(9,'Trade Breakup Showing Markup'!G$3886:G$3958)</f>
      </c>
    </row>
    <row r="89">
      <c r="A89" s="7" t="s">
        <v>350</v>
      </c>
      <c r="B89" s="22"/>
      <c r="C89" s="22"/>
      <c r="D89" s="22">
        <f>SUBTOTAL(9,'Trade Breakup Showing Markup'!G$3959:G$4008)</f>
      </c>
    </row>
    <row r="90">
      <c r="A90" s="7" t="s">
        <v>178</v>
      </c>
      <c r="B90" s="22"/>
      <c r="C90" s="22"/>
      <c r="D90" s="22">
        <f>SUBTOTAL(9,'Trade Breakup Showing Markup'!G$4009:G$4051)</f>
      </c>
    </row>
    <row r="91">
      <c r="A91" s="7" t="s">
        <v>519</v>
      </c>
      <c r="B91" s="22"/>
      <c r="C91" s="22"/>
      <c r="D91" s="22">
        <f>SUBTOTAL(9,'Trade Breakup Showing Markup'!G$4052:G$4153)</f>
      </c>
    </row>
    <row r="92">
      <c r="A92" s="7" t="s">
        <v>520</v>
      </c>
      <c r="B92" s="22"/>
      <c r="C92" s="22"/>
      <c r="D92" s="22">
        <f>SUBTOTAL(9,'Trade Breakup Showing Markup'!G$4154:G$4270)</f>
      </c>
    </row>
    <row r="93">
      <c r="A93" s="7" t="s">
        <v>631</v>
      </c>
      <c r="B93" s="22"/>
      <c r="C93" s="22"/>
      <c r="D93" s="22">
        <f>SUBTOTAL(9,'Trade Breakup Showing Markup'!G$4271:G$4308)</f>
      </c>
    </row>
    <row r="94">
      <c r="A94" s="7" t="s">
        <v>689</v>
      </c>
      <c r="B94" s="22"/>
      <c r="C94" s="22"/>
      <c r="D94" s="22">
        <f>SUBTOTAL(9,'Trade Breakup Showing Markup'!G$4309:G$4369)</f>
      </c>
    </row>
    <row r="95">
      <c r="A95" s="7" t="s">
        <v>757</v>
      </c>
      <c r="B95" s="22"/>
      <c r="C95" s="22"/>
      <c r="D95" s="22">
        <f>SUBTOTAL(9,'Trade Breakup Showing Markup'!G$4370:G$4427)</f>
      </c>
    </row>
    <row r="96">
      <c r="A96" s="7" t="s">
        <v>828</v>
      </c>
      <c r="B96" s="22"/>
      <c r="C96" s="22"/>
      <c r="D96" s="22">
        <f>SUBTOTAL(9,'Trade Breakup Showing Markup'!G$4428:G$4475)</f>
      </c>
    </row>
    <row r="97">
      <c r="A97" s="7" t="s">
        <v>897</v>
      </c>
      <c r="B97" s="22"/>
      <c r="C97" s="22"/>
      <c r="D97" s="22">
        <f>SUBTOTAL(9,'Trade Breakup Showing Markup'!G$4476:G$4526)</f>
      </c>
    </row>
    <row r="98">
      <c r="A98" s="7" t="s">
        <v>935</v>
      </c>
      <c r="B98" s="22"/>
      <c r="C98" s="22"/>
      <c r="D98" s="22">
        <f>SUBTOTAL(9,'Trade Breakup Showing Markup'!G$4527:G$4628)</f>
      </c>
    </row>
    <row r="99">
      <c r="A99" s="7" t="s">
        <v>1003</v>
      </c>
      <c r="B99" s="22"/>
      <c r="C99" s="22"/>
      <c r="D99" s="22">
        <f>SUBTOTAL(9,'Trade Breakup Showing Markup'!G$4629:G$4658)</f>
      </c>
    </row>
    <row r="100">
      <c r="A100" s="7" t="s">
        <v>1006</v>
      </c>
      <c r="B100" s="22"/>
      <c r="C100" s="22"/>
      <c r="D100" s="22">
        <f>SUBTOTAL(9,'Trade Breakup Showing Markup'!G$4659:G$4719)</f>
      </c>
    </row>
    <row r="101">
      <c r="A101" s="7" t="s">
        <v>1054</v>
      </c>
      <c r="B101" s="22"/>
      <c r="C101" s="22"/>
      <c r="D101" s="22">
        <f>SUBTOTAL(9,'Trade Breakup Showing Markup'!G$4720:G$4760)</f>
      </c>
    </row>
    <row r="102">
      <c r="A102" s="7" t="s">
        <v>1095</v>
      </c>
      <c r="B102" s="22"/>
      <c r="C102" s="22"/>
      <c r="D102" s="22">
        <f>SUBTOTAL(9,'Trade Breakup Showing Markup'!G$4761:G$4788)</f>
      </c>
    </row>
    <row r="103">
      <c r="A103" s="7" t="s">
        <v>1123</v>
      </c>
      <c r="B103" s="22"/>
      <c r="C103" s="22"/>
      <c r="D103" s="22">
        <f>SUBTOTAL(9,'Trade Breakup Showing Markup'!G$4789:G$4829)</f>
      </c>
    </row>
    <row r="104">
      <c r="A104" s="7" t="s">
        <v>1150</v>
      </c>
      <c r="B104" s="22"/>
      <c r="C104" s="22"/>
      <c r="D104" s="22">
        <f>SUBTOTAL(9,'Trade Breakup Showing Markup'!G$4830:G$4864)</f>
      </c>
    </row>
    <row r="105">
      <c r="A105" s="7" t="s">
        <v>1151</v>
      </c>
      <c r="B105" s="22"/>
      <c r="C105" s="22"/>
      <c r="D105" s="22">
        <f>SUBTOTAL(9,'Trade Breakup Showing Markup'!G$4865:G$4886)</f>
      </c>
    </row>
    <row r="106">
      <c r="A106" s="7" t="s">
        <v>1152</v>
      </c>
      <c r="B106" s="22"/>
      <c r="C106" s="22"/>
      <c r="D106" s="22">
        <f>SUBTOTAL(9,'Trade Breakup Showing Markup'!G$4887:G$4942)</f>
      </c>
    </row>
    <row r="107">
      <c r="A107" s="7" t="s">
        <v>1224</v>
      </c>
      <c r="B107" s="22"/>
      <c r="C107" s="22"/>
      <c r="D107" s="22">
        <f>SUBTOTAL(9,'Trade Breakup Showing Markup'!G$4943:G$4982)</f>
      </c>
    </row>
    <row r="108">
      <c r="A108" s="7" t="s">
        <v>1784</v>
      </c>
      <c r="B108" s="22"/>
      <c r="C108" s="22"/>
      <c r="D108" s="22">
        <f>SUBTOTAL(9,'Trade Breakup Showing Markup'!G$4983:G$4983)</f>
      </c>
    </row>
    <row r="109">
      <c r="A109" s="7" t="s">
        <v>1284</v>
      </c>
      <c r="B109" s="22"/>
      <c r="C109" s="22"/>
      <c r="D109" s="22">
        <f>SUBTOTAL(9,'Trade Breakup Showing Markup'!G$4984:G$5004)</f>
      </c>
    </row>
    <row r="110">
      <c r="A110" s="7" t="s">
        <v>1301</v>
      </c>
      <c r="B110" s="22"/>
      <c r="C110" s="22"/>
      <c r="D110" s="22">
        <f>SUBTOTAL(9,'Trade Breakup Showing Markup'!G$5005:G$5072)</f>
      </c>
    </row>
    <row r="111">
      <c r="A111" s="7" t="s">
        <v>1361</v>
      </c>
      <c r="B111" s="22"/>
      <c r="C111" s="22"/>
      <c r="D111" s="22">
        <f>SUBTOTAL(9,'Trade Breakup Showing Markup'!G$5073:G$5095)</f>
      </c>
    </row>
    <row r="112">
      <c r="A112" s="7" t="s">
        <v>1366</v>
      </c>
      <c r="B112" s="22"/>
      <c r="C112" s="22"/>
      <c r="D112" s="22">
        <f>SUBTOTAL(9,'Trade Breakup Showing Markup'!G$5096:G$5136)</f>
      </c>
    </row>
    <row r="113">
      <c r="A113" s="7" t="s">
        <v>1437</v>
      </c>
      <c r="B113" s="22"/>
      <c r="C113" s="22"/>
      <c r="D113" s="22">
        <f>SUBTOTAL(9,'Trade Breakup Showing Markup'!G$5137:G$5137)</f>
      </c>
    </row>
    <row r="114">
      <c r="A114" s="7" t="s">
        <v>1438</v>
      </c>
      <c r="B114" s="22"/>
      <c r="C114" s="22"/>
      <c r="D114" s="22">
        <f>SUBTOTAL(9,'Trade Breakup Showing Markup'!G$5138:G$5138)</f>
      </c>
    </row>
    <row r="115">
      <c r="A115" s="7" t="s">
        <v>1439</v>
      </c>
      <c r="B115" s="22"/>
      <c r="C115" s="22"/>
      <c r="D115" s="22">
        <f>SUBTOTAL(9,'Trade Breakup Showing Markup'!G$5139:G$5139)</f>
      </c>
    </row>
    <row r="116">
      <c r="A116" s="7" t="s">
        <v>1440</v>
      </c>
      <c r="B116" s="22"/>
      <c r="C116" s="22"/>
      <c r="D116" s="22">
        <f>SUBTOTAL(9,'Trade Breakup Showing Markup'!G$5140:G$5140)</f>
      </c>
    </row>
    <row r="117">
      <c r="A117" s="7" t="s">
        <v>2063</v>
      </c>
      <c r="B117" s="22"/>
      <c r="C117" s="22"/>
      <c r="D117" s="22">
        <f>SUBTOTAL(9,'Trade Breakup Showing Markup'!G$5141:G$5141)</f>
      </c>
    </row>
    <row r="118">
      <c r="A118" s="7" t="s">
        <v>1454</v>
      </c>
      <c r="B118" s="22"/>
      <c r="C118" s="22"/>
      <c r="D118" s="22">
        <f>SUBTOTAL(9,'Trade Breakup Showing Markup'!G$5142:G$5243)</f>
      </c>
    </row>
    <row r="119">
      <c r="A119" s="7" t="s">
        <v>1533</v>
      </c>
      <c r="B119" s="22"/>
      <c r="C119" s="22"/>
      <c r="D119" s="22">
        <f>SUBTOTAL(9,'Trade Breakup Showing Markup'!G$5244:G$5288)</f>
      </c>
    </row>
    <row r="120">
      <c r="A120" s="7" t="s">
        <v>1452</v>
      </c>
      <c r="B120" s="22"/>
      <c r="C120" s="22"/>
      <c r="D120" s="22">
        <f>SUBTOTAL(9,'Trade Breakup Showing Markup'!G$5289:G$5289)</f>
      </c>
    </row>
    <row r="121">
      <c r="A121" s="7" t="s">
        <v>1453</v>
      </c>
      <c r="B121" s="22"/>
      <c r="C121" s="22"/>
      <c r="D121" s="22">
        <f>SUBTOTAL(9,'Trade Breakup Showing Markup'!G$5290:G$5290)</f>
      </c>
    </row>
    <row r="122">
      <c r="A122" s="7" t="s">
        <v>1841</v>
      </c>
      <c r="B122" s="22"/>
      <c r="C122" s="22"/>
      <c r="D122" s="22">
        <f>SUBTOTAL(9,'Trade Breakup Showing Markup'!G$5291:G$5315)</f>
      </c>
    </row>
    <row r="123">
      <c r="A123" s="7"/>
      <c r="B123" s="22"/>
      <c r="C123" s="22"/>
      <c r="D123" s="22">
        <f>SUBTOTAL(9,'Trade Breakup Showing Markup'!G$5316:G$5316)</f>
      </c>
    </row>
    <row r="124">
      <c r="A124" s="7"/>
      <c r="B124" s="22"/>
      <c r="C124" s="22"/>
      <c r="D124" s="22">
        <f>SUBTOTAL(9,'Trade Breakup Showing Markup'!G$5317:G$5317)</f>
      </c>
    </row>
    <row r="125">
      <c r="A125" s="7" t="s">
        <v>31</v>
      </c>
      <c r="B125" s="22"/>
      <c r="C125" s="22"/>
      <c r="D125" s="22">
        <f>SUBTOTAL(9,'Trade Breakup Showing Markup'!G$5318:G$5318)</f>
      </c>
    </row>
    <row r="126">
      <c r="A126" s="7" t="s">
        <v>36</v>
      </c>
      <c r="B126" s="22"/>
      <c r="C126" s="22"/>
      <c r="D126" s="22">
        <f>SUBTOTAL(9,'Trade Breakup Showing Markup'!G$5319:G$5361)</f>
      </c>
    </row>
    <row r="127">
      <c r="A127" s="7" t="s">
        <v>207</v>
      </c>
      <c r="B127" s="22"/>
      <c r="C127" s="22"/>
      <c r="D127" s="22">
        <f>SUBTOTAL(9,'Trade Breakup Showing Markup'!G$5362:G$5422)</f>
      </c>
    </row>
    <row r="128">
      <c r="A128" s="7" t="s">
        <v>350</v>
      </c>
      <c r="B128" s="22"/>
      <c r="C128" s="22"/>
      <c r="D128" s="22">
        <f>SUBTOTAL(9,'Trade Breakup Showing Markup'!G$5423:G$5465)</f>
      </c>
    </row>
    <row r="129">
      <c r="A129" s="7" t="s">
        <v>178</v>
      </c>
      <c r="B129" s="22"/>
      <c r="C129" s="22"/>
      <c r="D129" s="22">
        <f>SUBTOTAL(9,'Trade Breakup Showing Markup'!G$5466:G$5509)</f>
      </c>
    </row>
    <row r="130">
      <c r="A130" s="7" t="s">
        <v>2145</v>
      </c>
      <c r="B130" s="22"/>
      <c r="C130" s="22"/>
      <c r="D130" s="22">
        <f>SUBTOTAL(9,'Trade Breakup Showing Markup'!G$5510:G$5510)</f>
      </c>
    </row>
    <row r="131">
      <c r="A131" s="7" t="s">
        <v>519</v>
      </c>
      <c r="B131" s="22"/>
      <c r="C131" s="22"/>
      <c r="D131" s="22">
        <f>SUBTOTAL(9,'Trade Breakup Showing Markup'!G$5511:G$5511)</f>
      </c>
    </row>
    <row r="132">
      <c r="A132" s="7" t="s">
        <v>520</v>
      </c>
      <c r="B132" s="22"/>
      <c r="C132" s="22"/>
      <c r="D132" s="22">
        <f>SUBTOTAL(9,'Trade Breakup Showing Markup'!G$5512:G$5549)</f>
      </c>
    </row>
    <row r="133">
      <c r="A133" s="7" t="s">
        <v>631</v>
      </c>
      <c r="B133" s="22"/>
      <c r="C133" s="22"/>
      <c r="D133" s="22">
        <f>SUBTOTAL(9,'Trade Breakup Showing Markup'!G$5550:G$5587)</f>
      </c>
    </row>
    <row r="134">
      <c r="A134" s="7" t="s">
        <v>689</v>
      </c>
      <c r="B134" s="22"/>
      <c r="C134" s="22"/>
      <c r="D134" s="22">
        <f>SUBTOTAL(9,'Trade Breakup Showing Markup'!G$5588:G$5637)</f>
      </c>
    </row>
    <row r="135">
      <c r="A135" s="7" t="s">
        <v>757</v>
      </c>
      <c r="B135" s="22"/>
      <c r="C135" s="22"/>
      <c r="D135" s="22">
        <f>SUBTOTAL(9,'Trade Breakup Showing Markup'!G$5638:G$5695)</f>
      </c>
    </row>
    <row r="136">
      <c r="A136" s="7" t="s">
        <v>828</v>
      </c>
      <c r="B136" s="22"/>
      <c r="C136" s="22"/>
      <c r="D136" s="22">
        <f>SUBTOTAL(9,'Trade Breakup Showing Markup'!G$5696:G$5763)</f>
      </c>
    </row>
    <row r="137">
      <c r="A137" s="7" t="s">
        <v>897</v>
      </c>
      <c r="B137" s="22"/>
      <c r="C137" s="22"/>
      <c r="D137" s="22">
        <f>SUBTOTAL(9,'Trade Breakup Showing Markup'!G$5764:G$5810)</f>
      </c>
    </row>
    <row r="138">
      <c r="A138" s="7" t="s">
        <v>935</v>
      </c>
      <c r="B138" s="22"/>
      <c r="C138" s="22"/>
      <c r="D138" s="22">
        <f>SUBTOTAL(9,'Trade Breakup Showing Markup'!G$5811:G$5904)</f>
      </c>
    </row>
    <row r="139">
      <c r="A139" s="7" t="s">
        <v>1003</v>
      </c>
      <c r="B139" s="22"/>
      <c r="C139" s="22"/>
      <c r="D139" s="22">
        <f>SUBTOTAL(9,'Trade Breakup Showing Markup'!G$5905:G$5905)</f>
      </c>
    </row>
    <row r="140">
      <c r="A140" s="7" t="s">
        <v>1006</v>
      </c>
      <c r="B140" s="22"/>
      <c r="C140" s="22"/>
      <c r="D140" s="22">
        <f>SUBTOTAL(9,'Trade Breakup Showing Markup'!G$5906:G$5971)</f>
      </c>
    </row>
    <row r="141">
      <c r="A141" s="7" t="s">
        <v>1054</v>
      </c>
      <c r="B141" s="22"/>
      <c r="C141" s="22"/>
      <c r="D141" s="22">
        <f>SUBTOTAL(9,'Trade Breakup Showing Markup'!G$5972:G$5997)</f>
      </c>
    </row>
    <row r="142">
      <c r="A142" s="7" t="s">
        <v>1095</v>
      </c>
      <c r="B142" s="22"/>
      <c r="C142" s="22"/>
      <c r="D142" s="22">
        <f>SUBTOTAL(9,'Trade Breakup Showing Markup'!G$5998:G$6025)</f>
      </c>
    </row>
    <row r="143">
      <c r="A143" s="7" t="s">
        <v>1123</v>
      </c>
      <c r="B143" s="22"/>
      <c r="C143" s="22"/>
      <c r="D143" s="22">
        <f>SUBTOTAL(9,'Trade Breakup Showing Markup'!G$6026:G$6074)</f>
      </c>
    </row>
    <row r="144">
      <c r="A144" s="7" t="s">
        <v>1150</v>
      </c>
      <c r="B144" s="22"/>
      <c r="C144" s="22"/>
      <c r="D144" s="22">
        <f>SUBTOTAL(9,'Trade Breakup Showing Markup'!G$6075:G$6075)</f>
      </c>
    </row>
    <row r="145">
      <c r="A145" s="7" t="s">
        <v>1151</v>
      </c>
      <c r="B145" s="22"/>
      <c r="C145" s="22"/>
      <c r="D145" s="22">
        <f>SUBTOTAL(9,'Trade Breakup Showing Markup'!G$6076:G$6076)</f>
      </c>
    </row>
    <row r="146">
      <c r="A146" s="7" t="s">
        <v>1152</v>
      </c>
      <c r="B146" s="22"/>
      <c r="C146" s="22"/>
      <c r="D146" s="22">
        <f>SUBTOTAL(9,'Trade Breakup Showing Markup'!G$6077:G$6141)</f>
      </c>
    </row>
    <row r="147">
      <c r="A147" s="7" t="s">
        <v>1224</v>
      </c>
      <c r="B147" s="22"/>
      <c r="C147" s="22"/>
      <c r="D147" s="22">
        <f>SUBTOTAL(9,'Trade Breakup Showing Markup'!G$6142:G$6174)</f>
      </c>
    </row>
    <row r="148">
      <c r="A148" s="7" t="s">
        <v>1279</v>
      </c>
      <c r="B148" s="22"/>
      <c r="C148" s="22"/>
      <c r="D148" s="22">
        <f>SUBTOTAL(9,'Trade Breakup Showing Markup'!G$6175:G$6203)</f>
      </c>
    </row>
    <row r="149">
      <c r="A149" s="7" t="s">
        <v>1284</v>
      </c>
      <c r="B149" s="22"/>
      <c r="C149" s="22"/>
      <c r="D149" s="22">
        <f>SUBTOTAL(9,'Trade Breakup Showing Markup'!G$6204:G$6224)</f>
      </c>
    </row>
    <row r="150">
      <c r="A150" s="7" t="s">
        <v>1301</v>
      </c>
      <c r="B150" s="22"/>
      <c r="C150" s="22"/>
      <c r="D150" s="22">
        <f>SUBTOTAL(9,'Trade Breakup Showing Markup'!G$6225:G$6294)</f>
      </c>
    </row>
    <row r="151">
      <c r="A151" s="7" t="s">
        <v>1361</v>
      </c>
      <c r="B151" s="22"/>
      <c r="C151" s="22"/>
      <c r="D151" s="22">
        <f>SUBTOTAL(9,'Trade Breakup Showing Markup'!G$6295:G$6315)</f>
      </c>
    </row>
    <row r="152">
      <c r="A152" s="7" t="s">
        <v>1366</v>
      </c>
      <c r="B152" s="22"/>
      <c r="C152" s="22"/>
      <c r="D152" s="22">
        <f>SUBTOTAL(9,'Trade Breakup Showing Markup'!G$6316:G$6353)</f>
      </c>
    </row>
    <row r="153">
      <c r="A153" s="7" t="s">
        <v>1437</v>
      </c>
      <c r="B153" s="22"/>
      <c r="C153" s="22"/>
      <c r="D153" s="22">
        <f>SUBTOTAL(9,'Trade Breakup Showing Markup'!G$6354:G$6354)</f>
      </c>
    </row>
    <row r="154">
      <c r="A154" s="7" t="s">
        <v>1438</v>
      </c>
      <c r="B154" s="22"/>
      <c r="C154" s="22"/>
      <c r="D154" s="22">
        <f>SUBTOTAL(9,'Trade Breakup Showing Markup'!G$6355:G$6355)</f>
      </c>
    </row>
    <row r="155">
      <c r="A155" s="7" t="s">
        <v>1439</v>
      </c>
      <c r="B155" s="22"/>
      <c r="C155" s="22"/>
      <c r="D155" s="22">
        <f>SUBTOTAL(9,'Trade Breakup Showing Markup'!G$6356:G$6356)</f>
      </c>
    </row>
    <row r="156">
      <c r="A156" s="7" t="s">
        <v>1440</v>
      </c>
      <c r="B156" s="22"/>
      <c r="C156" s="22"/>
      <c r="D156" s="22">
        <f>SUBTOTAL(9,'Trade Breakup Showing Markup'!G$6357:G$6357)</f>
      </c>
    </row>
    <row r="157">
      <c r="A157" s="7" t="s">
        <v>1441</v>
      </c>
      <c r="B157" s="22"/>
      <c r="C157" s="22"/>
      <c r="D157" s="22">
        <f>SUBTOTAL(9,'Trade Breakup Showing Markup'!G$6358:G$6379)</f>
      </c>
    </row>
    <row r="158">
      <c r="A158" s="7" t="s">
        <v>1452</v>
      </c>
      <c r="B158" s="22"/>
      <c r="C158" s="22"/>
      <c r="D158" s="22">
        <f>SUBTOTAL(9,'Trade Breakup Showing Markup'!G$6380:G$6380)</f>
      </c>
    </row>
    <row r="159">
      <c r="A159" s="7" t="s">
        <v>1453</v>
      </c>
      <c r="B159" s="22"/>
      <c r="C159" s="22"/>
      <c r="D159" s="22">
        <f>SUBTOTAL(9,'Trade Breakup Showing Markup'!G$6381:G$6381)</f>
      </c>
    </row>
    <row r="160">
      <c r="A160" s="7" t="s">
        <v>1454</v>
      </c>
      <c r="B160" s="22"/>
      <c r="C160" s="22"/>
      <c r="D160" s="22">
        <f>SUBTOTAL(9,'Trade Breakup Showing Markup'!G$6382:G$6475)</f>
      </c>
    </row>
    <row r="161">
      <c r="A161" s="7" t="s">
        <v>1533</v>
      </c>
      <c r="B161" s="22"/>
      <c r="C161" s="22"/>
      <c r="D161" s="22">
        <f>SUBTOTAL(9,'Trade Breakup Showing Markup'!G$6476:G$6530)</f>
      </c>
    </row>
    <row r="162">
      <c r="A162" s="7" t="s">
        <v>1841</v>
      </c>
      <c r="B162" s="22"/>
      <c r="C162" s="22"/>
      <c r="D162" s="22">
        <f>SUBTOTAL(9,'Trade Breakup Showing Markup'!G$6531:G$6555)</f>
      </c>
    </row>
    <row r="163">
      <c r="A163" s="7"/>
      <c r="B163" s="22"/>
      <c r="C163" s="22"/>
      <c r="D163" s="22">
        <f>SUBTOTAL(9,'Trade Breakup Showing Markup'!G$6556:G$6556)</f>
      </c>
    </row>
    <row r="164">
      <c r="A164" s="7"/>
      <c r="B164" s="22"/>
      <c r="C164" s="22"/>
      <c r="D164" s="22">
        <f>SUBTOTAL(9,'Trade Breakup Showing Markup'!G$6557:G$6557)</f>
      </c>
    </row>
    <row r="165">
      <c r="A165" s="7" t="s">
        <v>33</v>
      </c>
      <c r="B165" s="22"/>
      <c r="C165" s="22"/>
      <c r="D165" s="22">
        <f>SUBTOTAL(9,'Trade Breakup Showing Markup'!G$6558:G$6558)</f>
      </c>
    </row>
    <row r="166">
      <c r="A166" s="7" t="s">
        <v>2290</v>
      </c>
      <c r="B166" s="22"/>
      <c r="C166" s="22"/>
      <c r="D166" s="22">
        <f>SUBTOTAL(9,'Trade Breakup Showing Markup'!G$6559:G$6601)</f>
      </c>
    </row>
    <row r="167">
      <c r="A167" s="7" t="s">
        <v>2319</v>
      </c>
      <c r="B167" s="22"/>
      <c r="C167" s="22"/>
      <c r="D167" s="22">
        <f>SUBTOTAL(9,'Trade Breakup Showing Markup'!G$6602:G$6664)</f>
      </c>
    </row>
    <row r="168">
      <c r="A168" s="7" t="s">
        <v>2345</v>
      </c>
      <c r="B168" s="22"/>
      <c r="C168" s="22"/>
      <c r="D168" s="22">
        <f>SUBTOTAL(9,'Trade Breakup Showing Markup'!G$6665:G$6665)</f>
      </c>
    </row>
    <row r="169">
      <c r="A169" s="7" t="s">
        <v>36</v>
      </c>
      <c r="B169" s="22"/>
      <c r="C169" s="22"/>
      <c r="D169" s="22">
        <f>SUBTOTAL(9,'Trade Breakup Showing Markup'!G$6666:G$6710)</f>
      </c>
    </row>
    <row r="170">
      <c r="A170" s="7" t="s">
        <v>115</v>
      </c>
      <c r="B170" s="22"/>
      <c r="C170" s="22"/>
      <c r="D170" s="22">
        <f>SUBTOTAL(9,'Trade Breakup Showing Markup'!G$6711:G$6769)</f>
      </c>
    </row>
    <row r="171">
      <c r="A171" s="7" t="s">
        <v>207</v>
      </c>
      <c r="B171" s="22"/>
      <c r="C171" s="22"/>
      <c r="D171" s="22">
        <f>SUBTOTAL(9,'Trade Breakup Showing Markup'!G$6770:G$6830)</f>
      </c>
    </row>
    <row r="172">
      <c r="A172" s="7" t="s">
        <v>350</v>
      </c>
      <c r="B172" s="22"/>
      <c r="C172" s="22"/>
      <c r="D172" s="22">
        <f>SUBTOTAL(9,'Trade Breakup Showing Markup'!G$6831:G$6881)</f>
      </c>
    </row>
    <row r="173">
      <c r="A173" s="7" t="s">
        <v>178</v>
      </c>
      <c r="B173" s="22"/>
      <c r="C173" s="22"/>
      <c r="D173" s="22">
        <f>SUBTOTAL(9,'Trade Breakup Showing Markup'!G$6882:G$6927)</f>
      </c>
    </row>
    <row r="174">
      <c r="A174" s="7" t="s">
        <v>484</v>
      </c>
      <c r="B174" s="22"/>
      <c r="C174" s="22"/>
      <c r="D174" s="22">
        <f>SUBTOTAL(9,'Trade Breakup Showing Markup'!G$6928:G$6961)</f>
      </c>
    </row>
    <row r="175">
      <c r="A175" s="7" t="s">
        <v>520</v>
      </c>
      <c r="B175" s="22"/>
      <c r="C175" s="22"/>
      <c r="D175" s="22">
        <f>SUBTOTAL(9,'Trade Breakup Showing Markup'!G$6962:G$7030)</f>
      </c>
    </row>
    <row r="176">
      <c r="A176" s="7" t="s">
        <v>631</v>
      </c>
      <c r="B176" s="22"/>
      <c r="C176" s="22"/>
      <c r="D176" s="22">
        <f>SUBTOTAL(9,'Trade Breakup Showing Markup'!G$7031:G$7031)</f>
      </c>
    </row>
    <row r="177">
      <c r="A177" s="7" t="s">
        <v>757</v>
      </c>
      <c r="B177" s="22"/>
      <c r="C177" s="22"/>
      <c r="D177" s="22">
        <f>SUBTOTAL(9,'Trade Breakup Showing Markup'!G$7032:G$7081)</f>
      </c>
    </row>
    <row r="178">
      <c r="A178" s="7" t="s">
        <v>689</v>
      </c>
      <c r="B178" s="22"/>
      <c r="C178" s="22"/>
      <c r="D178" s="22">
        <f>SUBTOTAL(9,'Trade Breakup Showing Markup'!G$7082:G$7126)</f>
      </c>
    </row>
    <row r="179">
      <c r="A179" s="7" t="s">
        <v>2381</v>
      </c>
      <c r="B179" s="22"/>
      <c r="C179" s="22"/>
      <c r="D179" s="22">
        <f>SUBTOTAL(9,'Trade Breakup Showing Markup'!G$7127:G$7173)</f>
      </c>
    </row>
    <row r="180">
      <c r="A180" s="7" t="s">
        <v>1006</v>
      </c>
      <c r="B180" s="22"/>
      <c r="C180" s="22"/>
      <c r="D180" s="22">
        <f>SUBTOTAL(9,'Trade Breakup Showing Markup'!G$7174:G$7208)</f>
      </c>
    </row>
    <row r="181">
      <c r="A181" s="7" t="s">
        <v>1123</v>
      </c>
      <c r="B181" s="22"/>
      <c r="C181" s="22"/>
      <c r="D181" s="22">
        <f>SUBTOTAL(9,'Trade Breakup Showing Markup'!G$7209:G$7239)</f>
      </c>
    </row>
    <row r="182">
      <c r="A182" s="7" t="s">
        <v>1224</v>
      </c>
      <c r="B182" s="22"/>
      <c r="C182" s="22"/>
      <c r="D182" s="22">
        <f>SUBTOTAL(9,'Trade Breakup Showing Markup'!G$7240:G$7273)</f>
      </c>
    </row>
    <row r="183">
      <c r="A183" s="7" t="s">
        <v>2398</v>
      </c>
      <c r="B183" s="22"/>
      <c r="C183" s="22"/>
      <c r="D183" s="22">
        <f>SUBTOTAL(9,'Trade Breakup Showing Markup'!G$7274:G$7316)</f>
      </c>
    </row>
    <row r="184">
      <c r="A184" s="7" t="s">
        <v>1301</v>
      </c>
      <c r="B184" s="22"/>
      <c r="C184" s="22"/>
      <c r="D184" s="22">
        <f>SUBTOTAL(9,'Trade Breakup Showing Markup'!G$7317:G$7357)</f>
      </c>
    </row>
    <row r="185">
      <c r="A185" s="7" t="s">
        <v>1366</v>
      </c>
      <c r="B185" s="22"/>
      <c r="C185" s="22"/>
      <c r="D185" s="22">
        <f>SUBTOTAL(9,'Trade Breakup Showing Markup'!G$7358:G$7380)</f>
      </c>
    </row>
    <row r="186">
      <c r="A186" s="7" t="s">
        <v>2444</v>
      </c>
      <c r="B186" s="22"/>
      <c r="C186" s="22"/>
      <c r="D186" s="22">
        <f>SUBTOTAL(9,'Trade Breakup Showing Markup'!G$7381:G$7650)</f>
      </c>
    </row>
    <row r="187">
      <c r="A187" s="7" t="s">
        <v>2662</v>
      </c>
      <c r="B187" s="22"/>
      <c r="C187" s="22"/>
      <c r="D187" s="22">
        <f>SUBTOTAL(9,'Trade Breakup Showing Markup'!G$7651:G$7871)</f>
      </c>
    </row>
    <row r="188">
      <c r="A188" s="7" t="s">
        <v>2830</v>
      </c>
      <c r="B188" s="22"/>
      <c r="C188" s="22"/>
      <c r="D188" s="22">
        <f>SUBTOTAL(9,'Trade Breakup Showing Markup'!G$7872:G$7872)</f>
      </c>
    </row>
    <row r="189">
      <c r="A189" s="7" t="s">
        <v>2831</v>
      </c>
      <c r="B189" s="22"/>
      <c r="C189" s="22"/>
      <c r="D189" s="22">
        <f>SUBTOTAL(9,'Trade Breakup Showing Markup'!G$7873:G$7921)</f>
      </c>
    </row>
    <row r="190">
      <c r="A190" s="7" t="s">
        <v>2874</v>
      </c>
      <c r="B190" s="22"/>
      <c r="C190" s="22"/>
      <c r="D190" s="22">
        <f>SUBTOTAL(9,'Trade Breakup Showing Markup'!G$7922:G$7922)</f>
      </c>
    </row>
    <row r="191">
      <c r="A191" s="7" t="s">
        <v>2875</v>
      </c>
      <c r="B191" s="22"/>
      <c r="C191" s="22"/>
      <c r="D191" s="22">
        <f>SUBTOTAL(9,'Trade Breakup Showing Markup'!G$7923:G$7923)</f>
      </c>
    </row>
    <row r="192">
      <c r="A192" s="7" t="s">
        <v>2876</v>
      </c>
      <c r="B192" s="22"/>
      <c r="C192" s="22"/>
      <c r="D192" s="22">
        <f>SUBTOTAL(9,'Trade Breakup Showing Markup'!G$7924:G$7924)</f>
      </c>
    </row>
    <row r="193">
      <c r="A193" s="7" t="s">
        <v>2877</v>
      </c>
      <c r="B193" s="22"/>
      <c r="C193" s="22"/>
      <c r="D193" s="22">
        <f>SUBTOTAL(9,'Trade Breakup Showing Markup'!G$7925:G$7925)</f>
      </c>
    </row>
    <row r="194">
      <c r="A194" s="7" t="s">
        <v>2878</v>
      </c>
      <c r="B194" s="22"/>
      <c r="C194" s="22"/>
      <c r="D194" s="22">
        <f>SUBTOTAL(9,'Trade Breakup Showing Markup'!G$7926:G$7926)</f>
      </c>
    </row>
    <row r="195">
      <c r="A195" s="7" t="s">
        <v>2879</v>
      </c>
      <c r="B195" s="22"/>
      <c r="C195" s="22"/>
      <c r="D195" s="22">
        <f>SUBTOTAL(9,'Trade Breakup Showing Markup'!G$7927:G$7927)</f>
      </c>
    </row>
    <row r="196">
      <c r="A196" s="7" t="s">
        <v>2880</v>
      </c>
      <c r="B196" s="22"/>
      <c r="C196" s="22"/>
      <c r="D196" s="22">
        <f>SUBTOTAL(9,'Trade Breakup Showing Markup'!G$7928:G$7928)</f>
      </c>
    </row>
    <row r="197">
      <c r="A197" s="7" t="s">
        <v>2881</v>
      </c>
      <c r="B197" s="22"/>
      <c r="C197" s="22"/>
      <c r="D197" s="22">
        <f>SUBTOTAL(9,'Trade Breakup Showing Markup'!G$7929:G$7929)</f>
      </c>
    </row>
    <row r="198">
      <c r="A198" s="7"/>
      <c r="B198" s="22"/>
      <c r="C198" s="22"/>
      <c r="D198" s="22">
        <f>SUBTOTAL(9,'Trade Breakup Showing Markup'!G$7930:G$7930)</f>
      </c>
    </row>
    <row r="199">
      <c r="A199" s="7"/>
      <c r="B199" s="22"/>
      <c r="C199" s="22"/>
      <c r="D199" s="22">
        <f>SUBTOTAL(9,'Trade Breakup Showing Markup'!G$7931:G$7931)</f>
      </c>
    </row>
    <row r="200">
      <c r="A200" s="7" t="s">
        <v>2882</v>
      </c>
      <c r="B200" s="22"/>
      <c r="C200" s="22"/>
      <c r="D200" s="22">
        <f>SUBTOTAL(9,'Trade Breakup Showing Markup'!G$7932:G$7932)</f>
      </c>
    </row>
    <row r="201">
      <c r="A201" s="7" t="s">
        <v>2883</v>
      </c>
      <c r="B201" s="22"/>
      <c r="C201" s="22"/>
      <c r="D201" s="22">
        <f>SUBTOTAL(9,'Trade Breakup Showing Markup'!G$7933:G$7933)</f>
      </c>
    </row>
    <row r="202">
      <c r="A202" s="7" t="s">
        <v>2884</v>
      </c>
      <c r="B202" s="22"/>
      <c r="C202" s="22"/>
      <c r="D202" s="22">
        <f>SUBTOTAL(9,'Trade Breakup Showing Markup'!G$7934:G$7934)</f>
      </c>
    </row>
    <row r="203">
      <c r="A203" s="7" t="s">
        <v>2885</v>
      </c>
      <c r="B203" s="22"/>
      <c r="C203" s="22"/>
      <c r="D203" s="22">
        <f>SUBTOTAL(9,'Trade Breakup Showing Markup'!G$7935:G$7935)</f>
      </c>
    </row>
    <row r="204">
      <c r="A204" s="7" t="s">
        <v>2886</v>
      </c>
      <c r="B204" s="22"/>
      <c r="C204" s="22"/>
      <c r="D204" s="22">
        <f>SUBTOTAL(9,'Trade Breakup Showing Markup'!G$7936:G$7936)</f>
      </c>
    </row>
    <row r="205">
      <c r="A205" s="7" t="s">
        <v>2887</v>
      </c>
      <c r="B205" s="22"/>
      <c r="C205" s="22"/>
      <c r="D205" s="22">
        <f>SUBTOTAL(9,'Trade Breakup Showing Markup'!G$7937:G$7937)</f>
      </c>
    </row>
    <row r="206">
      <c r="A206" s="7" t="s">
        <v>2888</v>
      </c>
      <c r="B206" s="22"/>
      <c r="C206" s="22"/>
      <c r="D206" s="22">
        <f>SUBTOTAL(9,'Trade Breakup Showing Markup'!G$7938:G$7952)</f>
      </c>
    </row>
    <row r="207">
      <c r="A207" s="7" t="s">
        <v>2892</v>
      </c>
      <c r="B207" s="22"/>
      <c r="C207" s="22"/>
      <c r="D207" s="22">
        <f>SUBTOTAL(9,'Trade Breakup Showing Markup'!G$7953:G$7962)</f>
      </c>
    </row>
    <row r="208">
      <c r="A208" s="7" t="s">
        <v>2898</v>
      </c>
      <c r="B208" s="22"/>
      <c r="C208" s="22"/>
      <c r="D208" s="22">
        <f>SUBTOTAL(9,'Trade Breakup Showing Markup'!G$7963:G$7997)</f>
      </c>
    </row>
    <row r="209">
      <c r="A209" s="7"/>
      <c r="B209" s="22"/>
      <c r="C209" s="22"/>
      <c r="D209" s="22">
        <f>SUBTOTAL(9,'Trade Breakup Showing Markup'!G$7998:G$7998)</f>
      </c>
    </row>
    <row r="210">
      <c r="A210" s="7"/>
      <c r="B210" s="22"/>
      <c r="C210" s="22"/>
      <c r="D210" s="22">
        <f>SUBTOTAL(9,'Trade Breakup Showing Markup'!G$7999:G$7999)</f>
      </c>
    </row>
    <row r="211">
      <c r="A211" s="7" t="s">
        <v>2904</v>
      </c>
      <c r="B211" s="22"/>
      <c r="C211" s="22"/>
      <c r="D211" s="22">
        <f>SUBTOTAL(9,'Trade Breakup Showing Markup'!G$8000:G$8000)</f>
      </c>
    </row>
    <row r="212">
      <c r="A212" s="7" t="s">
        <v>2905</v>
      </c>
      <c r="B212" s="22"/>
      <c r="C212" s="22"/>
      <c r="D212" s="22">
        <f>SUBTOTAL(9,'Trade Breakup Showing Markup'!G$8001:G$8073)</f>
      </c>
    </row>
    <row r="213">
      <c r="A213" s="7" t="s">
        <v>2910</v>
      </c>
      <c r="B213" s="22"/>
      <c r="C213" s="22"/>
      <c r="D213" s="22">
        <f>SUBTOTAL(9,'Trade Breakup Showing Markup'!G$8074:G$8074)</f>
      </c>
    </row>
    <row r="214">
      <c r="A214" s="7" t="s">
        <v>2911</v>
      </c>
      <c r="B214" s="22"/>
      <c r="C214" s="22"/>
      <c r="D214" s="22">
        <f>SUBTOTAL(9,'Trade Breakup Showing Markup'!G$8075:G$8088)</f>
      </c>
    </row>
    <row r="215">
      <c r="A215" s="7" t="s">
        <v>2914</v>
      </c>
      <c r="B215" s="22"/>
      <c r="C215" s="22"/>
      <c r="D215" s="22">
        <f>SUBTOTAL(9,'Trade Breakup Showing Markup'!G$8089:G$8165)</f>
      </c>
    </row>
    <row r="216">
      <c r="A216" s="7" t="s">
        <v>2921</v>
      </c>
      <c r="B216" s="22"/>
      <c r="C216" s="22"/>
      <c r="D216" s="22">
        <f>SUBTOTAL(9,'Trade Breakup Showing Markup'!G$8166:G$8172)</f>
      </c>
    </row>
    <row r="217">
      <c r="A217" s="7" t="s">
        <v>2924</v>
      </c>
      <c r="B217" s="22"/>
      <c r="C217" s="22"/>
      <c r="D217" s="22">
        <f>SUBTOTAL(9,'Trade Breakup Showing Markup'!G$8173:G$8177)</f>
      </c>
    </row>
    <row r="218">
      <c r="A218" s="7" t="s">
        <v>2927</v>
      </c>
      <c r="B218" s="22"/>
      <c r="C218" s="22"/>
      <c r="D218" s="22">
        <f>SUBTOTAL(9,'Trade Breakup Showing Markup'!G$8178:G$8186)</f>
      </c>
    </row>
    <row r="219">
      <c r="A219" s="7" t="s">
        <v>2930</v>
      </c>
      <c r="B219" s="22"/>
      <c r="C219" s="22"/>
      <c r="D219" s="22">
        <f>SUBTOTAL(9,'Trade Breakup Showing Markup'!G$8187:G$8208)</f>
      </c>
    </row>
    <row r="220">
      <c r="A220" s="7" t="s">
        <v>2934</v>
      </c>
      <c r="B220" s="22"/>
      <c r="C220" s="22"/>
      <c r="D220" s="22">
        <f>SUBTOTAL(9,'Trade Breakup Showing Markup'!G$8209:G$8216)</f>
      </c>
    </row>
    <row r="221">
      <c r="A221" s="7" t="s">
        <v>2936</v>
      </c>
      <c r="B221" s="22"/>
      <c r="C221" s="22"/>
      <c r="D221" s="22">
        <f>SUBTOTAL(9,'Trade Breakup Showing Markup'!G$8217:G$8226)</f>
      </c>
    </row>
    <row r="222">
      <c r="A222" s="7" t="s">
        <v>2941</v>
      </c>
      <c r="B222" s="22"/>
      <c r="C222" s="22"/>
      <c r="D222" s="22">
        <f>SUBTOTAL(9,'Trade Breakup Showing Markup'!G$8227:G$8331)</f>
      </c>
    </row>
    <row r="223">
      <c r="A223" s="7" t="s">
        <v>2948</v>
      </c>
      <c r="B223" s="22"/>
      <c r="C223" s="22"/>
      <c r="D223" s="22">
        <f>SUBTOTAL(9,'Trade Breakup Showing Markup'!G$8332:G$8382)</f>
      </c>
    </row>
    <row r="224">
      <c r="A224" s="7" t="s">
        <v>2951</v>
      </c>
      <c r="B224" s="22"/>
      <c r="C224" s="22"/>
      <c r="D224" s="22">
        <f>SUBTOTAL(9,'Trade Breakup Showing Markup'!G$8383:G$8400)</f>
      </c>
    </row>
    <row r="225">
      <c r="A225" s="7" t="s">
        <v>2956</v>
      </c>
      <c r="B225" s="22"/>
      <c r="C225" s="22"/>
      <c r="D225" s="22">
        <f>SUBTOTAL(9,'Trade Breakup Showing Markup'!G$8401:G$8407)</f>
      </c>
    </row>
    <row r="226">
      <c r="A226" s="24" t="s">
        <v>2958</v>
      </c>
      <c r="B226" s="25"/>
      <c r="C226" s="25"/>
      <c r="D226" s="25">
        <f>'Trade Breakup Showing Markup'!G8409</f>
      </c>
    </row>
    <row r="227">
      <c r="A227" s="8" t="s">
        <v>2959</v>
      </c>
      <c r="B227" s="8"/>
      <c r="C227" s="8"/>
      <c r="D227" s="8">
        <f>'Trade Breakup Showing Markup'!G8410</f>
      </c>
    </row>
    <row r="228">
      <c r="A228" s="8" t="s">
        <v>2960</v>
      </c>
      <c r="B228" s="8"/>
      <c r="C228" s="8"/>
      <c r="D228" s="8">
        <f>'Trade Breakup Showing Markup'!G8411</f>
      </c>
    </row>
    <row r="229">
      <c r="A229" s="9" t="s">
        <v>5</v>
      </c>
      <c r="B229" s="9"/>
      <c r="C229" s="9"/>
      <c r="D229" s="9">
        <f>'Trade Breakup Showing Markup'!G8412</f>
      </c>
    </row>
  </sheetData>
  <headerFooter/>
</worksheet>
</file>