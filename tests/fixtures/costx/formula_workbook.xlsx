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a\Desktop\COSTX\"/>
    </mc:Choice>
  </mc:AlternateContent>
  <xr:revisionPtr revIDLastSave="0" documentId="8_{AF950604-F7F8-4044-AB7B-2CE129058F21}" xr6:coauthVersionLast="47" xr6:coauthVersionMax="47" xr10:uidLastSave="{00000000-0000-0000-0000-000000000000}"/>
  <bookViews>
    <workbookView xWindow="-27990" yWindow="0" windowWidth="28110" windowHeight="16440" xr2:uid="{0C771A8E-99E6-4CF9-9B78-B6B774003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 a="1"/>
  <c r="C34" i="1" a="1"/>
  <c r="C35" i="1" a="1"/>
  <c r="C36" i="1" a="1"/>
  <c r="C37" i="1" a="1"/>
  <c r="C42" i="1" a="1"/>
  <c r="C43" i="1" a="1"/>
  <c r="C46" i="1" a="1"/>
  <c r="C49" i="1" a="1"/>
  <c r="C50" i="1" a="1"/>
  <c r="C51" i="1" a="1"/>
  <c r="C52" i="1" a="1"/>
  <c r="C53" i="1" a="1"/>
  <c r="C54" i="1" a="1"/>
  <c r="C57" i="1" a="1"/>
  <c r="C58" i="1" a="1"/>
  <c r="C59" i="1" a="1"/>
  <c r="C63" i="1" a="1"/>
  <c r="C65" i="1" a="1"/>
  <c r="C67" i="1" a="1"/>
  <c r="C69" i="1" a="1"/>
  <c r="C72" i="1" a="1"/>
  <c r="C73" i="1" a="1"/>
  <c r="C75" i="1" a="1"/>
  <c r="C76" i="1" a="1"/>
  <c r="C77" i="1" a="1"/>
  <c r="C78" i="1" a="1"/>
  <c r="C79" i="1" a="1"/>
  <c r="C80" i="1" a="1"/>
  <c r="C81" i="1" a="1"/>
  <c r="C83" i="1" a="1"/>
  <c r="C84" i="1" a="1"/>
  <c r="C85" i="1" a="1"/>
  <c r="C86" i="1" a="1"/>
  <c r="C88" i="1" a="1"/>
  <c r="C89" i="1" a="1"/>
  <c r="C90" i="1" a="1"/>
  <c r="C91" i="1" a="1"/>
  <c r="C93" i="1" a="1"/>
  <c r="C94" i="1" a="1"/>
  <c r="C95" i="1" a="1"/>
  <c r="C99" i="1" a="1"/>
  <c r="C102" i="1" a="1"/>
  <c r="C105" i="1" a="1"/>
  <c r="C106" i="1" a="1"/>
  <c r="C107" i="1" a="1"/>
  <c r="C108" i="1" a="1"/>
  <c r="C109" i="1" a="1"/>
  <c r="C110" i="1" a="1"/>
  <c r="C111" i="1" a="1"/>
  <c r="C112" i="1" a="1"/>
  <c r="C113" i="1" a="1"/>
  <c r="C114" i="1" a="1"/>
  <c r="C115" i="1" a="1"/>
  <c r="C116" i="1" a="1"/>
  <c r="C117" i="1" a="1"/>
  <c r="C118" i="1" a="1"/>
  <c r="C119" i="1" a="1"/>
  <c r="C120" i="1" a="1"/>
  <c r="C121" i="1" a="1"/>
  <c r="C122" i="1" a="1"/>
  <c r="C123" i="1" a="1"/>
  <c r="C124" i="1" a="1"/>
  <c r="C125" i="1" a="1"/>
  <c r="C126" i="1" a="1"/>
  <c r="C127" i="1" a="1"/>
  <c r="C128" i="1" a="1"/>
  <c r="C129" i="1" a="1"/>
  <c r="C130" i="1" a="1"/>
  <c r="C131" i="1" a="1"/>
  <c r="C132" i="1" a="1"/>
  <c r="C133" i="1" a="1"/>
  <c r="C134" i="1" a="1"/>
  <c r="C135" i="1" a="1"/>
  <c r="C136" i="1" a="1"/>
  <c r="C137" i="1" a="1"/>
  <c r="C139" i="1" a="1"/>
  <c r="C140" i="1" a="1"/>
  <c r="C141" i="1" a="1"/>
  <c r="C142" i="1" a="1"/>
  <c r="C143" i="1" a="1"/>
  <c r="C144" i="1" a="1"/>
  <c r="C145" i="1" a="1"/>
  <c r="C146" i="1" a="1"/>
  <c r="C147" i="1" a="1"/>
  <c r="C148" i="1" a="1"/>
  <c r="C149" i="1" a="1"/>
  <c r="C150" i="1" a="1"/>
  <c r="C151" i="1" a="1"/>
  <c r="C152" i="1" a="1"/>
  <c r="C153" i="1" a="1"/>
  <c r="C154" i="1" a="1"/>
  <c r="C155" i="1" a="1"/>
  <c r="C156" i="1" a="1"/>
  <c r="C157" i="1" a="1"/>
  <c r="C158" i="1" a="1"/>
  <c r="C159" i="1" a="1"/>
  <c r="C160" i="1" a="1"/>
  <c r="C161" i="1" a="1"/>
  <c r="C162" i="1" a="1"/>
  <c r="C163" i="1" a="1"/>
  <c r="C164" i="1" a="1"/>
  <c r="C165" i="1" a="1"/>
  <c r="C166" i="1" a="1"/>
  <c r="C168" i="1" a="1"/>
  <c r="C169" i="1" a="1"/>
  <c r="C170" i="1" a="1"/>
  <c r="C171" i="1" a="1"/>
  <c r="C172" i="1" a="1"/>
  <c r="C173" i="1" a="1"/>
  <c r="C174" i="1" a="1"/>
  <c r="C175" i="1" a="1"/>
  <c r="C176" i="1" a="1"/>
  <c r="C177" i="1" a="1"/>
  <c r="C178" i="1" a="1"/>
  <c r="C179" i="1" a="1"/>
  <c r="C180" i="1" a="1"/>
  <c r="C181" i="1" a="1"/>
  <c r="C182" i="1" a="1"/>
  <c r="C183" i="1" a="1"/>
  <c r="C184" i="1" a="1"/>
  <c r="C185" i="1" a="1"/>
  <c r="C186" i="1" a="1"/>
  <c r="C187" i="1" a="1"/>
  <c r="C188" i="1" a="1"/>
  <c r="C189" i="1" a="1"/>
  <c r="C190" i="1" a="1"/>
  <c r="C191" i="1" a="1"/>
  <c r="C192" i="1" a="1"/>
  <c r="C193" i="1" a="1"/>
  <c r="C194" i="1" a="1"/>
  <c r="C195" i="1" a="1"/>
  <c r="C197" i="1" a="1"/>
  <c r="C198" i="1" a="1"/>
  <c r="C199" i="1" a="1"/>
  <c r="C200" i="1" a="1"/>
  <c r="C201" i="1" a="1"/>
  <c r="C202" i="1" a="1"/>
  <c r="C203" i="1" a="1"/>
  <c r="C204" i="1" a="1"/>
  <c r="C205" i="1" a="1"/>
  <c r="C206" i="1" a="1"/>
  <c r="C207" i="1" a="1"/>
  <c r="C208" i="1" a="1"/>
  <c r="C209" i="1" a="1"/>
  <c r="C210" i="1" a="1"/>
  <c r="C211" i="1" a="1"/>
  <c r="C212" i="1" a="1"/>
  <c r="C213" i="1" a="1"/>
  <c r="C214" i="1" a="1"/>
  <c r="C215" i="1" a="1"/>
  <c r="C218" i="1" a="1"/>
  <c r="C221" i="1" a="1"/>
  <c r="C222" i="1" a="1"/>
  <c r="C223" i="1" a="1"/>
  <c r="C224" i="1" a="1"/>
  <c r="C225" i="1" a="1"/>
  <c r="C226" i="1" a="1"/>
  <c r="C227" i="1" a="1"/>
  <c r="C229" i="1" a="1"/>
  <c r="C230" i="1" a="1"/>
  <c r="C231" i="1" a="1"/>
  <c r="C232" i="1" a="1"/>
  <c r="C233" i="1" a="1"/>
  <c r="C234" i="1" a="1"/>
  <c r="C235" i="1" a="1"/>
  <c r="C236" i="1" a="1"/>
  <c r="C238" i="1" a="1"/>
  <c r="C239" i="1" a="1"/>
  <c r="C240" i="1" a="1"/>
  <c r="C241" i="1" a="1"/>
  <c r="C242" i="1" a="1"/>
  <c r="C243" i="1" a="1"/>
  <c r="C244" i="1" a="1"/>
  <c r="C246" i="1" a="1"/>
  <c r="C247" i="1" a="1"/>
  <c r="C250" i="1" a="1"/>
  <c r="C251" i="1" a="1"/>
  <c r="C252" i="1" a="1"/>
  <c r="C253" i="1" a="1"/>
  <c r="C254" i="1" a="1"/>
  <c r="C255" i="1" a="1"/>
  <c r="C256" i="1" a="1"/>
  <c r="C257" i="1" a="1"/>
  <c r="C258" i="1" a="1"/>
  <c r="C259" i="1" a="1"/>
  <c r="C260" i="1" a="1"/>
  <c r="C261" i="1" a="1"/>
  <c r="C262" i="1" a="1"/>
  <c r="C263" i="1" a="1"/>
  <c r="C264" i="1" a="1"/>
  <c r="C265" i="1" a="1"/>
  <c r="C267" i="1" a="1"/>
  <c r="C268" i="1" a="1"/>
  <c r="C269" i="1" a="1"/>
  <c r="C270" i="1" a="1"/>
  <c r="C271" i="1" a="1"/>
  <c r="C272" i="1" a="1"/>
  <c r="C273" i="1" a="1"/>
  <c r="C274" i="1" a="1"/>
  <c r="C275" i="1" a="1"/>
  <c r="C276" i="1" a="1"/>
  <c r="C278" i="1" a="1"/>
  <c r="C279" i="1" a="1"/>
  <c r="C280" i="1" a="1"/>
  <c r="C281" i="1" a="1"/>
  <c r="C282" i="1" a="1"/>
  <c r="C283" i="1" a="1"/>
  <c r="C284" i="1" a="1"/>
  <c r="C285" i="1" a="1"/>
  <c r="C286" i="1" a="1"/>
  <c r="C287" i="1" a="1"/>
  <c r="C288" i="1" a="1"/>
  <c r="C290" i="1" a="1"/>
  <c r="C291" i="1" a="1"/>
  <c r="C292" i="1" a="1"/>
  <c r="C295" i="1" a="1"/>
  <c r="C296" i="1" a="1"/>
  <c r="C297" i="1" a="1"/>
  <c r="C299" i="1" a="1"/>
  <c r="C300" i="1" a="1"/>
  <c r="C301" i="1" a="1"/>
  <c r="C303" i="1" a="1"/>
  <c r="C304" i="1" a="1"/>
  <c r="C306" i="1" a="1"/>
  <c r="C307" i="1" a="1"/>
  <c r="C309" i="1" a="1"/>
  <c r="C310" i="1" a="1"/>
  <c r="C311" i="1" a="1"/>
  <c r="C312" i="1" a="1"/>
  <c r="C314" i="1" a="1"/>
  <c r="C315" i="1" a="1"/>
  <c r="C316" i="1" a="1"/>
  <c r="C318" i="1" a="1"/>
  <c r="C319" i="1" a="1"/>
  <c r="C324" i="1" a="1"/>
  <c r="C325" i="1" a="1"/>
  <c r="C328" i="1" a="1"/>
  <c r="C329" i="1" a="1"/>
  <c r="C330" i="1" a="1"/>
  <c r="C331" i="1" a="1"/>
  <c r="C334" i="1" a="1"/>
  <c r="C335" i="1" a="1"/>
  <c r="C339" i="1" a="1"/>
  <c r="C341" i="1" a="1"/>
  <c r="C343" i="1" a="1"/>
  <c r="C345" i="1" a="1"/>
  <c r="C348" i="1" a="1"/>
  <c r="C350" i="1" a="1"/>
  <c r="C351" i="1" a="1"/>
  <c r="C352" i="1" a="1"/>
  <c r="C353" i="1" a="1"/>
  <c r="C355" i="1" a="1"/>
  <c r="C356" i="1" a="1"/>
  <c r="C358" i="1" a="1"/>
  <c r="C359" i="1" a="1"/>
  <c r="C361" i="1" a="1"/>
  <c r="C365" i="1" a="1"/>
  <c r="C368" i="1" a="1"/>
  <c r="C369" i="1" a="1"/>
  <c r="C370" i="1" a="1"/>
  <c r="C371" i="1" a="1"/>
  <c r="C372" i="1" a="1"/>
  <c r="C373" i="1" a="1"/>
  <c r="C374" i="1" a="1"/>
  <c r="C375" i="1" a="1"/>
  <c r="C376" i="1" a="1"/>
  <c r="C377" i="1" a="1"/>
  <c r="C378" i="1" a="1"/>
  <c r="C379" i="1" a="1"/>
  <c r="C380" i="1" a="1"/>
  <c r="C381" i="1" a="1"/>
  <c r="C382" i="1" a="1"/>
  <c r="C383" i="1" a="1"/>
  <c r="C384" i="1" a="1"/>
  <c r="C385" i="1" a="1"/>
  <c r="C386" i="1" a="1"/>
  <c r="C387" i="1" a="1"/>
  <c r="C388" i="1" a="1"/>
  <c r="C389" i="1" a="1"/>
  <c r="C390" i="1" a="1"/>
  <c r="C391" i="1" a="1"/>
  <c r="C392" i="1" a="1"/>
  <c r="C393" i="1" a="1"/>
  <c r="C394" i="1" a="1"/>
  <c r="C396" i="1" a="1"/>
  <c r="C397" i="1" a="1"/>
  <c r="C398" i="1" a="1"/>
  <c r="C399" i="1" a="1"/>
  <c r="C400" i="1" a="1"/>
  <c r="C401" i="1" a="1"/>
  <c r="C402" i="1" a="1"/>
  <c r="C403" i="1" a="1"/>
  <c r="C404" i="1" a="1"/>
  <c r="C405" i="1" a="1"/>
  <c r="C406" i="1" a="1"/>
  <c r="C407" i="1" a="1"/>
  <c r="C408" i="1" a="1"/>
  <c r="C409" i="1" a="1"/>
  <c r="C410" i="1" a="1"/>
  <c r="C411" i="1" a="1"/>
  <c r="C412" i="1" a="1"/>
  <c r="C413" i="1" a="1"/>
  <c r="C414" i="1" a="1"/>
  <c r="C415" i="1" a="1"/>
  <c r="C416" i="1" a="1"/>
  <c r="C418" i="1" a="1"/>
  <c r="C419" i="1" a="1"/>
  <c r="C420" i="1" a="1"/>
  <c r="C421" i="1" a="1"/>
  <c r="C422" i="1" a="1"/>
  <c r="C423" i="1" a="1"/>
  <c r="C424" i="1" a="1"/>
  <c r="C425" i="1" a="1"/>
  <c r="C426" i="1" a="1"/>
  <c r="C427" i="1" a="1"/>
  <c r="C428" i="1" a="1"/>
  <c r="C429" i="1" a="1"/>
  <c r="C430" i="1" a="1"/>
  <c r="C431" i="1" a="1"/>
  <c r="C432" i="1" a="1"/>
  <c r="C433" i="1" a="1"/>
  <c r="C434" i="1" a="1"/>
  <c r="C435" i="1" a="1"/>
  <c r="C436" i="1" a="1"/>
  <c r="C437" i="1" a="1"/>
  <c r="C440" i="1" a="1"/>
  <c r="C441" i="1" a="1"/>
  <c r="C442" i="1" a="1"/>
  <c r="C443" i="1" a="1"/>
  <c r="C446" i="1" a="1"/>
  <c r="C449" i="1" a="1"/>
  <c r="C452" i="1" a="1"/>
  <c r="C453" i="1" a="1"/>
  <c r="C454" i="1" a="1"/>
  <c r="C455" i="1" a="1"/>
  <c r="C456" i="1" a="1"/>
  <c r="C457" i="1" a="1"/>
  <c r="C458" i="1" a="1"/>
  <c r="C459" i="1" a="1"/>
  <c r="C460" i="1" a="1"/>
  <c r="C461" i="1" a="1"/>
  <c r="C462" i="1" a="1"/>
  <c r="C463" i="1" a="1"/>
  <c r="C464" i="1" a="1"/>
  <c r="C465" i="1" a="1"/>
  <c r="C467" i="1" a="1"/>
  <c r="C468" i="1" a="1"/>
  <c r="C469" i="1" a="1"/>
  <c r="C470" i="1" a="1"/>
  <c r="C471" i="1" a="1"/>
  <c r="C472" i="1" a="1"/>
  <c r="C474" i="1" a="1"/>
  <c r="C475" i="1" a="1"/>
  <c r="C476" i="1" a="1"/>
  <c r="C477" i="1" a="1"/>
  <c r="C478" i="1" a="1"/>
  <c r="C480" i="1" a="1"/>
  <c r="C481" i="1" a="1"/>
  <c r="C484" i="1" a="1"/>
  <c r="C485" i="1" a="1"/>
  <c r="C486" i="1" a="1"/>
  <c r="C487" i="1" a="1"/>
  <c r="C488" i="1" a="1"/>
  <c r="C489" i="1" a="1"/>
  <c r="C490" i="1" a="1"/>
  <c r="C491" i="1" a="1"/>
  <c r="C492" i="1" a="1"/>
  <c r="C493" i="1" a="1"/>
  <c r="C494" i="1" a="1"/>
  <c r="C495" i="1" a="1"/>
  <c r="C496" i="1" a="1"/>
  <c r="C497" i="1" a="1"/>
  <c r="C498" i="1" a="1"/>
  <c r="C499" i="1" a="1"/>
  <c r="C500" i="1" a="1"/>
  <c r="C502" i="1" a="1"/>
  <c r="C503" i="1" a="1"/>
  <c r="C504" i="1" a="1"/>
  <c r="C505" i="1" a="1"/>
  <c r="C506" i="1" a="1"/>
  <c r="C507" i="1" a="1"/>
  <c r="C509" i="1" a="1"/>
  <c r="C510" i="1" a="1"/>
  <c r="C511" i="1" a="1"/>
  <c r="C512" i="1" a="1"/>
  <c r="C513" i="1" a="1"/>
  <c r="C514" i="1" a="1"/>
  <c r="C516" i="1" a="1"/>
  <c r="C517" i="1" a="1"/>
  <c r="C518" i="1" a="1"/>
  <c r="C519" i="1" a="1"/>
  <c r="C522" i="1" a="1"/>
  <c r="C523" i="1" a="1"/>
  <c r="C524" i="1" a="1"/>
  <c r="C525" i="1" a="1"/>
  <c r="C527" i="1" a="1"/>
  <c r="C528" i="1" a="1"/>
  <c r="C529" i="1" a="1"/>
  <c r="C531" i="1" a="1"/>
  <c r="C532" i="1" a="1"/>
  <c r="C534" i="1" a="1"/>
  <c r="C535" i="1" a="1"/>
  <c r="C536" i="1" a="1"/>
  <c r="C537" i="1" a="1"/>
  <c r="C538" i="1" a="1"/>
  <c r="C540" i="1" a="1"/>
  <c r="C542" i="1" a="1"/>
  <c r="C54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<sst xmlns="http://schemas.openxmlformats.org/spreadsheetml/2006/main" count="1540" uniqueCount="782">
  <si>
    <t>GENERALLY</t>
  </si>
  <si>
    <t>Head1</t>
  </si>
  <si>
    <t>F/1</t>
  </si>
  <si>
    <t>Tenderers are referred to the Specification for the full particulars of workmanship and materials, and the quantities herein provided shall be read in conjunction with the drawings</t>
  </si>
  <si>
    <t>Note</t>
  </si>
  <si>
    <t>F/2</t>
  </si>
  <si>
    <t>This Builders Bill of Quantities has not been measured in accordance with the Australian Standard Method of Measurement of Building Works, 5th Edition</t>
  </si>
  <si>
    <t>REFERENCES</t>
  </si>
  <si>
    <t>F/3</t>
  </si>
  <si>
    <t>Refer to General Materials, Finishes and Fixtures Schedule for William Clarke College Bryson Building dated 05 April 2024 by PMDL Architecture + Design</t>
  </si>
  <si>
    <t>F/4</t>
  </si>
  <si>
    <t>Refer to following structural drawing series: SA to SJ for "Structural Plan"</t>
  </si>
  <si>
    <t>PRICES</t>
  </si>
  <si>
    <t>Prices shall include for:</t>
  </si>
  <si>
    <t>Head2</t>
  </si>
  <si>
    <t>F/5</t>
  </si>
  <si>
    <t>Mixing, handling, hoisting, placing in position and compacting</t>
  </si>
  <si>
    <t>F/6</t>
  </si>
  <si>
    <t>Pour joints / construction joints not detailed by engineer OR shown on drawings but not requiring formwork or jointing materials (e.g. between slab/footing and base of column/wall), including any associated scabbling</t>
  </si>
  <si>
    <t>F/7</t>
  </si>
  <si>
    <t>Forming falls and/or crossfalls for drainage other than indicated below as detailed</t>
  </si>
  <si>
    <t>F/8</t>
  </si>
  <si>
    <t>Making good after removal of formwork all holes for pipes, conduits and the like and casting in ends of angle brackets, lugs, frames and the like</t>
  </si>
  <si>
    <t>F/9</t>
  </si>
  <si>
    <t xml:space="preserve">Additional concrete required to conform to structural and excavated tolerances     </t>
  </si>
  <si>
    <t>F/10</t>
  </si>
  <si>
    <t>Environmental and sustainable requirements detailed in the Tender documents (if any)</t>
  </si>
  <si>
    <t>GENERAL ITEMS</t>
  </si>
  <si>
    <t>F/11</t>
  </si>
  <si>
    <t>Allow for approval of foundation material bearing capacity by the consulting Geotechnical Engineer prior to placement of concrete</t>
  </si>
  <si>
    <t>Item</t>
  </si>
  <si>
    <t>F/12</t>
  </si>
  <si>
    <t>Allow for giving notice of and providing facilities for inspection</t>
  </si>
  <si>
    <t>F/13</t>
  </si>
  <si>
    <t>Allow for compliance with quality assurance requirements</t>
  </si>
  <si>
    <t>F/14</t>
  </si>
  <si>
    <t>Allow for all testing in accordance with Engineers requirements</t>
  </si>
  <si>
    <t>F/15</t>
  </si>
  <si>
    <t>Allow for providing samples and sample panels of materials or finishes</t>
  </si>
  <si>
    <t>F/16</t>
  </si>
  <si>
    <t xml:space="preserve">Allow for contractor's submissions </t>
  </si>
  <si>
    <t>F/17</t>
  </si>
  <si>
    <t>Allow for protecting finished surfaces from damage and cleaning on completion</t>
  </si>
  <si>
    <t>F/18</t>
  </si>
  <si>
    <t>Allow for coordination with and attendance upon other trades for embedded items and other works associated with Concrete</t>
  </si>
  <si>
    <t>F/19</t>
  </si>
  <si>
    <t>Allow for concrete pumping and pump visits</t>
  </si>
  <si>
    <t>F/20</t>
  </si>
  <si>
    <t>Allow for concrete testing</t>
  </si>
  <si>
    <t>F/21</t>
  </si>
  <si>
    <t>Allow for guarantees</t>
  </si>
  <si>
    <t>NOTES AND ASSUMPTIONS</t>
  </si>
  <si>
    <t>F/22</t>
  </si>
  <si>
    <t>All slabs measured in full thickness</t>
  </si>
  <si>
    <t>F/23</t>
  </si>
  <si>
    <t>No concrete strength provided for mass concrete downturn, assumed to be 50Mpa. Refer to SB.13 for location</t>
  </si>
  <si>
    <t>F/24</t>
  </si>
  <si>
    <t>Measured construction joints to bored piers under slabs and under RC columns</t>
  </si>
  <si>
    <t>F/25</t>
  </si>
  <si>
    <t>Assumed beam sizes for beam tag L2-B1, B2, B4</t>
  </si>
  <si>
    <t>Assumption</t>
  </si>
  <si>
    <t>CONCRETE SUPPLY SUMMARY</t>
  </si>
  <si>
    <t>F/26</t>
  </si>
  <si>
    <t>'32MPa, 80mm slump, 20mm max. aggregate size</t>
  </si>
  <si>
    <t>m3</t>
  </si>
  <si>
    <t>F/27</t>
  </si>
  <si>
    <t>'40MPa, 80mm slump, 20mm max. aggregate size</t>
  </si>
  <si>
    <t>F/28</t>
  </si>
  <si>
    <t>'40MPa, 80mm slump, 20mm max. aggregate size to post-tensioned slab and beams</t>
  </si>
  <si>
    <t>F/29</t>
  </si>
  <si>
    <t>'50MPa, 80mm slump, 20mm max. aggregate size</t>
  </si>
  <si>
    <t>F/30</t>
  </si>
  <si>
    <t>Xypex admixture to lift pit base and walls</t>
  </si>
  <si>
    <t>NORTH BUILDING</t>
  </si>
  <si>
    <t>Insitu Concrete</t>
  </si>
  <si>
    <t>Pile Cap Footing (50MPa, 80mm slump, 20mm max. aggregate size)</t>
  </si>
  <si>
    <t>Head3</t>
  </si>
  <si>
    <t>Foundation (SB.01)</t>
  </si>
  <si>
    <t>Head4</t>
  </si>
  <si>
    <t>F/31</t>
  </si>
  <si>
    <t>PC1 - 3600 x 1200 x 1200mm deep pile cap</t>
  </si>
  <si>
    <t>F/32</t>
  </si>
  <si>
    <t>PC2 - 3600 x 1200 x 1400mm deep pile cap</t>
  </si>
  <si>
    <t>Mass Concrete Downturn (50MPa, 80mm slump, 20mm max. aggregate size)</t>
  </si>
  <si>
    <t>F/33</t>
  </si>
  <si>
    <t>Provide 600 x 500 mass concrete downturn onto lift base to support edge beam</t>
  </si>
  <si>
    <t>F/34</t>
  </si>
  <si>
    <t>F/35</t>
  </si>
  <si>
    <t>F/36</t>
  </si>
  <si>
    <t>F/37</t>
  </si>
  <si>
    <t>F/38</t>
  </si>
  <si>
    <t>F/39</t>
  </si>
  <si>
    <t>Base Slab on Ground (32Mpa, 80mm slump, 20mm max. aggregate size)</t>
  </si>
  <si>
    <t>F/40</t>
  </si>
  <si>
    <t>'600mm thick Lift pit base slab</t>
  </si>
  <si>
    <t>F/41</t>
  </si>
  <si>
    <t>'600mm thick Stair base slab</t>
  </si>
  <si>
    <t>F/42</t>
  </si>
  <si>
    <t>'40mm thick integral fall to 600mm thick Base Slab</t>
  </si>
  <si>
    <t>Concrete Walls (50MPa, 80mm slump, 20mm max. aggregate size)</t>
  </si>
  <si>
    <t>External Concrete Wall</t>
  </si>
  <si>
    <t>F/43</t>
  </si>
  <si>
    <t>Level 1 (SC.01)</t>
  </si>
  <si>
    <t>Head5</t>
  </si>
  <si>
    <t>F/44</t>
  </si>
  <si>
    <t>W3 - 300mm thick external wall</t>
  </si>
  <si>
    <t>F/45</t>
  </si>
  <si>
    <t>Level 2 (SG.01)</t>
  </si>
  <si>
    <t>F/46</t>
  </si>
  <si>
    <t>W9 - 200mm thick external wall</t>
  </si>
  <si>
    <t>F/47</t>
  </si>
  <si>
    <t>Level 3 (SH.01)</t>
  </si>
  <si>
    <t>F/48</t>
  </si>
  <si>
    <t>F/49</t>
  </si>
  <si>
    <t>Level 4 (SI.01)</t>
  </si>
  <si>
    <t>F/50</t>
  </si>
  <si>
    <t>Internal Concrete Wall</t>
  </si>
  <si>
    <t>F/51</t>
  </si>
  <si>
    <t>F/52</t>
  </si>
  <si>
    <t>W1 - 200mm thick lift pit wall</t>
  </si>
  <si>
    <t>F/53</t>
  </si>
  <si>
    <t>W9 - 200mm thick lift pit wall</t>
  </si>
  <si>
    <t>F/54</t>
  </si>
  <si>
    <t>F/55</t>
  </si>
  <si>
    <t>W1 - 200mm thick core wall</t>
  </si>
  <si>
    <t>F/56</t>
  </si>
  <si>
    <t>W2 - 200mm thick core wall</t>
  </si>
  <si>
    <t>F/57</t>
  </si>
  <si>
    <t>W3 - 300mm thick core wall</t>
  </si>
  <si>
    <t>F/58</t>
  </si>
  <si>
    <t>W5 - 300mm thick core wall</t>
  </si>
  <si>
    <t>F/59</t>
  </si>
  <si>
    <t>W9 - 200mm thick core wall</t>
  </si>
  <si>
    <t>F/60</t>
  </si>
  <si>
    <t>W2 - 200mm thick internal wall</t>
  </si>
  <si>
    <t>F/61</t>
  </si>
  <si>
    <t>W9 - 200mm thick internal wall</t>
  </si>
  <si>
    <t>F/62</t>
  </si>
  <si>
    <t>F/63</t>
  </si>
  <si>
    <t>F/64</t>
  </si>
  <si>
    <t>F/65</t>
  </si>
  <si>
    <t>F/66</t>
  </si>
  <si>
    <t>F/67</t>
  </si>
  <si>
    <t>F/68</t>
  </si>
  <si>
    <t>F/69</t>
  </si>
  <si>
    <t>F/70</t>
  </si>
  <si>
    <t>F/71</t>
  </si>
  <si>
    <t>F/72</t>
  </si>
  <si>
    <t>F/73</t>
  </si>
  <si>
    <t>F/74</t>
  </si>
  <si>
    <t>F/75</t>
  </si>
  <si>
    <t>Concrete Walls (32MPa, 80mm slump, 20mm max. aggregate size)</t>
  </si>
  <si>
    <t>F/76</t>
  </si>
  <si>
    <t>F/77</t>
  </si>
  <si>
    <t>W8 - 150mm thick external parapet wall</t>
  </si>
  <si>
    <t>F/78</t>
  </si>
  <si>
    <t>F/79</t>
  </si>
  <si>
    <t>W7 - 200mm thick internal wall</t>
  </si>
  <si>
    <t>Columns (50MPa, 80mm slump, 20mm max. aggregate size)</t>
  </si>
  <si>
    <t>F/80</t>
  </si>
  <si>
    <t>CC1 - 400x700mm deep concrete column</t>
  </si>
  <si>
    <t>F/81</t>
  </si>
  <si>
    <t>CC10 - 500x500mm deep concrete column</t>
  </si>
  <si>
    <t>F/82</t>
  </si>
  <si>
    <t>CC11 - 400x600mm deep concrete column</t>
  </si>
  <si>
    <t>F/83</t>
  </si>
  <si>
    <t>CC12 - 400x700mm deep concrete column</t>
  </si>
  <si>
    <t>F/84</t>
  </si>
  <si>
    <t>CC13 - 400x700mm deep concrete column</t>
  </si>
  <si>
    <t>F/85</t>
  </si>
  <si>
    <t>CC14 - 450x450mm deep concrete column</t>
  </si>
  <si>
    <t>F/86</t>
  </si>
  <si>
    <t>CC15 - 400x700mm deep concrete column</t>
  </si>
  <si>
    <t>F/87</t>
  </si>
  <si>
    <t>CC16 - 500x500mm deep concrete column</t>
  </si>
  <si>
    <t>F/88</t>
  </si>
  <si>
    <t>CC17 - 400x700mm deep concrete column</t>
  </si>
  <si>
    <t>F/89</t>
  </si>
  <si>
    <t>CC18 - 400x700mm deep concrete column</t>
  </si>
  <si>
    <t>F/90</t>
  </si>
  <si>
    <t>CC19 - 400x700mm deep concrete column</t>
  </si>
  <si>
    <t>F/91</t>
  </si>
  <si>
    <t>CC2 - 400x700mm deep concrete column</t>
  </si>
  <si>
    <t>F/92</t>
  </si>
  <si>
    <t>CC20 - 450x450mm deep concrete column</t>
  </si>
  <si>
    <t>F/93</t>
  </si>
  <si>
    <t>CC21 - 450x450mm deep concrete column</t>
  </si>
  <si>
    <t>F/94</t>
  </si>
  <si>
    <t>CC22 - 400x700mm deep concrete column</t>
  </si>
  <si>
    <t>F/95</t>
  </si>
  <si>
    <t>CC23 - 400x700mm deep concrete column</t>
  </si>
  <si>
    <t>F/96</t>
  </si>
  <si>
    <t>CC24 - 400x600mm deep concrete column</t>
  </si>
  <si>
    <t>F/97</t>
  </si>
  <si>
    <t>CC25 - 400x600mm deep concrete column</t>
  </si>
  <si>
    <t>F/98</t>
  </si>
  <si>
    <t>CC26 - 400x700mm deep concrete column</t>
  </si>
  <si>
    <t>F/99</t>
  </si>
  <si>
    <t>CC27 - 400x700mm deep concrete column</t>
  </si>
  <si>
    <t>F/100</t>
  </si>
  <si>
    <t>CC28 - 450x450mm deep concrete column</t>
  </si>
  <si>
    <t>F/101</t>
  </si>
  <si>
    <t>CC29 - 450x450mm deep concrete column</t>
  </si>
  <si>
    <t>F/102</t>
  </si>
  <si>
    <t>CC3 - 400x700mm deep concrete column</t>
  </si>
  <si>
    <t>F/103</t>
  </si>
  <si>
    <t>CC30 - 500mm diameter concrete column</t>
  </si>
  <si>
    <t>F/104</t>
  </si>
  <si>
    <t>CC31 - 500mm diameter concrete column</t>
  </si>
  <si>
    <t>F/105</t>
  </si>
  <si>
    <t>CC32 - 500mm diameter concrete column</t>
  </si>
  <si>
    <t>F/106</t>
  </si>
  <si>
    <t>CC33 - 500mm diameter concrete column</t>
  </si>
  <si>
    <t>F/107</t>
  </si>
  <si>
    <t>CC4 - 400x700mm deep concrete column</t>
  </si>
  <si>
    <t>F/108</t>
  </si>
  <si>
    <t>CC5 - 400x700mm deep concrete column</t>
  </si>
  <si>
    <t>F/109</t>
  </si>
  <si>
    <t>CC6 - 400x700mm deep concrete column</t>
  </si>
  <si>
    <t>F/110</t>
  </si>
  <si>
    <t>CC7 - 300x800mm deep concrete column</t>
  </si>
  <si>
    <t>F/111</t>
  </si>
  <si>
    <t>CC8 - 300x800mm deep concrete column</t>
  </si>
  <si>
    <t>F/112</t>
  </si>
  <si>
    <t>CC9 - 400x700mm deep concrete column</t>
  </si>
  <si>
    <t>F/113</t>
  </si>
  <si>
    <t>CC1 - 800x400mm deep concrete column</t>
  </si>
  <si>
    <t>F/114</t>
  </si>
  <si>
    <t>CC10 - 400x600mm deep concrete column</t>
  </si>
  <si>
    <t>F/115</t>
  </si>
  <si>
    <t>CC11a - 400x600mm deep concrete column</t>
  </si>
  <si>
    <t>F/116</t>
  </si>
  <si>
    <t>CC12 - 400x600mm deep concrete column</t>
  </si>
  <si>
    <t>F/117</t>
  </si>
  <si>
    <t>CC13 - 400x600mm deep concrete column</t>
  </si>
  <si>
    <t>F/118</t>
  </si>
  <si>
    <t>CC15 - 800x400mm deep concrete column</t>
  </si>
  <si>
    <t>F/119</t>
  </si>
  <si>
    <t>CC16 - 800x400mm deep concrete column</t>
  </si>
  <si>
    <t>F/120</t>
  </si>
  <si>
    <t>CC17 - 400x600mm deep concrete column</t>
  </si>
  <si>
    <t>F/121</t>
  </si>
  <si>
    <t>CC18 - 400x600mm deep concrete column</t>
  </si>
  <si>
    <t>F/122</t>
  </si>
  <si>
    <t>CC19 - 400x600mm deep concrete column</t>
  </si>
  <si>
    <t>F/123</t>
  </si>
  <si>
    <t>CC22 - 800x400mm deep concrete column</t>
  </si>
  <si>
    <t>F/124</t>
  </si>
  <si>
    <t>CC23 - 800x400mm deep concrete column</t>
  </si>
  <si>
    <t>F/125</t>
  </si>
  <si>
    <t>F/126</t>
  </si>
  <si>
    <t>F/127</t>
  </si>
  <si>
    <t>CC26 - 800x400mm deep concrete column</t>
  </si>
  <si>
    <t>F/128</t>
  </si>
  <si>
    <t>CC27 - 400x600mm deep concrete column</t>
  </si>
  <si>
    <t>F/129</t>
  </si>
  <si>
    <t>CC29 - 400x600mm deep concrete column</t>
  </si>
  <si>
    <t>F/130</t>
  </si>
  <si>
    <t>CC3 - 800x400mm deep concrete column</t>
  </si>
  <si>
    <t>F/131</t>
  </si>
  <si>
    <t>CC4 - 800x400mm deep concrete column</t>
  </si>
  <si>
    <t>F/132</t>
  </si>
  <si>
    <t>CC5 - 800x400mm deep concrete column</t>
  </si>
  <si>
    <t>F/133</t>
  </si>
  <si>
    <t>CC6 - 800x400mm deep concrete column</t>
  </si>
  <si>
    <t>F/134</t>
  </si>
  <si>
    <t>CC61 - 800x400mm deep concrete column</t>
  </si>
  <si>
    <t>F/135</t>
  </si>
  <si>
    <t>CC66 - 400x600mm deep concrete column</t>
  </si>
  <si>
    <t>F/136</t>
  </si>
  <si>
    <t>CC67 - 400x600mm deep concrete column</t>
  </si>
  <si>
    <t>F/137</t>
  </si>
  <si>
    <t>CC68 - 400x600mm deep concrete column</t>
  </si>
  <si>
    <t>F/138</t>
  </si>
  <si>
    <t>CC69 - 400x600mm deep concrete column</t>
  </si>
  <si>
    <t>F/139</t>
  </si>
  <si>
    <t>CC73 - 400x600mm deep concrete column</t>
  </si>
  <si>
    <t>F/140</t>
  </si>
  <si>
    <t>CC9 - 800x400mm deep concrete column</t>
  </si>
  <si>
    <t>F/141</t>
  </si>
  <si>
    <t>F/142</t>
  </si>
  <si>
    <t>CC10 - 450x450mm deep concrete column</t>
  </si>
  <si>
    <t>F/143</t>
  </si>
  <si>
    <t>F/144</t>
  </si>
  <si>
    <t>F/145</t>
  </si>
  <si>
    <t>F/146</t>
  </si>
  <si>
    <t>F/147</t>
  </si>
  <si>
    <t>F/148</t>
  </si>
  <si>
    <t>F/149</t>
  </si>
  <si>
    <t>F/150</t>
  </si>
  <si>
    <t>F/151</t>
  </si>
  <si>
    <t>F/152</t>
  </si>
  <si>
    <t>F/153</t>
  </si>
  <si>
    <t>F/154</t>
  </si>
  <si>
    <t>F/155</t>
  </si>
  <si>
    <t>F/156</t>
  </si>
  <si>
    <t>F/157</t>
  </si>
  <si>
    <t>F/158</t>
  </si>
  <si>
    <t>F/159</t>
  </si>
  <si>
    <t>F/160</t>
  </si>
  <si>
    <t>F/161</t>
  </si>
  <si>
    <t>F/162</t>
  </si>
  <si>
    <t>F/163</t>
  </si>
  <si>
    <t>F/164</t>
  </si>
  <si>
    <t>F/165</t>
  </si>
  <si>
    <t>F/166</t>
  </si>
  <si>
    <t>F/167</t>
  </si>
  <si>
    <t>F/168</t>
  </si>
  <si>
    <t>F/169</t>
  </si>
  <si>
    <t>CC17 - 300x500mm deep concrete column</t>
  </si>
  <si>
    <t>F/170</t>
  </si>
  <si>
    <t>CC24 - 300x500mm deep concrete column</t>
  </si>
  <si>
    <t>F/171</t>
  </si>
  <si>
    <t>CC25 - 300x500mm deep concrete column</t>
  </si>
  <si>
    <t>F/172</t>
  </si>
  <si>
    <t>CC66 - 300x500mm deep concrete column</t>
  </si>
  <si>
    <t>F/173</t>
  </si>
  <si>
    <t>CC82 - 300x500mm deep concrete column</t>
  </si>
  <si>
    <t>F/174</t>
  </si>
  <si>
    <t>CC83 - 300x500mm deep concrete column</t>
  </si>
  <si>
    <t>F/175</t>
  </si>
  <si>
    <t>CC84 - 400x400mm deep concrete column</t>
  </si>
  <si>
    <t>F/176</t>
  </si>
  <si>
    <t>CC85 - 400x400mm deep concrete column</t>
  </si>
  <si>
    <t>F/177</t>
  </si>
  <si>
    <t>CC86 - 400x400mm deep concrete column</t>
  </si>
  <si>
    <t>F/178</t>
  </si>
  <si>
    <t>CC87 - 400x400mm deep concrete column</t>
  </si>
  <si>
    <t>F/179</t>
  </si>
  <si>
    <t>CC88 - 400x400mm deep concrete column</t>
  </si>
  <si>
    <t>F/180</t>
  </si>
  <si>
    <t>CC89 - 300x500mm deep concrete column</t>
  </si>
  <si>
    <t>F/181</t>
  </si>
  <si>
    <t>CC90 - 300x500mm deep concrete column</t>
  </si>
  <si>
    <t>F/182</t>
  </si>
  <si>
    <t>CC91 - 400x400mm deep concrete column</t>
  </si>
  <si>
    <t>F/183</t>
  </si>
  <si>
    <t>CC92 - 400x400mm deep concrete column</t>
  </si>
  <si>
    <t>F/184</t>
  </si>
  <si>
    <t>CC93 - 400x400mm deep concrete column</t>
  </si>
  <si>
    <t>F/185</t>
  </si>
  <si>
    <t>CC94 - 300x500mm deep concrete column</t>
  </si>
  <si>
    <t>F/186</t>
  </si>
  <si>
    <t>CC95 - 300x500mm deep concrete column</t>
  </si>
  <si>
    <t>F/187</t>
  </si>
  <si>
    <t>CC96 - 300x500mm deep concrete column</t>
  </si>
  <si>
    <t>Suspended Slab on Piers (32Mpa, 80mm slump, 20mm max. aggregate size)</t>
  </si>
  <si>
    <t>F/188</t>
  </si>
  <si>
    <t>'160mm thick Suspended slab on piers</t>
  </si>
  <si>
    <t>Suspended Slab (40MPa, 80mm slump, 20mm max. aggregate size)</t>
  </si>
  <si>
    <t>F/189</t>
  </si>
  <si>
    <t>'200mm thick Suspended slab</t>
  </si>
  <si>
    <t>F/190</t>
  </si>
  <si>
    <t>'200mm thick Post tensioned slab</t>
  </si>
  <si>
    <t>F/191</t>
  </si>
  <si>
    <t>'400mm thick Post tensioned slab</t>
  </si>
  <si>
    <t>F/192</t>
  </si>
  <si>
    <t>'40mm thick integral fall to 200mm thick suspended slab</t>
  </si>
  <si>
    <t>F/193</t>
  </si>
  <si>
    <t>'40mm thick integral fall to 400mm thick Post tensioned slab</t>
  </si>
  <si>
    <t>F/194</t>
  </si>
  <si>
    <t>'600mm wide slab fold</t>
  </si>
  <si>
    <t>F/195</t>
  </si>
  <si>
    <t>Extra over labour for setdown</t>
  </si>
  <si>
    <t>m2</t>
  </si>
  <si>
    <t>F/196</t>
  </si>
  <si>
    <t>F/197</t>
  </si>
  <si>
    <t>F/198</t>
  </si>
  <si>
    <t>'250mm thick Post tensioned slab</t>
  </si>
  <si>
    <t>F/199</t>
  </si>
  <si>
    <t>F/200</t>
  </si>
  <si>
    <t>'40mm thick integral fall to 250mm thick PT slab</t>
  </si>
  <si>
    <t>F/201</t>
  </si>
  <si>
    <t>'40mm thick integral fall to 400mm thick PT slab</t>
  </si>
  <si>
    <t>F/202</t>
  </si>
  <si>
    <t>F/203</t>
  </si>
  <si>
    <t>F/204</t>
  </si>
  <si>
    <t>F/205</t>
  </si>
  <si>
    <t>F/206</t>
  </si>
  <si>
    <t>'300mm thick Post tensioned slab</t>
  </si>
  <si>
    <t>F/207</t>
  </si>
  <si>
    <t>F/208</t>
  </si>
  <si>
    <t>'40mm thick integral fall to 300mm thick PT slab</t>
  </si>
  <si>
    <t>F/209</t>
  </si>
  <si>
    <t>F/210</t>
  </si>
  <si>
    <t>Roof (SJ.01)</t>
  </si>
  <si>
    <t>F/211</t>
  </si>
  <si>
    <t>F/212</t>
  </si>
  <si>
    <t>Attached Beams (40MPa, 80mm slump, 20mm max. aggregate size)</t>
  </si>
  <si>
    <t>F/213</t>
  </si>
  <si>
    <t>'650 x 400mm deep post tensioned beam</t>
  </si>
  <si>
    <t>F/214</t>
  </si>
  <si>
    <t>'900 x 450mm deep post tensioned beam</t>
  </si>
  <si>
    <t>F/215</t>
  </si>
  <si>
    <t>'900 x 550mm deep post tensioned beam</t>
  </si>
  <si>
    <t>F/216</t>
  </si>
  <si>
    <t>'900 x 850mm deep post tensioned beam</t>
  </si>
  <si>
    <t>F/217</t>
  </si>
  <si>
    <t>'940 x 550mm deep post tensioned beam</t>
  </si>
  <si>
    <t>F/218</t>
  </si>
  <si>
    <t>'1350 x 550mm deep post tensioned beam</t>
  </si>
  <si>
    <t>F/219</t>
  </si>
  <si>
    <t>'1604 x 450mm deep post tensioned beam</t>
  </si>
  <si>
    <t>F/220</t>
  </si>
  <si>
    <t>'1800 x 450mm deep post tensioned beam</t>
  </si>
  <si>
    <t>F/221</t>
  </si>
  <si>
    <t>'1800 x 550mm deep post tensioned beam</t>
  </si>
  <si>
    <t>F/222</t>
  </si>
  <si>
    <t>'1800 x 850mm deep post tensioned beam</t>
  </si>
  <si>
    <t>F/223</t>
  </si>
  <si>
    <t>'2145 x 450mm deep post tensioned beam</t>
  </si>
  <si>
    <t>F/224</t>
  </si>
  <si>
    <t>'2145 x 850mm deep post tensioned beam</t>
  </si>
  <si>
    <t>F/225</t>
  </si>
  <si>
    <t>'2350 x 450mm deep post tensioned beam</t>
  </si>
  <si>
    <t>F/226</t>
  </si>
  <si>
    <t>'2376 x 450mm deep post tensioned beam</t>
  </si>
  <si>
    <t>F/227</t>
  </si>
  <si>
    <t>'2400 x 450mm deep post tensioned beam</t>
  </si>
  <si>
    <t>F/228</t>
  </si>
  <si>
    <t>'2400 x 550mm deep post tensioned beam</t>
  </si>
  <si>
    <t>F/229</t>
  </si>
  <si>
    <t>F/230</t>
  </si>
  <si>
    <t>F/231</t>
  </si>
  <si>
    <t>'940 x 450mm deep post tensioned beam</t>
  </si>
  <si>
    <t>F/232</t>
  </si>
  <si>
    <t>'1090 x 450mm deep post tensioned beam</t>
  </si>
  <si>
    <t>F/233</t>
  </si>
  <si>
    <t>F/234</t>
  </si>
  <si>
    <t>F/235</t>
  </si>
  <si>
    <t>'1810 x 450mm deep post tensioned beam</t>
  </si>
  <si>
    <t>F/236</t>
  </si>
  <si>
    <t>F/237</t>
  </si>
  <si>
    <t>F/238</t>
  </si>
  <si>
    <t>F/239</t>
  </si>
  <si>
    <t>F/240</t>
  </si>
  <si>
    <t>F/241</t>
  </si>
  <si>
    <t>F/242</t>
  </si>
  <si>
    <t>'1128 x 550mm deep post tensioned beam</t>
  </si>
  <si>
    <t>F/243</t>
  </si>
  <si>
    <t>F/244</t>
  </si>
  <si>
    <t>F/245</t>
  </si>
  <si>
    <t>'1800 x 600mm deep post tensioned beam</t>
  </si>
  <si>
    <t>F/246</t>
  </si>
  <si>
    <t>'2000 x 450mm deep post tensioned beam</t>
  </si>
  <si>
    <t>F/247</t>
  </si>
  <si>
    <t>F/248</t>
  </si>
  <si>
    <t>F/249</t>
  </si>
  <si>
    <t>Concrete Stair (40MPa, 80mm slump, 20mm max. aggregate size)</t>
  </si>
  <si>
    <t>F/250</t>
  </si>
  <si>
    <t>Stair 2 - 1700mm to 1900mm width concrete stair with 280mm treads, 200mm throat thickness, 180mm to 183.35mm riser height with 7 flights and 4 midlandings</t>
  </si>
  <si>
    <t>F/251</t>
  </si>
  <si>
    <t>Stair 3 - 2820mm width concrete stair with 280mm treads, 250mm throat thickness, 161.80mm to 163.65mm riser height with 9 flights and 5 midlandings</t>
  </si>
  <si>
    <t>F/252</t>
  </si>
  <si>
    <t>Stair 4 - 1020mm width concrete stair with 250mm treads, 245mm throat thickness, 166.7mm to 180mm riser height with 8 flights and 8 midlandings</t>
  </si>
  <si>
    <t>Sundries</t>
  </si>
  <si>
    <t>Concrete curing of slab in accordance with engineers requirements</t>
  </si>
  <si>
    <t>F/253</t>
  </si>
  <si>
    <t>Slab on ground</t>
  </si>
  <si>
    <t>F/254</t>
  </si>
  <si>
    <t>Suspended slab</t>
  </si>
  <si>
    <t>F/255</t>
  </si>
  <si>
    <t>Stair treads and Landing</t>
  </si>
  <si>
    <t>Integral surface finishes as required</t>
  </si>
  <si>
    <t>F/256</t>
  </si>
  <si>
    <t>Machine Float Finish (NB: Assumed to general slab)</t>
  </si>
  <si>
    <t>F/257</t>
  </si>
  <si>
    <t>Broom Finish (NB: Assumed to external slab)</t>
  </si>
  <si>
    <t>F/258</t>
  </si>
  <si>
    <t>Wood Float Finish (NB: Assumed to tiled areas)</t>
  </si>
  <si>
    <t>Wood Float Finish to Stair thread and landings</t>
  </si>
  <si>
    <t>F/259</t>
  </si>
  <si>
    <t>Stair Treads</t>
  </si>
  <si>
    <t>m</t>
  </si>
  <si>
    <t>F/260</t>
  </si>
  <si>
    <t>Stair Landings</t>
  </si>
  <si>
    <t>Honed Concrete Finish to western stair thread and landings</t>
  </si>
  <si>
    <t>F/261</t>
  </si>
  <si>
    <t>F/262</t>
  </si>
  <si>
    <t>Miscellaneous Items</t>
  </si>
  <si>
    <t>F/263</t>
  </si>
  <si>
    <t>Vertical layer of highly permeable crushed rock granular material minimum width 300mm - typical</t>
  </si>
  <si>
    <t>F/264</t>
  </si>
  <si>
    <t>SikaSwell-A 2010M swelling waterstop</t>
  </si>
  <si>
    <t>F/265</t>
  </si>
  <si>
    <t>'100mm diameter PVC subsoil drainage pipe with filter fabric sock</t>
  </si>
  <si>
    <t>F/266</t>
  </si>
  <si>
    <t xml:space="preserve">Graded blue metal aggregate filter </t>
  </si>
  <si>
    <t>Joints and Associated Items</t>
  </si>
  <si>
    <t>F/267</t>
  </si>
  <si>
    <t xml:space="preserve">'20mm compressible joint filler with 'Parchem Flamex PU' fire sealant and backing rod. Expansion joint, EJ </t>
  </si>
  <si>
    <t>F/268</t>
  </si>
  <si>
    <t>Ancon DSDQ50 shear load connectors</t>
  </si>
  <si>
    <t>no</t>
  </si>
  <si>
    <t>F/269</t>
  </si>
  <si>
    <t>Parchem Nitobond EP bonding agent, construction joint, CJ</t>
  </si>
  <si>
    <t>Blinding Layer and Concrete Underlay</t>
  </si>
  <si>
    <t>F/270</t>
  </si>
  <si>
    <t>'50mm thick sand blinding under slab on ground</t>
  </si>
  <si>
    <t>F/271</t>
  </si>
  <si>
    <t>TERM-01 - Kordon TMB termite and moisture under slab of ground and sides of footings</t>
  </si>
  <si>
    <t>SOUTH BUILDING</t>
  </si>
  <si>
    <t>Foundation (SB.02)</t>
  </si>
  <si>
    <t>F/272</t>
  </si>
  <si>
    <t>F/273</t>
  </si>
  <si>
    <t>F/274</t>
  </si>
  <si>
    <t>F/275</t>
  </si>
  <si>
    <t>F/276</t>
  </si>
  <si>
    <t>F/277</t>
  </si>
  <si>
    <t>F/278</t>
  </si>
  <si>
    <t>F/279</t>
  </si>
  <si>
    <t>F/280</t>
  </si>
  <si>
    <t>F/281</t>
  </si>
  <si>
    <t>W4 - 250mm thick external wall</t>
  </si>
  <si>
    <t>F/282</t>
  </si>
  <si>
    <t>Level 1 (SC.02)</t>
  </si>
  <si>
    <t>F/283</t>
  </si>
  <si>
    <t>F/284</t>
  </si>
  <si>
    <t>Level 2 (SG.02)</t>
  </si>
  <si>
    <t>F/285</t>
  </si>
  <si>
    <t>'250mm thick external wall</t>
  </si>
  <si>
    <t>F/286</t>
  </si>
  <si>
    <t>Level 4 (SI.02)</t>
  </si>
  <si>
    <t>F/287</t>
  </si>
  <si>
    <t>W5 - 300mm thick external wall</t>
  </si>
  <si>
    <t>F/288</t>
  </si>
  <si>
    <t>F/289</t>
  </si>
  <si>
    <t>W2 - 200mm thick lift pit wall</t>
  </si>
  <si>
    <t>F/290</t>
  </si>
  <si>
    <t>F/291</t>
  </si>
  <si>
    <t>F/292</t>
  </si>
  <si>
    <t>F/293</t>
  </si>
  <si>
    <t>F/294</t>
  </si>
  <si>
    <t>W6 - 300mm thick internal wall</t>
  </si>
  <si>
    <t>F/295</t>
  </si>
  <si>
    <t>F/296</t>
  </si>
  <si>
    <t>F/297</t>
  </si>
  <si>
    <t>F/298</t>
  </si>
  <si>
    <t>Level 3 (SH.02)</t>
  </si>
  <si>
    <t>F/299</t>
  </si>
  <si>
    <t>F/300</t>
  </si>
  <si>
    <t>F/301</t>
  </si>
  <si>
    <t>F/302</t>
  </si>
  <si>
    <t>F/303</t>
  </si>
  <si>
    <t>F/304</t>
  </si>
  <si>
    <t>F/305</t>
  </si>
  <si>
    <t>CC34 - 400x700mm deep concrete column</t>
  </si>
  <si>
    <t>F/306</t>
  </si>
  <si>
    <t>CC35 - 400x700mm deep concrete column</t>
  </si>
  <si>
    <t>F/307</t>
  </si>
  <si>
    <t>CC36 - 400x700mm deep concrete column</t>
  </si>
  <si>
    <t>F/308</t>
  </si>
  <si>
    <t>CC37 - 400x600mm deep concrete column</t>
  </si>
  <si>
    <t>F/309</t>
  </si>
  <si>
    <t>CC38 - 400x600mm deep concrete column</t>
  </si>
  <si>
    <t>F/310</t>
  </si>
  <si>
    <t>CC39 - 400x600mm deep concrete column</t>
  </si>
  <si>
    <t>F/311</t>
  </si>
  <si>
    <t>CC40 - 400x600mm deep concrete column</t>
  </si>
  <si>
    <t>F/312</t>
  </si>
  <si>
    <t>CC41 - 450x450mm deep concrete column</t>
  </si>
  <si>
    <t>F/313</t>
  </si>
  <si>
    <t>CC42 - 400x600mm deep concrete column</t>
  </si>
  <si>
    <t>F/314</t>
  </si>
  <si>
    <t>CC43 - 400x600mm deep concrete column</t>
  </si>
  <si>
    <t>F/315</t>
  </si>
  <si>
    <t>CC44 - 500mm diameter concrete column</t>
  </si>
  <si>
    <t>F/316</t>
  </si>
  <si>
    <t>CC45 - 400x600mm deep concrete column</t>
  </si>
  <si>
    <t>F/317</t>
  </si>
  <si>
    <t>CC46 - 450x450mm deep concrete column</t>
  </si>
  <si>
    <t>F/318</t>
  </si>
  <si>
    <t>CC47 - 400x600mm deep concrete column</t>
  </si>
  <si>
    <t>F/319</t>
  </si>
  <si>
    <t>CC48 - 450x450mm deep concrete column</t>
  </si>
  <si>
    <t>F/320</t>
  </si>
  <si>
    <t>CC49 - 400x600mm deep concrete column</t>
  </si>
  <si>
    <t>F/321</t>
  </si>
  <si>
    <t>CC50 - 400x600mm deep concrete column</t>
  </si>
  <si>
    <t>F/322</t>
  </si>
  <si>
    <t>CC51 - 400x600mm deep concrete column</t>
  </si>
  <si>
    <t>F/323</t>
  </si>
  <si>
    <t>CC52 - 450x450mm deep concrete column</t>
  </si>
  <si>
    <t>F/324</t>
  </si>
  <si>
    <t>CC53 - 450x450mm deep concrete column</t>
  </si>
  <si>
    <t>F/325</t>
  </si>
  <si>
    <t>CC54 - 450x450mm deep concrete column</t>
  </si>
  <si>
    <t>F/326</t>
  </si>
  <si>
    <t>CC55 - 400x600mm deep concrete column</t>
  </si>
  <si>
    <t>F/327</t>
  </si>
  <si>
    <t>CC56 - 400x600mm deep concrete column</t>
  </si>
  <si>
    <t>F/328</t>
  </si>
  <si>
    <t>CC57 - 400x600mm deep concrete column</t>
  </si>
  <si>
    <t>F/329</t>
  </si>
  <si>
    <t>CC58 - 400x1600mm deep concrete column</t>
  </si>
  <si>
    <t>F/330</t>
  </si>
  <si>
    <t>CC59 - 400x400mm deep concrete column</t>
  </si>
  <si>
    <t>F/331</t>
  </si>
  <si>
    <t>CC76 - 400x700mm deep concrete column</t>
  </si>
  <si>
    <t>F/332</t>
  </si>
  <si>
    <t>CC34 - 400x600mm deep concrete column</t>
  </si>
  <si>
    <t>F/333</t>
  </si>
  <si>
    <t>CC35 - 800x400mm deep concrete column</t>
  </si>
  <si>
    <t>F/334</t>
  </si>
  <si>
    <t>CC36 - 800x400mm deep concrete column</t>
  </si>
  <si>
    <t>F/335</t>
  </si>
  <si>
    <t>F/336</t>
  </si>
  <si>
    <t>F/337</t>
  </si>
  <si>
    <t>CC44 - 400x600mm deep concrete column</t>
  </si>
  <si>
    <t>F/338</t>
  </si>
  <si>
    <t>F/339</t>
  </si>
  <si>
    <t>CC48 - 400x600mm deep concrete column</t>
  </si>
  <si>
    <t>F/340</t>
  </si>
  <si>
    <t>F/341</t>
  </si>
  <si>
    <t>F/342</t>
  </si>
  <si>
    <t>CC52 - 400x600mm deep concrete column</t>
  </si>
  <si>
    <t>F/343</t>
  </si>
  <si>
    <t>CC54 - 400x600mm deep concrete column</t>
  </si>
  <si>
    <t>F/344</t>
  </si>
  <si>
    <t>F/345</t>
  </si>
  <si>
    <t>F/346</t>
  </si>
  <si>
    <t>F/347</t>
  </si>
  <si>
    <t>F/348</t>
  </si>
  <si>
    <t>CC76 - 800x400mm deep concrete column</t>
  </si>
  <si>
    <t>F/349</t>
  </si>
  <si>
    <t>CC77 - 800x400mm deep concrete column</t>
  </si>
  <si>
    <t>F/350</t>
  </si>
  <si>
    <t>CC78 - 400x600mm deep concrete column</t>
  </si>
  <si>
    <t>F/351</t>
  </si>
  <si>
    <t>CC79 - 800x400mm deep concrete column</t>
  </si>
  <si>
    <t>F/352</t>
  </si>
  <si>
    <t>CC80 - 500mm diameter concrete column</t>
  </si>
  <si>
    <t>F/353</t>
  </si>
  <si>
    <t>F/354</t>
  </si>
  <si>
    <t>F/355</t>
  </si>
  <si>
    <t>F/356</t>
  </si>
  <si>
    <t>F/357</t>
  </si>
  <si>
    <t>F/358</t>
  </si>
  <si>
    <t>F/359</t>
  </si>
  <si>
    <t>F/360</t>
  </si>
  <si>
    <t>F/361</t>
  </si>
  <si>
    <t>F/362</t>
  </si>
  <si>
    <t>F/363</t>
  </si>
  <si>
    <t>F/364</t>
  </si>
  <si>
    <t>F/365</t>
  </si>
  <si>
    <t>F/366</t>
  </si>
  <si>
    <t>F/367</t>
  </si>
  <si>
    <t>F/368</t>
  </si>
  <si>
    <t>F/369</t>
  </si>
  <si>
    <t>F/370</t>
  </si>
  <si>
    <t>F/371</t>
  </si>
  <si>
    <t>F/372</t>
  </si>
  <si>
    <t>CC81 - 400x600mm deep concrete column</t>
  </si>
  <si>
    <t>Columns (32MPa, 80mm slump, 20mm max. aggregate size)</t>
  </si>
  <si>
    <t>F/373</t>
  </si>
  <si>
    <t>CC100 - 300x500mm deep concrete column</t>
  </si>
  <si>
    <t>F/374</t>
  </si>
  <si>
    <t>CC97 - 300x500mm deep concrete column</t>
  </si>
  <si>
    <t>F/375</t>
  </si>
  <si>
    <t>CC98 - 300x500mm deep concrete column</t>
  </si>
  <si>
    <t>F/376</t>
  </si>
  <si>
    <t>CC99 - 300x500mm deep concrete column</t>
  </si>
  <si>
    <t>F/377</t>
  </si>
  <si>
    <t>Suspended Ramp Slab (40MPa, 80mm slump, 20mm max. aggregate size)</t>
  </si>
  <si>
    <t>F/378</t>
  </si>
  <si>
    <t>'200mm thick Ramp Slab</t>
  </si>
  <si>
    <t>F/379</t>
  </si>
  <si>
    <t>F/380</t>
  </si>
  <si>
    <t>'300mm thick Suspended slab</t>
  </si>
  <si>
    <t>F/381</t>
  </si>
  <si>
    <t>F/382</t>
  </si>
  <si>
    <t>F/383</t>
  </si>
  <si>
    <t>F/384</t>
  </si>
  <si>
    <t>'350mm thick Post tensioned slab</t>
  </si>
  <si>
    <t>F/385</t>
  </si>
  <si>
    <t>'40mm thick integral fall to 300mm thick suspended slab</t>
  </si>
  <si>
    <t>F/386</t>
  </si>
  <si>
    <t>F/387</t>
  </si>
  <si>
    <t>'40mm thick integral fall to 250mm thick Post tensioned slab</t>
  </si>
  <si>
    <t>F/388</t>
  </si>
  <si>
    <t>'40mm thick integral fall to 350mm thick Post tensioned slab</t>
  </si>
  <si>
    <t>F/389</t>
  </si>
  <si>
    <t>'250mm wide slab fold</t>
  </si>
  <si>
    <t>F/390</t>
  </si>
  <si>
    <t>F/391</t>
  </si>
  <si>
    <t>'100mm thick slab topping</t>
  </si>
  <si>
    <t>F/392</t>
  </si>
  <si>
    <t>F/393</t>
  </si>
  <si>
    <t>F/394</t>
  </si>
  <si>
    <t>F/395</t>
  </si>
  <si>
    <t>F/396</t>
  </si>
  <si>
    <t>F/397</t>
  </si>
  <si>
    <t>F/398</t>
  </si>
  <si>
    <t>F/399</t>
  </si>
  <si>
    <t>F/400</t>
  </si>
  <si>
    <t>F/401</t>
  </si>
  <si>
    <t>F/402</t>
  </si>
  <si>
    <t>F/403</t>
  </si>
  <si>
    <t>Roof (SJ.02)</t>
  </si>
  <si>
    <t>F/404</t>
  </si>
  <si>
    <t>F/405</t>
  </si>
  <si>
    <t>F/406</t>
  </si>
  <si>
    <t>L2-B3: 400 x 1500mm deep attached RC Beam</t>
  </si>
  <si>
    <t>F/407</t>
  </si>
  <si>
    <t>L2-B5: 300 x 1500mm deep attached RC Beam</t>
  </si>
  <si>
    <t>F/408</t>
  </si>
  <si>
    <t>L2-B6: 400 x 1650mm deep attached RC Beam</t>
  </si>
  <si>
    <t>F/409</t>
  </si>
  <si>
    <t>L2-B7: 400 x 1500mm deep attached RC Beam</t>
  </si>
  <si>
    <t>F/410</t>
  </si>
  <si>
    <t>L2-B8: 400 x 592mm deep attached RC Beam</t>
  </si>
  <si>
    <t>F/411</t>
  </si>
  <si>
    <t>L2-B9: 400 x 1052mm deep attached RC Beam</t>
  </si>
  <si>
    <t>F/412</t>
  </si>
  <si>
    <t>L2-B10: 300 x 495mm deep attached RC Beam</t>
  </si>
  <si>
    <t>F/413</t>
  </si>
  <si>
    <t>L2-B1: 400 x 1052mm deep attached RC Beam (NB: Assumed beam size no details provided)</t>
  </si>
  <si>
    <t>F/414</t>
  </si>
  <si>
    <t>L2-B2: 400 x 592mm deep attached RC Beam (NB: Assumed beam size no details provided)</t>
  </si>
  <si>
    <t>F/415</t>
  </si>
  <si>
    <t>L2-B4: 400 x 592mm deep attached RC Beam (NB: Assumed beam size no details provided)</t>
  </si>
  <si>
    <t>F/416</t>
  </si>
  <si>
    <t>F/417</t>
  </si>
  <si>
    <t>'1140 x 550mm deep post tensioned beam</t>
  </si>
  <si>
    <t>F/418</t>
  </si>
  <si>
    <t>F/419</t>
  </si>
  <si>
    <t>F/420</t>
  </si>
  <si>
    <t>'2000 x 550mm deep post tensioned beam</t>
  </si>
  <si>
    <t>F/421</t>
  </si>
  <si>
    <t>F/422</t>
  </si>
  <si>
    <t>'3000 x 625mm deep post tensioned beam</t>
  </si>
  <si>
    <t>F/423</t>
  </si>
  <si>
    <t>F/424</t>
  </si>
  <si>
    <t>'1140 x 450mm deep post tensioned beam</t>
  </si>
  <si>
    <t>F/425</t>
  </si>
  <si>
    <t>F/426</t>
  </si>
  <si>
    <t>F/427</t>
  </si>
  <si>
    <t>'2240 x 450mm deep post tensioned beam</t>
  </si>
  <si>
    <t>F/428</t>
  </si>
  <si>
    <t>'2600 x 450mm deep post tensioned beam</t>
  </si>
  <si>
    <t>F/429</t>
  </si>
  <si>
    <t>F/430</t>
  </si>
  <si>
    <t>F/431</t>
  </si>
  <si>
    <t>'1350 x 450mm deep post tensioned beam</t>
  </si>
  <si>
    <t>F/432</t>
  </si>
  <si>
    <t>F/433</t>
  </si>
  <si>
    <t>F/434</t>
  </si>
  <si>
    <t>F/435</t>
  </si>
  <si>
    <t>Stair 1 - 2000mm width concrete stair with 280mm treads, 200-350mm throat thickness, 172.25mm riser height with 5 flights and 3 midlandings</t>
  </si>
  <si>
    <t>F/436</t>
  </si>
  <si>
    <t>Stair 5 - 2670mm width concrete stair with 300mm treads, 250mm throat thickness, 150mm riser height with 1 flights</t>
  </si>
  <si>
    <t>F/437</t>
  </si>
  <si>
    <t>Stair 6 - 2670mm width concrete stair with 300mm treads, 250mm throat thickness, 150mm riser height with 1 flights</t>
  </si>
  <si>
    <t>F/438</t>
  </si>
  <si>
    <t>Stair 7 - 6770mm width concrete stair with 300mm treads, 240mm throat thickness, 161mm riser height with 2 flights and 1 midlandings</t>
  </si>
  <si>
    <t>F/439</t>
  </si>
  <si>
    <t>F/440</t>
  </si>
  <si>
    <t>F/441</t>
  </si>
  <si>
    <t>F/442</t>
  </si>
  <si>
    <t>F/443</t>
  </si>
  <si>
    <t>F/444</t>
  </si>
  <si>
    <t>F/445</t>
  </si>
  <si>
    <t>F/446</t>
  </si>
  <si>
    <t>F/447</t>
  </si>
  <si>
    <t>Course sand compacted in 300mm layers to surface level</t>
  </si>
  <si>
    <t>F/448</t>
  </si>
  <si>
    <t>F/449</t>
  </si>
  <si>
    <t>F/450</t>
  </si>
  <si>
    <t>F/451</t>
  </si>
  <si>
    <t>F/452</t>
  </si>
  <si>
    <t>F/453</t>
  </si>
  <si>
    <t>F/454</t>
  </si>
  <si>
    <t>TERM-01 - Kordon TMB termite and moisture barrier under slab on ground and sides of footing</t>
  </si>
  <si>
    <t>Ground Beam (32Mpa, 80mm slump, 20mm max. aggregate size)</t>
  </si>
  <si>
    <t>EB-A 600 x 600mm edge ground beam with rebate</t>
  </si>
  <si>
    <t>FB-A 600 x 600mm internal ground beam</t>
  </si>
  <si>
    <t>FB-B 900 x 600mm internal ground beam</t>
  </si>
  <si>
    <t>FB-C 1200 x 600mm internal ground beam</t>
  </si>
  <si>
    <t>IB-A 600 x 600mm internal ground beam</t>
  </si>
  <si>
    <t>IB-B 450 x 600mm internal ground beam</t>
  </si>
  <si>
    <t>FB-D 450 x 600mm internal ground beam</t>
  </si>
  <si>
    <t>Ramp slab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</si>
</sst>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34C5-B63E-4C3D-9832-FB8876CA423A}">
  <dimension ref="A1:D543"/>
  <sheetViews>
    <sheetView tabSelected="1" topLeftCell="A36" workbookViewId="0">
      <selection activeCell="C2" sqref="C2"/>
    </sheetView>
  </sheetViews>
  <sheetFormatPr defaultRowHeight="15" x14ac:dyDescent="0.25"/>
  <cols>
    <col min="2" max="2" width="66.5703125" style="1" customWidth="1"/>
    <col min="3" max="3" width="30" customWidth="1"/>
  </cols>
  <sheetData>
    <row r="1" spans="1:4" x14ac:dyDescent="0.25">
      <c r="B1" s="1" t="s">
        <v>0</v>
      </c>
      <c r="D1" t="s">
        <v>1</v>
      </c>
    </row>
    <row r="2" spans="1:4" ht="45" x14ac:dyDescent="0.25">
      <c r="A2" t="s">
        <v>2</v>
      </c>
      <c r="B2" s="1" t="s">
        <v>3</v>
      </c>
      <c r="D2" t="s">
        <v>4</v>
      </c>
    </row>
    <row r="3" spans="1:4" ht="45" x14ac:dyDescent="0.25">
      <c r="A3" t="s">
        <v>5</v>
      </c>
      <c r="B3" s="1" t="s">
        <v>6</v>
      </c>
      <c r="D3" t="s">
        <v>4</v>
      </c>
    </row>
    <row r="4" spans="1:4" x14ac:dyDescent="0.25">
      <c r="B4" s="1" t="s">
        <v>7</v>
      </c>
      <c r="D4" t="s">
        <v>1</v>
      </c>
    </row>
    <row r="5" spans="1:4" ht="45" x14ac:dyDescent="0.25">
      <c r="A5" t="s">
        <v>8</v>
      </c>
      <c r="B5" s="1" t="s">
        <v>9</v>
      </c>
      <c r="D5" t="s">
        <v>4</v>
      </c>
    </row>
    <row r="6" spans="1:4" x14ac:dyDescent="0.25">
      <c r="A6" t="s">
        <v>10</v>
      </c>
      <c r="B6" s="1" t="s">
        <v>11</v>
      </c>
      <c r="D6" t="s">
        <v>4</v>
      </c>
    </row>
    <row r="7" spans="1:4" x14ac:dyDescent="0.25">
      <c r="B7" s="1" t="s">
        <v>12</v>
      </c>
      <c r="D7" t="s">
        <v>1</v>
      </c>
    </row>
    <row r="8" spans="1:4" x14ac:dyDescent="0.25">
      <c r="B8" s="1" t="s">
        <v>13</v>
      </c>
      <c r="D8" t="s">
        <v>14</v>
      </c>
    </row>
    <row r="9" spans="1:4" x14ac:dyDescent="0.25">
      <c r="A9" t="s">
        <v>15</v>
      </c>
      <c r="B9" s="1" t="s">
        <v>16</v>
      </c>
      <c r="D9" t="s">
        <v>4</v>
      </c>
    </row>
    <row r="10" spans="1:4" ht="60" x14ac:dyDescent="0.25">
      <c r="A10" t="s">
        <v>17</v>
      </c>
      <c r="B10" s="1" t="s">
        <v>18</v>
      </c>
      <c r="D10" t="s">
        <v>4</v>
      </c>
    </row>
    <row r="11" spans="1:4" ht="30" x14ac:dyDescent="0.25">
      <c r="A11" t="s">
        <v>19</v>
      </c>
      <c r="B11" s="1" t="s">
        <v>20</v>
      </c>
      <c r="D11" t="s">
        <v>4</v>
      </c>
    </row>
    <row r="12" spans="1:4" ht="30" x14ac:dyDescent="0.25">
      <c r="A12" t="s">
        <v>21</v>
      </c>
      <c r="B12" s="1" t="s">
        <v>22</v>
      </c>
      <c r="D12" t="s">
        <v>4</v>
      </c>
    </row>
    <row r="13" spans="1:4" ht="30" x14ac:dyDescent="0.25">
      <c r="A13" t="s">
        <v>23</v>
      </c>
      <c r="B13" s="1" t="s">
        <v>24</v>
      </c>
      <c r="D13" t="s">
        <v>4</v>
      </c>
    </row>
    <row r="14" spans="1:4" ht="30" x14ac:dyDescent="0.25">
      <c r="A14" t="s">
        <v>25</v>
      </c>
      <c r="B14" s="1" t="s">
        <v>26</v>
      </c>
      <c r="D14" t="s">
        <v>4</v>
      </c>
    </row>
    <row r="15" spans="1:4" x14ac:dyDescent="0.25">
      <c r="B15" s="1" t="s">
        <v>27</v>
      </c>
      <c r="D15" t="s">
        <v>1</v>
      </c>
    </row>
    <row r="16" spans="1:4" ht="30" x14ac:dyDescent="0.25">
      <c r="A16" t="s">
        <v>28</v>
      </c>
      <c r="B16" s="1" t="s">
        <v>29</v>
      </c>
      <c r="C16">
        <v>1</v>
      </c>
      <c r="D16" t="s">
        <v>30</v>
      </c>
    </row>
    <row r="17" spans="1:4" x14ac:dyDescent="0.25">
      <c r="A17" t="s">
        <v>31</v>
      </c>
      <c r="B17" s="1" t="s">
        <v>32</v>
      </c>
      <c r="C17">
        <v>1</v>
      </c>
      <c r="D17" t="s">
        <v>30</v>
      </c>
    </row>
    <row r="18" spans="1:4" x14ac:dyDescent="0.25">
      <c r="A18" t="s">
        <v>33</v>
      </c>
      <c r="B18" s="1" t="s">
        <v>34</v>
      </c>
      <c r="C18">
        <v>1</v>
      </c>
      <c r="D18" t="s">
        <v>30</v>
      </c>
    </row>
    <row r="19" spans="1:4" x14ac:dyDescent="0.25">
      <c r="A19" t="s">
        <v>35</v>
      </c>
      <c r="B19" s="1" t="s">
        <v>36</v>
      </c>
      <c r="C19">
        <v>1</v>
      </c>
      <c r="D19" t="s">
        <v>30</v>
      </c>
    </row>
    <row r="20" spans="1:4" x14ac:dyDescent="0.25">
      <c r="A20" t="s">
        <v>37</v>
      </c>
      <c r="B20" s="1" t="s">
        <v>38</v>
      </c>
      <c r="C20">
        <v>1</v>
      </c>
      <c r="D20" t="s">
        <v>30</v>
      </c>
    </row>
    <row r="21" spans="1:4" x14ac:dyDescent="0.25">
      <c r="A21" t="s">
        <v>39</v>
      </c>
      <c r="B21" s="1" t="s">
        <v>40</v>
      </c>
      <c r="C21">
        <v>1</v>
      </c>
      <c r="D21" t="s">
        <v>30</v>
      </c>
    </row>
    <row r="22" spans="1:4" ht="30" x14ac:dyDescent="0.25">
      <c r="A22" t="s">
        <v>41</v>
      </c>
      <c r="B22" s="1" t="s">
        <v>42</v>
      </c>
      <c r="C22">
        <v>1</v>
      </c>
      <c r="D22" t="s">
        <v>30</v>
      </c>
    </row>
    <row r="23" spans="1:4" ht="30" x14ac:dyDescent="0.25">
      <c r="A23" t="s">
        <v>43</v>
      </c>
      <c r="B23" s="1" t="s">
        <v>44</v>
      </c>
      <c r="C23">
        <v>1</v>
      </c>
      <c r="D23" t="s">
        <v>30</v>
      </c>
    </row>
    <row r="24" spans="1:4" x14ac:dyDescent="0.25">
      <c r="A24" t="s">
        <v>45</v>
      </c>
      <c r="B24" s="1" t="s">
        <v>46</v>
      </c>
      <c r="C24">
        <v>1</v>
      </c>
      <c r="D24" t="s">
        <v>30</v>
      </c>
    </row>
    <row r="25" spans="1:4" x14ac:dyDescent="0.25">
      <c r="A25" t="s">
        <v>47</v>
      </c>
      <c r="B25" s="1" t="s">
        <v>48</v>
      </c>
      <c r="C25">
        <v>1</v>
      </c>
      <c r="D25" t="s">
        <v>30</v>
      </c>
    </row>
    <row r="26" spans="1:4" x14ac:dyDescent="0.25">
      <c r="A26" t="s">
        <v>49</v>
      </c>
      <c r="B26" s="1" t="s">
        <v>50</v>
      </c>
      <c r="C26">
        <v>1</v>
      </c>
      <c r="D26" t="s">
        <v>30</v>
      </c>
    </row>
    <row r="27" spans="1:4" x14ac:dyDescent="0.25">
      <c r="B27" s="1" t="s">
        <v>51</v>
      </c>
      <c r="D27" t="s">
        <v>1</v>
      </c>
    </row>
    <row r="28" spans="1:4" x14ac:dyDescent="0.25">
      <c r="A28" t="s">
        <v>52</v>
      </c>
      <c r="B28" s="1" t="s">
        <v>53</v>
      </c>
      <c r="D28" t="s">
        <v>4</v>
      </c>
    </row>
    <row r="29" spans="1:4" ht="30" x14ac:dyDescent="0.25">
      <c r="A29" t="s">
        <v>54</v>
      </c>
      <c r="B29" s="1" t="s">
        <v>55</v>
      </c>
      <c r="D29" t="s">
        <v>4</v>
      </c>
    </row>
    <row r="30" spans="1:4" ht="30" x14ac:dyDescent="0.25">
      <c r="A30" t="s">
        <v>56</v>
      </c>
      <c r="B30" s="1" t="s">
        <v>57</v>
      </c>
      <c r="D30" t="s">
        <v>4</v>
      </c>
    </row>
    <row r="31" spans="1:4" x14ac:dyDescent="0.25">
      <c r="A31" t="s">
        <v>58</v>
      </c>
      <c r="B31" s="1" t="s">
        <v>59</v>
      </c>
      <c r="D31" t="s">
        <v>60</v>
      </c>
    </row>
    <row r="32" spans="1:4" x14ac:dyDescent="0.25">
      <c r="B32" s="1" t="s">
        <v>61</v>
      </c>
      <c r="D32" t="s">
        <v>1</v>
      </c>
    </row>
    <row r="33" spans="1:4" x14ac:dyDescent="0.25">
      <c r="A33" t="s">
        <v>62</v>
      </c>
      <c r="B33" s="1" t="s">
        <v>63</v>
      </c>
      <c r="C33" t="e" cm="1">
        <f t="array" aca="1" ref="C33" ca="1">XSUMQTY(0)</f>
        <v>#NAME?</v>
      </c>
      <c r="D33" t="s">
        <v>64</v>
      </c>
    </row>
    <row r="34" spans="1:4" x14ac:dyDescent="0.25">
      <c r="A34" t="s">
        <v>65</v>
      </c>
      <c r="B34" s="1" t="s">
        <v>66</v>
      </c>
      <c r="C34" t="e" cm="1">
        <f t="array" aca="1" ref="C34" ca="1">XSUMQTY(0)</f>
        <v>#NAME?</v>
      </c>
      <c r="D34" t="s">
        <v>64</v>
      </c>
    </row>
    <row r="35" spans="1:4" ht="30" x14ac:dyDescent="0.25">
      <c r="A35" t="s">
        <v>67</v>
      </c>
      <c r="B35" s="1" t="s">
        <v>68</v>
      </c>
      <c r="C35" t="e" cm="1">
        <f t="array" aca="1" ref="C35" ca="1">XSUMQTY(0)</f>
        <v>#NAME?</v>
      </c>
      <c r="D35" t="s">
        <v>64</v>
      </c>
    </row>
    <row r="36" spans="1:4" x14ac:dyDescent="0.25">
      <c r="A36" t="s">
        <v>69</v>
      </c>
      <c r="B36" s="1" t="s">
        <v>70</v>
      </c>
      <c r="C36" t="e" cm="1">
        <f t="array" aca="1" ref="C36" ca="1">XSUMQTY(0)</f>
        <v>#NAME?</v>
      </c>
      <c r="D36" t="s">
        <v>64</v>
      </c>
    </row>
    <row r="37" spans="1:4" x14ac:dyDescent="0.25">
      <c r="A37" t="s">
        <v>71</v>
      </c>
      <c r="B37" s="1" t="s">
        <v>72</v>
      </c>
      <c r="C37" t="e" cm="1">
        <f t="array" aca="1" ref="C37" ca="1">XSUMQTY(0)</f>
        <v>#NAME?</v>
      </c>
      <c r="D37" t="s">
        <v>64</v>
      </c>
    </row>
    <row r="38" spans="1:4" x14ac:dyDescent="0.25">
      <c r="B38" s="1" t="s">
        <v>73</v>
      </c>
      <c r="D38" t="s">
        <v>1</v>
      </c>
    </row>
    <row r="39" spans="1:4" x14ac:dyDescent="0.25">
      <c r="B39" s="1" t="s">
        <v>74</v>
      </c>
      <c r="D39" t="s">
        <v>14</v>
      </c>
    </row>
    <row r="40" spans="1:4" x14ac:dyDescent="0.25">
      <c r="B40" s="1" t="s">
        <v>75</v>
      </c>
      <c r="D40" t="s">
        <v>76</v>
      </c>
    </row>
    <row r="41" spans="1:4" x14ac:dyDescent="0.25">
      <c r="B41" s="1" t="s">
        <v>77</v>
      </c>
      <c r="D41" t="s">
        <v>78</v>
      </c>
    </row>
    <row r="42" spans="1:4" x14ac:dyDescent="0.25">
      <c r="A42" t="s">
        <v>79</v>
      </c>
      <c r="B42" s="1" t="s">
        <v>80</v>
      </c>
      <c r="C42" t="e" cm="1">
        <f t="array" aca="1" ref="C42" ca="1">XGETVOLUME("PC1 - 3600 x 1200 x 1200mm deep pile cap[1|N;3|F;6|50MPa]",0)</f>
        <v>#NAME?</v>
      </c>
      <c r="D42" t="s">
        <v>64</v>
      </c>
    </row>
    <row r="43" spans="1:4" x14ac:dyDescent="0.25">
      <c r="A43" t="s">
        <v>81</v>
      </c>
      <c r="B43" s="1" t="s">
        <v>82</v>
      </c>
      <c r="C43" t="e" cm="1">
        <f t="array" aca="1" ref="C43" ca="1">XGETVOLUME("PC2 - 3600 x 1200 x 1400mm deep pile cap[1|N;3|F;6|50MPa]",0)</f>
        <v>#NAME?</v>
      </c>
      <c r="D43" t="s">
        <v>64</v>
      </c>
    </row>
    <row r="44" spans="1:4" ht="30" x14ac:dyDescent="0.25">
      <c r="B44" s="1" t="s">
        <v>83</v>
      </c>
      <c r="D44" t="s">
        <v>76</v>
      </c>
    </row>
    <row r="45" spans="1:4" x14ac:dyDescent="0.25">
      <c r="B45" s="1" t="s">
        <v>77</v>
      </c>
      <c r="D45" t="s">
        <v>78</v>
      </c>
    </row>
    <row r="46" spans="1:4" ht="30" x14ac:dyDescent="0.25">
      <c r="A46" t="s">
        <v>84</v>
      </c>
      <c r="B46" s="1" t="s">
        <v>85</v>
      </c>
      <c r="C46" t="e" cm="1">
        <f t="array" aca="1" ref="C46" ca="1">XGETVOLUME("Provide 600 x 500 mass comcrete downturn onto lift base to support edge beam[1|N;3|F;3|Roof]",0)</f>
        <v>#NAME?</v>
      </c>
      <c r="D46" t="s">
        <v>64</v>
      </c>
    </row>
    <row r="47" spans="1:4" x14ac:dyDescent="0.25">
      <c r="B47" s="1" t="s">
        <v>773</v>
      </c>
      <c r="D47" t="s">
        <v>76</v>
      </c>
    </row>
    <row r="48" spans="1:4" x14ac:dyDescent="0.25">
      <c r="B48" s="1" t="s">
        <v>77</v>
      </c>
      <c r="D48" t="s">
        <v>78</v>
      </c>
    </row>
    <row r="49" spans="1:4" x14ac:dyDescent="0.25">
      <c r="A49" t="s">
        <v>86</v>
      </c>
      <c r="B49" s="1" t="s">
        <v>774</v>
      </c>
      <c r="C49" t="e" cm="1">
        <f t="array" aca="1" ref="C49" ca="1">XSUMQTY(0)</f>
        <v>#NAME?</v>
      </c>
      <c r="D49" t="s">
        <v>64</v>
      </c>
    </row>
    <row r="50" spans="1:4" x14ac:dyDescent="0.25">
      <c r="A50" t="s">
        <v>87</v>
      </c>
      <c r="B50" s="1" t="s">
        <v>775</v>
      </c>
      <c r="C50" t="e" cm="1">
        <f t="array" aca="1" ref="C50" ca="1">XGETVOLUME("FB-A 600 x 600mm Ground beam, REO: XXX[1|N;3|F]",0)</f>
        <v>#NAME?</v>
      </c>
      <c r="D50" t="s">
        <v>64</v>
      </c>
    </row>
    <row r="51" spans="1:4" x14ac:dyDescent="0.25">
      <c r="A51" t="s">
        <v>88</v>
      </c>
      <c r="B51" s="1" t="s">
        <v>776</v>
      </c>
      <c r="C51" t="e" cm="1">
        <f t="array" aca="1" ref="C51" ca="1">XGETVOLUME("FB-B 900 x 600mm Ground beam, REO: XXX[1|N;3|F]",0)</f>
        <v>#NAME?</v>
      </c>
      <c r="D51" t="s">
        <v>64</v>
      </c>
    </row>
    <row r="52" spans="1:4" x14ac:dyDescent="0.25">
      <c r="A52" t="s">
        <v>89</v>
      </c>
      <c r="B52" s="1" t="s">
        <v>777</v>
      </c>
      <c r="C52" t="e" cm="1">
        <f t="array" aca="1" ref="C52" ca="1">XGETVOLUME("FB-C 1200 x 600mm Ground beam, REO: XXX[1|N;3|F]",0)</f>
        <v>#NAME?</v>
      </c>
      <c r="D52" t="s">
        <v>64</v>
      </c>
    </row>
    <row r="53" spans="1:4" x14ac:dyDescent="0.25">
      <c r="A53" t="s">
        <v>90</v>
      </c>
      <c r="B53" s="1" t="s">
        <v>778</v>
      </c>
      <c r="C53" t="e" cm="1">
        <f t="array" aca="1" ref="C53" ca="1">XGETVOLUME("IB-A 600 x 600mm Ground beam, REO: XXX[1|N;3|F]",0)</f>
        <v>#NAME?</v>
      </c>
      <c r="D53" t="s">
        <v>64</v>
      </c>
    </row>
    <row r="54" spans="1:4" x14ac:dyDescent="0.25">
      <c r="A54" t="s">
        <v>91</v>
      </c>
      <c r="B54" s="1" t="s">
        <v>779</v>
      </c>
      <c r="C54" t="e" cm="1">
        <f t="array" aca="1" ref="C54" ca="1">XGETVOLUME("IB-B 450 x 600mm Ground beam, REO: XXX[1|N;3|F]",0)</f>
        <v>#NAME?</v>
      </c>
      <c r="D54" t="s">
        <v>64</v>
      </c>
    </row>
    <row r="55" spans="1:4" x14ac:dyDescent="0.25">
      <c r="B55" s="1" t="s">
        <v>92</v>
      </c>
      <c r="D55" t="s">
        <v>76</v>
      </c>
    </row>
    <row r="56" spans="1:4" x14ac:dyDescent="0.25">
      <c r="B56" s="1" t="s">
        <v>77</v>
      </c>
      <c r="D56" t="s">
        <v>78</v>
      </c>
    </row>
    <row r="57" spans="1:4" x14ac:dyDescent="0.25">
      <c r="A57" t="s">
        <v>93</v>
      </c>
      <c r="B57" s="1" t="s">
        <v>94</v>
      </c>
      <c r="C57" t="e" cm="1">
        <f t="array" aca="1" ref="C57" ca="1">XGETVOLUME("600mm thick Lift pit base, REO: XXX[1|N;3|F]",0)</f>
        <v>#NAME?</v>
      </c>
      <c r="D57" t="s">
        <v>64</v>
      </c>
    </row>
    <row r="58" spans="1:4" x14ac:dyDescent="0.25">
      <c r="A58" t="s">
        <v>95</v>
      </c>
      <c r="B58" s="1" t="s">
        <v>96</v>
      </c>
      <c r="C58" t="e" cm="1">
        <f t="array" aca="1" ref="C58" ca="1">XGETVOLUME("600mm thick Stair base, REO: XXX[1|N;3|F]",0)</f>
        <v>#NAME?</v>
      </c>
      <c r="D58" t="s">
        <v>64</v>
      </c>
    </row>
    <row r="59" spans="1:4" x14ac:dyDescent="0.25">
      <c r="A59" t="s">
        <v>97</v>
      </c>
      <c r="B59" s="1" t="s">
        <v>98</v>
      </c>
      <c r="C59" t="e" cm="1">
        <f t="array" aca="1" ref="C59" ca="1">XGETVOLUME("40mm thick integral fall to 600mm thick Base Slab[1|N;3|F]",0)</f>
        <v>#NAME?</v>
      </c>
      <c r="D59" t="s">
        <v>64</v>
      </c>
    </row>
    <row r="60" spans="1:4" x14ac:dyDescent="0.25">
      <c r="B60" s="1" t="s">
        <v>99</v>
      </c>
      <c r="D60" t="s">
        <v>76</v>
      </c>
    </row>
    <row r="61" spans="1:4" x14ac:dyDescent="0.25">
      <c r="B61" s="1" t="s">
        <v>100</v>
      </c>
      <c r="D61" t="s">
        <v>78</v>
      </c>
    </row>
    <row r="62" spans="1:4" x14ac:dyDescent="0.25">
      <c r="A62" t="s">
        <v>101</v>
      </c>
      <c r="B62" s="1" t="s">
        <v>102</v>
      </c>
      <c r="D62" t="s">
        <v>103</v>
      </c>
    </row>
    <row r="63" spans="1:4" x14ac:dyDescent="0.25">
      <c r="A63" t="s">
        <v>104</v>
      </c>
      <c r="B63" s="1" t="s">
        <v>105</v>
      </c>
      <c r="C63" t="e" cm="1">
        <f t="array" aca="1" ref="C63" ca="1">XGETVOLUME("W3 - 300mm thick external wall[1|N;3|L1;6|50MPa]",0)</f>
        <v>#NAME?</v>
      </c>
      <c r="D63" t="s">
        <v>64</v>
      </c>
    </row>
    <row r="64" spans="1:4" x14ac:dyDescent="0.25">
      <c r="A64" t="s">
        <v>106</v>
      </c>
      <c r="B64" s="1" t="s">
        <v>107</v>
      </c>
      <c r="D64" t="s">
        <v>103</v>
      </c>
    </row>
    <row r="65" spans="1:4" x14ac:dyDescent="0.25">
      <c r="A65" t="s">
        <v>108</v>
      </c>
      <c r="B65" s="1" t="s">
        <v>109</v>
      </c>
      <c r="C65" t="e" cm="1">
        <f t="array" aca="1" ref="C65" ca="1">XGETVOLUME("W9 - 200mm thick external wall[1|N;3|L2;6|50MPa]",0)</f>
        <v>#NAME?</v>
      </c>
      <c r="D65" t="s">
        <v>64</v>
      </c>
    </row>
    <row r="66" spans="1:4" x14ac:dyDescent="0.25">
      <c r="A66" t="s">
        <v>110</v>
      </c>
      <c r="B66" s="1" t="s">
        <v>111</v>
      </c>
      <c r="D66" t="s">
        <v>103</v>
      </c>
    </row>
    <row r="67" spans="1:4" x14ac:dyDescent="0.25">
      <c r="A67" t="s">
        <v>112</v>
      </c>
      <c r="B67" s="1" t="s">
        <v>109</v>
      </c>
      <c r="C67" t="e" cm="1">
        <f t="array" aca="1" ref="C67" ca="1">XGETVOLUME("W9 - 200mm thick external wall[1|N;3|L3;6|50MPa]",0)</f>
        <v>#NAME?</v>
      </c>
      <c r="D67" t="s">
        <v>64</v>
      </c>
    </row>
    <row r="68" spans="1:4" x14ac:dyDescent="0.25">
      <c r="A68" t="s">
        <v>113</v>
      </c>
      <c r="B68" s="1" t="s">
        <v>114</v>
      </c>
      <c r="D68" t="s">
        <v>103</v>
      </c>
    </row>
    <row r="69" spans="1:4" x14ac:dyDescent="0.25">
      <c r="A69" t="s">
        <v>115</v>
      </c>
      <c r="B69" s="1" t="s">
        <v>109</v>
      </c>
      <c r="C69" t="e" cm="1">
        <f t="array" aca="1" ref="C69" ca="1">XGETVOLUME("W9 - 200mm thick external wall[1|N;3|L4;6|50MPa]",0)</f>
        <v>#NAME?</v>
      </c>
      <c r="D69" t="s">
        <v>64</v>
      </c>
    </row>
    <row r="70" spans="1:4" x14ac:dyDescent="0.25">
      <c r="B70" s="1" t="s">
        <v>116</v>
      </c>
      <c r="D70" t="s">
        <v>78</v>
      </c>
    </row>
    <row r="71" spans="1:4" x14ac:dyDescent="0.25">
      <c r="A71" t="s">
        <v>117</v>
      </c>
      <c r="B71" s="1" t="s">
        <v>77</v>
      </c>
      <c r="D71" t="s">
        <v>103</v>
      </c>
    </row>
    <row r="72" spans="1:4" x14ac:dyDescent="0.25">
      <c r="A72" t="s">
        <v>118</v>
      </c>
      <c r="B72" s="1" t="s">
        <v>119</v>
      </c>
      <c r="C72" t="e" cm="1">
        <f t="array" aca="1" ref="C72" ca="1">XGETVOLUME("W1 - 200mm thick lift pit wall[1|N;3|F;6|50MPa]",0)</f>
        <v>#NAME?</v>
      </c>
      <c r="D72" t="s">
        <v>64</v>
      </c>
    </row>
    <row r="73" spans="1:4" x14ac:dyDescent="0.25">
      <c r="A73" t="s">
        <v>120</v>
      </c>
      <c r="B73" s="1" t="s">
        <v>121</v>
      </c>
      <c r="C73" t="e" cm="1">
        <f t="array" aca="1" ref="C73" ca="1">XGETVOLUME("W9 - 200mm thick lift pit wall[1|N;3|F;6|50MPa]",0)</f>
        <v>#NAME?</v>
      </c>
      <c r="D73" t="s">
        <v>64</v>
      </c>
    </row>
    <row r="74" spans="1:4" x14ac:dyDescent="0.25">
      <c r="A74" t="s">
        <v>122</v>
      </c>
      <c r="B74" s="1" t="s">
        <v>102</v>
      </c>
      <c r="D74" t="s">
        <v>103</v>
      </c>
    </row>
    <row r="75" spans="1:4" x14ac:dyDescent="0.25">
      <c r="A75" t="s">
        <v>123</v>
      </c>
      <c r="B75" s="1" t="s">
        <v>124</v>
      </c>
      <c r="C75" t="e" cm="1">
        <f t="array" aca="1" ref="C75" ca="1">XGETVOLUME("W1 - 200mm thick core wall[1|N;3|L1;6|50MPa]",0)</f>
        <v>#NAME?</v>
      </c>
      <c r="D75" t="s">
        <v>64</v>
      </c>
    </row>
    <row r="76" spans="1:4" x14ac:dyDescent="0.25">
      <c r="A76" t="s">
        <v>125</v>
      </c>
      <c r="B76" s="1" t="s">
        <v>126</v>
      </c>
      <c r="C76" t="e" cm="1">
        <f t="array" aca="1" ref="C76" ca="1">XGETVOLUME("W2 - 200mm thick core wall[1|N;3|L1;6|50MPa]",0)</f>
        <v>#NAME?</v>
      </c>
      <c r="D76" t="s">
        <v>64</v>
      </c>
    </row>
    <row r="77" spans="1:4" x14ac:dyDescent="0.25">
      <c r="A77" t="s">
        <v>127</v>
      </c>
      <c r="B77" s="1" t="s">
        <v>128</v>
      </c>
      <c r="C77" t="e" cm="1">
        <f t="array" aca="1" ref="C77" ca="1">XGETVOLUME("W3 - 300mm thick core wall[1|N;3|L1;6|50MPa]",0)</f>
        <v>#NAME?</v>
      </c>
      <c r="D77" t="s">
        <v>64</v>
      </c>
    </row>
    <row r="78" spans="1:4" x14ac:dyDescent="0.25">
      <c r="A78" t="s">
        <v>129</v>
      </c>
      <c r="B78" s="1" t="s">
        <v>130</v>
      </c>
      <c r="C78" t="e" cm="1">
        <f t="array" aca="1" ref="C78" ca="1">XGETVOLUME("W5 - 300mm thick core wall[1|N;3|L1;6|50MPa]",0)</f>
        <v>#NAME?</v>
      </c>
      <c r="D78" t="s">
        <v>64</v>
      </c>
    </row>
    <row r="79" spans="1:4" x14ac:dyDescent="0.25">
      <c r="A79" t="s">
        <v>131</v>
      </c>
      <c r="B79" s="1" t="s">
        <v>132</v>
      </c>
      <c r="C79" t="e" cm="1">
        <f t="array" aca="1" ref="C79" ca="1">XGETVOLUME("W9 - 200mm thick core wall[1|N;3|L1;6|50MPa]",0)</f>
        <v>#NAME?</v>
      </c>
      <c r="D79" t="s">
        <v>64</v>
      </c>
    </row>
    <row r="80" spans="1:4" x14ac:dyDescent="0.25">
      <c r="A80" t="s">
        <v>133</v>
      </c>
      <c r="B80" s="1" t="s">
        <v>134</v>
      </c>
      <c r="C80" t="e" cm="1">
        <f t="array" aca="1" ref="C80" ca="1">XGETVOLUME("W2 - 200mm thick internal wall[1|N;3|L1;6|50MPa]",0)</f>
        <v>#NAME?</v>
      </c>
      <c r="D80" t="s">
        <v>64</v>
      </c>
    </row>
    <row r="81" spans="1:4" x14ac:dyDescent="0.25">
      <c r="A81" t="s">
        <v>135</v>
      </c>
      <c r="B81" s="1" t="s">
        <v>136</v>
      </c>
      <c r="C81" t="e" cm="1">
        <f t="array" aca="1" ref="C81" ca="1">XGETVOLUME("W9 - 200mm thick internal wall[1|N;3|L1;6|50MPa]",0)</f>
        <v>#NAME?</v>
      </c>
      <c r="D81" t="s">
        <v>64</v>
      </c>
    </row>
    <row r="82" spans="1:4" x14ac:dyDescent="0.25">
      <c r="A82" t="s">
        <v>137</v>
      </c>
      <c r="B82" s="1" t="s">
        <v>107</v>
      </c>
      <c r="D82" t="s">
        <v>103</v>
      </c>
    </row>
    <row r="83" spans="1:4" x14ac:dyDescent="0.25">
      <c r="A83" t="s">
        <v>138</v>
      </c>
      <c r="B83" s="1" t="s">
        <v>124</v>
      </c>
      <c r="C83" t="e" cm="1">
        <f t="array" aca="1" ref="C83" ca="1">XGETVOLUME("W1 - 200mm thick core wall[1|N;3|L2;6|50MPa]",0)</f>
        <v>#NAME?</v>
      </c>
      <c r="D83" t="s">
        <v>64</v>
      </c>
    </row>
    <row r="84" spans="1:4" x14ac:dyDescent="0.25">
      <c r="A84" t="s">
        <v>139</v>
      </c>
      <c r="B84" s="1" t="s">
        <v>128</v>
      </c>
      <c r="C84" t="e" cm="1">
        <f t="array" aca="1" ref="C84" ca="1">XGETVOLUME("W3 - 300mm thick core wall[1|N;3|L2;6|50MPa]",0)</f>
        <v>#NAME?</v>
      </c>
      <c r="D84" t="s">
        <v>64</v>
      </c>
    </row>
    <row r="85" spans="1:4" x14ac:dyDescent="0.25">
      <c r="A85" t="s">
        <v>140</v>
      </c>
      <c r="B85" s="1" t="s">
        <v>132</v>
      </c>
      <c r="C85" t="e" cm="1">
        <f t="array" aca="1" ref="C85" ca="1">XGETVOLUME("W9 - 200mm thick core wall[1|N;3|L2;6|50MPa]",0)</f>
        <v>#NAME?</v>
      </c>
      <c r="D85" t="s">
        <v>64</v>
      </c>
    </row>
    <row r="86" spans="1:4" x14ac:dyDescent="0.25">
      <c r="A86" t="s">
        <v>141</v>
      </c>
      <c r="B86" s="1" t="s">
        <v>136</v>
      </c>
      <c r="C86" t="e" cm="1">
        <f t="array" aca="1" ref="C86" ca="1">XGETVOLUME("W9 - 200mm thick internal wall[1|N;3|L2;6|50MPa]",0)</f>
        <v>#NAME?</v>
      </c>
      <c r="D86" t="s">
        <v>64</v>
      </c>
    </row>
    <row r="87" spans="1:4" x14ac:dyDescent="0.25">
      <c r="A87" t="s">
        <v>142</v>
      </c>
      <c r="B87" s="1" t="s">
        <v>111</v>
      </c>
      <c r="D87" t="s">
        <v>103</v>
      </c>
    </row>
    <row r="88" spans="1:4" x14ac:dyDescent="0.25">
      <c r="A88" t="s">
        <v>143</v>
      </c>
      <c r="B88" s="1" t="s">
        <v>126</v>
      </c>
      <c r="C88" t="e" cm="1">
        <f t="array" aca="1" ref="C88" ca="1">XGETVOLUME("W2 - 200mm thick core wall[1|N;3|L3;6|50MPa]",0)</f>
        <v>#NAME?</v>
      </c>
      <c r="D88" t="s">
        <v>64</v>
      </c>
    </row>
    <row r="89" spans="1:4" x14ac:dyDescent="0.25">
      <c r="A89" t="s">
        <v>144</v>
      </c>
      <c r="B89" s="1" t="s">
        <v>128</v>
      </c>
      <c r="C89" t="e" cm="1">
        <f t="array" aca="1" ref="C89" ca="1">XGETVOLUME("W3 - 300mm thick core wall[1|N;3|L3;6|50MPa]",0)</f>
        <v>#NAME?</v>
      </c>
      <c r="D89" t="s">
        <v>64</v>
      </c>
    </row>
    <row r="90" spans="1:4" x14ac:dyDescent="0.25">
      <c r="A90" t="s">
        <v>145</v>
      </c>
      <c r="B90" s="1" t="s">
        <v>132</v>
      </c>
      <c r="C90" t="e" cm="1">
        <f t="array" aca="1" ref="C90" ca="1">XGETVOLUME("W9 - 200mm thick core wall[1|N;3|L3;6|50MPa]",0)</f>
        <v>#NAME?</v>
      </c>
      <c r="D90" t="s">
        <v>64</v>
      </c>
    </row>
    <row r="91" spans="1:4" x14ac:dyDescent="0.25">
      <c r="A91" t="s">
        <v>146</v>
      </c>
      <c r="B91" s="1" t="s">
        <v>136</v>
      </c>
      <c r="C91" t="e" cm="1">
        <f t="array" aca="1" ref="C91" ca="1">XGETVOLUME("W9 - 200mm thick internal wall[1|N;3|L3;6|50MPa]",0)</f>
        <v>#NAME?</v>
      </c>
      <c r="D91" t="s">
        <v>64</v>
      </c>
    </row>
    <row r="92" spans="1:4" x14ac:dyDescent="0.25">
      <c r="A92" t="s">
        <v>147</v>
      </c>
      <c r="B92" s="1" t="s">
        <v>114</v>
      </c>
      <c r="D92" t="s">
        <v>103</v>
      </c>
    </row>
    <row r="93" spans="1:4" x14ac:dyDescent="0.25">
      <c r="A93" t="s">
        <v>148</v>
      </c>
      <c r="B93" s="1" t="s">
        <v>126</v>
      </c>
      <c r="C93" t="e" cm="1">
        <f t="array" aca="1" ref="C93" ca="1">XGETVOLUME("W2 - 200mm thick core wall[1|N;3|L4;6|50MPa]",0)</f>
        <v>#NAME?</v>
      </c>
      <c r="D93" t="s">
        <v>64</v>
      </c>
    </row>
    <row r="94" spans="1:4" x14ac:dyDescent="0.25">
      <c r="A94" t="s">
        <v>149</v>
      </c>
      <c r="B94" s="1" t="s">
        <v>128</v>
      </c>
      <c r="C94" t="e" cm="1">
        <f t="array" aca="1" ref="C94" ca="1">XGETVOLUME("W3 - 300mm thick core wall[1|N;3|L4;6|50MPa]",0)</f>
        <v>#NAME?</v>
      </c>
      <c r="D94" t="s">
        <v>64</v>
      </c>
    </row>
    <row r="95" spans="1:4" x14ac:dyDescent="0.25">
      <c r="A95" t="s">
        <v>150</v>
      </c>
      <c r="B95" s="1" t="s">
        <v>136</v>
      </c>
      <c r="C95" t="e" cm="1">
        <f t="array" aca="1" ref="C95" ca="1">XGETVOLUME("W9 - 200mm thick internal wall[1|N;3|L4;6|50MPa]",0)</f>
        <v>#NAME?</v>
      </c>
      <c r="D95" t="s">
        <v>64</v>
      </c>
    </row>
    <row r="96" spans="1:4" x14ac:dyDescent="0.25">
      <c r="B96" s="1" t="s">
        <v>151</v>
      </c>
      <c r="D96" t="s">
        <v>76</v>
      </c>
    </row>
    <row r="97" spans="1:4" x14ac:dyDescent="0.25">
      <c r="B97" s="1" t="s">
        <v>100</v>
      </c>
      <c r="D97" t="s">
        <v>78</v>
      </c>
    </row>
    <row r="98" spans="1:4" x14ac:dyDescent="0.25">
      <c r="A98" t="s">
        <v>152</v>
      </c>
      <c r="B98" s="1" t="s">
        <v>114</v>
      </c>
      <c r="D98" t="s">
        <v>103</v>
      </c>
    </row>
    <row r="99" spans="1:4" x14ac:dyDescent="0.25">
      <c r="A99" t="s">
        <v>153</v>
      </c>
      <c r="B99" s="1" t="s">
        <v>154</v>
      </c>
      <c r="C99" t="e" cm="1">
        <f t="array" aca="1" ref="C99" ca="1">XGETVOLUME("W8 - 150mm thick external parapet wall[1|N;3|L4;6|32MPa]",0)</f>
        <v>#NAME?</v>
      </c>
      <c r="D99" t="s">
        <v>64</v>
      </c>
    </row>
    <row r="100" spans="1:4" x14ac:dyDescent="0.25">
      <c r="B100" s="1" t="s">
        <v>116</v>
      </c>
      <c r="D100" t="s">
        <v>78</v>
      </c>
    </row>
    <row r="101" spans="1:4" x14ac:dyDescent="0.25">
      <c r="A101" t="s">
        <v>155</v>
      </c>
      <c r="B101" s="1" t="s">
        <v>114</v>
      </c>
      <c r="D101" t="s">
        <v>103</v>
      </c>
    </row>
    <row r="102" spans="1:4" x14ac:dyDescent="0.25">
      <c r="A102" t="s">
        <v>156</v>
      </c>
      <c r="B102" s="1" t="s">
        <v>157</v>
      </c>
      <c r="C102" t="e" cm="1">
        <f t="array" aca="1" ref="C102" ca="1">XGETVOLUME("W7 - 200mm thick internal wall[1|N;3|L4;6|32MPa]",0)</f>
        <v>#NAME?</v>
      </c>
      <c r="D102" t="s">
        <v>64</v>
      </c>
    </row>
    <row r="103" spans="1:4" x14ac:dyDescent="0.25">
      <c r="B103" s="1" t="s">
        <v>158</v>
      </c>
      <c r="D103" t="s">
        <v>76</v>
      </c>
    </row>
    <row r="104" spans="1:4" x14ac:dyDescent="0.25">
      <c r="B104" s="1" t="s">
        <v>102</v>
      </c>
      <c r="D104" t="s">
        <v>78</v>
      </c>
    </row>
    <row r="105" spans="1:4" x14ac:dyDescent="0.25">
      <c r="A105" t="s">
        <v>159</v>
      </c>
      <c r="B105" s="1" t="s">
        <v>160</v>
      </c>
      <c r="C105" t="e" cm="1">
        <f t="array" aca="1" ref="C105" ca="1">XGETVOLUME("CC1 - 400x700, Reinforcement: 14-N28, Ties: N12@300CTS., Tie type: 1, @ L1[1|N;3|L1;6|50MPa]",0)</f>
        <v>#NAME?</v>
      </c>
      <c r="D105" t="s">
        <v>64</v>
      </c>
    </row>
    <row r="106" spans="1:4" x14ac:dyDescent="0.25">
      <c r="A106" t="s">
        <v>161</v>
      </c>
      <c r="B106" s="1" t="s">
        <v>162</v>
      </c>
      <c r="C106" t="e" cm="1">
        <f t="array" aca="1" ref="C106" ca="1">XGETVOLUME("CC10 - 500x500, Reinforcement: 12-N28, Ties: N12@300CTS., Tie type: 3, @ L1[1|N;3|L1;6|50MPa]",0)</f>
        <v>#NAME?</v>
      </c>
      <c r="D106" t="s">
        <v>64</v>
      </c>
    </row>
    <row r="107" spans="1:4" x14ac:dyDescent="0.25">
      <c r="A107" t="s">
        <v>163</v>
      </c>
      <c r="B107" s="1" t="s">
        <v>164</v>
      </c>
      <c r="C107" t="e" cm="1">
        <f t="array" aca="1" ref="C107" ca="1">XGETVOLUME("CC11 - 400x600, Reinforcement: 14-N28, Ties: N12@300CTS., Tie type: 1, @ L1[1|N;3|L1;6|50MPa]",0)</f>
        <v>#NAME?</v>
      </c>
      <c r="D107" t="s">
        <v>64</v>
      </c>
    </row>
    <row r="108" spans="1:4" x14ac:dyDescent="0.25">
      <c r="A108" t="s">
        <v>165</v>
      </c>
      <c r="B108" s="1" t="s">
        <v>166</v>
      </c>
      <c r="C108" t="e" cm="1">
        <f t="array" aca="1" ref="C108" ca="1">XGETVOLUME("CC12 - 400x700, Reinforcement: 14-N24, Ties: N12@300CTS., Tie type: 1, @ L1[1|N;3|L1;6|50MPa]",0)</f>
        <v>#NAME?</v>
      </c>
      <c r="D108" t="s">
        <v>64</v>
      </c>
    </row>
    <row r="109" spans="1:4" x14ac:dyDescent="0.25">
      <c r="A109" t="s">
        <v>167</v>
      </c>
      <c r="B109" s="1" t="s">
        <v>168</v>
      </c>
      <c r="C109" t="e" cm="1">
        <f t="array" aca="1" ref="C109" ca="1">XGETVOLUME("CC13 - 400x700, Reinforcement: 14-N24, Ties: N12@300CTS., Tie type: 1, @ L1[1|N;3|L1;6|50MPa]",0)</f>
        <v>#NAME?</v>
      </c>
      <c r="D109" t="s">
        <v>64</v>
      </c>
    </row>
    <row r="110" spans="1:4" x14ac:dyDescent="0.25">
      <c r="A110" t="s">
        <v>169</v>
      </c>
      <c r="B110" s="1" t="s">
        <v>170</v>
      </c>
      <c r="C110" t="e" cm="1">
        <f t="array" aca="1" ref="C110" ca="1">XGETVOLUME("CC14 - 450x450, Reinforcement: 8-N28, Ties: N12@300CTS., Tie type: 8, @ L1[1|N;3|L1;6|50MPa]",0)</f>
        <v>#NAME?</v>
      </c>
      <c r="D110" t="s">
        <v>64</v>
      </c>
    </row>
    <row r="111" spans="1:4" x14ac:dyDescent="0.25">
      <c r="A111" t="s">
        <v>171</v>
      </c>
      <c r="B111" s="1" t="s">
        <v>172</v>
      </c>
      <c r="C111" t="e" cm="1">
        <f t="array" aca="1" ref="C111" ca="1">XGETVOLUME("CC15 - 400x700, Reinforcement: 14-N28, Ties: N12@300CTS., Tie type: 1, @ L1[1|N;3|L1;6|50MPa]",0)</f>
        <v>#NAME?</v>
      </c>
      <c r="D111" t="s">
        <v>64</v>
      </c>
    </row>
    <row r="112" spans="1:4" x14ac:dyDescent="0.25">
      <c r="A112" t="s">
        <v>173</v>
      </c>
      <c r="B112" s="1" t="s">
        <v>174</v>
      </c>
      <c r="C112" t="e" cm="1">
        <f t="array" aca="1" ref="C112" ca="1">XGETVOLUME("CC16 - 500x500, Reinforcement: 12-N28, Ties: N12@300CTS., Tie type: 3, @ L1[1|N;3|L1;6|50MPa]",0)</f>
        <v>#NAME?</v>
      </c>
      <c r="D112" t="s">
        <v>64</v>
      </c>
    </row>
    <row r="113" spans="1:4" x14ac:dyDescent="0.25">
      <c r="A113" t="s">
        <v>175</v>
      </c>
      <c r="B113" s="1" t="s">
        <v>176</v>
      </c>
      <c r="C113" t="e" cm="1">
        <f t="array" aca="1" ref="C113" ca="1">XGETVOLUME("CC17 - 400x700, Reinforcement: 14-N28, Ties: N12@300CTS., Tie type: 1, @ L1[1|N;3|L1;6|50MPa]",0)</f>
        <v>#NAME?</v>
      </c>
      <c r="D113" t="s">
        <v>64</v>
      </c>
    </row>
    <row r="114" spans="1:4" x14ac:dyDescent="0.25">
      <c r="A114" t="s">
        <v>177</v>
      </c>
      <c r="B114" s="1" t="s">
        <v>178</v>
      </c>
      <c r="C114" t="e" cm="1">
        <f t="array" aca="1" ref="C114" ca="1">XGETVOLUME("CC18 - 400x700, Reinforcement: 14-N24, Ties: N12@300CTS., Tie type: 1, @ L1[1|N;3|L1;6|50MPa]",0)</f>
        <v>#NAME?</v>
      </c>
      <c r="D114" t="s">
        <v>64</v>
      </c>
    </row>
    <row r="115" spans="1:4" x14ac:dyDescent="0.25">
      <c r="A115" t="s">
        <v>179</v>
      </c>
      <c r="B115" s="1" t="s">
        <v>180</v>
      </c>
      <c r="C115" t="e" cm="1">
        <f t="array" aca="1" ref="C115" ca="1">XGETVOLUME("CC19 - 400x700, Reinforcement: 14-N24, Ties: N12@300CTS., Tie type: 1, @ L1[1|N;3|L1;6|50MPa]",0)</f>
        <v>#NAME?</v>
      </c>
      <c r="D115" t="s">
        <v>64</v>
      </c>
    </row>
    <row r="116" spans="1:4" x14ac:dyDescent="0.25">
      <c r="A116" t="s">
        <v>181</v>
      </c>
      <c r="B116" s="1" t="s">
        <v>182</v>
      </c>
      <c r="C116" t="e" cm="1">
        <f t="array" aca="1" ref="C116" ca="1">XGETVOLUME("CC2 - 400x700, Reinforcement: 14-N28, Ties: N12@300CTS., Tie type: 1, @ L1[1|N;3|L1;6|50MPa]",0)</f>
        <v>#NAME?</v>
      </c>
      <c r="D116" t="s">
        <v>64</v>
      </c>
    </row>
    <row r="117" spans="1:4" x14ac:dyDescent="0.25">
      <c r="A117" t="s">
        <v>183</v>
      </c>
      <c r="B117" s="1" t="s">
        <v>184</v>
      </c>
      <c r="C117" t="e" cm="1">
        <f t="array" aca="1" ref="C117" ca="1">XGETVOLUME("CC20 - 450x450, Reinforcement: 8-N28, Ties: N12@300CTS., Tie type: 8, @ L1[1|N;3|L1;6|50MPa]",0)</f>
        <v>#NAME?</v>
      </c>
      <c r="D117" t="s">
        <v>64</v>
      </c>
    </row>
    <row r="118" spans="1:4" x14ac:dyDescent="0.25">
      <c r="A118" t="s">
        <v>185</v>
      </c>
      <c r="B118" s="1" t="s">
        <v>186</v>
      </c>
      <c r="C118" t="e" cm="1">
        <f t="array" aca="1" ref="C118" ca="1">XGETVOLUME("CC21 - 450x450, Reinforcement: 8-N28, Ties: N12@300CTS., Tie type: 8, @ L1[1|N;3|L1;6|50MPa]",0)</f>
        <v>#NAME?</v>
      </c>
      <c r="D118" t="s">
        <v>64</v>
      </c>
    </row>
    <row r="119" spans="1:4" x14ac:dyDescent="0.25">
      <c r="A119" t="s">
        <v>187</v>
      </c>
      <c r="B119" s="1" t="s">
        <v>188</v>
      </c>
      <c r="C119" t="e" cm="1">
        <f t="array" aca="1" ref="C119" ca="1">XGETVOLUME("CC22 - 400x700, Reinforcement: 14-N28, Ties: N12@300CTS., Tie type: 1, @ L1[1|N;3|L1;6|50MPa]",0)</f>
        <v>#NAME?</v>
      </c>
      <c r="D119" t="s">
        <v>64</v>
      </c>
    </row>
    <row r="120" spans="1:4" x14ac:dyDescent="0.25">
      <c r="A120" t="s">
        <v>189</v>
      </c>
      <c r="B120" s="1" t="s">
        <v>190</v>
      </c>
      <c r="C120" t="e" cm="1">
        <f t="array" aca="1" ref="C120" ca="1">XGETVOLUME("CC23 - 400x700, Reinforcement: 14-N28, Ties: N12@300CTS., Tie type: 1, @ L1[1|N;3|L1;6|50MPa]",0)</f>
        <v>#NAME?</v>
      </c>
      <c r="D120" t="s">
        <v>64</v>
      </c>
    </row>
    <row r="121" spans="1:4" x14ac:dyDescent="0.25">
      <c r="A121" t="s">
        <v>191</v>
      </c>
      <c r="B121" s="1" t="s">
        <v>192</v>
      </c>
      <c r="C121" t="e" cm="1">
        <f t="array" aca="1" ref="C121" ca="1">XGETVOLUME("CC24 - 400x600, Reinforcement: 14-N24, Ties: N12@300CTS., Tie type: 1, @ L1[1|N;3|L1;6|50MPa]",0)</f>
        <v>#NAME?</v>
      </c>
      <c r="D121" t="s">
        <v>64</v>
      </c>
    </row>
    <row r="122" spans="1:4" x14ac:dyDescent="0.25">
      <c r="A122" t="s">
        <v>193</v>
      </c>
      <c r="B122" s="1" t="s">
        <v>194</v>
      </c>
      <c r="C122" t="e" cm="1">
        <f t="array" aca="1" ref="C122" ca="1">XGETVOLUME("CC25 - 400x600, Reinforcement: 14-N28, Ties: N12@300CTS., Tie type: 1, @ L1[1|N;3|L1;6|50MPa]",0)</f>
        <v>#NAME?</v>
      </c>
      <c r="D122" t="s">
        <v>64</v>
      </c>
    </row>
    <row r="123" spans="1:4" x14ac:dyDescent="0.25">
      <c r="A123" t="s">
        <v>195</v>
      </c>
      <c r="B123" s="1" t="s">
        <v>196</v>
      </c>
      <c r="C123" t="e" cm="1">
        <f t="array" aca="1" ref="C123" ca="1">XGETVOLUME("CC26 - 400x700, Reinforcement: 14-N28, Ties: N12@300CTS., Tie type: 1, @ L1[1|N;3|L1;6|50MPa]",0)</f>
        <v>#NAME?</v>
      </c>
      <c r="D123" t="s">
        <v>64</v>
      </c>
    </row>
    <row r="124" spans="1:4" x14ac:dyDescent="0.25">
      <c r="A124" t="s">
        <v>197</v>
      </c>
      <c r="B124" s="1" t="s">
        <v>198</v>
      </c>
      <c r="C124" t="e" cm="1">
        <f t="array" aca="1" ref="C124" ca="1">XGETVOLUME("CC27 - 400x700, Reinforcement: 14-N28, Ties: N12@300CTS., Tie type: 1, @ L1[1|N;3|L1;6|50MPa]",0)</f>
        <v>#NAME?</v>
      </c>
      <c r="D124" t="s">
        <v>64</v>
      </c>
    </row>
    <row r="125" spans="1:4" x14ac:dyDescent="0.25">
      <c r="A125" t="s">
        <v>199</v>
      </c>
      <c r="B125" s="1" t="s">
        <v>200</v>
      </c>
      <c r="C125" t="e" cm="1">
        <f t="array" aca="1" ref="C125" ca="1">XGETVOLUME("CC28 - 450x450, Reinforcement: 8-N28, Ties: N12@300CTS., Tie type: 8, @ L1[1|N;3|L1;6|50MPa]",0)</f>
        <v>#NAME?</v>
      </c>
      <c r="D125" t="s">
        <v>64</v>
      </c>
    </row>
    <row r="126" spans="1:4" x14ac:dyDescent="0.25">
      <c r="A126" t="s">
        <v>201</v>
      </c>
      <c r="B126" s="1" t="s">
        <v>202</v>
      </c>
      <c r="C126" t="e" cm="1">
        <f t="array" aca="1" ref="C126" ca="1">XGETVOLUME("CC29 - 450x450, Reinforcement: 8-N28, Ties: N12@300CTS., Tie type: 8, @ L1[1|N;3|L1;6|50MPa]",0)</f>
        <v>#NAME?</v>
      </c>
      <c r="D126" t="s">
        <v>64</v>
      </c>
    </row>
    <row r="127" spans="1:4" x14ac:dyDescent="0.25">
      <c r="A127" t="s">
        <v>203</v>
      </c>
      <c r="B127" s="1" t="s">
        <v>204</v>
      </c>
      <c r="C127" t="e" cm="1">
        <f t="array" aca="1" ref="C127" ca="1">XGETVOLUME("CC3 - 400x700, Reinforcement: 14-N28, Ties: N12@300CTS., Tie type: 1, @ L1[1|N;3|L1;6|50MPa]",0)</f>
        <v>#NAME?</v>
      </c>
      <c r="D127" t="s">
        <v>64</v>
      </c>
    </row>
    <row r="128" spans="1:4" x14ac:dyDescent="0.25">
      <c r="A128" t="s">
        <v>205</v>
      </c>
      <c r="B128" s="1" t="s">
        <v>206</v>
      </c>
      <c r="C128" t="e" cm="1">
        <f t="array" aca="1" ref="C128" ca="1">XGETVOLUME("CC30 - 500DIA., Reinforcement: 12-N28, Ties: N12@300CTS., Tie type: 2, @ L1[1|N;3|L1;6|50MPa]",0)</f>
        <v>#NAME?</v>
      </c>
      <c r="D128" t="s">
        <v>64</v>
      </c>
    </row>
    <row r="129" spans="1:4" x14ac:dyDescent="0.25">
      <c r="A129" t="s">
        <v>207</v>
      </c>
      <c r="B129" s="1" t="s">
        <v>208</v>
      </c>
      <c r="C129" t="e" cm="1">
        <f t="array" aca="1" ref="C129" ca="1">XGETVOLUME("CC31 - 500DIA., Reinforcement: 12-N28, Ties: N12@300CTS., Tie type: 2, @ L1[1|N;3|L1;6|50MPa]",0)</f>
        <v>#NAME?</v>
      </c>
      <c r="D129" t="s">
        <v>64</v>
      </c>
    </row>
    <row r="130" spans="1:4" x14ac:dyDescent="0.25">
      <c r="A130" t="s">
        <v>209</v>
      </c>
      <c r="B130" s="1" t="s">
        <v>210</v>
      </c>
      <c r="C130" t="e" cm="1">
        <f t="array" aca="1" ref="C130" ca="1">XGETVOLUME("CC32 - 500DIA., Reinforcement: 12-N28, Ties: N12@300CTS., Tie type: 2, @ L1[1|N;3|L1;6|50MPa]",0)</f>
        <v>#NAME?</v>
      </c>
      <c r="D130" t="s">
        <v>64</v>
      </c>
    </row>
    <row r="131" spans="1:4" x14ac:dyDescent="0.25">
      <c r="A131" t="s">
        <v>211</v>
      </c>
      <c r="B131" s="1" t="s">
        <v>212</v>
      </c>
      <c r="C131" t="e" cm="1">
        <f t="array" aca="1" ref="C131" ca="1">XGETVOLUME("CC33 - 500DIA., Reinforcement: 12-N28, Ties: N12@300CTS., Tie type: 2, @ L1[1|N;3|L1;6|50MPa]",0)</f>
        <v>#NAME?</v>
      </c>
      <c r="D131" t="s">
        <v>64</v>
      </c>
    </row>
    <row r="132" spans="1:4" x14ac:dyDescent="0.25">
      <c r="A132" t="s">
        <v>213</v>
      </c>
      <c r="B132" s="1" t="s">
        <v>214</v>
      </c>
      <c r="C132" t="e" cm="1">
        <f t="array" aca="1" ref="C132" ca="1">XGETVOLUME("CC4 - 400x700, Reinforcement: 14-N28, Ties: N12@300CTS., Tie type: 1, @ L1[1|N;3|L1;6|50MPa]",0)</f>
        <v>#NAME?</v>
      </c>
      <c r="D132" t="s">
        <v>64</v>
      </c>
    </row>
    <row r="133" spans="1:4" x14ac:dyDescent="0.25">
      <c r="A133" t="s">
        <v>215</v>
      </c>
      <c r="B133" s="1" t="s">
        <v>216</v>
      </c>
      <c r="C133" t="e" cm="1">
        <f t="array" aca="1" ref="C133" ca="1">XGETVOLUME("CC5 - 400x700, Reinforcement: 14-N28, Ties: N12@300CTS., Tie type: 1, @ L1[1|N;3|L1;6|50MPa]",0)</f>
        <v>#NAME?</v>
      </c>
      <c r="D133" t="s">
        <v>64</v>
      </c>
    </row>
    <row r="134" spans="1:4" x14ac:dyDescent="0.25">
      <c r="A134" t="s">
        <v>217</v>
      </c>
      <c r="B134" s="1" t="s">
        <v>218</v>
      </c>
      <c r="C134" t="e" cm="1">
        <f t="array" aca="1" ref="C134" ca="1">XGETVOLUME("CC6 - 400x700, Reinforcement: 14-N28, Ties: N12@300CTS., Tie type: 1, @ L1[1|N;3|L1;6|50MPa]",0)</f>
        <v>#NAME?</v>
      </c>
      <c r="D134" t="s">
        <v>64</v>
      </c>
    </row>
    <row r="135" spans="1:4" x14ac:dyDescent="0.25">
      <c r="A135" t="s">
        <v>219</v>
      </c>
      <c r="B135" s="1" t="s">
        <v>220</v>
      </c>
      <c r="C135" t="e" cm="1">
        <f t="array" aca="1" ref="C135" ca="1">XGETVOLUME("CC7 - 300x800, Reinforcement: 12-N24, Ties: N12@225CTS., Tie type: 4, @ L1[1|N;3|L1;6|50MPa]",0)</f>
        <v>#NAME?</v>
      </c>
      <c r="D135" t="s">
        <v>64</v>
      </c>
    </row>
    <row r="136" spans="1:4" x14ac:dyDescent="0.25">
      <c r="A136" t="s">
        <v>221</v>
      </c>
      <c r="B136" s="1" t="s">
        <v>222</v>
      </c>
      <c r="C136" t="e" cm="1">
        <f t="array" aca="1" ref="C136" ca="1">XGETVOLUME("CC8 - 300x800, Reinforcement: 12-N24, Ties: N12@225CTS., Tie type: 4, @ L1[1|N;3|L1;6|50MPa]",0)</f>
        <v>#NAME?</v>
      </c>
      <c r="D136" t="s">
        <v>64</v>
      </c>
    </row>
    <row r="137" spans="1:4" x14ac:dyDescent="0.25">
      <c r="A137" t="s">
        <v>223</v>
      </c>
      <c r="B137" s="1" t="s">
        <v>224</v>
      </c>
      <c r="C137" t="e" cm="1">
        <f t="array" aca="1" ref="C137" ca="1">XGETVOLUME("CC9 - 400x700, Reinforcement: 14-N28, Ties: N12@300CTS., Tie type: 1, @ L1[1|N;3|L1;6|50MPa]",0)</f>
        <v>#NAME?</v>
      </c>
      <c r="D137" t="s">
        <v>64</v>
      </c>
    </row>
    <row r="138" spans="1:4" x14ac:dyDescent="0.25">
      <c r="B138" s="1" t="s">
        <v>107</v>
      </c>
      <c r="D138" t="s">
        <v>78</v>
      </c>
    </row>
    <row r="139" spans="1:4" x14ac:dyDescent="0.25">
      <c r="A139" t="s">
        <v>225</v>
      </c>
      <c r="B139" s="1" t="s">
        <v>226</v>
      </c>
      <c r="C139" t="e" cm="1">
        <f t="array" aca="1" ref="C139" ca="1">XGETVOLUME("CC1 - 800x400, Reinforcement: 16-N28, Ties: N12@300CTS., Tie type: 6, @ L2[1|N;3|L2;6|50MPa]",0)</f>
        <v>#NAME?</v>
      </c>
      <c r="D139" t="s">
        <v>64</v>
      </c>
    </row>
    <row r="140" spans="1:4" x14ac:dyDescent="0.25">
      <c r="A140" t="s">
        <v>227</v>
      </c>
      <c r="B140" s="1" t="s">
        <v>228</v>
      </c>
      <c r="C140" t="e" cm="1">
        <f t="array" aca="1" ref="C140" ca="1">XGETVOLUME("CC10 - 400x600, Reinforcement: 14-N24, Ties: N12@300CTS., Tie type: 1, @ L2[1|N;3|L2;6|50MPa]",0)</f>
        <v>#NAME?</v>
      </c>
      <c r="D140" t="s">
        <v>64</v>
      </c>
    </row>
    <row r="141" spans="1:4" x14ac:dyDescent="0.25">
      <c r="A141" t="s">
        <v>229</v>
      </c>
      <c r="B141" s="1" t="s">
        <v>230</v>
      </c>
      <c r="C141" t="e" cm="1">
        <f t="array" aca="1" ref="C141" ca="1">XGETVOLUME("CC11a - 400x600, Reinforcement: 14-N24, Ties: N12@300CTS., Tie type: 1, @ L2[1|N;3|L2;6|50MPa]",0)</f>
        <v>#NAME?</v>
      </c>
      <c r="D141" t="s">
        <v>64</v>
      </c>
    </row>
    <row r="142" spans="1:4" x14ac:dyDescent="0.25">
      <c r="A142" t="s">
        <v>231</v>
      </c>
      <c r="B142" s="1" t="s">
        <v>232</v>
      </c>
      <c r="C142" t="e" cm="1">
        <f t="array" aca="1" ref="C142" ca="1">XGETVOLUME("CC12 - 400x600, Reinforcement: 14-N24, Ties: N12@300CTS., Tie type: 1, @ L2[1|N;3|L2;6|50MPa]",0)</f>
        <v>#NAME?</v>
      </c>
      <c r="D142" t="s">
        <v>64</v>
      </c>
    </row>
    <row r="143" spans="1:4" x14ac:dyDescent="0.25">
      <c r="A143" t="s">
        <v>233</v>
      </c>
      <c r="B143" s="1" t="s">
        <v>234</v>
      </c>
      <c r="C143" t="e" cm="1">
        <f t="array" aca="1" ref="C143" ca="1">XGETVOLUME("CC13 - 400x600, Reinforcement: 14-N24, Ties: N12@300CTS., Tie type: 1, @ L2[1|N;3|L2;6|50MPa]",0)</f>
        <v>#NAME?</v>
      </c>
      <c r="D143" t="s">
        <v>64</v>
      </c>
    </row>
    <row r="144" spans="1:4" x14ac:dyDescent="0.25">
      <c r="A144" t="s">
        <v>235</v>
      </c>
      <c r="B144" s="1" t="s">
        <v>236</v>
      </c>
      <c r="C144" t="e" cm="1">
        <f t="array" aca="1" ref="C144" ca="1">XGETVOLUME("CC15 - 800x400, Reinforcement: 14-N28, Ties: N12@250CTS., Tie type: 1, @ L2[1|N;3|L2;6|50MPa]",0)</f>
        <v>#NAME?</v>
      </c>
      <c r="D144" t="s">
        <v>64</v>
      </c>
    </row>
    <row r="145" spans="1:4" x14ac:dyDescent="0.25">
      <c r="A145" t="s">
        <v>237</v>
      </c>
      <c r="B145" s="1" t="s">
        <v>238</v>
      </c>
      <c r="C145" t="e" cm="1">
        <f t="array" aca="1" ref="C145" ca="1">XGETVOLUME("CC16 - 800x400, Reinforcement: 14-N28, Ties: N12@250CTS., Tie type: 1, @ L2[1|N;3|L2;6|50MPa]",0)</f>
        <v>#NAME?</v>
      </c>
      <c r="D145" t="s">
        <v>64</v>
      </c>
    </row>
    <row r="146" spans="1:4" x14ac:dyDescent="0.25">
      <c r="A146" t="s">
        <v>239</v>
      </c>
      <c r="B146" s="1" t="s">
        <v>240</v>
      </c>
      <c r="C146" t="e" cm="1">
        <f t="array" aca="1" ref="C146" ca="1">XGETVOLUME("CC17 - 400x600, Reinforcement: 14-N24, Ties: N12@300CTS., Tie type: 1, @ L2[1|N;3|L2;6|50MPa]",0)</f>
        <v>#NAME?</v>
      </c>
      <c r="D146" t="s">
        <v>64</v>
      </c>
    </row>
    <row r="147" spans="1:4" x14ac:dyDescent="0.25">
      <c r="A147" t="s">
        <v>241</v>
      </c>
      <c r="B147" s="1" t="s">
        <v>242</v>
      </c>
      <c r="C147" t="e" cm="1">
        <f t="array" aca="1" ref="C147" ca="1">XGETVOLUME("CC18 - 400x600, Reinforcement: 14-N24, Ties: N12@300CTS., Tie type: 1, @ L2[1|N;3|L2;6|50MPa]",0)</f>
        <v>#NAME?</v>
      </c>
      <c r="D147" t="s">
        <v>64</v>
      </c>
    </row>
    <row r="148" spans="1:4" x14ac:dyDescent="0.25">
      <c r="A148" t="s">
        <v>243</v>
      </c>
      <c r="B148" s="1" t="s">
        <v>244</v>
      </c>
      <c r="C148" t="e" cm="1">
        <f t="array" aca="1" ref="C148" ca="1">XGETVOLUME("CC19 - 400x600, Reinforcement: 14-N24, Ties: N12@300CTS., Tie type: 1, @ L2[1|N;3|L2;6|50MPa]",0)</f>
        <v>#NAME?</v>
      </c>
      <c r="D148" t="s">
        <v>64</v>
      </c>
    </row>
    <row r="149" spans="1:4" x14ac:dyDescent="0.25">
      <c r="A149" t="s">
        <v>245</v>
      </c>
      <c r="B149" s="1" t="s">
        <v>246</v>
      </c>
      <c r="C149" t="e" cm="1">
        <f t="array" aca="1" ref="C149" ca="1">XGETVOLUME("CC22 - 800x400, Reinforcement: 14-N28, Ties: N12@250CTS., Tie type: 1, @ L2[1|N;3|L2;6|50MPa]",0)</f>
        <v>#NAME?</v>
      </c>
      <c r="D149" t="s">
        <v>64</v>
      </c>
    </row>
    <row r="150" spans="1:4" x14ac:dyDescent="0.25">
      <c r="A150" t="s">
        <v>247</v>
      </c>
      <c r="B150" s="1" t="s">
        <v>248</v>
      </c>
      <c r="C150" t="e" cm="1">
        <f t="array" aca="1" ref="C150" ca="1">XGETVOLUME("CC23 - 800x400, Reinforcement: 14-N28, Ties: N12@250CTS., Tie type: 1, @ L2[1|N;3|L2;6|50MPa]",0)</f>
        <v>#NAME?</v>
      </c>
      <c r="D150" t="s">
        <v>64</v>
      </c>
    </row>
    <row r="151" spans="1:4" x14ac:dyDescent="0.25">
      <c r="A151" t="s">
        <v>249</v>
      </c>
      <c r="B151" s="1" t="s">
        <v>192</v>
      </c>
      <c r="C151" t="e" cm="1">
        <f t="array" aca="1" ref="C151" ca="1">XGETVOLUME("CC24 - 400x600, Reinforcement: 14-N24, Ties: N12@300CTS., Tie type: 1, @ L2[1|N;3|L2;6|50MPa]",0)</f>
        <v>#NAME?</v>
      </c>
      <c r="D151" t="s">
        <v>64</v>
      </c>
    </row>
    <row r="152" spans="1:4" x14ac:dyDescent="0.25">
      <c r="A152" t="s">
        <v>250</v>
      </c>
      <c r="B152" s="1" t="s">
        <v>194</v>
      </c>
      <c r="C152" t="e" cm="1">
        <f t="array" aca="1" ref="C152" ca="1">XGETVOLUME("CC25 - 400x600, Reinforcement: 14-N28, Ties: N12@300CTS., Tie type: 1, @ L2[1|N;3|L2;6|50MPa]",0)</f>
        <v>#NAME?</v>
      </c>
      <c r="D152" t="s">
        <v>64</v>
      </c>
    </row>
    <row r="153" spans="1:4" x14ac:dyDescent="0.25">
      <c r="A153" t="s">
        <v>251</v>
      </c>
      <c r="B153" s="1" t="s">
        <v>252</v>
      </c>
      <c r="C153" t="e" cm="1">
        <f t="array" aca="1" ref="C153" ca="1">XGETVOLUME("CC26 - 800x400, Reinforcement: 14-N28, Ties: N12@250CTS., Tie type: 1, @ L2[1|N;3|L2;6|50MPa]",0)</f>
        <v>#NAME?</v>
      </c>
      <c r="D153" t="s">
        <v>64</v>
      </c>
    </row>
    <row r="154" spans="1:4" x14ac:dyDescent="0.25">
      <c r="A154" t="s">
        <v>253</v>
      </c>
      <c r="B154" s="1" t="s">
        <v>254</v>
      </c>
      <c r="C154" t="e" cm="1">
        <f t="array" aca="1" ref="C154" ca="1">XGETVOLUME("CC27 - 400x600, Reinforcement: 14-N28, Ties: N12@300CTS., Tie type: 1, @ L2[1|N;3|L2;6|50MPa]",0)</f>
        <v>#NAME?</v>
      </c>
      <c r="D154" t="s">
        <v>64</v>
      </c>
    </row>
    <row r="155" spans="1:4" x14ac:dyDescent="0.25">
      <c r="A155" t="s">
        <v>255</v>
      </c>
      <c r="B155" s="1" t="s">
        <v>256</v>
      </c>
      <c r="C155" t="e" cm="1">
        <f t="array" aca="1" ref="C155" ca="1">XGETVOLUME("CC29 - 400x600, Reinforcement: 14-N24, Ties: N12@300CTS., Tie type: 1, @ L2[1|N;3|L2;6|50MPa]",0)</f>
        <v>#NAME?</v>
      </c>
      <c r="D155" t="s">
        <v>64</v>
      </c>
    </row>
    <row r="156" spans="1:4" x14ac:dyDescent="0.25">
      <c r="A156" t="s">
        <v>257</v>
      </c>
      <c r="B156" s="1" t="s">
        <v>258</v>
      </c>
      <c r="C156" t="e" cm="1">
        <f t="array" aca="1" ref="C156" ca="1">XGETVOLUME("CC3 - 800x400, Reinforcement: 14-N28, Ties: N12@250CTS., Tie type: 1, @ L2[1|N;3|L2;6|50MPa]",0)</f>
        <v>#NAME?</v>
      </c>
      <c r="D156" t="s">
        <v>64</v>
      </c>
    </row>
    <row r="157" spans="1:4" x14ac:dyDescent="0.25">
      <c r="A157" t="s">
        <v>259</v>
      </c>
      <c r="B157" s="1" t="s">
        <v>260</v>
      </c>
      <c r="C157" t="e" cm="1">
        <f t="array" aca="1" ref="C157" ca="1">XGETVOLUME("CC4 - 800x400, Reinforcement: 14-N28, Ties: N12@250CTS., Tie type: 1, @ L2[1|N;3|L2;6|50MPa]",0)</f>
        <v>#NAME?</v>
      </c>
      <c r="D157" t="s">
        <v>64</v>
      </c>
    </row>
    <row r="158" spans="1:4" x14ac:dyDescent="0.25">
      <c r="A158" t="s">
        <v>261</v>
      </c>
      <c r="B158" s="1" t="s">
        <v>262</v>
      </c>
      <c r="C158" t="e" cm="1">
        <f t="array" aca="1" ref="C158" ca="1">XGETVOLUME("CC5 - 800x400, Reinforcement: 14-N28, Ties: N12@250CTS., Tie type: 1, @ L2[1|N;3|L2;6|50MPa]",0)</f>
        <v>#NAME?</v>
      </c>
      <c r="D158" t="s">
        <v>64</v>
      </c>
    </row>
    <row r="159" spans="1:4" x14ac:dyDescent="0.25">
      <c r="A159" t="s">
        <v>263</v>
      </c>
      <c r="B159" s="1" t="s">
        <v>264</v>
      </c>
      <c r="C159" t="e" cm="1">
        <f t="array" aca="1" ref="C159" ca="1">XGETVOLUME("CC6 - 800x400, Reinforcement: 14-N28, Ties: N12@250CTS., Tie type: 1, @ L2[1|N;3|L2;6|50MPa]",0)</f>
        <v>#NAME?</v>
      </c>
      <c r="D159" t="s">
        <v>64</v>
      </c>
    </row>
    <row r="160" spans="1:4" x14ac:dyDescent="0.25">
      <c r="A160" t="s">
        <v>265</v>
      </c>
      <c r="B160" s="1" t="s">
        <v>266</v>
      </c>
      <c r="C160" t="e" cm="1">
        <f t="array" aca="1" ref="C160" ca="1">XGETVOLUME("CC61 - 800x400, Reinforcement: 14-N28, Ties: N12@300CTS., Tie type: 1, @ L2[1|N;3|L2;6|50MPa]",0)</f>
        <v>#NAME?</v>
      </c>
      <c r="D160" t="s">
        <v>64</v>
      </c>
    </row>
    <row r="161" spans="1:4" x14ac:dyDescent="0.25">
      <c r="A161" t="s">
        <v>267</v>
      </c>
      <c r="B161" s="1" t="s">
        <v>268</v>
      </c>
      <c r="C161" t="e" cm="1">
        <f t="array" aca="1" ref="C161" ca="1">XGETVOLUME("CC66 - 400x600, Reinforcement: 14-N24, Ties: N12@300CTS., Tie type: 1, @ L2[1|N;3|L2;6|50MPa]",0)</f>
        <v>#NAME?</v>
      </c>
      <c r="D161" t="s">
        <v>64</v>
      </c>
    </row>
    <row r="162" spans="1:4" x14ac:dyDescent="0.25">
      <c r="A162" t="s">
        <v>269</v>
      </c>
      <c r="B162" s="1" t="s">
        <v>270</v>
      </c>
      <c r="C162" t="e" cm="1">
        <f t="array" aca="1" ref="C162" ca="1">XGETVOLUME("CC67 - 400x600, Reinforcement: 14-N24, Ties: N12@300CTS., Tie type: 1, @ L2[1|N;3|L2;6|50MPa]",0)</f>
        <v>#NAME?</v>
      </c>
      <c r="D162" t="s">
        <v>64</v>
      </c>
    </row>
    <row r="163" spans="1:4" x14ac:dyDescent="0.25">
      <c r="A163" t="s">
        <v>271</v>
      </c>
      <c r="B163" s="1" t="s">
        <v>272</v>
      </c>
      <c r="C163" t="e" cm="1">
        <f t="array" aca="1" ref="C163" ca="1">XGETVOLUME("CC68 - 400x600, Reinforcement: 14-N24, Ties: N12@300CTS., Tie type: 1, @ L2[1|N;3|L2;6|50MPa]",0)</f>
        <v>#NAME?</v>
      </c>
      <c r="D163" t="s">
        <v>64</v>
      </c>
    </row>
    <row r="164" spans="1:4" x14ac:dyDescent="0.25">
      <c r="A164" t="s">
        <v>273</v>
      </c>
      <c r="B164" s="1" t="s">
        <v>274</v>
      </c>
      <c r="C164" t="e" cm="1">
        <f t="array" aca="1" ref="C164" ca="1">XGETVOLUME("CC69 - 400x600, Reinforcement: 14-N24, Ties: N12@300CTS., Tie type: 1, @ L2[1|N;3|L2;6|50MPa]",0)</f>
        <v>#NAME?</v>
      </c>
      <c r="D164" t="s">
        <v>64</v>
      </c>
    </row>
    <row r="165" spans="1:4" x14ac:dyDescent="0.25">
      <c r="A165" t="s">
        <v>275</v>
      </c>
      <c r="B165" s="1" t="s">
        <v>276</v>
      </c>
      <c r="C165" t="e" cm="1">
        <f t="array" aca="1" ref="C165" ca="1">XGETVOLUME("CC73 - 400x600, Reinforcement: 14-N24, Ties: N12@300CTS., Tie type: 1, @ L2[1|N;3|L2;6|50MPa]",0)</f>
        <v>#NAME?</v>
      </c>
      <c r="D165" t="s">
        <v>64</v>
      </c>
    </row>
    <row r="166" spans="1:4" x14ac:dyDescent="0.25">
      <c r="A166" t="s">
        <v>277</v>
      </c>
      <c r="B166" s="1" t="s">
        <v>278</v>
      </c>
      <c r="C166" t="e" cm="1">
        <f t="array" aca="1" ref="C166" ca="1">XGETVOLUME("CC9 - 800x400, Reinforcement: 14-N28, Ties: N12@300CTS., Tie type: 1, @ L2[1|N;3|L2;6|50MPa]",0)</f>
        <v>#NAME?</v>
      </c>
      <c r="D166" t="s">
        <v>64</v>
      </c>
    </row>
    <row r="167" spans="1:4" x14ac:dyDescent="0.25">
      <c r="B167" s="1" t="s">
        <v>111</v>
      </c>
      <c r="D167" t="s">
        <v>78</v>
      </c>
    </row>
    <row r="168" spans="1:4" x14ac:dyDescent="0.25">
      <c r="A168" t="s">
        <v>279</v>
      </c>
      <c r="B168" s="1" t="s">
        <v>226</v>
      </c>
      <c r="C168" t="e" cm="1">
        <f t="array" aca="1" ref="C168" ca="1">XGETVOLUME("CC1 - 800x400, Reinforcement: 16-N28, Ties: N12@300CTS., Tie type: 6, @ L3[1|N;3|L3;6|50MPa]",0)</f>
        <v>#NAME?</v>
      </c>
      <c r="D168" t="s">
        <v>64</v>
      </c>
    </row>
    <row r="169" spans="1:4" x14ac:dyDescent="0.25">
      <c r="A169" t="s">
        <v>280</v>
      </c>
      <c r="B169" s="1" t="s">
        <v>281</v>
      </c>
      <c r="C169" t="e" cm="1">
        <f t="array" aca="1" ref="C169" ca="1">XGETVOLUME("CC10 - 450x450, Reinforcement: 8-N28, Ties: N12@300CTS., Tie type: 8, @ L3[1|N;3|L3;6|50MPa]",0)</f>
        <v>#NAME?</v>
      </c>
      <c r="D169" t="s">
        <v>64</v>
      </c>
    </row>
    <row r="170" spans="1:4" x14ac:dyDescent="0.25">
      <c r="A170" t="s">
        <v>282</v>
      </c>
      <c r="B170" s="1" t="s">
        <v>230</v>
      </c>
      <c r="C170" t="e" cm="1">
        <f t="array" aca="1" ref="C170" ca="1">XGETVOLUME("CC11a - 400x600, Reinforcement: 14-N24, Ties: N12@300CTS., Tie type: 1, @ L3[1|N;3|L3;6|50MPa]",0)</f>
        <v>#NAME?</v>
      </c>
      <c r="D170" t="s">
        <v>64</v>
      </c>
    </row>
    <row r="171" spans="1:4" x14ac:dyDescent="0.25">
      <c r="A171" t="s">
        <v>283</v>
      </c>
      <c r="B171" s="1" t="s">
        <v>232</v>
      </c>
      <c r="C171" t="e" cm="1">
        <f t="array" aca="1" ref="C171" ca="1">XGETVOLUME("CC12 - 400x600, Reinforcement: 14-N24, Ties: N12@300CTS., Tie type: 1, @ L3[1|N;3|L3;6|50MPa]",0)</f>
        <v>#NAME?</v>
      </c>
      <c r="D171" t="s">
        <v>64</v>
      </c>
    </row>
    <row r="172" spans="1:4" x14ac:dyDescent="0.25">
      <c r="A172" t="s">
        <v>284</v>
      </c>
      <c r="B172" s="1" t="s">
        <v>234</v>
      </c>
      <c r="C172" t="e" cm="1">
        <f t="array" aca="1" ref="C172" ca="1">XGETVOLUME("CC13 - 400x600, Reinforcement: 14-N24, Ties: N12@300CTS., Tie type: 1, @ L3[1|N;3|L3;6|50MPa]",0)</f>
        <v>#NAME?</v>
      </c>
      <c r="D172" t="s">
        <v>64</v>
      </c>
    </row>
    <row r="173" spans="1:4" x14ac:dyDescent="0.25">
      <c r="A173" t="s">
        <v>285</v>
      </c>
      <c r="B173" s="1" t="s">
        <v>236</v>
      </c>
      <c r="C173" t="e" cm="1">
        <f t="array" aca="1" ref="C173" ca="1">XGETVOLUME("CC15 - 800x400, Reinforcement: 14-N28, Ties: N12@300CTS., Tie type: 1, @ L3[1|N;3|L3;6|50MPa]",0)</f>
        <v>#NAME?</v>
      </c>
      <c r="D173" t="s">
        <v>64</v>
      </c>
    </row>
    <row r="174" spans="1:4" x14ac:dyDescent="0.25">
      <c r="A174" t="s">
        <v>286</v>
      </c>
      <c r="B174" s="1" t="s">
        <v>238</v>
      </c>
      <c r="C174" t="e" cm="1">
        <f t="array" aca="1" ref="C174" ca="1">XGETVOLUME("CC16 - 800x400, Reinforcement: 16-N28, Ties: N12@300CTS., Tie type: 6, @ L3[1|N;3|L3;6|50MPa]",0)</f>
        <v>#NAME?</v>
      </c>
      <c r="D174" t="s">
        <v>64</v>
      </c>
    </row>
    <row r="175" spans="1:4" x14ac:dyDescent="0.25">
      <c r="A175" t="s">
        <v>287</v>
      </c>
      <c r="B175" s="1" t="s">
        <v>240</v>
      </c>
      <c r="C175" t="e" cm="1">
        <f t="array" aca="1" ref="C175" ca="1">XGETVOLUME("CC17 - 400x600, Reinforcement: 14-N24, Ties: N12@300CTS., Tie type: 1, @ L3[1|N;3|L3;6|50MPa]",0)</f>
        <v>#NAME?</v>
      </c>
      <c r="D175" t="s">
        <v>64</v>
      </c>
    </row>
    <row r="176" spans="1:4" x14ac:dyDescent="0.25">
      <c r="A176" t="s">
        <v>288</v>
      </c>
      <c r="B176" s="1" t="s">
        <v>242</v>
      </c>
      <c r="C176" t="e" cm="1">
        <f t="array" aca="1" ref="C176" ca="1">XGETVOLUME("CC18 - 400x600, Reinforcement: 14-N24, Ties: N12@300CTS., Tie type: 1, @ L3[1|N;3|L3;6|50MPa]",0)</f>
        <v>#NAME?</v>
      </c>
      <c r="D176" t="s">
        <v>64</v>
      </c>
    </row>
    <row r="177" spans="1:4" x14ac:dyDescent="0.25">
      <c r="A177" t="s">
        <v>289</v>
      </c>
      <c r="B177" s="1" t="s">
        <v>244</v>
      </c>
      <c r="C177" t="e" cm="1">
        <f t="array" aca="1" ref="C177" ca="1">XGETVOLUME("CC19 - 400x600, Reinforcement: 14-N24, Ties: N12@300CTS., Tie type: 1, @ L3[1|N;3|L3;6|50MPa]",0)</f>
        <v>#NAME?</v>
      </c>
      <c r="D177" t="s">
        <v>64</v>
      </c>
    </row>
    <row r="178" spans="1:4" x14ac:dyDescent="0.25">
      <c r="A178" t="s">
        <v>290</v>
      </c>
      <c r="B178" s="1" t="s">
        <v>246</v>
      </c>
      <c r="C178" t="e" cm="1">
        <f t="array" aca="1" ref="C178" ca="1">XGETVOLUME("CC22 - 800x400, Reinforcement: 14-N28, Ties: N12@300CTS., Tie type: 1, @ L3[1|N;3|L3;6|50MPa]",0)</f>
        <v>#NAME?</v>
      </c>
      <c r="D178" t="s">
        <v>64</v>
      </c>
    </row>
    <row r="179" spans="1:4" x14ac:dyDescent="0.25">
      <c r="A179" t="s">
        <v>291</v>
      </c>
      <c r="B179" s="1" t="s">
        <v>248</v>
      </c>
      <c r="C179" t="e" cm="1">
        <f t="array" aca="1" ref="C179" ca="1">XGETVOLUME("CC23 - 800x400, Reinforcement: 14-N28, Ties: N12@300CTS., Tie type: 1, @ L3[1|N;3|L3;6|50MPa]",0)</f>
        <v>#NAME?</v>
      </c>
      <c r="D179" t="s">
        <v>64</v>
      </c>
    </row>
    <row r="180" spans="1:4" x14ac:dyDescent="0.25">
      <c r="A180" t="s">
        <v>292</v>
      </c>
      <c r="B180" s="1" t="s">
        <v>192</v>
      </c>
      <c r="C180" t="e" cm="1">
        <f t="array" aca="1" ref="C180" ca="1">XGETVOLUME("CC24 - 400x600, Reinforcement: 14-N24, Ties: N12@300CTS., Tie type: 1, @ L3[1|N;3|L3;6|50MPa]",0)</f>
        <v>#NAME?</v>
      </c>
      <c r="D180" t="s">
        <v>64</v>
      </c>
    </row>
    <row r="181" spans="1:4" x14ac:dyDescent="0.25">
      <c r="A181" t="s">
        <v>293</v>
      </c>
      <c r="B181" s="1" t="s">
        <v>194</v>
      </c>
      <c r="C181" t="e" cm="1">
        <f t="array" aca="1" ref="C181" ca="1">XGETVOLUME("CC25 - 400x600, Reinforcement: 14-N28, Ties: N12@300CTS., Tie type: 1, @ L3[1|N;3|L3;6|50MPa]",0)</f>
        <v>#NAME?</v>
      </c>
      <c r="D181" t="s">
        <v>64</v>
      </c>
    </row>
    <row r="182" spans="1:4" x14ac:dyDescent="0.25">
      <c r="A182" t="s">
        <v>294</v>
      </c>
      <c r="B182" s="1" t="s">
        <v>252</v>
      </c>
      <c r="C182" t="e" cm="1">
        <f t="array" aca="1" ref="C182" ca="1">XGETVOLUME("CC26 - 800x400, Reinforcement: 16-N28, Ties: N12@300CTS., Tie type: 6, @ L3[1|N;3|L3;6|50MPa]",0)</f>
        <v>#NAME?</v>
      </c>
      <c r="D182" t="s">
        <v>64</v>
      </c>
    </row>
    <row r="183" spans="1:4" x14ac:dyDescent="0.25">
      <c r="A183" t="s">
        <v>295</v>
      </c>
      <c r="B183" s="1" t="s">
        <v>254</v>
      </c>
      <c r="C183" t="e" cm="1">
        <f t="array" aca="1" ref="C183" ca="1">XGETVOLUME("CC27 - 400x600, Reinforcement: 14-N28, Ties: N12@300CTS., Tie type: 1, @ L3[1|N;3|L3;6|50MPa]",0)</f>
        <v>#NAME?</v>
      </c>
      <c r="D183" t="s">
        <v>64</v>
      </c>
    </row>
    <row r="184" spans="1:4" x14ac:dyDescent="0.25">
      <c r="A184" t="s">
        <v>296</v>
      </c>
      <c r="B184" s="1" t="s">
        <v>256</v>
      </c>
      <c r="C184" t="e" cm="1">
        <f t="array" aca="1" ref="C184" ca="1">XGETVOLUME("CC29 - 400x600, Reinforcement: 14-N24, Ties: N12@300CTS., Tie type: 1, @ L3[1|N;3|L3;6|50MPa]",0)</f>
        <v>#NAME?</v>
      </c>
      <c r="D184" t="s">
        <v>64</v>
      </c>
    </row>
    <row r="185" spans="1:4" x14ac:dyDescent="0.25">
      <c r="A185" t="s">
        <v>297</v>
      </c>
      <c r="B185" s="1" t="s">
        <v>258</v>
      </c>
      <c r="C185" t="e" cm="1">
        <f t="array" aca="1" ref="C185" ca="1">XGETVOLUME("CC3 - 800x400, Reinforcement: 14-N28, Ties: N12@300CTS., Tie type: 1, @ L3[1|N;3|L3;6|50MPa]",0)</f>
        <v>#NAME?</v>
      </c>
      <c r="D185" t="s">
        <v>64</v>
      </c>
    </row>
    <row r="186" spans="1:4" x14ac:dyDescent="0.25">
      <c r="A186" t="s">
        <v>298</v>
      </c>
      <c r="B186" s="1" t="s">
        <v>260</v>
      </c>
      <c r="C186" t="e" cm="1">
        <f t="array" aca="1" ref="C186" ca="1">XGETVOLUME("CC4 - 800x400, Reinforcement: 14-N28, Ties: N12@300CTS., Tie type: 1, @ L3[1|N;3|L3;6|50MPa]",0)</f>
        <v>#NAME?</v>
      </c>
      <c r="D186" t="s">
        <v>64</v>
      </c>
    </row>
    <row r="187" spans="1:4" x14ac:dyDescent="0.25">
      <c r="A187" t="s">
        <v>299</v>
      </c>
      <c r="B187" s="1" t="s">
        <v>262</v>
      </c>
      <c r="C187" t="e" cm="1">
        <f t="array" aca="1" ref="C187" ca="1">XGETVOLUME("CC5 - 800x400, Reinforcement: 16-N28, Ties: N12@300CTS., Tie type: 6, @ L3[1|N;3|L3;6|50MPa]",0)</f>
        <v>#NAME?</v>
      </c>
      <c r="D187" t="s">
        <v>64</v>
      </c>
    </row>
    <row r="188" spans="1:4" x14ac:dyDescent="0.25">
      <c r="A188" t="s">
        <v>300</v>
      </c>
      <c r="B188" s="1" t="s">
        <v>264</v>
      </c>
      <c r="C188" t="e" cm="1">
        <f t="array" aca="1" ref="C188" ca="1">XGETVOLUME("CC6 - 800x400, Reinforcement: 16-N28, Ties: N12@300CTS., Tie type: 6, @ L3[1|N;3|L3;6|50MPa]",0)</f>
        <v>#NAME?</v>
      </c>
      <c r="D188" t="s">
        <v>64</v>
      </c>
    </row>
    <row r="189" spans="1:4" x14ac:dyDescent="0.25">
      <c r="A189" t="s">
        <v>301</v>
      </c>
      <c r="B189" s="1" t="s">
        <v>266</v>
      </c>
      <c r="C189" t="e" cm="1">
        <f t="array" aca="1" ref="C189" ca="1">XGETVOLUME("CC61 - 800x400, Reinforcement: 14-N28, Ties: N12@300CTS., Tie type: 1, @ L3[1|N;3|L3;6|50MPa]",0)</f>
        <v>#NAME?</v>
      </c>
      <c r="D189" t="s">
        <v>64</v>
      </c>
    </row>
    <row r="190" spans="1:4" x14ac:dyDescent="0.25">
      <c r="A190" t="s">
        <v>302</v>
      </c>
      <c r="B190" s="1" t="s">
        <v>268</v>
      </c>
      <c r="C190" t="e" cm="1">
        <f t="array" aca="1" ref="C190" ca="1">XGETVOLUME("CC66 - 400x600, Reinforcement: 14-N24, Ties: N12@300CTS., Tie type: 1, @ L3[1|N;3|L3;6|50MPa]",0)</f>
        <v>#NAME?</v>
      </c>
      <c r="D190" t="s">
        <v>64</v>
      </c>
    </row>
    <row r="191" spans="1:4" x14ac:dyDescent="0.25">
      <c r="A191" t="s">
        <v>303</v>
      </c>
      <c r="B191" s="1" t="s">
        <v>270</v>
      </c>
      <c r="C191" t="e" cm="1">
        <f t="array" aca="1" ref="C191" ca="1">XGETVOLUME("CC67 - 400x600, Reinforcement: 14-N24, Ties: N12@300CTS., Tie type: 1, @ L3[1|N;3|L3;6|50MPa]",0)</f>
        <v>#NAME?</v>
      </c>
      <c r="D191" t="s">
        <v>64</v>
      </c>
    </row>
    <row r="192" spans="1:4" x14ac:dyDescent="0.25">
      <c r="A192" t="s">
        <v>304</v>
      </c>
      <c r="B192" s="1" t="s">
        <v>272</v>
      </c>
      <c r="C192" t="e" cm="1">
        <f t="array" aca="1" ref="C192" ca="1">XGETVOLUME("CC68 - 400x600, Reinforcement: 14-N24, Ties: N12@300CTS., Tie type: 1, @ L3[1|N;3|L3;6|50MPa]",0)</f>
        <v>#NAME?</v>
      </c>
      <c r="D192" t="s">
        <v>64</v>
      </c>
    </row>
    <row r="193" spans="1:4" x14ac:dyDescent="0.25">
      <c r="A193" t="s">
        <v>305</v>
      </c>
      <c r="B193" s="1" t="s">
        <v>274</v>
      </c>
      <c r="C193" t="e" cm="1">
        <f t="array" aca="1" ref="C193" ca="1">XGETVOLUME("CC69 - 400x600, Reinforcement: 14-N24, Ties: N12@300CTS., Tie type: 1, @ L3[1|N;3|L3;6|50MPa]",0)</f>
        <v>#NAME?</v>
      </c>
      <c r="D193" t="s">
        <v>64</v>
      </c>
    </row>
    <row r="194" spans="1:4" x14ac:dyDescent="0.25">
      <c r="A194" t="s">
        <v>306</v>
      </c>
      <c r="B194" s="1" t="s">
        <v>276</v>
      </c>
      <c r="C194" t="e" cm="1">
        <f t="array" aca="1" ref="C194" ca="1">XGETVOLUME("CC73 - 400x600, Reinforcement: 14-N24, Ties: N12@300CTS., Tie type: 1, @ L3[1|N;3|L3;6|50MPa]",0)</f>
        <v>#NAME?</v>
      </c>
      <c r="D194" t="s">
        <v>64</v>
      </c>
    </row>
    <row r="195" spans="1:4" x14ac:dyDescent="0.25">
      <c r="A195" t="s">
        <v>307</v>
      </c>
      <c r="B195" s="1" t="s">
        <v>278</v>
      </c>
      <c r="C195" t="e" cm="1">
        <f t="array" aca="1" ref="C195" ca="1">XGETVOLUME("CC9 - 800x400, Reinforcement: 14-N28, Ties: N12@300CTS., Tie type: 1, @ L3[1|N;3|L3;6|50MPa]",0)</f>
        <v>#NAME?</v>
      </c>
      <c r="D195" t="s">
        <v>64</v>
      </c>
    </row>
    <row r="196" spans="1:4" x14ac:dyDescent="0.25">
      <c r="B196" s="1" t="s">
        <v>114</v>
      </c>
      <c r="D196" t="s">
        <v>78</v>
      </c>
    </row>
    <row r="197" spans="1:4" x14ac:dyDescent="0.25">
      <c r="A197" t="s">
        <v>308</v>
      </c>
      <c r="B197" s="1" t="s">
        <v>309</v>
      </c>
      <c r="C197" t="e" cm="1">
        <f t="array" aca="1" ref="C197" ca="1">XGETVOLUME("CC17 - 300x500, Reinforcement: 8-N24, Ties: N12@225CTS., Tie type: 7, @ L4[1|N;3|L4;6|32MPa]",0)</f>
        <v>#NAME?</v>
      </c>
      <c r="D197" t="s">
        <v>64</v>
      </c>
    </row>
    <row r="198" spans="1:4" x14ac:dyDescent="0.25">
      <c r="A198" t="s">
        <v>310</v>
      </c>
      <c r="B198" s="1" t="s">
        <v>311</v>
      </c>
      <c r="C198" t="e" cm="1">
        <f t="array" aca="1" ref="C198" ca="1">XGETVOLUME("CC24 - 300x500, Reinforcement: 8-N24, Ties: N12@225CTS., Tie type: 7, @ L4[1|N;3|L4;6|32MPa]",0)</f>
        <v>#NAME?</v>
      </c>
      <c r="D198" t="s">
        <v>64</v>
      </c>
    </row>
    <row r="199" spans="1:4" x14ac:dyDescent="0.25">
      <c r="A199" t="s">
        <v>312</v>
      </c>
      <c r="B199" s="1" t="s">
        <v>313</v>
      </c>
      <c r="C199" t="e" cm="1">
        <f t="array" aca="1" ref="C199" ca="1">XGETVOLUME("CC25 - 300x500, Reinforcement: 8-N24, Ties: N12@225CTS., Tie type: 7, @ L4[1|N;3|L4;6|32MPa]",0)</f>
        <v>#NAME?</v>
      </c>
      <c r="D199" t="s">
        <v>64</v>
      </c>
    </row>
    <row r="200" spans="1:4" x14ac:dyDescent="0.25">
      <c r="A200" t="s">
        <v>314</v>
      </c>
      <c r="B200" s="1" t="s">
        <v>315</v>
      </c>
      <c r="C200" t="e" cm="1">
        <f t="array" aca="1" ref="C200" ca="1">XGETVOLUME("CC66 - 300x500, Reinforcement: 8-N24, Ties: N12@225CTS., Tie type: 7, @ L4[1|N;3|L4;6|32MPa]",0)</f>
        <v>#NAME?</v>
      </c>
      <c r="D200" t="s">
        <v>64</v>
      </c>
    </row>
    <row r="201" spans="1:4" x14ac:dyDescent="0.25">
      <c r="A201" t="s">
        <v>316</v>
      </c>
      <c r="B201" s="1" t="s">
        <v>317</v>
      </c>
      <c r="C201" t="e" cm="1">
        <f t="array" aca="1" ref="C201" ca="1">XGETVOLUME("CC82 - 300x500, Reinforcement: 8-N24, Ties: N12@225CTS., Tie type: 7, @ L4[1|N;3|L4;6|32MPa]",0)</f>
        <v>#NAME?</v>
      </c>
      <c r="D201" t="s">
        <v>64</v>
      </c>
    </row>
    <row r="202" spans="1:4" x14ac:dyDescent="0.25">
      <c r="A202" t="s">
        <v>318</v>
      </c>
      <c r="B202" s="1" t="s">
        <v>319</v>
      </c>
      <c r="C202" t="e" cm="1">
        <f t="array" aca="1" ref="C202" ca="1">XGETVOLUME("CC83 - 300x500, Reinforcement: 8-N24, Ties: N12@225CTS., Tie type: 7, @ L4[1|N;3|L4;6|32MPa]",0)</f>
        <v>#NAME?</v>
      </c>
      <c r="D202" t="s">
        <v>64</v>
      </c>
    </row>
    <row r="203" spans="1:4" x14ac:dyDescent="0.25">
      <c r="A203" t="s">
        <v>320</v>
      </c>
      <c r="B203" s="1" t="s">
        <v>321</v>
      </c>
      <c r="C203" t="e" cm="1">
        <f t="array" aca="1" ref="C203" ca="1">XGETVOLUME("CC84 - 400x400, Reinforcement: 8-N24, Ties: N12@300CTS., Tie type: 8, @ L4[1|N;3|L4;6|32MPa]",0)</f>
        <v>#NAME?</v>
      </c>
      <c r="D203" t="s">
        <v>64</v>
      </c>
    </row>
    <row r="204" spans="1:4" x14ac:dyDescent="0.25">
      <c r="A204" t="s">
        <v>322</v>
      </c>
      <c r="B204" s="1" t="s">
        <v>323</v>
      </c>
      <c r="C204" t="e" cm="1">
        <f t="array" aca="1" ref="C204" ca="1">XGETVOLUME("CC85 - 400x400, Reinforcement: 8-N24, Ties: N12@300CTS., Tie type: 8, @ L4[1|N;3|L4;6|32MPa]",0)</f>
        <v>#NAME?</v>
      </c>
      <c r="D204" t="s">
        <v>64</v>
      </c>
    </row>
    <row r="205" spans="1:4" x14ac:dyDescent="0.25">
      <c r="A205" t="s">
        <v>324</v>
      </c>
      <c r="B205" s="1" t="s">
        <v>325</v>
      </c>
      <c r="C205" t="e" cm="1">
        <f t="array" aca="1" ref="C205" ca="1">XGETVOLUME("CC86 - 400x400, Reinforcement: 8-N24, Ties: N12@300CTS., Tie type: 8, @ L4[1|N;3|L4;6|32MPa]",0)</f>
        <v>#NAME?</v>
      </c>
      <c r="D205" t="s">
        <v>64</v>
      </c>
    </row>
    <row r="206" spans="1:4" x14ac:dyDescent="0.25">
      <c r="A206" t="s">
        <v>326</v>
      </c>
      <c r="B206" s="1" t="s">
        <v>327</v>
      </c>
      <c r="C206" t="e" cm="1">
        <f t="array" aca="1" ref="C206" ca="1">XGETVOLUME("CC87 - 400x400, Reinforcement: 8-N24, Ties: N12@300CTS., Tie type: 8, @ L4[1|N;3|L4;6|32MPa]",0)</f>
        <v>#NAME?</v>
      </c>
      <c r="D206" t="s">
        <v>64</v>
      </c>
    </row>
    <row r="207" spans="1:4" x14ac:dyDescent="0.25">
      <c r="A207" t="s">
        <v>328</v>
      </c>
      <c r="B207" s="1" t="s">
        <v>329</v>
      </c>
      <c r="C207" t="e" cm="1">
        <f t="array" aca="1" ref="C207" ca="1">XGETVOLUME("CC88 - 400x400, Reinforcement: 8-N24, Ties: N12@300CTS., Tie type: 8, @ L4[1|N;3|L4;6|32MPa]",0)</f>
        <v>#NAME?</v>
      </c>
      <c r="D207" t="s">
        <v>64</v>
      </c>
    </row>
    <row r="208" spans="1:4" x14ac:dyDescent="0.25">
      <c r="A208" t="s">
        <v>330</v>
      </c>
      <c r="B208" s="1" t="s">
        <v>331</v>
      </c>
      <c r="C208" t="e" cm="1">
        <f t="array" aca="1" ref="C208" ca="1">XGETVOLUME("CC89 - 300x500, Reinforcement: 8-N24, Ties: N12@225CTS., Tie type: 7, @ L4[1|N;3|L4;6|32MPa]",0)</f>
        <v>#NAME?</v>
      </c>
      <c r="D208" t="s">
        <v>64</v>
      </c>
    </row>
    <row r="209" spans="1:4" x14ac:dyDescent="0.25">
      <c r="A209" t="s">
        <v>332</v>
      </c>
      <c r="B209" s="1" t="s">
        <v>333</v>
      </c>
      <c r="C209" t="e" cm="1">
        <f t="array" aca="1" ref="C209" ca="1">XGETVOLUME("CC90 - 300x500, Reinforcement: 8-N24, Ties: N12@225CTS., Tie type: 7, @ L4[1|N;3|L4;6|32MPa]",0)</f>
        <v>#NAME?</v>
      </c>
      <c r="D209" t="s">
        <v>64</v>
      </c>
    </row>
    <row r="210" spans="1:4" x14ac:dyDescent="0.25">
      <c r="A210" t="s">
        <v>334</v>
      </c>
      <c r="B210" s="1" t="s">
        <v>335</v>
      </c>
      <c r="C210" t="e" cm="1">
        <f t="array" aca="1" ref="C210" ca="1">XGETVOLUME("CC91 - 400x400, Reinforcement: 8-N24, Ties: N12@300CTS., Tie type: 8, @ L4[1|N;3|L4;6|32MPa]",0)</f>
        <v>#NAME?</v>
      </c>
      <c r="D210" t="s">
        <v>64</v>
      </c>
    </row>
    <row r="211" spans="1:4" x14ac:dyDescent="0.25">
      <c r="A211" t="s">
        <v>336</v>
      </c>
      <c r="B211" s="1" t="s">
        <v>337</v>
      </c>
      <c r="C211" t="e" cm="1">
        <f t="array" aca="1" ref="C211" ca="1">XGETVOLUME("CC92 - 400x400, Reinforcement: 8-N24, Ties: N12@300CTS., Tie type: 8, @ L4[1|N;3|L4;6|32MPa]",0)</f>
        <v>#NAME?</v>
      </c>
      <c r="D211" t="s">
        <v>64</v>
      </c>
    </row>
    <row r="212" spans="1:4" x14ac:dyDescent="0.25">
      <c r="A212" t="s">
        <v>338</v>
      </c>
      <c r="B212" s="1" t="s">
        <v>339</v>
      </c>
      <c r="C212" t="e" cm="1">
        <f t="array" aca="1" ref="C212" ca="1">XGETVOLUME("CC93 - 400x400, Reinforcement: 8-N24, Ties: N12@300CTS., Tie type: 8, @ L4[1|N;3|L4;6|32MPa]",0)</f>
        <v>#NAME?</v>
      </c>
      <c r="D212" t="s">
        <v>64</v>
      </c>
    </row>
    <row r="213" spans="1:4" x14ac:dyDescent="0.25">
      <c r="A213" t="s">
        <v>340</v>
      </c>
      <c r="B213" s="1" t="s">
        <v>341</v>
      </c>
      <c r="C213" t="e" cm="1">
        <f t="array" aca="1" ref="C213" ca="1">XGETVOLUME("CC94 - 300x500, Reinforcement: 8-N24, Ties: N12@225CTS., Tie type: 7, @ L4[1|N;3|L4;6|32MPa]",0)</f>
        <v>#NAME?</v>
      </c>
      <c r="D213" t="s">
        <v>64</v>
      </c>
    </row>
    <row r="214" spans="1:4" x14ac:dyDescent="0.25">
      <c r="A214" t="s">
        <v>342</v>
      </c>
      <c r="B214" s="1" t="s">
        <v>343</v>
      </c>
      <c r="C214" t="e" cm="1">
        <f t="array" aca="1" ref="C214" ca="1">XGETVOLUME("CC95 - 300x500, Reinforcement: 8-N24, Ties: N12@225CTS., Tie type: 7, @ L4[1|N;3|L4;6|32MPa]",0)</f>
        <v>#NAME?</v>
      </c>
      <c r="D214" t="s">
        <v>64</v>
      </c>
    </row>
    <row r="215" spans="1:4" x14ac:dyDescent="0.25">
      <c r="A215" t="s">
        <v>344</v>
      </c>
      <c r="B215" s="1" t="s">
        <v>345</v>
      </c>
      <c r="C215" t="e" cm="1">
        <f t="array" aca="1" ref="C215" ca="1">XGETVOLUME("CC96 - 300x500, Reinforcement: 8-N24, Ties: N12@225CTS., Tie type: 7, @ L4[1|N;3|L4;6|32MPa]",0)</f>
        <v>#NAME?</v>
      </c>
      <c r="D215" t="s">
        <v>64</v>
      </c>
    </row>
    <row r="216" spans="1:4" ht="30" x14ac:dyDescent="0.25">
      <c r="B216" s="1" t="s">
        <v>346</v>
      </c>
      <c r="D216" t="s">
        <v>76</v>
      </c>
    </row>
    <row r="217" spans="1:4" x14ac:dyDescent="0.25">
      <c r="B217" s="1" t="s">
        <v>102</v>
      </c>
      <c r="D217" t="s">
        <v>78</v>
      </c>
    </row>
    <row r="218" spans="1:4" x14ac:dyDescent="0.25">
      <c r="A218" t="s">
        <v>347</v>
      </c>
      <c r="B218" s="1" t="s">
        <v>348</v>
      </c>
      <c r="C218" t="e" cm="1">
        <f t="array" aca="1" ref="C218" ca="1">XGETVOLUME("160mm thick SS, REO: xxx, PT: xxx[1|N;3|L1]",0)</f>
        <v>#NAME?</v>
      </c>
      <c r="D218" t="s">
        <v>64</v>
      </c>
    </row>
    <row r="219" spans="1:4" x14ac:dyDescent="0.25">
      <c r="B219" s="1" t="s">
        <v>349</v>
      </c>
      <c r="D219" t="s">
        <v>76</v>
      </c>
    </row>
    <row r="220" spans="1:4" x14ac:dyDescent="0.25">
      <c r="B220" s="1" t="s">
        <v>107</v>
      </c>
      <c r="D220" t="s">
        <v>78</v>
      </c>
    </row>
    <row r="221" spans="1:4" x14ac:dyDescent="0.25">
      <c r="A221" t="s">
        <v>350</v>
      </c>
      <c r="B221" s="1" t="s">
        <v>351</v>
      </c>
      <c r="C221" t="e" cm="1">
        <f t="array" aca="1" ref="C221" ca="1">XGETVOLUME("200mm thick SS, REO: xxx, PT: xxx[1|N;3|L2]",0)</f>
        <v>#NAME?</v>
      </c>
      <c r="D221" t="s">
        <v>64</v>
      </c>
    </row>
    <row r="222" spans="1:4" x14ac:dyDescent="0.25">
      <c r="A222" t="s">
        <v>352</v>
      </c>
      <c r="B222" s="1" t="s">
        <v>353</v>
      </c>
      <c r="C222" t="e" cm="1">
        <f t="array" aca="1" ref="C222" ca="1">XGETVOLUME("200mm thick PT Slab, REO: 50, PT: 7[1|N;3|L2]",0)</f>
        <v>#NAME?</v>
      </c>
      <c r="D222" t="s">
        <v>64</v>
      </c>
    </row>
    <row r="223" spans="1:4" x14ac:dyDescent="0.25">
      <c r="A223" t="s">
        <v>354</v>
      </c>
      <c r="B223" s="1" t="s">
        <v>355</v>
      </c>
      <c r="C223" t="e" cm="1">
        <f t="array" aca="1" ref="C223" ca="1">XGETVOLUME("400mm thick PT Slab, REO: 50, PT: 7[1|N;3|L2]",0)</f>
        <v>#NAME?</v>
      </c>
      <c r="D223" t="s">
        <v>64</v>
      </c>
    </row>
    <row r="224" spans="1:4" x14ac:dyDescent="0.25">
      <c r="A224" t="s">
        <v>356</v>
      </c>
      <c r="B224" s="1" t="s">
        <v>357</v>
      </c>
      <c r="C224" t="e" cm="1">
        <f t="array" aca="1" ref="C224" ca="1">XGETVOLUME("40mm thick integral fall to 200mm thick suspended slab[1|N;3|L2]",0)</f>
        <v>#NAME?</v>
      </c>
      <c r="D224" t="s">
        <v>64</v>
      </c>
    </row>
    <row r="225" spans="1:4" x14ac:dyDescent="0.25">
      <c r="A225" t="s">
        <v>358</v>
      </c>
      <c r="B225" s="1" t="s">
        <v>359</v>
      </c>
      <c r="C225" t="e" cm="1">
        <f t="array" aca="1" ref="C225" ca="1">XGETVOLUME("40mm thick integral fall to 400mm thick PT slab[1|N;3|L2]",0)</f>
        <v>#NAME?</v>
      </c>
      <c r="D225" t="s">
        <v>64</v>
      </c>
    </row>
    <row r="226" spans="1:4" x14ac:dyDescent="0.25">
      <c r="A226" t="s">
        <v>360</v>
      </c>
      <c r="B226" s="1" t="s">
        <v>361</v>
      </c>
      <c r="C226" t="e" cm="1">
        <f t="array" aca="1" ref="C226" ca="1">XGETVOLUME("600mm slab fold, REO: XXX[1|N;3|L2]",0)</f>
        <v>#NAME?</v>
      </c>
      <c r="D226" t="s">
        <v>64</v>
      </c>
    </row>
    <row r="227" spans="1:4" x14ac:dyDescent="0.25">
      <c r="A227" t="s">
        <v>362</v>
      </c>
      <c r="B227" s="1" t="s">
        <v>363</v>
      </c>
      <c r="C227" t="e" cm="1">
        <f t="array" aca="1" ref="C227" ca="1">XGETAREA("Extra over labour for setdown[1|N;3|L2]",0)</f>
        <v>#NAME?</v>
      </c>
      <c r="D227" t="s">
        <v>364</v>
      </c>
    </row>
    <row r="228" spans="1:4" x14ac:dyDescent="0.25">
      <c r="B228" s="1" t="s">
        <v>111</v>
      </c>
      <c r="D228" t="s">
        <v>78</v>
      </c>
    </row>
    <row r="229" spans="1:4" x14ac:dyDescent="0.25">
      <c r="A229" t="s">
        <v>365</v>
      </c>
      <c r="B229" s="1" t="s">
        <v>351</v>
      </c>
      <c r="C229" t="e" cm="1">
        <f t="array" aca="1" ref="C229" ca="1">XGETVOLUME("200mm thick SS, REO: xxx, PT: xxx[1|N;3|L3]",0)</f>
        <v>#NAME?</v>
      </c>
      <c r="D229" t="s">
        <v>64</v>
      </c>
    </row>
    <row r="230" spans="1:4" x14ac:dyDescent="0.25">
      <c r="A230" t="s">
        <v>366</v>
      </c>
      <c r="B230" s="1" t="s">
        <v>353</v>
      </c>
      <c r="C230" t="e" cm="1">
        <f t="array" aca="1" ref="C230" ca="1">XGETVOLUME("200mm thick PT Slab, REO: 50, PT: 7[1|N;3|L3]",0)</f>
        <v>#NAME?</v>
      </c>
      <c r="D230" t="s">
        <v>64</v>
      </c>
    </row>
    <row r="231" spans="1:4" x14ac:dyDescent="0.25">
      <c r="A231" t="s">
        <v>367</v>
      </c>
      <c r="B231" s="1" t="s">
        <v>368</v>
      </c>
      <c r="C231" t="e" cm="1">
        <f t="array" aca="1" ref="C231" ca="1">XGETVOLUME("250mm thick PT Slab, REO: 50, PT: 7[1|N;3|L3]",0)</f>
        <v>#NAME?</v>
      </c>
      <c r="D231" t="s">
        <v>64</v>
      </c>
    </row>
    <row r="232" spans="1:4" x14ac:dyDescent="0.25">
      <c r="A232" t="s">
        <v>369</v>
      </c>
      <c r="B232" s="1" t="s">
        <v>355</v>
      </c>
      <c r="C232" t="e" cm="1">
        <f t="array" aca="1" ref="C232" ca="1">XGETVOLUME("400mm thick PT Slab, REO: 50, PT: 7[1|N;3|L3]",0)</f>
        <v>#NAME?</v>
      </c>
      <c r="D232" t="s">
        <v>64</v>
      </c>
    </row>
    <row r="233" spans="1:4" x14ac:dyDescent="0.25">
      <c r="A233" t="s">
        <v>370</v>
      </c>
      <c r="B233" s="1" t="s">
        <v>371</v>
      </c>
      <c r="C233" t="e" cm="1">
        <f t="array" aca="1" ref="C233" ca="1">XGETVOLUME("40mm thick integral fall to 250mm thick PT slab[1|N;3|L3]",0)</f>
        <v>#NAME?</v>
      </c>
      <c r="D233" t="s">
        <v>64</v>
      </c>
    </row>
    <row r="234" spans="1:4" x14ac:dyDescent="0.25">
      <c r="A234" t="s">
        <v>372</v>
      </c>
      <c r="B234" s="1" t="s">
        <v>373</v>
      </c>
      <c r="C234" t="e" cm="1">
        <f t="array" aca="1" ref="C234" ca="1">XGETVOLUME("40mm thick integral fall to 400mm thick PT slab[1|N;3|L3]",0)</f>
        <v>#NAME?</v>
      </c>
      <c r="D234" t="s">
        <v>64</v>
      </c>
    </row>
    <row r="235" spans="1:4" x14ac:dyDescent="0.25">
      <c r="A235" t="s">
        <v>374</v>
      </c>
      <c r="B235" s="1" t="s">
        <v>361</v>
      </c>
      <c r="C235" t="e" cm="1">
        <f t="array" aca="1" ref="C235" ca="1">XGETVOLUME("600mm slab fold, REO: XXX[1|N;3|L3]",0)</f>
        <v>#NAME?</v>
      </c>
      <c r="D235" t="s">
        <v>64</v>
      </c>
    </row>
    <row r="236" spans="1:4" x14ac:dyDescent="0.25">
      <c r="A236" t="s">
        <v>375</v>
      </c>
      <c r="B236" s="1" t="s">
        <v>363</v>
      </c>
      <c r="C236" t="e" cm="1">
        <f t="array" aca="1" ref="C236" ca="1">XGETAREA("Extra over labour for setdown[1|N;3|L3]",0)</f>
        <v>#NAME?</v>
      </c>
      <c r="D236" t="s">
        <v>364</v>
      </c>
    </row>
    <row r="237" spans="1:4" x14ac:dyDescent="0.25">
      <c r="B237" s="1" t="s">
        <v>114</v>
      </c>
      <c r="D237" t="s">
        <v>78</v>
      </c>
    </row>
    <row r="238" spans="1:4" x14ac:dyDescent="0.25">
      <c r="A238" t="s">
        <v>376</v>
      </c>
      <c r="B238" s="1" t="s">
        <v>351</v>
      </c>
      <c r="C238" t="e" cm="1">
        <f t="array" aca="1" ref="C238" ca="1">XGETVOLUME("200mm thick SS, REO: xxx, PT: xxx[1|N;3|L4]",0)</f>
        <v>#NAME?</v>
      </c>
      <c r="D238" t="s">
        <v>64</v>
      </c>
    </row>
    <row r="239" spans="1:4" x14ac:dyDescent="0.25">
      <c r="A239" t="s">
        <v>377</v>
      </c>
      <c r="B239" s="1" t="s">
        <v>353</v>
      </c>
      <c r="C239" t="e" cm="1">
        <f t="array" aca="1" ref="C239" ca="1">XGETVOLUME("200mm thick PT Slab, REO: 50, PT: 7[1|N;3|L4]",0)</f>
        <v>#NAME?</v>
      </c>
      <c r="D239" t="s">
        <v>64</v>
      </c>
    </row>
    <row r="240" spans="1:4" x14ac:dyDescent="0.25">
      <c r="A240" t="s">
        <v>378</v>
      </c>
      <c r="B240" s="1" t="s">
        <v>379</v>
      </c>
      <c r="C240" t="e" cm="1">
        <f t="array" aca="1" ref="C240" ca="1">XGETVOLUME("300mm thick PT Slab, REO: 50, PT: 7[1|N;3|L4]",0)</f>
        <v>#NAME?</v>
      </c>
      <c r="D240" t="s">
        <v>64</v>
      </c>
    </row>
    <row r="241" spans="1:4" x14ac:dyDescent="0.25">
      <c r="A241" t="s">
        <v>380</v>
      </c>
      <c r="B241" s="1" t="s">
        <v>355</v>
      </c>
      <c r="C241" t="e" cm="1">
        <f t="array" aca="1" ref="C241" ca="1">XGETVOLUME("400mm thick PT Slab, REO: 50, PT: 7[1|N;3|L4]",0)</f>
        <v>#NAME?</v>
      </c>
      <c r="D241" t="s">
        <v>64</v>
      </c>
    </row>
    <row r="242" spans="1:4" x14ac:dyDescent="0.25">
      <c r="A242" t="s">
        <v>381</v>
      </c>
      <c r="B242" s="1" t="s">
        <v>382</v>
      </c>
      <c r="C242" t="e" cm="1">
        <f t="array" aca="1" ref="C242" ca="1">XGETVOLUME("40mm thick integral fall to 300mm thick PT slab[1|N;3|L4]",0)</f>
        <v>#NAME?</v>
      </c>
      <c r="D242" t="s">
        <v>64</v>
      </c>
    </row>
    <row r="243" spans="1:4" x14ac:dyDescent="0.25">
      <c r="A243" t="s">
        <v>383</v>
      </c>
      <c r="B243" s="1" t="s">
        <v>361</v>
      </c>
      <c r="C243" t="e" cm="1">
        <f t="array" aca="1" ref="C243" ca="1">XGETVOLUME("600mm slab fold, REO: XXX[1|N;3|L4]",0)</f>
        <v>#NAME?</v>
      </c>
      <c r="D243" t="s">
        <v>64</v>
      </c>
    </row>
    <row r="244" spans="1:4" x14ac:dyDescent="0.25">
      <c r="A244" t="s">
        <v>384</v>
      </c>
      <c r="B244" s="1" t="s">
        <v>363</v>
      </c>
      <c r="C244" t="e" cm="1">
        <f t="array" aca="1" ref="C244" ca="1">XGETAREA("Extra over labour for setdown[1|N;3|L4]",0)</f>
        <v>#NAME?</v>
      </c>
      <c r="D244" t="s">
        <v>364</v>
      </c>
    </row>
    <row r="245" spans="1:4" x14ac:dyDescent="0.25">
      <c r="B245" s="1" t="s">
        <v>385</v>
      </c>
      <c r="D245" t="s">
        <v>78</v>
      </c>
    </row>
    <row r="246" spans="1:4" x14ac:dyDescent="0.25">
      <c r="A246" t="s">
        <v>386</v>
      </c>
      <c r="B246" s="1" t="s">
        <v>351</v>
      </c>
      <c r="C246" t="e" cm="1">
        <f t="array" aca="1" ref="C246" ca="1">XGETVOLUME("40mm thick integral fall to 200mm thick suspended slab[1|N;3|Roof]",0)</f>
        <v>#NAME?</v>
      </c>
      <c r="D246" t="s">
        <v>64</v>
      </c>
    </row>
    <row r="247" spans="1:4" x14ac:dyDescent="0.25">
      <c r="A247" t="s">
        <v>387</v>
      </c>
      <c r="B247" s="1" t="s">
        <v>357</v>
      </c>
      <c r="C247" t="e" cm="1">
        <f t="array" aca="1" ref="C247" ca="1">XGETVOLUME("40mm thick integral fall to 200mm thick suspended slab[1|N;3|Roof]",0)</f>
        <v>#NAME?</v>
      </c>
      <c r="D247" t="s">
        <v>64</v>
      </c>
    </row>
    <row r="248" spans="1:4" x14ac:dyDescent="0.25">
      <c r="B248" s="1" t="s">
        <v>388</v>
      </c>
      <c r="D248" t="s">
        <v>76</v>
      </c>
    </row>
    <row r="249" spans="1:4" x14ac:dyDescent="0.25">
      <c r="B249" s="1" t="s">
        <v>107</v>
      </c>
      <c r="D249" t="s">
        <v>78</v>
      </c>
    </row>
    <row r="250" spans="1:4" x14ac:dyDescent="0.25">
      <c r="A250" t="s">
        <v>389</v>
      </c>
      <c r="B250" s="1" t="s">
        <v>390</v>
      </c>
      <c r="C250" t="e" cm="1">
        <f t="array" aca="1" ref="C250" ca="1">XGETVOLUME("400 x 650mm PT Beam, REO: 50 PT Rate:7[1|N;3|L2]",0)</f>
        <v>#NAME?</v>
      </c>
      <c r="D250" t="s">
        <v>64</v>
      </c>
    </row>
    <row r="251" spans="1:4" x14ac:dyDescent="0.25">
      <c r="A251" t="s">
        <v>391</v>
      </c>
      <c r="B251" s="1" t="s">
        <v>392</v>
      </c>
      <c r="C251" t="e" cm="1">
        <f t="array" aca="1" ref="C251" ca="1">XGETVOLUME("900 x 450mm PT Beam, REO: 50 PT Rate:7[1|N;3|L2]",0)</f>
        <v>#NAME?</v>
      </c>
      <c r="D251" t="s">
        <v>64</v>
      </c>
    </row>
    <row r="252" spans="1:4" x14ac:dyDescent="0.25">
      <c r="A252" t="s">
        <v>393</v>
      </c>
      <c r="B252" s="1" t="s">
        <v>394</v>
      </c>
      <c r="C252" t="e" cm="1">
        <f t="array" aca="1" ref="C252" ca="1">XGETVOLUME("900 x 550mm PT Beam, REO: 50 PT Rate:7[1|N;3|L2]",0)</f>
        <v>#NAME?</v>
      </c>
      <c r="D252" t="s">
        <v>64</v>
      </c>
    </row>
    <row r="253" spans="1:4" x14ac:dyDescent="0.25">
      <c r="A253" t="s">
        <v>395</v>
      </c>
      <c r="B253" s="1" t="s">
        <v>396</v>
      </c>
      <c r="C253" t="e" cm="1">
        <f t="array" aca="1" ref="C253" ca="1">XGETVOLUME("900 x 850mm PT Beam, REO: 50 PT Rate:7[1|N;3|L2]",0)</f>
        <v>#NAME?</v>
      </c>
      <c r="D253" t="s">
        <v>64</v>
      </c>
    </row>
    <row r="254" spans="1:4" x14ac:dyDescent="0.25">
      <c r="A254" t="s">
        <v>397</v>
      </c>
      <c r="B254" s="1" t="s">
        <v>398</v>
      </c>
      <c r="C254" t="e" cm="1">
        <f t="array" aca="1" ref="C254" ca="1">XGETVOLUME("940 x 550mm PT Beam, REO: 50 PT Rate:7[1|N;3|L2]",0)</f>
        <v>#NAME?</v>
      </c>
      <c r="D254" t="s">
        <v>64</v>
      </c>
    </row>
    <row r="255" spans="1:4" x14ac:dyDescent="0.25">
      <c r="A255" t="s">
        <v>399</v>
      </c>
      <c r="B255" s="1" t="s">
        <v>400</v>
      </c>
      <c r="C255" t="e" cm="1">
        <f t="array" aca="1" ref="C255" ca="1">XGETVOLUME("1350 x 550mm PT Beam, REO: 50 PT Rate:7[1|N;3|L2]",0)</f>
        <v>#NAME?</v>
      </c>
      <c r="D255" t="s">
        <v>64</v>
      </c>
    </row>
    <row r="256" spans="1:4" x14ac:dyDescent="0.25">
      <c r="A256" t="s">
        <v>401</v>
      </c>
      <c r="B256" s="1" t="s">
        <v>402</v>
      </c>
      <c r="C256" t="e" cm="1">
        <f t="array" aca="1" ref="C256" ca="1">XGETVOLUME("1604 x 450mm PT Beam, REO: 50 PT Rate:7[1|N;3|L2]",0)</f>
        <v>#NAME?</v>
      </c>
      <c r="D256" t="s">
        <v>64</v>
      </c>
    </row>
    <row r="257" spans="1:4" x14ac:dyDescent="0.25">
      <c r="A257" t="s">
        <v>403</v>
      </c>
      <c r="B257" s="1" t="s">
        <v>404</v>
      </c>
      <c r="C257" t="e" cm="1">
        <f t="array" aca="1" ref="C257" ca="1">XGETVOLUME("1800 x 450mm PT Beam, REO: 50 PT Rate:7[1|N;3|L2]",0)</f>
        <v>#NAME?</v>
      </c>
      <c r="D257" t="s">
        <v>64</v>
      </c>
    </row>
    <row r="258" spans="1:4" x14ac:dyDescent="0.25">
      <c r="A258" t="s">
        <v>405</v>
      </c>
      <c r="B258" s="1" t="s">
        <v>406</v>
      </c>
      <c r="C258" t="e" cm="1">
        <f t="array" aca="1" ref="C258" ca="1">XGETVOLUME("1800 x 550mm PT Beam, REO: 50 PT Rate:7[1|N;3|L2]",0)</f>
        <v>#NAME?</v>
      </c>
      <c r="D258" t="s">
        <v>64</v>
      </c>
    </row>
    <row r="259" spans="1:4" x14ac:dyDescent="0.25">
      <c r="A259" t="s">
        <v>407</v>
      </c>
      <c r="B259" s="1" t="s">
        <v>408</v>
      </c>
      <c r="C259" t="e" cm="1">
        <f t="array" aca="1" ref="C259" ca="1">XGETVOLUME("1800 x 850mm PT Beam, REO: 50 PT Rate:7[1|N;3|L2]",0)</f>
        <v>#NAME?</v>
      </c>
      <c r="D259" t="s">
        <v>64</v>
      </c>
    </row>
    <row r="260" spans="1:4" x14ac:dyDescent="0.25">
      <c r="A260" t="s">
        <v>409</v>
      </c>
      <c r="B260" s="1" t="s">
        <v>410</v>
      </c>
      <c r="C260" t="e" cm="1">
        <f t="array" aca="1" ref="C260" ca="1">XGETVOLUME("2145 x 450mm PT Beam, REO: 50 PT Rate:7[1|N;3|L2]",0)</f>
        <v>#NAME?</v>
      </c>
      <c r="D260" t="s">
        <v>64</v>
      </c>
    </row>
    <row r="261" spans="1:4" x14ac:dyDescent="0.25">
      <c r="A261" t="s">
        <v>411</v>
      </c>
      <c r="B261" s="1" t="s">
        <v>412</v>
      </c>
      <c r="C261" t="e" cm="1">
        <f t="array" aca="1" ref="C261" ca="1">XGETVOLUME("2145 x 850mm PT Beam, REO: 50 PT Rate:7[1|N;3|L2]",0)</f>
        <v>#NAME?</v>
      </c>
      <c r="D261" t="s">
        <v>64</v>
      </c>
    </row>
    <row r="262" spans="1:4" x14ac:dyDescent="0.25">
      <c r="A262" t="s">
        <v>413</v>
      </c>
      <c r="B262" s="1" t="s">
        <v>414</v>
      </c>
      <c r="C262" t="e" cm="1">
        <f t="array" aca="1" ref="C262" ca="1">XGETVOLUME("2350 x 450mm PT Beam, REO: 50 PT Rate:7[1|N;3|L2]",0)</f>
        <v>#NAME?</v>
      </c>
      <c r="D262" t="s">
        <v>64</v>
      </c>
    </row>
    <row r="263" spans="1:4" x14ac:dyDescent="0.25">
      <c r="A263" t="s">
        <v>415</v>
      </c>
      <c r="B263" s="1" t="s">
        <v>416</v>
      </c>
      <c r="C263" t="e" cm="1">
        <f t="array" aca="1" ref="C263" ca="1">XGETVOLUME("2376 x 450mm PT Beam, REO: 50 PT Rate:7[1|N;3|L2]",0)</f>
        <v>#NAME?</v>
      </c>
      <c r="D263" t="s">
        <v>64</v>
      </c>
    </row>
    <row r="264" spans="1:4" x14ac:dyDescent="0.25">
      <c r="A264" t="s">
        <v>417</v>
      </c>
      <c r="B264" s="1" t="s">
        <v>418</v>
      </c>
      <c r="C264" t="e" cm="1">
        <f t="array" aca="1" ref="C264" ca="1">XGETVOLUME("2400 x 450mm PT Beam, REO: 50 PT Rate:7[1|N;3|L2]",0)</f>
        <v>#NAME?</v>
      </c>
      <c r="D264" t="s">
        <v>64</v>
      </c>
    </row>
    <row r="265" spans="1:4" x14ac:dyDescent="0.25">
      <c r="A265" t="s">
        <v>419</v>
      </c>
      <c r="B265" s="1" t="s">
        <v>420</v>
      </c>
      <c r="C265" t="e" cm="1">
        <f t="array" aca="1" ref="C265" ca="1">XGETVOLUME("2400 x 550mm PT Beam, REO: 50 PT Rate:7[1|N;3|L2]",0)</f>
        <v>#NAME?</v>
      </c>
      <c r="D265" t="s">
        <v>64</v>
      </c>
    </row>
    <row r="266" spans="1:4" x14ac:dyDescent="0.25">
      <c r="B266" s="1" t="s">
        <v>111</v>
      </c>
      <c r="D266" t="s">
        <v>78</v>
      </c>
    </row>
    <row r="267" spans="1:4" x14ac:dyDescent="0.25">
      <c r="A267" t="s">
        <v>421</v>
      </c>
      <c r="B267" s="1" t="s">
        <v>392</v>
      </c>
      <c r="C267" t="e" cm="1">
        <f t="array" aca="1" ref="C267" ca="1">XGETVOLUME("900 x 450mm PT Beam, REO: 50 PT Rate:7[1|N;3|L3]",0)</f>
        <v>#NAME?</v>
      </c>
      <c r="D267" t="s">
        <v>64</v>
      </c>
    </row>
    <row r="268" spans="1:4" x14ac:dyDescent="0.25">
      <c r="A268" t="s">
        <v>422</v>
      </c>
      <c r="B268" s="1" t="s">
        <v>394</v>
      </c>
      <c r="C268" t="e" cm="1">
        <f t="array" aca="1" ref="C268" ca="1">XGETVOLUME("900 x 550mm PT Beam, REO: 50 PT Rate:7[1|N;3|L3]",0)</f>
        <v>#NAME?</v>
      </c>
      <c r="D268" t="s">
        <v>64</v>
      </c>
    </row>
    <row r="269" spans="1:4" x14ac:dyDescent="0.25">
      <c r="A269" t="s">
        <v>423</v>
      </c>
      <c r="B269" s="1" t="s">
        <v>424</v>
      </c>
      <c r="C269" t="e" cm="1">
        <f t="array" aca="1" ref="C269" ca="1">XGETVOLUME("940 x 450mm PT Beam, REO: 50 PT Rate:7[1|N;3|L3]",0)</f>
        <v>#NAME?</v>
      </c>
      <c r="D269" t="s">
        <v>64</v>
      </c>
    </row>
    <row r="270" spans="1:4" x14ac:dyDescent="0.25">
      <c r="A270" t="s">
        <v>425</v>
      </c>
      <c r="B270" s="1" t="s">
        <v>426</v>
      </c>
      <c r="C270" t="e" cm="1">
        <f t="array" aca="1" ref="C270" ca="1">XGETVOLUME("1090 x 450mm PT Beam, REO: 50 PT Rate:7[1|N;3|L3]",0)</f>
        <v>#NAME?</v>
      </c>
      <c r="D270" t="s">
        <v>64</v>
      </c>
    </row>
    <row r="271" spans="1:4" x14ac:dyDescent="0.25">
      <c r="A271" t="s">
        <v>427</v>
      </c>
      <c r="B271" s="1" t="s">
        <v>404</v>
      </c>
      <c r="C271" t="e" cm="1">
        <f t="array" aca="1" ref="C271" ca="1">XGETVOLUME("1800 x 450mm PT Beam, REO: 50 PT Rate:7[1|N;3|L3]",0)</f>
        <v>#NAME?</v>
      </c>
      <c r="D271" t="s">
        <v>64</v>
      </c>
    </row>
    <row r="272" spans="1:4" x14ac:dyDescent="0.25">
      <c r="A272" t="s">
        <v>428</v>
      </c>
      <c r="B272" s="1" t="s">
        <v>406</v>
      </c>
      <c r="C272" t="e" cm="1">
        <f t="array" aca="1" ref="C272" ca="1">XGETVOLUME("1800 x 550mm PT Beam, REO: 50 PT Rate:7[1|N;3|L3]",0)</f>
        <v>#NAME?</v>
      </c>
      <c r="D272" t="s">
        <v>64</v>
      </c>
    </row>
    <row r="273" spans="1:4" x14ac:dyDescent="0.25">
      <c r="A273" t="s">
        <v>429</v>
      </c>
      <c r="B273" s="1" t="s">
        <v>430</v>
      </c>
      <c r="C273" t="e" cm="1">
        <f t="array" aca="1" ref="C273" ca="1">XGETVOLUME("1810 x 450mm PT Beam, REO: 50 PT Rate:7[1|N;3|L3]",0)</f>
        <v>#NAME?</v>
      </c>
      <c r="D273" t="s">
        <v>64</v>
      </c>
    </row>
    <row r="274" spans="1:4" x14ac:dyDescent="0.25">
      <c r="A274" t="s">
        <v>431</v>
      </c>
      <c r="B274" s="1" t="s">
        <v>410</v>
      </c>
      <c r="C274" t="e" cm="1">
        <f t="array" aca="1" ref="C274" ca="1">XGETVOLUME("2145 x 450mm PT Beam, REO: 50 PT Rate:7[1|N;3|L3]",0)</f>
        <v>#NAME?</v>
      </c>
      <c r="D274" t="s">
        <v>64</v>
      </c>
    </row>
    <row r="275" spans="1:4" x14ac:dyDescent="0.25">
      <c r="A275" t="s">
        <v>432</v>
      </c>
      <c r="B275" s="1" t="s">
        <v>414</v>
      </c>
      <c r="C275" t="e" cm="1">
        <f t="array" aca="1" ref="C275" ca="1">XGETVOLUME("2350 x 450mm PT Beam, REO: 50 PT Rate:7[1|N;3|L3]",0)</f>
        <v>#NAME?</v>
      </c>
      <c r="D275" t="s">
        <v>64</v>
      </c>
    </row>
    <row r="276" spans="1:4" x14ac:dyDescent="0.25">
      <c r="A276" t="s">
        <v>433</v>
      </c>
      <c r="B276" s="1" t="s">
        <v>416</v>
      </c>
      <c r="C276" t="e" cm="1">
        <f t="array" aca="1" ref="C276" ca="1">XGETVOLUME("2376 x 450mm PT Beam, REO: 50 PT Rate:7[1|N;3|L3]",0)</f>
        <v>#NAME?</v>
      </c>
      <c r="D276" t="s">
        <v>64</v>
      </c>
    </row>
    <row r="277" spans="1:4" x14ac:dyDescent="0.25">
      <c r="B277" s="1" t="s">
        <v>114</v>
      </c>
      <c r="D277" t="s">
        <v>78</v>
      </c>
    </row>
    <row r="278" spans="1:4" x14ac:dyDescent="0.25">
      <c r="A278" t="s">
        <v>434</v>
      </c>
      <c r="B278" s="1" t="s">
        <v>392</v>
      </c>
      <c r="C278" t="e" cm="1">
        <f t="array" aca="1" ref="C278" ca="1">XGETVOLUME("900 x 450mm PT Beam, REO: 50 PT Rate:7[1|N;3|L4]",0)</f>
        <v>#NAME?</v>
      </c>
      <c r="D278" t="s">
        <v>64</v>
      </c>
    </row>
    <row r="279" spans="1:4" x14ac:dyDescent="0.25">
      <c r="A279" t="s">
        <v>435</v>
      </c>
      <c r="B279" s="1" t="s">
        <v>394</v>
      </c>
      <c r="C279" t="e" cm="1">
        <f t="array" aca="1" ref="C279" ca="1">XGETVOLUME("900 x 550mm PT Beam, REO: 50 PT Rate:7[1|N;3|L4]",0)</f>
        <v>#NAME?</v>
      </c>
      <c r="D279" t="s">
        <v>64</v>
      </c>
    </row>
    <row r="280" spans="1:4" x14ac:dyDescent="0.25">
      <c r="A280" t="s">
        <v>436</v>
      </c>
      <c r="B280" s="1" t="s">
        <v>424</v>
      </c>
      <c r="C280" t="e" cm="1">
        <f t="array" aca="1" ref="C280" ca="1">XGETVOLUME("940 x 450mm PT Beam, REO: 50 PT Rate:7[1|N;3|L4]",0)</f>
        <v>#NAME?</v>
      </c>
      <c r="D280" t="s">
        <v>64</v>
      </c>
    </row>
    <row r="281" spans="1:4" x14ac:dyDescent="0.25">
      <c r="A281" t="s">
        <v>437</v>
      </c>
      <c r="B281" s="1" t="s">
        <v>438</v>
      </c>
      <c r="C281" t="e" cm="1">
        <f t="array" aca="1" ref="C281" ca="1">XGETVOLUME("1128 x 550mm PT Beam, REO: 50 PT Rate:7[1|N;3|L4]",0)</f>
        <v>#NAME?</v>
      </c>
      <c r="D281" t="s">
        <v>64</v>
      </c>
    </row>
    <row r="282" spans="1:4" x14ac:dyDescent="0.25">
      <c r="A282" t="s">
        <v>439</v>
      </c>
      <c r="B282" s="1" t="s">
        <v>404</v>
      </c>
      <c r="C282" t="e" cm="1">
        <f t="array" aca="1" ref="C282" ca="1">XGETVOLUME("1800 x 450mm PT Beam, REO: 50 PT Rate:7[1|N;3|L4]",0)</f>
        <v>#NAME?</v>
      </c>
      <c r="D282" t="s">
        <v>64</v>
      </c>
    </row>
    <row r="283" spans="1:4" x14ac:dyDescent="0.25">
      <c r="A283" t="s">
        <v>440</v>
      </c>
      <c r="B283" s="1" t="s">
        <v>406</v>
      </c>
      <c r="C283" t="e" cm="1">
        <f t="array" aca="1" ref="C283" ca="1">XGETVOLUME("1800 x 550mm PT Beam, REO: 50 PT Rate:7[1|N;3|L4]",0)</f>
        <v>#NAME?</v>
      </c>
      <c r="D283" t="s">
        <v>64</v>
      </c>
    </row>
    <row r="284" spans="1:4" x14ac:dyDescent="0.25">
      <c r="A284" t="s">
        <v>441</v>
      </c>
      <c r="B284" s="1" t="s">
        <v>442</v>
      </c>
      <c r="C284" t="e" cm="1">
        <f t="array" aca="1" ref="C284" ca="1">XGETVOLUME("1800 x 600mm PT Beam, REO: 50 PT Rate:7[1|N;3|L4]",0)</f>
        <v>#NAME?</v>
      </c>
      <c r="D284" t="s">
        <v>64</v>
      </c>
    </row>
    <row r="285" spans="1:4" x14ac:dyDescent="0.25">
      <c r="A285" t="s">
        <v>443</v>
      </c>
      <c r="B285" s="1" t="s">
        <v>444</v>
      </c>
      <c r="C285" t="e" cm="1">
        <f t="array" aca="1" ref="C285" ca="1">XGETVOLUME("2000 x 450mm PT Beam, REO: 50 PT Rate:7[1|N;3|L4]",0)</f>
        <v>#NAME?</v>
      </c>
      <c r="D285" t="s">
        <v>64</v>
      </c>
    </row>
    <row r="286" spans="1:4" x14ac:dyDescent="0.25">
      <c r="A286" t="s">
        <v>445</v>
      </c>
      <c r="B286" s="1" t="s">
        <v>410</v>
      </c>
      <c r="C286" t="e" cm="1">
        <f t="array" aca="1" ref="C286" ca="1">XGETVOLUME("2145 x 450mm PT Beam, REO: 50 PT Rate:7[1|N;3|L4]",0)</f>
        <v>#NAME?</v>
      </c>
      <c r="D286" t="s">
        <v>64</v>
      </c>
    </row>
    <row r="287" spans="1:4" x14ac:dyDescent="0.25">
      <c r="A287" t="s">
        <v>446</v>
      </c>
      <c r="B287" s="1" t="s">
        <v>414</v>
      </c>
      <c r="C287" t="e" cm="1">
        <f t="array" aca="1" ref="C287" ca="1">XGETVOLUME("2350 x 450mm PT Beam, REO: 50 PT Rate:7[1|N;3|L4]",0)</f>
        <v>#NAME?</v>
      </c>
      <c r="D287" t="s">
        <v>64</v>
      </c>
    </row>
    <row r="288" spans="1:4" x14ac:dyDescent="0.25">
      <c r="A288" t="s">
        <v>447</v>
      </c>
      <c r="B288" s="1" t="s">
        <v>416</v>
      </c>
      <c r="C288" t="e" cm="1">
        <f t="array" aca="1" ref="C288" ca="1">XGETVOLUME("2376 x 450mm PT Beam, REO: 50 PT Rate:7[1|N;3|L4]",0)</f>
        <v>#NAME?</v>
      </c>
      <c r="D288" t="s">
        <v>64</v>
      </c>
    </row>
    <row r="289" spans="1:4" x14ac:dyDescent="0.25">
      <c r="B289" s="1" t="s">
        <v>448</v>
      </c>
      <c r="D289" t="s">
        <v>14</v>
      </c>
    </row>
    <row r="290" spans="1:4" ht="45" x14ac:dyDescent="0.25">
      <c r="A290" t="s">
        <v>449</v>
      </c>
      <c r="B290" s="1" t="s">
        <v>450</v>
      </c>
      <c r="C290" t="e" cm="1">
        <f t="array" aca="1" ref="C290" ca="1">XSUMQTY(0)</f>
        <v>#NAME?</v>
      </c>
      <c r="D290" t="s">
        <v>64</v>
      </c>
    </row>
    <row r="291" spans="1:4" ht="45" x14ac:dyDescent="0.25">
      <c r="A291" t="s">
        <v>451</v>
      </c>
      <c r="B291" s="1" t="s">
        <v>452</v>
      </c>
      <c r="C291" t="e" cm="1">
        <f t="array" aca="1" ref="C291" ca="1">XSUMQTY(0)</f>
        <v>#NAME?</v>
      </c>
      <c r="D291" t="s">
        <v>64</v>
      </c>
    </row>
    <row r="292" spans="1:4" ht="45" x14ac:dyDescent="0.25">
      <c r="A292" t="s">
        <v>453</v>
      </c>
      <c r="B292" s="1" t="s">
        <v>454</v>
      </c>
      <c r="C292" t="e" cm="1">
        <f t="array" aca="1" ref="C292" ca="1">XSUMQTY(0)</f>
        <v>#NAME?</v>
      </c>
      <c r="D292" t="s">
        <v>64</v>
      </c>
    </row>
    <row r="293" spans="1:4" x14ac:dyDescent="0.25">
      <c r="B293" s="1" t="s">
        <v>455</v>
      </c>
      <c r="D293" t="s">
        <v>14</v>
      </c>
    </row>
    <row r="294" spans="1:4" x14ac:dyDescent="0.25">
      <c r="B294" s="1" t="s">
        <v>456</v>
      </c>
      <c r="D294" t="s">
        <v>76</v>
      </c>
    </row>
    <row r="295" spans="1:4" x14ac:dyDescent="0.25">
      <c r="A295" t="s">
        <v>457</v>
      </c>
      <c r="B295" s="1" t="s">
        <v>458</v>
      </c>
      <c r="C295" t="e" cm="1">
        <f t="array" aca="1" ref="C295" ca="1">XSUMQTY(0)</f>
        <v>#NAME?</v>
      </c>
      <c r="D295" t="s">
        <v>364</v>
      </c>
    </row>
    <row r="296" spans="1:4" x14ac:dyDescent="0.25">
      <c r="A296" t="s">
        <v>459</v>
      </c>
      <c r="B296" s="1" t="s">
        <v>460</v>
      </c>
      <c r="C296" t="e" cm="1">
        <f t="array" aca="1" ref="C296" ca="1">XSUMQTY(0)</f>
        <v>#NAME?</v>
      </c>
      <c r="D296" t="s">
        <v>364</v>
      </c>
    </row>
    <row r="297" spans="1:4" x14ac:dyDescent="0.25">
      <c r="A297" t="s">
        <v>461</v>
      </c>
      <c r="B297" s="1" t="s">
        <v>462</v>
      </c>
      <c r="C297" t="e" cm="1">
        <f t="array" aca="1" ref="C297" ca="1">XSUMQTY(0)</f>
        <v>#NAME?</v>
      </c>
      <c r="D297" t="s">
        <v>364</v>
      </c>
    </row>
    <row r="298" spans="1:4" x14ac:dyDescent="0.25">
      <c r="B298" s="1" t="s">
        <v>463</v>
      </c>
      <c r="D298" t="s">
        <v>76</v>
      </c>
    </row>
    <row r="299" spans="1:4" x14ac:dyDescent="0.25">
      <c r="A299" t="s">
        <v>464</v>
      </c>
      <c r="B299" s="1" t="s">
        <v>465</v>
      </c>
      <c r="C299" t="e" cm="1">
        <f t="array" aca="1" ref="C299" ca="1">XSUMQTY(0)</f>
        <v>#NAME?</v>
      </c>
      <c r="D299" t="s">
        <v>364</v>
      </c>
    </row>
    <row r="300" spans="1:4" x14ac:dyDescent="0.25">
      <c r="A300" t="s">
        <v>466</v>
      </c>
      <c r="B300" s="1" t="s">
        <v>467</v>
      </c>
      <c r="C300" t="e" cm="1">
        <f t="array" aca="1" ref="C300" ca="1">XSUMQTY(0)</f>
        <v>#NAME?</v>
      </c>
      <c r="D300" t="s">
        <v>364</v>
      </c>
    </row>
    <row r="301" spans="1:4" x14ac:dyDescent="0.25">
      <c r="A301" t="s">
        <v>468</v>
      </c>
      <c r="B301" s="1" t="s">
        <v>469</v>
      </c>
      <c r="C301" t="e" cm="1">
        <f t="array" aca="1" ref="C301" ca="1">XSUMQTY(0)</f>
        <v>#NAME?</v>
      </c>
      <c r="D301" t="s">
        <v>364</v>
      </c>
    </row>
    <row r="302" spans="1:4" x14ac:dyDescent="0.25">
      <c r="B302" s="1" t="s">
        <v>470</v>
      </c>
      <c r="D302" t="s">
        <v>78</v>
      </c>
    </row>
    <row r="303" spans="1:4" x14ac:dyDescent="0.25">
      <c r="A303" t="s">
        <v>471</v>
      </c>
      <c r="B303" s="1" t="s">
        <v>472</v>
      </c>
      <c r="C303" t="e" cm="1">
        <f t="array" aca="1" ref="C303" ca="1">XSUMQTY(0)</f>
        <v>#NAME?</v>
      </c>
      <c r="D303" t="s">
        <v>473</v>
      </c>
    </row>
    <row r="304" spans="1:4" x14ac:dyDescent="0.25">
      <c r="A304" t="s">
        <v>474</v>
      </c>
      <c r="B304" s="1" t="s">
        <v>475</v>
      </c>
      <c r="C304" t="e" cm="1">
        <f t="array" aca="1" ref="C304" ca="1">XSUMQTY(0)</f>
        <v>#NAME?</v>
      </c>
      <c r="D304" t="s">
        <v>364</v>
      </c>
    </row>
    <row r="305" spans="1:4" x14ac:dyDescent="0.25">
      <c r="B305" s="1" t="s">
        <v>476</v>
      </c>
      <c r="D305" t="s">
        <v>78</v>
      </c>
    </row>
    <row r="306" spans="1:4" x14ac:dyDescent="0.25">
      <c r="A306" t="s">
        <v>477</v>
      </c>
      <c r="B306" s="1" t="s">
        <v>472</v>
      </c>
      <c r="C306" t="e" cm="1">
        <f t="array" aca="1" ref="C306" ca="1">XSUMQTY(0)</f>
        <v>#NAME?</v>
      </c>
      <c r="D306" t="s">
        <v>473</v>
      </c>
    </row>
    <row r="307" spans="1:4" x14ac:dyDescent="0.25">
      <c r="A307" t="s">
        <v>478</v>
      </c>
      <c r="B307" s="1" t="s">
        <v>475</v>
      </c>
      <c r="C307" t="e" cm="1">
        <f t="array" aca="1" ref="C307" ca="1">XSUMQTY(0)</f>
        <v>#NAME?</v>
      </c>
      <c r="D307" t="s">
        <v>364</v>
      </c>
    </row>
    <row r="308" spans="1:4" x14ac:dyDescent="0.25">
      <c r="B308" s="1" t="s">
        <v>479</v>
      </c>
      <c r="D308" t="s">
        <v>76</v>
      </c>
    </row>
    <row r="309" spans="1:4" ht="30" x14ac:dyDescent="0.25">
      <c r="A309" t="s">
        <v>480</v>
      </c>
      <c r="B309" s="1" t="s">
        <v>481</v>
      </c>
      <c r="C309" t="e" cm="1">
        <f t="array" aca="1" ref="C309" ca="1">XSUMQTY(0)</f>
        <v>#NAME?</v>
      </c>
      <c r="D309" t="s">
        <v>364</v>
      </c>
    </row>
    <row r="310" spans="1:4" x14ac:dyDescent="0.25">
      <c r="A310" t="s">
        <v>482</v>
      </c>
      <c r="B310" s="1" t="s">
        <v>483</v>
      </c>
      <c r="C310" t="e" cm="1">
        <f t="array" aca="1" ref="C310" ca="1">XSUMQTY(0)</f>
        <v>#NAME?</v>
      </c>
      <c r="D310" t="s">
        <v>364</v>
      </c>
    </row>
    <row r="311" spans="1:4" x14ac:dyDescent="0.25">
      <c r="A311" t="s">
        <v>484</v>
      </c>
      <c r="B311" s="1" t="s">
        <v>485</v>
      </c>
      <c r="C311" t="e" cm="1">
        <f t="array" aca="1" ref="C311" ca="1">XSUMQTY(0)</f>
        <v>#NAME?</v>
      </c>
      <c r="D311" t="s">
        <v>473</v>
      </c>
    </row>
    <row r="312" spans="1:4" x14ac:dyDescent="0.25">
      <c r="A312" t="s">
        <v>486</v>
      </c>
      <c r="B312" s="1" t="s">
        <v>487</v>
      </c>
      <c r="C312" t="e" cm="1">
        <f t="array" aca="1" ref="C312" ca="1">XSUMQTY(0)</f>
        <v>#NAME?</v>
      </c>
      <c r="D312" t="s">
        <v>364</v>
      </c>
    </row>
    <row r="313" spans="1:4" x14ac:dyDescent="0.25">
      <c r="B313" s="1" t="s">
        <v>488</v>
      </c>
      <c r="D313" t="s">
        <v>14</v>
      </c>
    </row>
    <row r="314" spans="1:4" ht="30" x14ac:dyDescent="0.25">
      <c r="A314" t="s">
        <v>489</v>
      </c>
      <c r="B314" s="1" t="s">
        <v>490</v>
      </c>
      <c r="C314" t="e" cm="1">
        <f t="array" aca="1" ref="C314" ca="1">XGETLENGTH("EJ - Expansion Joint[1|N]",0)</f>
        <v>#NAME?</v>
      </c>
      <c r="D314" t="s">
        <v>473</v>
      </c>
    </row>
    <row r="315" spans="1:4" x14ac:dyDescent="0.25">
      <c r="A315" t="s">
        <v>491</v>
      </c>
      <c r="B315" s="1" t="s">
        <v>492</v>
      </c>
      <c r="C315" t="e" cm="1">
        <f t="array" aca="1" ref="C315" ca="1">XSUMQTY(0)</f>
        <v>#NAME?</v>
      </c>
      <c r="D315" t="s">
        <v>493</v>
      </c>
    </row>
    <row r="316" spans="1:4" x14ac:dyDescent="0.25">
      <c r="A316" t="s">
        <v>494</v>
      </c>
      <c r="B316" s="1" t="s">
        <v>495</v>
      </c>
      <c r="C316" t="e" cm="1">
        <f t="array" aca="1" ref="C316" ca="1">XSUMQTY(0)</f>
        <v>#NAME?</v>
      </c>
      <c r="D316" t="s">
        <v>473</v>
      </c>
    </row>
    <row r="317" spans="1:4" x14ac:dyDescent="0.25">
      <c r="B317" s="1" t="s">
        <v>496</v>
      </c>
      <c r="D317" t="s">
        <v>14</v>
      </c>
    </row>
    <row r="318" spans="1:4" x14ac:dyDescent="0.25">
      <c r="A318" t="s">
        <v>497</v>
      </c>
      <c r="B318" s="1" t="s">
        <v>498</v>
      </c>
      <c r="C318" t="e" cm="1">
        <f t="array" aca="1" ref="C318" ca="1">XSUMQTY(0)</f>
        <v>#NAME?</v>
      </c>
      <c r="D318" t="s">
        <v>364</v>
      </c>
    </row>
    <row r="319" spans="1:4" ht="30" x14ac:dyDescent="0.25">
      <c r="A319" t="s">
        <v>499</v>
      </c>
      <c r="B319" s="1" t="s">
        <v>500</v>
      </c>
      <c r="C319" t="e" cm="1">
        <f t="array" aca="1" ref="C319" ca="1">XSUMQTY(0)</f>
        <v>#NAME?</v>
      </c>
      <c r="D319" t="s">
        <v>364</v>
      </c>
    </row>
    <row r="320" spans="1:4" x14ac:dyDescent="0.25">
      <c r="B320" s="1" t="s">
        <v>501</v>
      </c>
      <c r="D320" t="s">
        <v>1</v>
      </c>
    </row>
    <row r="321" spans="1:4" x14ac:dyDescent="0.25">
      <c r="B321" s="1" t="s">
        <v>74</v>
      </c>
      <c r="D321" t="s">
        <v>14</v>
      </c>
    </row>
    <row r="322" spans="1:4" x14ac:dyDescent="0.25">
      <c r="B322" s="1" t="s">
        <v>75</v>
      </c>
      <c r="D322" t="s">
        <v>76</v>
      </c>
    </row>
    <row r="323" spans="1:4" x14ac:dyDescent="0.25">
      <c r="B323" s="1" t="s">
        <v>502</v>
      </c>
      <c r="D323" t="s">
        <v>78</v>
      </c>
    </row>
    <row r="324" spans="1:4" x14ac:dyDescent="0.25">
      <c r="A324" t="s">
        <v>503</v>
      </c>
      <c r="B324" s="1" t="s">
        <v>80</v>
      </c>
      <c r="C324" t="e" cm="1">
        <f t="array" aca="1" ref="C324" ca="1">XGETVOLUME("PC1 - 3600 x 1200 x 1200mm deep pile cap[1|S;3|F;6|50MPa]",0)</f>
        <v>#NAME?</v>
      </c>
      <c r="D324" t="s">
        <v>64</v>
      </c>
    </row>
    <row r="325" spans="1:4" x14ac:dyDescent="0.25">
      <c r="A325" t="s">
        <v>504</v>
      </c>
      <c r="B325" s="1" t="s">
        <v>82</v>
      </c>
      <c r="C325" t="e" cm="1">
        <f t="array" aca="1" ref="C325" ca="1">XGETVOLUME("PC2 - 3600 x 1200 x 1400mm deep pile cap[1|S;3|F;6|50MPa]",0)</f>
        <v>#NAME?</v>
      </c>
      <c r="D325" t="s">
        <v>64</v>
      </c>
    </row>
    <row r="326" spans="1:4" x14ac:dyDescent="0.25">
      <c r="B326" s="1" t="s">
        <v>773</v>
      </c>
      <c r="D326" t="s">
        <v>76</v>
      </c>
    </row>
    <row r="327" spans="1:4" x14ac:dyDescent="0.25">
      <c r="B327" s="1" t="s">
        <v>502</v>
      </c>
      <c r="D327" t="s">
        <v>78</v>
      </c>
    </row>
    <row r="328" spans="1:4" x14ac:dyDescent="0.25">
      <c r="A328" t="s">
        <v>505</v>
      </c>
      <c r="B328" s="1" t="s">
        <v>775</v>
      </c>
      <c r="C328" t="e" cm="1">
        <f t="array" aca="1" ref="C328" ca="1">XGETVOLUME("FB-A 600 x 600mm Ground beam, REO: XXX[1|S;3|F]",0)</f>
        <v>#NAME?</v>
      </c>
      <c r="D328" t="s">
        <v>64</v>
      </c>
    </row>
    <row r="329" spans="1:4" x14ac:dyDescent="0.25">
      <c r="A329" t="s">
        <v>506</v>
      </c>
      <c r="B329" s="1" t="s">
        <v>776</v>
      </c>
      <c r="C329" t="e" cm="1">
        <f t="array" aca="1" ref="C329" ca="1">XGETVOLUME("FB-B 900 x 600mm Ground beam, REO: XXX[1|S;3|F]",0)</f>
        <v>#NAME?</v>
      </c>
      <c r="D329" t="s">
        <v>64</v>
      </c>
    </row>
    <row r="330" spans="1:4" x14ac:dyDescent="0.25">
      <c r="A330" t="s">
        <v>507</v>
      </c>
      <c r="B330" s="1" t="s">
        <v>777</v>
      </c>
      <c r="C330" t="e" cm="1">
        <f t="array" aca="1" ref="C330" ca="1">XGETVOLUME("FB-C 1200 x 600mm Ground beam, REO: XXX[1|S;3|F]",0)</f>
        <v>#NAME?</v>
      </c>
      <c r="D330" t="s">
        <v>64</v>
      </c>
    </row>
    <row r="331" spans="1:4" x14ac:dyDescent="0.25">
      <c r="A331" t="s">
        <v>508</v>
      </c>
      <c r="B331" s="1" t="s">
        <v>780</v>
      </c>
      <c r="C331" t="e" cm="1">
        <f t="array" aca="1" ref="C331" ca="1">XGETVOLUME("FB-D 450 x 600mm Ground beam, REO: XXX[1|S;3|F]",0)</f>
        <v>#NAME?</v>
      </c>
      <c r="D331" t="s">
        <v>64</v>
      </c>
    </row>
    <row r="332" spans="1:4" x14ac:dyDescent="0.25">
      <c r="B332" s="1" t="s">
        <v>92</v>
      </c>
      <c r="D332" t="s">
        <v>76</v>
      </c>
    </row>
    <row r="333" spans="1:4" x14ac:dyDescent="0.25">
      <c r="B333" s="1" t="s">
        <v>502</v>
      </c>
      <c r="D333" t="s">
        <v>78</v>
      </c>
    </row>
    <row r="334" spans="1:4" x14ac:dyDescent="0.25">
      <c r="A334" t="s">
        <v>509</v>
      </c>
      <c r="B334" s="1" t="s">
        <v>94</v>
      </c>
      <c r="C334" t="e" cm="1">
        <f t="array" aca="1" ref="C334" ca="1">XGETVOLUME("600mm thick Lift pit base, REO: XXX[1|S;3|F]",0)</f>
        <v>#NAME?</v>
      </c>
      <c r="D334" t="s">
        <v>64</v>
      </c>
    </row>
    <row r="335" spans="1:4" x14ac:dyDescent="0.25">
      <c r="A335" t="s">
        <v>510</v>
      </c>
      <c r="B335" s="1" t="s">
        <v>98</v>
      </c>
      <c r="C335" t="e" cm="1">
        <f t="array" aca="1" ref="C335" ca="1">XGETVOLUME("40mm thick integral fall to 600mm thick Base Slab[1|S;3|F]",0)</f>
        <v>#NAME?</v>
      </c>
      <c r="D335" t="s">
        <v>64</v>
      </c>
    </row>
    <row r="336" spans="1:4" x14ac:dyDescent="0.25">
      <c r="B336" s="1" t="s">
        <v>99</v>
      </c>
      <c r="D336" t="s">
        <v>76</v>
      </c>
    </row>
    <row r="337" spans="1:4" x14ac:dyDescent="0.25">
      <c r="B337" s="1" t="s">
        <v>100</v>
      </c>
      <c r="D337" t="s">
        <v>78</v>
      </c>
    </row>
    <row r="338" spans="1:4" x14ac:dyDescent="0.25">
      <c r="A338" t="s">
        <v>511</v>
      </c>
      <c r="B338" s="1" t="s">
        <v>502</v>
      </c>
      <c r="D338" t="s">
        <v>103</v>
      </c>
    </row>
    <row r="339" spans="1:4" x14ac:dyDescent="0.25">
      <c r="A339" t="s">
        <v>512</v>
      </c>
      <c r="B339" s="1" t="s">
        <v>513</v>
      </c>
      <c r="C339" t="e" cm="1">
        <f t="array" aca="1" ref="C339" ca="1">XGETVOLUME("W4 - 250mm thick external wall[1|S;3|F;6|50MPa]",0)</f>
        <v>#NAME?</v>
      </c>
      <c r="D339" t="s">
        <v>64</v>
      </c>
    </row>
    <row r="340" spans="1:4" x14ac:dyDescent="0.25">
      <c r="A340" t="s">
        <v>514</v>
      </c>
      <c r="B340" s="1" t="s">
        <v>515</v>
      </c>
      <c r="D340" t="s">
        <v>103</v>
      </c>
    </row>
    <row r="341" spans="1:4" x14ac:dyDescent="0.25">
      <c r="A341" t="s">
        <v>516</v>
      </c>
      <c r="B341" s="1" t="s">
        <v>513</v>
      </c>
      <c r="C341" t="e" cm="1">
        <f t="array" aca="1" ref="C341" ca="1">XGETVOLUME("W4 - 250mm thick external wall[1|S;3|L1;6|50MPa]",0)</f>
        <v>#NAME?</v>
      </c>
      <c r="D341" t="s">
        <v>64</v>
      </c>
    </row>
    <row r="342" spans="1:4" x14ac:dyDescent="0.25">
      <c r="A342" t="s">
        <v>517</v>
      </c>
      <c r="B342" s="1" t="s">
        <v>518</v>
      </c>
      <c r="D342" t="s">
        <v>103</v>
      </c>
    </row>
    <row r="343" spans="1:4" x14ac:dyDescent="0.25">
      <c r="A343" t="s">
        <v>519</v>
      </c>
      <c r="B343" s="1" t="s">
        <v>520</v>
      </c>
      <c r="C343" t="e" cm="1">
        <f t="array" aca="1" ref="C343" ca="1">XGETVOLUME("250mm thick external wall[1|S;3|L2;6|50MPa]",0)</f>
        <v>#NAME?</v>
      </c>
      <c r="D343" t="s">
        <v>64</v>
      </c>
    </row>
    <row r="344" spans="1:4" x14ac:dyDescent="0.25">
      <c r="A344" t="s">
        <v>521</v>
      </c>
      <c r="B344" s="1" t="s">
        <v>522</v>
      </c>
      <c r="D344" t="s">
        <v>103</v>
      </c>
    </row>
    <row r="345" spans="1:4" x14ac:dyDescent="0.25">
      <c r="A345" t="s">
        <v>523</v>
      </c>
      <c r="B345" s="1" t="s">
        <v>524</v>
      </c>
      <c r="C345" t="e" cm="1">
        <f t="array" aca="1" ref="C345" ca="1">XGETVOLUME("W5 - 300mm thick external wall[1|S;3|L4;6|50MPa]",0)</f>
        <v>#NAME?</v>
      </c>
      <c r="D345" t="s">
        <v>64</v>
      </c>
    </row>
    <row r="346" spans="1:4" x14ac:dyDescent="0.25">
      <c r="B346" s="1" t="s">
        <v>116</v>
      </c>
      <c r="D346" t="s">
        <v>78</v>
      </c>
    </row>
    <row r="347" spans="1:4" x14ac:dyDescent="0.25">
      <c r="A347" t="s">
        <v>525</v>
      </c>
      <c r="B347" s="1" t="s">
        <v>502</v>
      </c>
      <c r="D347" t="s">
        <v>103</v>
      </c>
    </row>
    <row r="348" spans="1:4" x14ac:dyDescent="0.25">
      <c r="A348" t="s">
        <v>526</v>
      </c>
      <c r="B348" s="1" t="s">
        <v>527</v>
      </c>
      <c r="C348" t="e" cm="1">
        <f t="array" aca="1" ref="C348" ca="1">XGETVOLUME("W2 - 200mm thick lift pit wall[1|S;3|F;6|50MPa]",0)</f>
        <v>#NAME?</v>
      </c>
      <c r="D348" t="s">
        <v>64</v>
      </c>
    </row>
    <row r="349" spans="1:4" x14ac:dyDescent="0.25">
      <c r="A349" t="s">
        <v>528</v>
      </c>
      <c r="B349" s="1" t="s">
        <v>515</v>
      </c>
      <c r="D349" t="s">
        <v>103</v>
      </c>
    </row>
    <row r="350" spans="1:4" x14ac:dyDescent="0.25">
      <c r="A350" t="s">
        <v>529</v>
      </c>
      <c r="B350" s="1" t="s">
        <v>126</v>
      </c>
      <c r="C350" t="e" cm="1">
        <f t="array" aca="1" ref="C350" ca="1">XGETVOLUME("W2 - 200mm thick core wall[1|S;3|L1;6|50MPa]",0)</f>
        <v>#NAME?</v>
      </c>
      <c r="D350" t="s">
        <v>64</v>
      </c>
    </row>
    <row r="351" spans="1:4" x14ac:dyDescent="0.25">
      <c r="A351" t="s">
        <v>530</v>
      </c>
      <c r="B351" s="1" t="s">
        <v>130</v>
      </c>
      <c r="C351" t="e" cm="1">
        <f t="array" aca="1" ref="C351" ca="1">XGETVOLUME("W5 - 300mm thick core wall[1|S;3|L1;6|50MPa]",0)</f>
        <v>#NAME?</v>
      </c>
      <c r="D351" t="s">
        <v>64</v>
      </c>
    </row>
    <row r="352" spans="1:4" x14ac:dyDescent="0.25">
      <c r="A352" t="s">
        <v>531</v>
      </c>
      <c r="B352" s="1" t="s">
        <v>134</v>
      </c>
      <c r="C352" t="e" cm="1">
        <f t="array" aca="1" ref="C352" ca="1">XGETVOLUME("W2 - 200mm thick internal wall[1|S;3|L1;6|50MPa]",0)</f>
        <v>#NAME?</v>
      </c>
      <c r="D352" t="s">
        <v>64</v>
      </c>
    </row>
    <row r="353" spans="1:4" x14ac:dyDescent="0.25">
      <c r="A353" t="s">
        <v>532</v>
      </c>
      <c r="B353" s="1" t="s">
        <v>533</v>
      </c>
      <c r="C353" t="e" cm="1">
        <f t="array" aca="1" ref="C353" ca="1">XGETVOLUME("W6 - 300mm thick internal wall[1|S;3|L1;6|50MPa]",0)</f>
        <v>#NAME?</v>
      </c>
      <c r="D353" t="s">
        <v>64</v>
      </c>
    </row>
    <row r="354" spans="1:4" x14ac:dyDescent="0.25">
      <c r="A354" t="s">
        <v>534</v>
      </c>
      <c r="B354" s="1" t="s">
        <v>518</v>
      </c>
      <c r="D354" t="s">
        <v>103</v>
      </c>
    </row>
    <row r="355" spans="1:4" x14ac:dyDescent="0.25">
      <c r="A355" t="s">
        <v>535</v>
      </c>
      <c r="B355" s="1" t="s">
        <v>126</v>
      </c>
      <c r="C355" t="e" cm="1">
        <f t="array" aca="1" ref="C355" ca="1">XGETVOLUME("W2 - 200mm thick core wall[1|S;3|L2;6|50MPa]",0)</f>
        <v>#NAME?</v>
      </c>
      <c r="D355" t="s">
        <v>64</v>
      </c>
    </row>
    <row r="356" spans="1:4" x14ac:dyDescent="0.25">
      <c r="A356" t="s">
        <v>536</v>
      </c>
      <c r="B356" s="1" t="s">
        <v>533</v>
      </c>
      <c r="C356" t="e" cm="1">
        <f t="array" aca="1" ref="C356" ca="1">XGETVOLUME("W6 - 300mm thick internal wall[1|S;3|L2;6|50MPa]",0)</f>
        <v>#NAME?</v>
      </c>
      <c r="D356" t="s">
        <v>64</v>
      </c>
    </row>
    <row r="357" spans="1:4" x14ac:dyDescent="0.25">
      <c r="A357" t="s">
        <v>537</v>
      </c>
      <c r="B357" s="1" t="s">
        <v>538</v>
      </c>
      <c r="D357" t="s">
        <v>103</v>
      </c>
    </row>
    <row r="358" spans="1:4" x14ac:dyDescent="0.25">
      <c r="A358" t="s">
        <v>539</v>
      </c>
      <c r="B358" s="1" t="s">
        <v>126</v>
      </c>
      <c r="C358" t="e" cm="1">
        <f t="array" aca="1" ref="C358" ca="1">XGETVOLUME("W2 - 200mm thick core wall[1|S;3|L3;6|50MPa]",0)</f>
        <v>#NAME?</v>
      </c>
      <c r="D358" t="s">
        <v>64</v>
      </c>
    </row>
    <row r="359" spans="1:4" x14ac:dyDescent="0.25">
      <c r="A359" t="s">
        <v>540</v>
      </c>
      <c r="B359" s="1" t="s">
        <v>533</v>
      </c>
      <c r="C359" t="e" cm="1">
        <f t="array" aca="1" ref="C359" ca="1">XGETVOLUME("W6 - 300mm thick internal wall[1|S;3|L3;6|50MPa]",0)</f>
        <v>#NAME?</v>
      </c>
      <c r="D359" t="s">
        <v>64</v>
      </c>
    </row>
    <row r="360" spans="1:4" x14ac:dyDescent="0.25">
      <c r="A360" t="s">
        <v>541</v>
      </c>
      <c r="B360" s="1" t="s">
        <v>522</v>
      </c>
      <c r="D360" t="s">
        <v>103</v>
      </c>
    </row>
    <row r="361" spans="1:4" x14ac:dyDescent="0.25">
      <c r="A361" t="s">
        <v>542</v>
      </c>
      <c r="B361" s="1" t="s">
        <v>126</v>
      </c>
      <c r="C361" t="e" cm="1">
        <f t="array" aca="1" ref="C361" ca="1">XGETVOLUME("W2 - 200mm thick core wall[1|S;3|L4;6|50MPa]",0)</f>
        <v>#NAME?</v>
      </c>
      <c r="D361" t="s">
        <v>64</v>
      </c>
    </row>
    <row r="362" spans="1:4" x14ac:dyDescent="0.25">
      <c r="B362" s="1" t="s">
        <v>151</v>
      </c>
      <c r="D362" t="s">
        <v>76</v>
      </c>
    </row>
    <row r="363" spans="1:4" x14ac:dyDescent="0.25">
      <c r="B363" s="1" t="s">
        <v>100</v>
      </c>
      <c r="D363" t="s">
        <v>78</v>
      </c>
    </row>
    <row r="364" spans="1:4" x14ac:dyDescent="0.25">
      <c r="A364" t="s">
        <v>543</v>
      </c>
      <c r="B364" s="1" t="s">
        <v>522</v>
      </c>
      <c r="D364" t="s">
        <v>103</v>
      </c>
    </row>
    <row r="365" spans="1:4" x14ac:dyDescent="0.25">
      <c r="A365" t="s">
        <v>544</v>
      </c>
      <c r="B365" s="1" t="s">
        <v>154</v>
      </c>
      <c r="C365" t="e" cm="1">
        <f t="array" aca="1" ref="C365" ca="1">XGETVOLUME("W8 - 150mm thick external parapet wall[1|S;3|L4;6|32MPa]",0)</f>
        <v>#NAME?</v>
      </c>
      <c r="D365" t="s">
        <v>64</v>
      </c>
    </row>
    <row r="366" spans="1:4" x14ac:dyDescent="0.25">
      <c r="B366" s="1" t="s">
        <v>158</v>
      </c>
      <c r="D366" t="s">
        <v>76</v>
      </c>
    </row>
    <row r="367" spans="1:4" x14ac:dyDescent="0.25">
      <c r="B367" s="1" t="s">
        <v>515</v>
      </c>
      <c r="D367" t="s">
        <v>78</v>
      </c>
    </row>
    <row r="368" spans="1:4" x14ac:dyDescent="0.25">
      <c r="A368" t="s">
        <v>545</v>
      </c>
      <c r="B368" s="1" t="s">
        <v>546</v>
      </c>
      <c r="C368" t="e" cm="1">
        <f t="array" aca="1" ref="C368" ca="1">XGETVOLUME("CC34 - 400x700, Reinforcement: 14-N24, Ties: N12@300CTS., Tie type: 1, @ L1[1|S;3|L1;6|50MPa]",0)</f>
        <v>#NAME?</v>
      </c>
      <c r="D368" t="s">
        <v>64</v>
      </c>
    </row>
    <row r="369" spans="1:4" x14ac:dyDescent="0.25">
      <c r="A369" t="s">
        <v>547</v>
      </c>
      <c r="B369" s="1" t="s">
        <v>548</v>
      </c>
      <c r="C369" t="e" cm="1">
        <f t="array" aca="1" ref="C369" ca="1">XGETVOLUME("CC35 - 400x700, Reinforcement: 14-N28, Ties: N12@300CTS., Tie type: 1, @ L1[1|S;3|L1;6|50MPa]",0)</f>
        <v>#NAME?</v>
      </c>
      <c r="D369" t="s">
        <v>64</v>
      </c>
    </row>
    <row r="370" spans="1:4" x14ac:dyDescent="0.25">
      <c r="A370" t="s">
        <v>549</v>
      </c>
      <c r="B370" s="1" t="s">
        <v>550</v>
      </c>
      <c r="C370" t="e" cm="1">
        <f t="array" aca="1" ref="C370" ca="1">XGETVOLUME("CC36 - 400x700, Reinforcement: 14-N28, Ties: N12@300CTS., Tie type: 1, @ L1[1|S;3|L1;6|50MPa]",0)</f>
        <v>#NAME?</v>
      </c>
      <c r="D370" t="s">
        <v>64</v>
      </c>
    </row>
    <row r="371" spans="1:4" x14ac:dyDescent="0.25">
      <c r="A371" t="s">
        <v>551</v>
      </c>
      <c r="B371" s="1" t="s">
        <v>552</v>
      </c>
      <c r="C371" t="e" cm="1">
        <f t="array" aca="1" ref="C371" ca="1">XGETVOLUME("CC37 - 400x600, Reinforcement: 14-N24, Ties: N12@300CTS., Tie type: 1, @ L1[1|S;3|L1;6|50MPa]",0)</f>
        <v>#NAME?</v>
      </c>
      <c r="D371" t="s">
        <v>64</v>
      </c>
    </row>
    <row r="372" spans="1:4" x14ac:dyDescent="0.25">
      <c r="A372" t="s">
        <v>553</v>
      </c>
      <c r="B372" s="1" t="s">
        <v>554</v>
      </c>
      <c r="C372" t="e" cm="1">
        <f t="array" aca="1" ref="C372" ca="1">XGETVOLUME("CC38 - 400x600, Reinforcement: 14-N24, Ties: N12@300CTS., Tie type: 1, @ L1[1|S;3|L1;6|50MPa]",0)</f>
        <v>#NAME?</v>
      </c>
      <c r="D372" t="s">
        <v>64</v>
      </c>
    </row>
    <row r="373" spans="1:4" x14ac:dyDescent="0.25">
      <c r="A373" t="s">
        <v>555</v>
      </c>
      <c r="B373" s="1" t="s">
        <v>556</v>
      </c>
      <c r="C373" t="e" cm="1">
        <f t="array" aca="1" ref="C373" ca="1">XGETVOLUME("CC39 - 400x600, Reinforcement: 14-N24, Ties: N12@300CTS., Tie type: 1, @ L1[1|S;3|L1;6|50MPa]",0)</f>
        <v>#NAME?</v>
      </c>
      <c r="D373" t="s">
        <v>64</v>
      </c>
    </row>
    <row r="374" spans="1:4" x14ac:dyDescent="0.25">
      <c r="A374" t="s">
        <v>557</v>
      </c>
      <c r="B374" s="1" t="s">
        <v>558</v>
      </c>
      <c r="C374" t="e" cm="1">
        <f t="array" aca="1" ref="C374" ca="1">XGETVOLUME("CC40 - 400x600, Reinforcement: 14-N24, Ties: N12@300CTS., Tie type: 1, @ L1[1|S;3|L1;6|50MPa]",0)</f>
        <v>#NAME?</v>
      </c>
      <c r="D374" t="s">
        <v>64</v>
      </c>
    </row>
    <row r="375" spans="1:4" x14ac:dyDescent="0.25">
      <c r="A375" t="s">
        <v>559</v>
      </c>
      <c r="B375" s="1" t="s">
        <v>560</v>
      </c>
      <c r="C375" t="e" cm="1">
        <f t="array" aca="1" ref="C375" ca="1">XGETVOLUME("CC41 - 450x450, Reinforcement: 8-N28, Ties: N12@300CTS., Tie type: 8, @ L1[1|S;3|L1;6|50MPa]",0)</f>
        <v>#NAME?</v>
      </c>
      <c r="D375" t="s">
        <v>64</v>
      </c>
    </row>
    <row r="376" spans="1:4" x14ac:dyDescent="0.25">
      <c r="A376" t="s">
        <v>561</v>
      </c>
      <c r="B376" s="1" t="s">
        <v>562</v>
      </c>
      <c r="C376" t="e" cm="1">
        <f t="array" aca="1" ref="C376" ca="1">XGETVOLUME("CC42 - 400x600, Reinforcement: 14-N24, Ties: N12@300CTS., Tie type: 1, @ L1[1|S;3|L1;6|50MPa]",0)</f>
        <v>#NAME?</v>
      </c>
      <c r="D376" t="s">
        <v>64</v>
      </c>
    </row>
    <row r="377" spans="1:4" x14ac:dyDescent="0.25">
      <c r="A377" t="s">
        <v>563</v>
      </c>
      <c r="B377" s="1" t="s">
        <v>564</v>
      </c>
      <c r="C377" t="e" cm="1">
        <f t="array" aca="1" ref="C377" ca="1">XGETVOLUME("CC43 - 400x600, Reinforcement: 14-N24, Ties: N12@300CTS., Tie type: 1, @ L1[1|S;3|L1;6|50MPa]",0)</f>
        <v>#NAME?</v>
      </c>
      <c r="D377" t="s">
        <v>64</v>
      </c>
    </row>
    <row r="378" spans="1:4" x14ac:dyDescent="0.25">
      <c r="A378" t="s">
        <v>565</v>
      </c>
      <c r="B378" s="1" t="s">
        <v>566</v>
      </c>
      <c r="C378" t="e" cm="1">
        <f t="array" aca="1" ref="C378" ca="1">XGETVOLUME("CC44 - 500DIA., Reinforcement: 9-N24, Ties: N12@300CTS., Tie type: 2, @ L1[1|S;3|L1;6|50MPa]",0)</f>
        <v>#NAME?</v>
      </c>
      <c r="D378" t="s">
        <v>64</v>
      </c>
    </row>
    <row r="379" spans="1:4" x14ac:dyDescent="0.25">
      <c r="A379" t="s">
        <v>567</v>
      </c>
      <c r="B379" s="1" t="s">
        <v>568</v>
      </c>
      <c r="C379" t="e" cm="1">
        <f t="array" aca="1" ref="C379" ca="1">XGETVOLUME("CC45 - 400x600, Reinforcement: 14-N24, Ties: N12@300CTS., Tie type: 1, @ L1[1|S;3|L1;6|50MPa]",0)</f>
        <v>#NAME?</v>
      </c>
      <c r="D379" t="s">
        <v>64</v>
      </c>
    </row>
    <row r="380" spans="1:4" x14ac:dyDescent="0.25">
      <c r="A380" t="s">
        <v>569</v>
      </c>
      <c r="B380" s="1" t="s">
        <v>570</v>
      </c>
      <c r="C380" t="e" cm="1">
        <f t="array" aca="1" ref="C380" ca="1">XGETVOLUME("CC46 - 450x450, Reinforcement: 8-N28, Ties: N12@300CTS., Tie type: 8, @ L1[1|S;3|L1;6|50MPa]",0)</f>
        <v>#NAME?</v>
      </c>
      <c r="D380" t="s">
        <v>64</v>
      </c>
    </row>
    <row r="381" spans="1:4" x14ac:dyDescent="0.25">
      <c r="A381" t="s">
        <v>571</v>
      </c>
      <c r="B381" s="1" t="s">
        <v>572</v>
      </c>
      <c r="C381" t="e" cm="1">
        <f t="array" aca="1" ref="C381" ca="1">XGETVOLUME("CC47 - 400x600, Reinforcement: 14-N24, Ties: N12@300CTS., Tie type: 1, @ L1[1|S;3|L1;6|50MPa]",0)</f>
        <v>#NAME?</v>
      </c>
      <c r="D381" t="s">
        <v>64</v>
      </c>
    </row>
    <row r="382" spans="1:4" x14ac:dyDescent="0.25">
      <c r="A382" t="s">
        <v>573</v>
      </c>
      <c r="B382" s="1" t="s">
        <v>574</v>
      </c>
      <c r="C382" t="e" cm="1">
        <f t="array" aca="1" ref="C382" ca="1">XGETVOLUME("CC48 - 450x450, Reinforcement: 8-N28, Ties: N12@300CTS., Tie type: 8, @ L1[1|S;3|L1;6|50MPa]",0)</f>
        <v>#NAME?</v>
      </c>
      <c r="D382" t="s">
        <v>64</v>
      </c>
    </row>
    <row r="383" spans="1:4" x14ac:dyDescent="0.25">
      <c r="A383" t="s">
        <v>575</v>
      </c>
      <c r="B383" s="1" t="s">
        <v>576</v>
      </c>
      <c r="C383" t="e" cm="1">
        <f t="array" aca="1" ref="C383" ca="1">XGETVOLUME("CC49 - 400x600, Reinforcement: 14-N24, Ties: N12@300CTS., Tie type: 1, @ L1[1|S;3|L1;6|50MPa]",0)</f>
        <v>#NAME?</v>
      </c>
      <c r="D383" t="s">
        <v>64</v>
      </c>
    </row>
    <row r="384" spans="1:4" x14ac:dyDescent="0.25">
      <c r="A384" t="s">
        <v>577</v>
      </c>
      <c r="B384" s="1" t="s">
        <v>578</v>
      </c>
      <c r="C384" t="e" cm="1">
        <f t="array" aca="1" ref="C384" ca="1">XGETVOLUME("CC50 - 400x600, Reinforcement: 14-N24, Ties: N12@300CTS., Tie type: 1, @ L1[1|S;3|L1;6|50MPa]",0)</f>
        <v>#NAME?</v>
      </c>
      <c r="D384" t="s">
        <v>64</v>
      </c>
    </row>
    <row r="385" spans="1:4" x14ac:dyDescent="0.25">
      <c r="A385" t="s">
        <v>579</v>
      </c>
      <c r="B385" s="1" t="s">
        <v>580</v>
      </c>
      <c r="C385" t="e" cm="1">
        <f t="array" aca="1" ref="C385" ca="1">XGETVOLUME("CC51 - 400x600, Reinforcement: 14-N24, Ties: N12@300CTS., Tie type: 1, @ L1[1|S;3|L1;6|50MPa]",0)</f>
        <v>#NAME?</v>
      </c>
      <c r="D385" t="s">
        <v>64</v>
      </c>
    </row>
    <row r="386" spans="1:4" x14ac:dyDescent="0.25">
      <c r="A386" t="s">
        <v>581</v>
      </c>
      <c r="B386" s="1" t="s">
        <v>582</v>
      </c>
      <c r="C386" t="e" cm="1">
        <f t="array" aca="1" ref="C386" ca="1">XGETVOLUME("CC52 - 450x450, Reinforcement: 8-N28, Ties: N12@300CTS., Tie type: 8, @ L1[1|S;3|L1;6|50MPa]",0)</f>
        <v>#NAME?</v>
      </c>
      <c r="D386" t="s">
        <v>64</v>
      </c>
    </row>
    <row r="387" spans="1:4" x14ac:dyDescent="0.25">
      <c r="A387" t="s">
        <v>583</v>
      </c>
      <c r="B387" s="1" t="s">
        <v>584</v>
      </c>
      <c r="C387" t="e" cm="1">
        <f t="array" aca="1" ref="C387" ca="1">XGETVOLUME("CC53 - 450x450, Reinforcement: 8-N28, Ties: N12@300CTS., Tie type: 8, @ L1[1|S;3|L1;6|50MPa]",0)</f>
        <v>#NAME?</v>
      </c>
      <c r="D387" t="s">
        <v>64</v>
      </c>
    </row>
    <row r="388" spans="1:4" x14ac:dyDescent="0.25">
      <c r="A388" t="s">
        <v>585</v>
      </c>
      <c r="B388" s="1" t="s">
        <v>586</v>
      </c>
      <c r="C388" t="e" cm="1">
        <f t="array" aca="1" ref="C388" ca="1">XGETVOLUME("CC54 - 450x450, Reinforcement: 8-N28, Ties: N12@300CTS., Tie type: 8, @ L1[1|S;3|L1;6|50MPa]",0)</f>
        <v>#NAME?</v>
      </c>
      <c r="D388" t="s">
        <v>64</v>
      </c>
    </row>
    <row r="389" spans="1:4" x14ac:dyDescent="0.25">
      <c r="A389" t="s">
        <v>587</v>
      </c>
      <c r="B389" s="1" t="s">
        <v>588</v>
      </c>
      <c r="C389" t="e" cm="1">
        <f t="array" aca="1" ref="C389" ca="1">XGETVOLUME("CC55 - 400x600, Reinforcement: 14-N24, Ties: N12@300CTS., Tie type: 1, @ L1[1|S;3|L1;6|50MPa]",0)</f>
        <v>#NAME?</v>
      </c>
      <c r="D389" t="s">
        <v>64</v>
      </c>
    </row>
    <row r="390" spans="1:4" x14ac:dyDescent="0.25">
      <c r="A390" t="s">
        <v>589</v>
      </c>
      <c r="B390" s="1" t="s">
        <v>590</v>
      </c>
      <c r="C390" t="e" cm="1">
        <f t="array" aca="1" ref="C390" ca="1">XGETVOLUME("CC56 - 400x600, Reinforcement: 14-N24, Ties: N12@300CTS., Tie type: 1, @ L1[1|S;3|L1;6|50MPa]",0)</f>
        <v>#NAME?</v>
      </c>
      <c r="D390" t="s">
        <v>64</v>
      </c>
    </row>
    <row r="391" spans="1:4" x14ac:dyDescent="0.25">
      <c r="A391" t="s">
        <v>591</v>
      </c>
      <c r="B391" s="1" t="s">
        <v>592</v>
      </c>
      <c r="C391" t="e" cm="1">
        <f t="array" aca="1" ref="C391" ca="1">XGETVOLUME("CC57 - 400x600, Reinforcement: 14-N24, Ties: N12@300CTS., Tie type: 1, @ L1[1|S;3|L1;6|50MPa]",0)</f>
        <v>#NAME?</v>
      </c>
      <c r="D391" t="s">
        <v>64</v>
      </c>
    </row>
    <row r="392" spans="1:4" x14ac:dyDescent="0.25">
      <c r="A392" t="s">
        <v>593</v>
      </c>
      <c r="B392" s="1" t="s">
        <v>594</v>
      </c>
      <c r="C392" t="e" cm="1">
        <f t="array" aca="1" ref="C392" ca="1">XGETVOLUME("CC58 - 400x1600, Reinforcement: 20-N28, Ties: N12@300CTS., Tie type: 5, @ L1[1|S;3|L1;6|50MPa]",0)</f>
        <v>#NAME?</v>
      </c>
      <c r="D392" t="s">
        <v>64</v>
      </c>
    </row>
    <row r="393" spans="1:4" x14ac:dyDescent="0.25">
      <c r="A393" t="s">
        <v>595</v>
      </c>
      <c r="B393" s="1" t="s">
        <v>596</v>
      </c>
      <c r="C393" t="e" cm="1">
        <f t="array" aca="1" ref="C393" ca="1">XGETVOLUME("CC59 - 400x400, Reinforcement: 8-N24, Ties: N12@300CTS., Tie type: 8, @ L1[1|S;3|L1;6|50MPa]",0)</f>
        <v>#NAME?</v>
      </c>
      <c r="D393" t="s">
        <v>64</v>
      </c>
    </row>
    <row r="394" spans="1:4" x14ac:dyDescent="0.25">
      <c r="A394" t="s">
        <v>597</v>
      </c>
      <c r="B394" s="1" t="s">
        <v>598</v>
      </c>
      <c r="C394" t="e" cm="1">
        <f t="array" aca="1" ref="C394" ca="1">XGETVOLUME("CC76 - 400x700, Reinforcement: 14-N28, Ties: N12@300CTS., Tie type: 1, @ L1[1|S;3|L1;6|50MPa]",0)</f>
        <v>#NAME?</v>
      </c>
      <c r="D394" t="s">
        <v>64</v>
      </c>
    </row>
    <row r="395" spans="1:4" x14ac:dyDescent="0.25">
      <c r="B395" s="1" t="s">
        <v>518</v>
      </c>
      <c r="D395" t="s">
        <v>78</v>
      </c>
    </row>
    <row r="396" spans="1:4" x14ac:dyDescent="0.25">
      <c r="A396" t="s">
        <v>599</v>
      </c>
      <c r="B396" s="1" t="s">
        <v>600</v>
      </c>
      <c r="C396" t="e" cm="1">
        <f t="array" aca="1" ref="C396" ca="1">XGETVOLUME("CC34 - 400x600, Reinforcement: 14-N24, Ties: N12@300CTS., Tie type: 1, @ L2[1|S;3|L2;6|50MPa]",0)</f>
        <v>#NAME?</v>
      </c>
      <c r="D396" t="s">
        <v>64</v>
      </c>
    </row>
    <row r="397" spans="1:4" x14ac:dyDescent="0.25">
      <c r="A397" t="s">
        <v>601</v>
      </c>
      <c r="B397" s="1" t="s">
        <v>602</v>
      </c>
      <c r="C397" t="e" cm="1">
        <f t="array" aca="1" ref="C397" ca="1">XGETVOLUME("CC35 - 800x400, Reinforcement: 14-N28, Ties: N12@300CTS., Tie type: 1, @ L2[1|S;3|L2;6|50MPa]",0)</f>
        <v>#NAME?</v>
      </c>
      <c r="D397" t="s">
        <v>64</v>
      </c>
    </row>
    <row r="398" spans="1:4" x14ac:dyDescent="0.25">
      <c r="A398" t="s">
        <v>603</v>
      </c>
      <c r="B398" s="1" t="s">
        <v>604</v>
      </c>
      <c r="C398" t="e" cm="1">
        <f t="array" aca="1" ref="C398" ca="1">XGETVOLUME("CC36 - 800x400, Reinforcement: 14-N28, Ties: N12@250CTS., Tie type: 1, @ L2[1|S;3|L2;6|50MPa]",0)</f>
        <v>#NAME?</v>
      </c>
      <c r="D398" t="s">
        <v>64</v>
      </c>
    </row>
    <row r="399" spans="1:4" x14ac:dyDescent="0.25">
      <c r="A399" t="s">
        <v>605</v>
      </c>
      <c r="B399" s="1" t="s">
        <v>556</v>
      </c>
      <c r="C399" t="e" cm="1">
        <f t="array" aca="1" ref="C399" ca="1">XGETVOLUME("CC39 - 400x600, Reinforcement: 14-N24, Ties: N12@300CTS., Tie type: 1, @ L2[1|S;3|L2;6|50MPa]",0)</f>
        <v>#NAME?</v>
      </c>
      <c r="D399" t="s">
        <v>64</v>
      </c>
    </row>
    <row r="400" spans="1:4" x14ac:dyDescent="0.25">
      <c r="A400" t="s">
        <v>606</v>
      </c>
      <c r="B400" s="1" t="s">
        <v>564</v>
      </c>
      <c r="C400" t="e" cm="1">
        <f t="array" aca="1" ref="C400" ca="1">XGETVOLUME("CC43 - 400x600, Reinforcement: 14-N24, Ties: N12@300CTS., Tie type: 1, @ L2[1|S;3|L2;6|50MPa]",0)</f>
        <v>#NAME?</v>
      </c>
      <c r="D400" t="s">
        <v>64</v>
      </c>
    </row>
    <row r="401" spans="1:4" x14ac:dyDescent="0.25">
      <c r="A401" t="s">
        <v>607</v>
      </c>
      <c r="B401" s="1" t="s">
        <v>608</v>
      </c>
      <c r="C401" t="e" cm="1">
        <f t="array" aca="1" ref="C401" ca="1">XGETVOLUME("CC44 - 400x600, Reinforcement: 14-N24, Ties: N12@300CTS., Tie type: 1, @ L2[1|S;3|L2;6|50MPa]",0)</f>
        <v>#NAME?</v>
      </c>
      <c r="D401" t="s">
        <v>64</v>
      </c>
    </row>
    <row r="402" spans="1:4" x14ac:dyDescent="0.25">
      <c r="A402" t="s">
        <v>609</v>
      </c>
      <c r="B402" s="1" t="s">
        <v>572</v>
      </c>
      <c r="C402" t="e" cm="1">
        <f t="array" aca="1" ref="C402" ca="1">XGETVOLUME("CC47 - 400x600, Reinforcement: 14-N24, Ties: N12@300CTS., Tie type: 1, @ L2[1|S;3|L2;6|50MPa]",0)</f>
        <v>#NAME?</v>
      </c>
      <c r="D402" t="s">
        <v>64</v>
      </c>
    </row>
    <row r="403" spans="1:4" x14ac:dyDescent="0.25">
      <c r="A403" t="s">
        <v>610</v>
      </c>
      <c r="B403" s="1" t="s">
        <v>611</v>
      </c>
      <c r="C403" t="e" cm="1">
        <f t="array" aca="1" ref="C403" ca="1">XGETVOLUME("CC48 - 400x600, Reinforcement: 14-N24, Ties: N12@300CTS., Tie type: 1, @ L2[1|S;3|L2;6|50MPa]",0)</f>
        <v>#NAME?</v>
      </c>
      <c r="D403" t="s">
        <v>64</v>
      </c>
    </row>
    <row r="404" spans="1:4" x14ac:dyDescent="0.25">
      <c r="A404" t="s">
        <v>612</v>
      </c>
      <c r="B404" s="1" t="s">
        <v>576</v>
      </c>
      <c r="C404" t="e" cm="1">
        <f t="array" aca="1" ref="C404" ca="1">XGETVOLUME("CC49 - 400x600, Reinforcement: 14-N24, Ties: N12@300CTS., Tie type: 1, @ L2[1|S;3|L2;6|50MPa]",0)</f>
        <v>#NAME?</v>
      </c>
      <c r="D404" t="s">
        <v>64</v>
      </c>
    </row>
    <row r="405" spans="1:4" x14ac:dyDescent="0.25">
      <c r="A405" t="s">
        <v>613</v>
      </c>
      <c r="B405" s="1" t="s">
        <v>580</v>
      </c>
      <c r="C405" t="e" cm="1">
        <f t="array" aca="1" ref="C405" ca="1">XGETVOLUME("CC51 - 400x600, Reinforcement: 14-N24, Ties: N12@300CTS., Tie type: 1, @ L2[1|S;3|L2;6|50MPa]",0)</f>
        <v>#NAME?</v>
      </c>
      <c r="D405" t="s">
        <v>64</v>
      </c>
    </row>
    <row r="406" spans="1:4" x14ac:dyDescent="0.25">
      <c r="A406" t="s">
        <v>614</v>
      </c>
      <c r="B406" s="1" t="s">
        <v>615</v>
      </c>
      <c r="C406" t="e" cm="1">
        <f t="array" aca="1" ref="C406" ca="1">XGETVOLUME("CC52 - 400x600, Reinforcement: 14-N24, Ties: N12@300CTS., Tie type: 1, @ L2[1|S;3|L2;6|50MPa]",0)</f>
        <v>#NAME?</v>
      </c>
      <c r="D406" t="s">
        <v>64</v>
      </c>
    </row>
    <row r="407" spans="1:4" x14ac:dyDescent="0.25">
      <c r="A407" t="s">
        <v>616</v>
      </c>
      <c r="B407" s="1" t="s">
        <v>617</v>
      </c>
      <c r="C407" t="e" cm="1">
        <f t="array" aca="1" ref="C407" ca="1">XGETVOLUME("CC54 - 400x600, Reinforcement: 14-N24, Ties: N12@300CTS., Tie type: 1, @ L2[1|S;3|L2;6|50MPa]",0)</f>
        <v>#NAME?</v>
      </c>
      <c r="D407" t="s">
        <v>64</v>
      </c>
    </row>
    <row r="408" spans="1:4" x14ac:dyDescent="0.25">
      <c r="A408" t="s">
        <v>618</v>
      </c>
      <c r="B408" s="1" t="s">
        <v>588</v>
      </c>
      <c r="C408" t="e" cm="1">
        <f t="array" aca="1" ref="C408" ca="1">XGETVOLUME("CC55 - 400x600, Reinforcement: 14-N24, Ties: N12@300CTS., Tie type: 1, @ L2[1|S;3|L2;6|50MPa]",0)</f>
        <v>#NAME?</v>
      </c>
      <c r="D408" t="s">
        <v>64</v>
      </c>
    </row>
    <row r="409" spans="1:4" x14ac:dyDescent="0.25">
      <c r="A409" t="s">
        <v>619</v>
      </c>
      <c r="B409" s="1" t="s">
        <v>590</v>
      </c>
      <c r="C409" t="e" cm="1">
        <f t="array" aca="1" ref="C409" ca="1">XGETVOLUME("CC56 - 400x600, Reinforcement: 14-N24, Ties: N12@300CTS., Tie type: 1, @ L2[1|S;3|L2;6|50MPa]",0)</f>
        <v>#NAME?</v>
      </c>
      <c r="D409" t="s">
        <v>64</v>
      </c>
    </row>
    <row r="410" spans="1:4" x14ac:dyDescent="0.25">
      <c r="A410" t="s">
        <v>620</v>
      </c>
      <c r="B410" s="1" t="s">
        <v>592</v>
      </c>
      <c r="C410" t="e" cm="1">
        <f t="array" aca="1" ref="C410" ca="1">XGETVOLUME("CC57 - 400x600, Reinforcement: 14-N24, Ties: N12@300CTS., Tie type: 1, @ L2[1|S;3|L2;6|50MPa]",0)</f>
        <v>#NAME?</v>
      </c>
      <c r="D410" t="s">
        <v>64</v>
      </c>
    </row>
    <row r="411" spans="1:4" x14ac:dyDescent="0.25">
      <c r="A411" t="s">
        <v>621</v>
      </c>
      <c r="B411" s="1" t="s">
        <v>594</v>
      </c>
      <c r="C411" t="e" cm="1">
        <f t="array" aca="1" ref="C411" ca="1">XGETVOLUME("CC58 - 400x1600, Reinforcement: 20-N28, Ties: N12@300CTS., Tie type: 5, @ L2[1|S;3|L2;6|50MPa]",0)</f>
        <v>#NAME?</v>
      </c>
      <c r="D411" t="s">
        <v>64</v>
      </c>
    </row>
    <row r="412" spans="1:4" x14ac:dyDescent="0.25">
      <c r="A412" t="s">
        <v>622</v>
      </c>
      <c r="B412" s="1" t="s">
        <v>623</v>
      </c>
      <c r="C412" t="e" cm="1">
        <f t="array" aca="1" ref="C412" ca="1">XGETVOLUME("CC76 - 800x400, Reinforcement: 14-N28, Ties: N12@250CTS., Tie type: 1, @ L2[1|S;3|L2;6|50MPa]",0)</f>
        <v>#NAME?</v>
      </c>
      <c r="D412" t="s">
        <v>64</v>
      </c>
    </row>
    <row r="413" spans="1:4" x14ac:dyDescent="0.25">
      <c r="A413" t="s">
        <v>624</v>
      </c>
      <c r="B413" s="1" t="s">
        <v>625</v>
      </c>
      <c r="C413" t="e" cm="1">
        <f t="array" aca="1" ref="C413" ca="1">XGETVOLUME("CC77 - 800x400, Reinforcement: 14-N28, Ties: N12@250CTS., Tie type: 1, @ L2[1|S;3|L2;6|50MPa]",0)</f>
        <v>#NAME?</v>
      </c>
      <c r="D413" t="s">
        <v>64</v>
      </c>
    </row>
    <row r="414" spans="1:4" x14ac:dyDescent="0.25">
      <c r="A414" t="s">
        <v>626</v>
      </c>
      <c r="B414" s="1" t="s">
        <v>627</v>
      </c>
      <c r="C414" t="e" cm="1">
        <f t="array" aca="1" ref="C414" ca="1">XGETVOLUME("CC78 - 400x600, Reinforcement: 14-N24, Ties: N12@300CTS., Tie type: 1, @ L2[1|S;3|L2;6|50MPa]",0)</f>
        <v>#NAME?</v>
      </c>
      <c r="D414" t="s">
        <v>64</v>
      </c>
    </row>
    <row r="415" spans="1:4" x14ac:dyDescent="0.25">
      <c r="A415" t="s">
        <v>628</v>
      </c>
      <c r="B415" s="1" t="s">
        <v>629</v>
      </c>
      <c r="C415" t="e" cm="1">
        <f t="array" aca="1" ref="C415" ca="1">XGETVOLUME("CC79 - 800x400, Reinforcement: 14-N28, Ties: N12@250CTS., Tie type: 1, @ L2[1|S;3|L2;6|50MPa]",0)</f>
        <v>#NAME?</v>
      </c>
      <c r="D415" t="s">
        <v>64</v>
      </c>
    </row>
    <row r="416" spans="1:4" x14ac:dyDescent="0.25">
      <c r="A416" t="s">
        <v>630</v>
      </c>
      <c r="B416" s="1" t="s">
        <v>631</v>
      </c>
      <c r="C416" t="e" cm="1">
        <f t="array" aca="1" ref="C416" ca="1">XGETVOLUME("CC80 - 500DIA., Reinforcement: 9-N24, Ties: N12@300CTS., Tie type: 2, @ L2[1|S;3|L2;6|50MPa]",0)</f>
        <v>#NAME?</v>
      </c>
      <c r="D416" t="s">
        <v>64</v>
      </c>
    </row>
    <row r="417" spans="1:4" x14ac:dyDescent="0.25">
      <c r="B417" s="1" t="s">
        <v>538</v>
      </c>
      <c r="D417" t="s">
        <v>78</v>
      </c>
    </row>
    <row r="418" spans="1:4" x14ac:dyDescent="0.25">
      <c r="A418" t="s">
        <v>632</v>
      </c>
      <c r="B418" s="1" t="s">
        <v>600</v>
      </c>
      <c r="C418" t="e" cm="1">
        <f t="array" aca="1" ref="C418" ca="1">XGETVOLUME("CC34 - 400x600, Reinforcement: 14-N24, Ties: N12@300CTS., Tie type: 1, @ L3[1|S;3|L3;6|50MPa]",0)</f>
        <v>#NAME?</v>
      </c>
      <c r="D418" t="s">
        <v>64</v>
      </c>
    </row>
    <row r="419" spans="1:4" x14ac:dyDescent="0.25">
      <c r="A419" t="s">
        <v>633</v>
      </c>
      <c r="B419" s="1" t="s">
        <v>602</v>
      </c>
      <c r="C419" t="e" cm="1">
        <f t="array" aca="1" ref="C419" ca="1">XGETVOLUME("CC35 - 800x400, Reinforcement: 14-N28, Ties: N12@300CTS., Tie type: 1, @ L3[1|S;3|L3;6|50MPa]",0)</f>
        <v>#NAME?</v>
      </c>
      <c r="D419" t="s">
        <v>64</v>
      </c>
    </row>
    <row r="420" spans="1:4" x14ac:dyDescent="0.25">
      <c r="A420" t="s">
        <v>634</v>
      </c>
      <c r="B420" s="1" t="s">
        <v>604</v>
      </c>
      <c r="C420" t="e" cm="1">
        <f t="array" aca="1" ref="C420" ca="1">XGETVOLUME("CC36 - 800x400, Reinforcement: 14-N28, Ties: N12@300CTS., Tie type: 1, @ L3[1|S;3|L3;6|50MPa]",0)</f>
        <v>#NAME?</v>
      </c>
      <c r="D420" t="s">
        <v>64</v>
      </c>
    </row>
    <row r="421" spans="1:4" x14ac:dyDescent="0.25">
      <c r="A421" t="s">
        <v>635</v>
      </c>
      <c r="B421" s="1" t="s">
        <v>556</v>
      </c>
      <c r="C421" t="e" cm="1">
        <f t="array" aca="1" ref="C421" ca="1">XGETVOLUME("CC39 - 400x600, Reinforcement: 14-N24, Ties: N12@300CTS., Tie type: 1, @ L3[1|S;3|L3;6|50MPa]",0)</f>
        <v>#NAME?</v>
      </c>
      <c r="D421" t="s">
        <v>64</v>
      </c>
    </row>
    <row r="422" spans="1:4" x14ac:dyDescent="0.25">
      <c r="A422" t="s">
        <v>636</v>
      </c>
      <c r="B422" s="1" t="s">
        <v>564</v>
      </c>
      <c r="C422" t="e" cm="1">
        <f t="array" aca="1" ref="C422" ca="1">XGETVOLUME("CC43 - 400x600, Reinforcement: 14-N24, Ties: N12@300CTS., Tie type: 1, @ L3[1|S;3|L3;6|50MPa]",0)</f>
        <v>#NAME?</v>
      </c>
      <c r="D422" t="s">
        <v>64</v>
      </c>
    </row>
    <row r="423" spans="1:4" x14ac:dyDescent="0.25">
      <c r="A423" t="s">
        <v>637</v>
      </c>
      <c r="B423" s="1" t="s">
        <v>608</v>
      </c>
      <c r="C423" t="e" cm="1">
        <f t="array" aca="1" ref="C423" ca="1">XGETVOLUME("CC44 - 400x600, Reinforcement: 14-N24, Ties: N12@300CTS., Tie type: 1, @ L3[1|S;3|L3;6|50MPa]",0)</f>
        <v>#NAME?</v>
      </c>
      <c r="D423" t="s">
        <v>64</v>
      </c>
    </row>
    <row r="424" spans="1:4" x14ac:dyDescent="0.25">
      <c r="A424" t="s">
        <v>638</v>
      </c>
      <c r="B424" s="1" t="s">
        <v>572</v>
      </c>
      <c r="C424" t="e" cm="1">
        <f t="array" aca="1" ref="C424" ca="1">XGETVOLUME("CC47 - 400x600, Reinforcement: 14-N24, Ties: N12@300CTS., Tie type: 1, @ L3[1|S;3|L3;6|50MPa]",0)</f>
        <v>#NAME?</v>
      </c>
      <c r="D424" t="s">
        <v>64</v>
      </c>
    </row>
    <row r="425" spans="1:4" x14ac:dyDescent="0.25">
      <c r="A425" t="s">
        <v>639</v>
      </c>
      <c r="B425" s="1" t="s">
        <v>611</v>
      </c>
      <c r="C425" t="e" cm="1">
        <f t="array" aca="1" ref="C425" ca="1">XGETVOLUME("CC48 - 400x600, Reinforcement: 14-N24, Ties: N12@300CTS., Tie type: 1, @ L3[1|S;3|L3;6|50MPa]",0)</f>
        <v>#NAME?</v>
      </c>
      <c r="D425" t="s">
        <v>64</v>
      </c>
    </row>
    <row r="426" spans="1:4" x14ac:dyDescent="0.25">
      <c r="A426" t="s">
        <v>640</v>
      </c>
      <c r="B426" s="1" t="s">
        <v>576</v>
      </c>
      <c r="C426" t="e" cm="1">
        <f t="array" aca="1" ref="C426" ca="1">XGETVOLUME("CC49 - 400x600, Reinforcement: 14-N24, Ties: N12@300CTS., Tie type: 1, @ L3[1|S;3|L3;6|50MPa]",0)</f>
        <v>#NAME?</v>
      </c>
      <c r="D426" t="s">
        <v>64</v>
      </c>
    </row>
    <row r="427" spans="1:4" x14ac:dyDescent="0.25">
      <c r="A427" t="s">
        <v>641</v>
      </c>
      <c r="B427" s="1" t="s">
        <v>580</v>
      </c>
      <c r="C427" t="e" cm="1">
        <f t="array" aca="1" ref="C427" ca="1">XGETVOLUME("CC51 - 400x600, Reinforcement: 14-N24, Ties: N12@300CTS., Tie type: 1, @ L3[1|S;3|L3;6|50MPa]",0)</f>
        <v>#NAME?</v>
      </c>
      <c r="D427" t="s">
        <v>64</v>
      </c>
    </row>
    <row r="428" spans="1:4" x14ac:dyDescent="0.25">
      <c r="A428" t="s">
        <v>642</v>
      </c>
      <c r="B428" s="1" t="s">
        <v>615</v>
      </c>
      <c r="C428" t="e" cm="1">
        <f t="array" aca="1" ref="C428" ca="1">XGETVOLUME("CC52 - 400x600, Reinforcement: 14-N24, Ties: N12@300CTS., Tie type: 1, @ L3[1|S;3|L3;6|50MPa]",0)</f>
        <v>#NAME?</v>
      </c>
      <c r="D428" t="s">
        <v>64</v>
      </c>
    </row>
    <row r="429" spans="1:4" x14ac:dyDescent="0.25">
      <c r="A429" t="s">
        <v>643</v>
      </c>
      <c r="B429" s="1" t="s">
        <v>617</v>
      </c>
      <c r="C429" t="e" cm="1">
        <f t="array" aca="1" ref="C429" ca="1">XGETVOLUME("CC54 - 400x600, Reinforcement: 14-N24, Ties: N12@300CTS., Tie type: 1, @ L3[1|S;3|L3;6|50MPa]",0)</f>
        <v>#NAME?</v>
      </c>
      <c r="D429" t="s">
        <v>64</v>
      </c>
    </row>
    <row r="430" spans="1:4" x14ac:dyDescent="0.25">
      <c r="A430" t="s">
        <v>644</v>
      </c>
      <c r="B430" s="1" t="s">
        <v>588</v>
      </c>
      <c r="C430" t="e" cm="1">
        <f t="array" aca="1" ref="C430" ca="1">XGETVOLUME("CC55 - 400x600, Reinforcement: 14-N24, Ties: N12@300CTS., Tie type: 1, @ L3[1|S;3|L3;6|50MPa]",0)</f>
        <v>#NAME?</v>
      </c>
      <c r="D430" t="s">
        <v>64</v>
      </c>
    </row>
    <row r="431" spans="1:4" x14ac:dyDescent="0.25">
      <c r="A431" t="s">
        <v>645</v>
      </c>
      <c r="B431" s="1" t="s">
        <v>590</v>
      </c>
      <c r="C431" t="e" cm="1">
        <f t="array" aca="1" ref="C431" ca="1">XGETVOLUME("CC56 - 400x600, Reinforcement: 14-N24, Ties: N12@300CTS., Tie type: 1, @ L3[1|S;3|L3;6|50MPa]",0)</f>
        <v>#NAME?</v>
      </c>
      <c r="D431" t="s">
        <v>64</v>
      </c>
    </row>
    <row r="432" spans="1:4" x14ac:dyDescent="0.25">
      <c r="A432" t="s">
        <v>646</v>
      </c>
      <c r="B432" s="1" t="s">
        <v>592</v>
      </c>
      <c r="C432" t="e" cm="1">
        <f t="array" aca="1" ref="C432" ca="1">XGETVOLUME("CC57 - 400x600, Reinforcement: 14-N24, Ties: N12@300CTS., Tie type: 1, @ L3[1|S;3|L3;6|50MPa]",0)</f>
        <v>#NAME?</v>
      </c>
      <c r="D432" t="s">
        <v>64</v>
      </c>
    </row>
    <row r="433" spans="1:4" x14ac:dyDescent="0.25">
      <c r="A433" t="s">
        <v>647</v>
      </c>
      <c r="B433" s="1" t="s">
        <v>594</v>
      </c>
      <c r="C433" t="e" cm="1">
        <f t="array" aca="1" ref="C433" ca="1">XGETVOLUME("CC58 - 400x1600, Reinforcement: 20-N28, Ties: N12@300CTS., Tie type: 5, @ L3[1|S;3|L3;6|50MPa]",0)</f>
        <v>#NAME?</v>
      </c>
      <c r="D433" t="s">
        <v>64</v>
      </c>
    </row>
    <row r="434" spans="1:4" x14ac:dyDescent="0.25">
      <c r="A434" t="s">
        <v>648</v>
      </c>
      <c r="B434" s="1" t="s">
        <v>623</v>
      </c>
      <c r="C434" t="e" cm="1">
        <f t="array" aca="1" ref="C434" ca="1">XGETVOLUME("CC76 - 800x400, Reinforcement: 14-N28, Ties: N12@300CTS., Tie type: 1, @ L3[1|S;3|L3;6|50MPa]",0)</f>
        <v>#NAME?</v>
      </c>
      <c r="D434" t="s">
        <v>64</v>
      </c>
    </row>
    <row r="435" spans="1:4" x14ac:dyDescent="0.25">
      <c r="A435" t="s">
        <v>649</v>
      </c>
      <c r="B435" s="1" t="s">
        <v>625</v>
      </c>
      <c r="C435" t="e" cm="1">
        <f t="array" aca="1" ref="C435" ca="1">XGETVOLUME("CC77 - 800x400, Reinforcement: 14-N28, Ties: N12@300CTS., Tie type: 1, @ L3[1|S;3|L3;6|50MPa]",0)</f>
        <v>#NAME?</v>
      </c>
      <c r="D435" t="s">
        <v>64</v>
      </c>
    </row>
    <row r="436" spans="1:4" x14ac:dyDescent="0.25">
      <c r="A436" t="s">
        <v>650</v>
      </c>
      <c r="B436" s="1" t="s">
        <v>627</v>
      </c>
      <c r="C436" t="e" cm="1">
        <f t="array" aca="1" ref="C436" ca="1">XGETVOLUME("CC78 - 400x600, Reinforcement: 14-N24, Ties: N12@300CTS., Tie type: 1, @ L3[1|S;3|L3;6|50MPa]",0)</f>
        <v>#NAME?</v>
      </c>
      <c r="D436" t="s">
        <v>64</v>
      </c>
    </row>
    <row r="437" spans="1:4" x14ac:dyDescent="0.25">
      <c r="A437" t="s">
        <v>651</v>
      </c>
      <c r="B437" s="1" t="s">
        <v>652</v>
      </c>
      <c r="C437" t="e" cm="1">
        <f t="array" aca="1" ref="C437" ca="1">XGETVOLUME("CC81 - 400x600, Reinforcement: 14-N24, Ties: N12@300CTS., Tie type: 1, @ L3[1|S;3|L3;6|50MPa]",0)</f>
        <v>#NAME?</v>
      </c>
      <c r="D437" t="s">
        <v>64</v>
      </c>
    </row>
    <row r="438" spans="1:4" x14ac:dyDescent="0.25">
      <c r="B438" s="1" t="s">
        <v>653</v>
      </c>
      <c r="D438" t="s">
        <v>76</v>
      </c>
    </row>
    <row r="439" spans="1:4" x14ac:dyDescent="0.25">
      <c r="B439" s="1" t="s">
        <v>522</v>
      </c>
      <c r="D439" t="s">
        <v>78</v>
      </c>
    </row>
    <row r="440" spans="1:4" x14ac:dyDescent="0.25">
      <c r="A440" t="s">
        <v>654</v>
      </c>
      <c r="B440" s="1" t="s">
        <v>655</v>
      </c>
      <c r="C440" t="e" cm="1">
        <f t="array" aca="1" ref="C440" ca="1">XGETVOLUME("CC100 - 300x500, Reinforcement: 8-N24, Ties: N12@225CTS., Tie type: 7, @ L4[1|S;3|L4;6|32MPa]",0)</f>
        <v>#NAME?</v>
      </c>
      <c r="D440" t="s">
        <v>64</v>
      </c>
    </row>
    <row r="441" spans="1:4" x14ac:dyDescent="0.25">
      <c r="A441" t="s">
        <v>656</v>
      </c>
      <c r="B441" s="1" t="s">
        <v>657</v>
      </c>
      <c r="C441" t="e" cm="1">
        <f t="array" aca="1" ref="C441" ca="1">XGETVOLUME("CC97 - 300x500, Reinforcement: 8-N24, Ties: N12@225CTS., Tie type: 7, @ L4[1|S;3|L4;6|32MPa]",0)</f>
        <v>#NAME?</v>
      </c>
      <c r="D441" t="s">
        <v>64</v>
      </c>
    </row>
    <row r="442" spans="1:4" x14ac:dyDescent="0.25">
      <c r="A442" t="s">
        <v>658</v>
      </c>
      <c r="B442" s="1" t="s">
        <v>659</v>
      </c>
      <c r="C442" t="e" cm="1">
        <f t="array" aca="1" ref="C442" ca="1">XGETVOLUME("CC98 - 300x500, Reinforcement: 8-N24, Ties: N12@225CTS., Tie type: 7, @ L4[1|S;3|L4;6|32MPa]",0)</f>
        <v>#NAME?</v>
      </c>
      <c r="D442" t="s">
        <v>64</v>
      </c>
    </row>
    <row r="443" spans="1:4" x14ac:dyDescent="0.25">
      <c r="A443" t="s">
        <v>660</v>
      </c>
      <c r="B443" s="1" t="s">
        <v>661</v>
      </c>
      <c r="C443" t="e" cm="1">
        <f t="array" aca="1" ref="C443" ca="1">XGETVOLUME("CC99 - 300x500, Reinforcement: 8-N24, Ties: N12@225CTS., Tie type: 7, @ L4[1|S;3|L4;6|32MPa]",0)</f>
        <v>#NAME?</v>
      </c>
      <c r="D443" t="s">
        <v>64</v>
      </c>
    </row>
    <row r="444" spans="1:4" ht="30" x14ac:dyDescent="0.25">
      <c r="B444" s="1" t="s">
        <v>346</v>
      </c>
      <c r="D444" t="s">
        <v>76</v>
      </c>
    </row>
    <row r="445" spans="1:4" x14ac:dyDescent="0.25">
      <c r="B445" s="1" t="s">
        <v>515</v>
      </c>
      <c r="D445" t="s">
        <v>78</v>
      </c>
    </row>
    <row r="446" spans="1:4" x14ac:dyDescent="0.25">
      <c r="A446" t="s">
        <v>662</v>
      </c>
      <c r="B446" s="1" t="s">
        <v>348</v>
      </c>
      <c r="C446" t="e" cm="1">
        <f t="array" aca="1" ref="C446" ca="1">XGETVOLUME("160mm thick SS, REO: xxx, PT: xxx[1|S;3|L1]",0)</f>
        <v>#NAME?</v>
      </c>
      <c r="D446" t="s">
        <v>64</v>
      </c>
    </row>
    <row r="447" spans="1:4" x14ac:dyDescent="0.25">
      <c r="B447" s="1" t="s">
        <v>663</v>
      </c>
      <c r="D447" t="s">
        <v>76</v>
      </c>
    </row>
    <row r="448" spans="1:4" x14ac:dyDescent="0.25">
      <c r="B448" s="1" t="s">
        <v>518</v>
      </c>
      <c r="D448" t="s">
        <v>78</v>
      </c>
    </row>
    <row r="449" spans="1:4" x14ac:dyDescent="0.25">
      <c r="A449" t="s">
        <v>664</v>
      </c>
      <c r="B449" s="1" t="s">
        <v>665</v>
      </c>
      <c r="C449" t="e" cm="1">
        <f t="array" aca="1" ref="C449" ca="1">XGETVOLUME("200mm thick Ramp Slab, REO: xxx, PT: xxx[1|S;3|L2]",0)</f>
        <v>#NAME?</v>
      </c>
      <c r="D449" t="s">
        <v>64</v>
      </c>
    </row>
    <row r="450" spans="1:4" x14ac:dyDescent="0.25">
      <c r="B450" s="1" t="s">
        <v>349</v>
      </c>
      <c r="D450" t="s">
        <v>76</v>
      </c>
    </row>
    <row r="451" spans="1:4" x14ac:dyDescent="0.25">
      <c r="B451" s="1" t="s">
        <v>518</v>
      </c>
      <c r="D451" t="s">
        <v>78</v>
      </c>
    </row>
    <row r="452" spans="1:4" x14ac:dyDescent="0.25">
      <c r="A452" t="s">
        <v>666</v>
      </c>
      <c r="B452" s="1" t="s">
        <v>351</v>
      </c>
      <c r="C452" t="e" cm="1">
        <f t="array" aca="1" ref="C452" ca="1">XGETVOLUME("200mm thick SS, REO: xxx, PT: xxx[1|S;3|L2]",0)</f>
        <v>#NAME?</v>
      </c>
      <c r="D452" t="s">
        <v>64</v>
      </c>
    </row>
    <row r="453" spans="1:4" x14ac:dyDescent="0.25">
      <c r="A453" t="s">
        <v>667</v>
      </c>
      <c r="B453" s="1" t="s">
        <v>668</v>
      </c>
      <c r="C453" t="e" cm="1">
        <f t="array" aca="1" ref="C453" ca="1">XGETVOLUME("300mm thick SS, REO: xxx, PT: xxx[1|S;3|L2]",0)</f>
        <v>#NAME?</v>
      </c>
      <c r="D453" t="s">
        <v>64</v>
      </c>
    </row>
    <row r="454" spans="1:4" x14ac:dyDescent="0.25">
      <c r="A454" t="s">
        <v>669</v>
      </c>
      <c r="B454" s="1" t="s">
        <v>353</v>
      </c>
      <c r="C454" t="e" cm="1">
        <f t="array" aca="1" ref="C454" ca="1">XGETVOLUME("200mm thick PT Slab, REO: 50, PT: 7[1|S;3|L2]",0)</f>
        <v>#NAME?</v>
      </c>
      <c r="D454" t="s">
        <v>64</v>
      </c>
    </row>
    <row r="455" spans="1:4" x14ac:dyDescent="0.25">
      <c r="A455" t="s">
        <v>670</v>
      </c>
      <c r="B455" s="1" t="s">
        <v>368</v>
      </c>
      <c r="C455" t="e" cm="1">
        <f t="array" aca="1" ref="C455" ca="1">XGETVOLUME("250mm thick PT Slab, REO: 50, PT: 7[1|S;3|L2]",0)</f>
        <v>#NAME?</v>
      </c>
      <c r="D455" t="s">
        <v>64</v>
      </c>
    </row>
    <row r="456" spans="1:4" x14ac:dyDescent="0.25">
      <c r="A456" t="s">
        <v>671</v>
      </c>
      <c r="B456" s="1" t="s">
        <v>379</v>
      </c>
      <c r="C456" t="e" cm="1">
        <f t="array" aca="1" ref="C456" ca="1">XGETVOLUME("300mm thick PT Slab, REO: 50, PT: 7[1|S;3|L2]",0)</f>
        <v>#NAME?</v>
      </c>
      <c r="D456" t="s">
        <v>64</v>
      </c>
    </row>
    <row r="457" spans="1:4" x14ac:dyDescent="0.25">
      <c r="A457" t="s">
        <v>672</v>
      </c>
      <c r="B457" s="1" t="s">
        <v>673</v>
      </c>
      <c r="C457" t="e" cm="1">
        <f t="array" aca="1" ref="C457" ca="1">XGETVOLUME("350mm thick PT Slab, REO: 50, PT: 7[1|S;3|L2]",0)</f>
        <v>#NAME?</v>
      </c>
      <c r="D457" t="s">
        <v>64</v>
      </c>
    </row>
    <row r="458" spans="1:4" x14ac:dyDescent="0.25">
      <c r="A458" t="s">
        <v>674</v>
      </c>
      <c r="B458" s="1" t="s">
        <v>675</v>
      </c>
      <c r="C458" t="e" cm="1">
        <f t="array" aca="1" ref="C458" ca="1">XGETVOLUME("40mm thick integral fall to 300mm thick suspended slab[1|S;3|L2]",0)</f>
        <v>#NAME?</v>
      </c>
      <c r="D458" t="s">
        <v>64</v>
      </c>
    </row>
    <row r="459" spans="1:4" x14ac:dyDescent="0.25">
      <c r="A459" t="s">
        <v>676</v>
      </c>
      <c r="B459" s="1" t="s">
        <v>357</v>
      </c>
      <c r="C459" t="e" cm="1">
        <f t="array" aca="1" ref="C459" ca="1">XGETVOLUME("40mm thick integral fall to 200mm thick suspended slab[1|S;3|L2]",0)</f>
        <v>#NAME?</v>
      </c>
      <c r="D459" t="s">
        <v>64</v>
      </c>
    </row>
    <row r="460" spans="1:4" x14ac:dyDescent="0.25">
      <c r="A460" t="s">
        <v>677</v>
      </c>
      <c r="B460" s="1" t="s">
        <v>678</v>
      </c>
      <c r="C460" t="e" cm="1">
        <f t="array" aca="1" ref="C460" ca="1">XGETVOLUME("40mm thick integral fall to 250mm thick PT slab[1|S;3|L2]",0)</f>
        <v>#NAME?</v>
      </c>
      <c r="D460" t="s">
        <v>64</v>
      </c>
    </row>
    <row r="461" spans="1:4" x14ac:dyDescent="0.25">
      <c r="A461" t="s">
        <v>679</v>
      </c>
      <c r="B461" s="1" t="s">
        <v>680</v>
      </c>
      <c r="C461" t="e" cm="1">
        <f t="array" aca="1" ref="C461" ca="1">XGETVOLUME("40mm thick integral fall to 350mm thick PT slab[1|S;3|L2]",0)</f>
        <v>#NAME?</v>
      </c>
      <c r="D461" t="s">
        <v>64</v>
      </c>
    </row>
    <row r="462" spans="1:4" x14ac:dyDescent="0.25">
      <c r="A462" t="s">
        <v>681</v>
      </c>
      <c r="B462" s="1" t="s">
        <v>682</v>
      </c>
      <c r="C462" t="e" cm="1">
        <f t="array" aca="1" ref="C462" ca="1">XGETVOLUME("250mm slab fold, REO: XXX[1|S;3|L2]",0)</f>
        <v>#NAME?</v>
      </c>
      <c r="D462" t="s">
        <v>64</v>
      </c>
    </row>
    <row r="463" spans="1:4" x14ac:dyDescent="0.25">
      <c r="A463" t="s">
        <v>683</v>
      </c>
      <c r="B463" s="1" t="s">
        <v>361</v>
      </c>
      <c r="C463" t="e" cm="1">
        <f t="array" aca="1" ref="C463" ca="1">XGETVOLUME("600mm slab fold, REO: XXX[1|S;3|L2]",0)</f>
        <v>#NAME?</v>
      </c>
      <c r="D463" t="s">
        <v>64</v>
      </c>
    </row>
    <row r="464" spans="1:4" x14ac:dyDescent="0.25">
      <c r="A464" t="s">
        <v>684</v>
      </c>
      <c r="B464" s="1" t="s">
        <v>685</v>
      </c>
      <c r="C464" t="e" cm="1">
        <f t="array" aca="1" ref="C464" ca="1">XGETVOLUME("100mm thick slab topping[1|S;3|L2]",0)</f>
        <v>#NAME?</v>
      </c>
      <c r="D464" t="s">
        <v>64</v>
      </c>
    </row>
    <row r="465" spans="1:4" x14ac:dyDescent="0.25">
      <c r="A465" t="s">
        <v>686</v>
      </c>
      <c r="B465" s="1" t="s">
        <v>363</v>
      </c>
      <c r="C465" t="e" cm="1">
        <f t="array" aca="1" ref="C465" ca="1">XGETAREA("Extra over labour for setdown[1|S;3|L2]",0)</f>
        <v>#NAME?</v>
      </c>
      <c r="D465" t="s">
        <v>364</v>
      </c>
    </row>
    <row r="466" spans="1:4" x14ac:dyDescent="0.25">
      <c r="B466" s="1" t="s">
        <v>538</v>
      </c>
      <c r="D466" t="s">
        <v>78</v>
      </c>
    </row>
    <row r="467" spans="1:4" x14ac:dyDescent="0.25">
      <c r="A467" t="s">
        <v>687</v>
      </c>
      <c r="B467" s="1" t="s">
        <v>351</v>
      </c>
      <c r="C467" t="e" cm="1">
        <f t="array" aca="1" ref="C467" ca="1">XGETVOLUME("200mm thick SS, REO: xxx, PT: xxx[1|S;3|L3]",0)</f>
        <v>#NAME?</v>
      </c>
      <c r="D467" t="s">
        <v>64</v>
      </c>
    </row>
    <row r="468" spans="1:4" x14ac:dyDescent="0.25">
      <c r="A468" t="s">
        <v>688</v>
      </c>
      <c r="B468" s="1" t="s">
        <v>353</v>
      </c>
      <c r="C468" t="e" cm="1">
        <f t="array" aca="1" ref="C468" ca="1">XGETVOLUME("200mm thick PT Slab, REO: 50, PT: 7[1|S;3|L3]",0)</f>
        <v>#NAME?</v>
      </c>
      <c r="D468" t="s">
        <v>64</v>
      </c>
    </row>
    <row r="469" spans="1:4" x14ac:dyDescent="0.25">
      <c r="A469" t="s">
        <v>689</v>
      </c>
      <c r="B469" s="1" t="s">
        <v>368</v>
      </c>
      <c r="C469" t="e" cm="1">
        <f t="array" aca="1" ref="C469" ca="1">XGETVOLUME("250mm thick PT Slab, REO: 50, PT: 7[1|S;3|L3]",0)</f>
        <v>#NAME?</v>
      </c>
      <c r="D469" t="s">
        <v>64</v>
      </c>
    </row>
    <row r="470" spans="1:4" x14ac:dyDescent="0.25">
      <c r="A470" t="s">
        <v>690</v>
      </c>
      <c r="B470" s="1" t="s">
        <v>371</v>
      </c>
      <c r="C470" t="e" cm="1">
        <f t="array" aca="1" ref="C470" ca="1">XGETVOLUME("40mm thick integral fall to 250mm thick PT slab[1|S;3|L3]",0)</f>
        <v>#NAME?</v>
      </c>
      <c r="D470" t="s">
        <v>64</v>
      </c>
    </row>
    <row r="471" spans="1:4" x14ac:dyDescent="0.25">
      <c r="A471" t="s">
        <v>691</v>
      </c>
      <c r="B471" s="1" t="s">
        <v>361</v>
      </c>
      <c r="C471" t="e" cm="1">
        <f t="array" aca="1" ref="C471" ca="1">XGETVOLUME("600mm slab fold, REO: XXX[1|S;3|L3]",0)</f>
        <v>#NAME?</v>
      </c>
      <c r="D471" t="s">
        <v>64</v>
      </c>
    </row>
    <row r="472" spans="1:4" x14ac:dyDescent="0.25">
      <c r="A472" t="s">
        <v>692</v>
      </c>
      <c r="B472" s="1" t="s">
        <v>363</v>
      </c>
      <c r="C472" t="e" cm="1">
        <f t="array" aca="1" ref="C472" ca="1">XGETAREA("Extra over labour for setdown[1|S;3|L3]",0)</f>
        <v>#NAME?</v>
      </c>
      <c r="D472" t="s">
        <v>364</v>
      </c>
    </row>
    <row r="473" spans="1:4" x14ac:dyDescent="0.25">
      <c r="B473" s="1" t="s">
        <v>522</v>
      </c>
      <c r="D473" t="s">
        <v>78</v>
      </c>
    </row>
    <row r="474" spans="1:4" x14ac:dyDescent="0.25">
      <c r="A474" t="s">
        <v>693</v>
      </c>
      <c r="B474" s="1" t="s">
        <v>351</v>
      </c>
      <c r="C474" t="e" cm="1">
        <f t="array" aca="1" ref="C474" ca="1">XGETVOLUME("200mm thick SS, REO: xxx, PT: xxx[1|S;3|L4]",0)</f>
        <v>#NAME?</v>
      </c>
      <c r="D474" t="s">
        <v>64</v>
      </c>
    </row>
    <row r="475" spans="1:4" x14ac:dyDescent="0.25">
      <c r="A475" t="s">
        <v>694</v>
      </c>
      <c r="B475" s="1" t="s">
        <v>353</v>
      </c>
      <c r="C475" t="e" cm="1">
        <f t="array" aca="1" ref="C475" ca="1">XGETVOLUME("200mm thick PT Slab, REO: 50, PT: 7[1|S;3|L4]",0)</f>
        <v>#NAME?</v>
      </c>
      <c r="D475" t="s">
        <v>64</v>
      </c>
    </row>
    <row r="476" spans="1:4" x14ac:dyDescent="0.25">
      <c r="A476" t="s">
        <v>695</v>
      </c>
      <c r="B476" s="1" t="s">
        <v>368</v>
      </c>
      <c r="C476" t="e" cm="1">
        <f t="array" aca="1" ref="C476" ca="1">XGETVOLUME("250mm thick PT Slab, REO: 50, PT: 7[1|S;3|L4]",0)</f>
        <v>#NAME?</v>
      </c>
      <c r="D476" t="s">
        <v>64</v>
      </c>
    </row>
    <row r="477" spans="1:4" x14ac:dyDescent="0.25">
      <c r="A477" t="s">
        <v>696</v>
      </c>
      <c r="B477" s="1" t="s">
        <v>361</v>
      </c>
      <c r="C477" t="e" cm="1">
        <f t="array" aca="1" ref="C477" ca="1">XGETVOLUME("600mm slab fold, REO: XXX[1|S;3|L4]",0)</f>
        <v>#NAME?</v>
      </c>
      <c r="D477" t="s">
        <v>64</v>
      </c>
    </row>
    <row r="478" spans="1:4" x14ac:dyDescent="0.25">
      <c r="A478" t="s">
        <v>697</v>
      </c>
      <c r="B478" s="1" t="s">
        <v>363</v>
      </c>
      <c r="C478" t="e" cm="1">
        <f t="array" aca="1" ref="C478" ca="1">XGETAREA("Extra over labour for setdown[1|S;3|L4]",0)</f>
        <v>#NAME?</v>
      </c>
      <c r="D478" t="s">
        <v>364</v>
      </c>
    </row>
    <row r="479" spans="1:4" x14ac:dyDescent="0.25">
      <c r="B479" s="1" t="s">
        <v>698</v>
      </c>
      <c r="D479" t="s">
        <v>78</v>
      </c>
    </row>
    <row r="480" spans="1:4" x14ac:dyDescent="0.25">
      <c r="A480" t="s">
        <v>699</v>
      </c>
      <c r="B480" s="1" t="s">
        <v>351</v>
      </c>
      <c r="C480" t="e" cm="1">
        <f t="array" aca="1" ref="C480" ca="1">XGETVOLUME("40mm thick integral fall to 200mm thick suspended slab[1|S;3|Roof]",0)</f>
        <v>#NAME?</v>
      </c>
      <c r="D480" t="s">
        <v>64</v>
      </c>
    </row>
    <row r="481" spans="1:4" x14ac:dyDescent="0.25">
      <c r="A481" t="s">
        <v>700</v>
      </c>
      <c r="B481" s="1" t="s">
        <v>357</v>
      </c>
      <c r="C481" t="e" cm="1">
        <f t="array" aca="1" ref="C481" ca="1">XGETVOLUME("40mm thick integral fall to 200mm thick suspended slab[1|S;3|Roof]",0)</f>
        <v>#NAME?</v>
      </c>
      <c r="D481" t="s">
        <v>64</v>
      </c>
    </row>
    <row r="482" spans="1:4" x14ac:dyDescent="0.25">
      <c r="B482" s="1" t="s">
        <v>388</v>
      </c>
      <c r="D482" t="s">
        <v>76</v>
      </c>
    </row>
    <row r="483" spans="1:4" x14ac:dyDescent="0.25">
      <c r="B483" s="1" t="s">
        <v>518</v>
      </c>
      <c r="D483" t="s">
        <v>78</v>
      </c>
    </row>
    <row r="484" spans="1:4" x14ac:dyDescent="0.25">
      <c r="A484" t="s">
        <v>701</v>
      </c>
      <c r="B484" s="1" t="s">
        <v>702</v>
      </c>
      <c r="C484" t="e" cm="1">
        <f t="array" aca="1" ref="C484" ca="1">XGETVOLUME("L2-B3: 400 x 1500mm PT Beam, REO: xx PT Rate:xxx[1|S;3|L2]",0)</f>
        <v>#NAME?</v>
      </c>
      <c r="D484" t="s">
        <v>64</v>
      </c>
    </row>
    <row r="485" spans="1:4" x14ac:dyDescent="0.25">
      <c r="A485" t="s">
        <v>703</v>
      </c>
      <c r="B485" s="1" t="s">
        <v>704</v>
      </c>
      <c r="C485" t="e" cm="1">
        <f t="array" aca="1" ref="C485" ca="1">XGETVOLUME("L2-B5: 300 x 1500mm PT Beam, REO: xx PT Rate:xxx[1|S;3|L2]",0)</f>
        <v>#NAME?</v>
      </c>
      <c r="D485" t="s">
        <v>64</v>
      </c>
    </row>
    <row r="486" spans="1:4" x14ac:dyDescent="0.25">
      <c r="A486" t="s">
        <v>705</v>
      </c>
      <c r="B486" s="1" t="s">
        <v>706</v>
      </c>
      <c r="C486" t="e" cm="1">
        <f t="array" aca="1" ref="C486" ca="1">XGETVOLUME("L2-B6: 400 x 1650mm PT Beam, REO: xx PT Rate:xxx[1|S;3|L2]",0)</f>
        <v>#NAME?</v>
      </c>
      <c r="D486" t="s">
        <v>64</v>
      </c>
    </row>
    <row r="487" spans="1:4" x14ac:dyDescent="0.25">
      <c r="A487" t="s">
        <v>707</v>
      </c>
      <c r="B487" s="1" t="s">
        <v>708</v>
      </c>
      <c r="C487" t="e" cm="1">
        <f t="array" aca="1" ref="C487" ca="1">XGETVOLUME("L2-B7: 400 x 1500mm PT Beam, REO: xx PT Rate:xxx[1|S;3|L2]",0)</f>
        <v>#NAME?</v>
      </c>
      <c r="D487" t="s">
        <v>64</v>
      </c>
    </row>
    <row r="488" spans="1:4" x14ac:dyDescent="0.25">
      <c r="A488" t="s">
        <v>709</v>
      </c>
      <c r="B488" s="1" t="s">
        <v>710</v>
      </c>
      <c r="C488" t="e" cm="1">
        <f t="array" aca="1" ref="C488" ca="1">XGETVOLUME("L2-B8: 400 x 592mm PT Beam, REO: xx PT Rate:xxx[1|S;3|L2]",0)</f>
        <v>#NAME?</v>
      </c>
      <c r="D488" t="s">
        <v>64</v>
      </c>
    </row>
    <row r="489" spans="1:4" x14ac:dyDescent="0.25">
      <c r="A489" t="s">
        <v>711</v>
      </c>
      <c r="B489" s="1" t="s">
        <v>712</v>
      </c>
      <c r="C489" t="e" cm="1">
        <f t="array" aca="1" ref="C489" ca="1">XGETVOLUME("L2-B9: 400 x 1052mm PT Beam, REO: xx PT Rate:xxx[1|S;3|L2]",0)</f>
        <v>#NAME?</v>
      </c>
      <c r="D489" t="s">
        <v>64</v>
      </c>
    </row>
    <row r="490" spans="1:4" x14ac:dyDescent="0.25">
      <c r="A490" t="s">
        <v>713</v>
      </c>
      <c r="B490" s="1" t="s">
        <v>714</v>
      </c>
      <c r="C490" t="e" cm="1">
        <f t="array" aca="1" ref="C490" ca="1">XGETVOLUME("L2-B10: 300 x 495mm PT Beam, REO: xx PT Rate:xxx[1|S;3|L2]",0)</f>
        <v>#NAME?</v>
      </c>
      <c r="D490" t="s">
        <v>64</v>
      </c>
    </row>
    <row r="491" spans="1:4" ht="30" x14ac:dyDescent="0.25">
      <c r="A491" t="s">
        <v>715</v>
      </c>
      <c r="B491" s="1" t="s">
        <v>716</v>
      </c>
      <c r="C491" t="e" cm="1">
        <f t="array" aca="1" ref="C491" ca="1">XGETVOLUME("*L2-B1: 400 x 1052mm PT Beam, REO: xx PT Rate:xxx[1|S;3|L2]",0)</f>
        <v>#NAME?</v>
      </c>
      <c r="D491" t="s">
        <v>64</v>
      </c>
    </row>
    <row r="492" spans="1:4" ht="30" x14ac:dyDescent="0.25">
      <c r="A492" t="s">
        <v>717</v>
      </c>
      <c r="B492" s="1" t="s">
        <v>718</v>
      </c>
      <c r="C492" t="e" cm="1">
        <f t="array" aca="1" ref="C492" ca="1">XGETVOLUME("*L2-B2: 400 x 592mm PT Beam, REO: xx PT Rate:xxx[1|S;3|L2]",0)</f>
        <v>#NAME?</v>
      </c>
      <c r="D492" t="s">
        <v>64</v>
      </c>
    </row>
    <row r="493" spans="1:4" ht="30" x14ac:dyDescent="0.25">
      <c r="A493" t="s">
        <v>719</v>
      </c>
      <c r="B493" s="1" t="s">
        <v>720</v>
      </c>
      <c r="C493" t="e" cm="1">
        <f t="array" aca="1" ref="C493" ca="1">XGETVOLUME("*L2-B4: 400 x 592mm PT Beam, REO: xx PT Rate:xxx[1|S;3|L2]",0)</f>
        <v>#NAME?</v>
      </c>
      <c r="D493" t="s">
        <v>64</v>
      </c>
    </row>
    <row r="494" spans="1:4" x14ac:dyDescent="0.25">
      <c r="A494" t="s">
        <v>721</v>
      </c>
      <c r="B494" s="1" t="s">
        <v>392</v>
      </c>
      <c r="C494" t="e" cm="1">
        <f t="array" aca="1" ref="C494" ca="1">XGETVOLUME("900 x 450mm PT Beam, REO: 50 PT Rate:7[1|S;3|L2]",0)</f>
        <v>#NAME?</v>
      </c>
      <c r="D494" t="s">
        <v>64</v>
      </c>
    </row>
    <row r="495" spans="1:4" x14ac:dyDescent="0.25">
      <c r="A495" t="s">
        <v>722</v>
      </c>
      <c r="B495" s="1" t="s">
        <v>723</v>
      </c>
      <c r="C495" t="e" cm="1">
        <f t="array" aca="1" ref="C495" ca="1">XGETVOLUME("1140 x 550mm PT Beam, REO: 50 PT Rate:7[1|S;3|L2]",0)</f>
        <v>#NAME?</v>
      </c>
      <c r="D495" t="s">
        <v>64</v>
      </c>
    </row>
    <row r="496" spans="1:4" x14ac:dyDescent="0.25">
      <c r="A496" t="s">
        <v>724</v>
      </c>
      <c r="B496" s="1" t="s">
        <v>404</v>
      </c>
      <c r="C496" t="e" cm="1">
        <f t="array" aca="1" ref="C496" ca="1">XGETVOLUME("1800 x 450mm PT Beam, REO: 50 PT Rate:7[1|S;3|L2]",0)</f>
        <v>#NAME?</v>
      </c>
      <c r="D496" t="s">
        <v>64</v>
      </c>
    </row>
    <row r="497" spans="1:4" x14ac:dyDescent="0.25">
      <c r="A497" t="s">
        <v>725</v>
      </c>
      <c r="B497" s="1" t="s">
        <v>406</v>
      </c>
      <c r="C497" t="e" cm="1">
        <f t="array" aca="1" ref="C497" ca="1">XGETVOLUME("1800 x 550mm PT Beam, REO: 50 PT Rate:7[1|S;3|L2]",0)</f>
        <v>#NAME?</v>
      </c>
      <c r="D497" t="s">
        <v>64</v>
      </c>
    </row>
    <row r="498" spans="1:4" x14ac:dyDescent="0.25">
      <c r="A498" t="s">
        <v>726</v>
      </c>
      <c r="B498" s="1" t="s">
        <v>727</v>
      </c>
      <c r="C498" t="e" cm="1">
        <f t="array" aca="1" ref="C498" ca="1">XGETVOLUME("2000 x 550mm PT Beam, REO: 50 PT Rate:7[1|S;3|L2]",0)</f>
        <v>#NAME?</v>
      </c>
      <c r="D498" t="s">
        <v>64</v>
      </c>
    </row>
    <row r="499" spans="1:4" x14ac:dyDescent="0.25">
      <c r="A499" t="s">
        <v>728</v>
      </c>
      <c r="B499" s="1" t="s">
        <v>418</v>
      </c>
      <c r="C499" t="e" cm="1">
        <f t="array" aca="1" ref="C499" ca="1">XGETVOLUME("2400 x 450mm PT Beam, REO: 50 PT Rate:7[1|S;3|L2]",0)</f>
        <v>#NAME?</v>
      </c>
      <c r="D499" t="s">
        <v>64</v>
      </c>
    </row>
    <row r="500" spans="1:4" x14ac:dyDescent="0.25">
      <c r="A500" t="s">
        <v>729</v>
      </c>
      <c r="B500" s="1" t="s">
        <v>730</v>
      </c>
      <c r="C500" t="e" cm="1">
        <f t="array" aca="1" ref="C500" ca="1">XGETVOLUME("3000 x 625mm PT Beam, REO: 50 PT Rate:7[1|S;3|L2]",0)</f>
        <v>#NAME?</v>
      </c>
      <c r="D500" t="s">
        <v>64</v>
      </c>
    </row>
    <row r="501" spans="1:4" x14ac:dyDescent="0.25">
      <c r="B501" s="1" t="s">
        <v>538</v>
      </c>
      <c r="D501" t="s">
        <v>78</v>
      </c>
    </row>
    <row r="502" spans="1:4" x14ac:dyDescent="0.25">
      <c r="A502" t="s">
        <v>731</v>
      </c>
      <c r="B502" s="1" t="s">
        <v>392</v>
      </c>
      <c r="C502" t="e" cm="1">
        <f t="array" aca="1" ref="C502" ca="1">XGETVOLUME("900 x 450mm PT Beam, REO: 50 PT Rate:7[1|S;3|L3]",0)</f>
        <v>#NAME?</v>
      </c>
      <c r="D502" t="s">
        <v>64</v>
      </c>
    </row>
    <row r="503" spans="1:4" x14ac:dyDescent="0.25">
      <c r="A503" t="s">
        <v>732</v>
      </c>
      <c r="B503" s="1" t="s">
        <v>733</v>
      </c>
      <c r="C503" t="e" cm="1">
        <f t="array" aca="1" ref="C503" ca="1">XGETVOLUME("1140 x 450mm PT Beam, REO: 50 PT Rate:7[1|S;3|L3]",0)</f>
        <v>#NAME?</v>
      </c>
      <c r="D503" t="s">
        <v>64</v>
      </c>
    </row>
    <row r="504" spans="1:4" x14ac:dyDescent="0.25">
      <c r="A504" t="s">
        <v>734</v>
      </c>
      <c r="B504" s="1" t="s">
        <v>404</v>
      </c>
      <c r="C504" t="e" cm="1">
        <f t="array" aca="1" ref="C504" ca="1">XGETVOLUME("1800 x 450mm PT Beam, REO: 50 PT Rate:7[1|S;3|L3]",0)</f>
        <v>#NAME?</v>
      </c>
      <c r="D504" t="s">
        <v>64</v>
      </c>
    </row>
    <row r="505" spans="1:4" x14ac:dyDescent="0.25">
      <c r="A505" t="s">
        <v>735</v>
      </c>
      <c r="B505" s="1" t="s">
        <v>444</v>
      </c>
      <c r="C505" t="e" cm="1">
        <f t="array" aca="1" ref="C505" ca="1">XGETVOLUME("2000 x 450mm PT Beam, REO: 50 PT Rate:7[1|S;3|L3]",0)</f>
        <v>#NAME?</v>
      </c>
      <c r="D505" t="s">
        <v>64</v>
      </c>
    </row>
    <row r="506" spans="1:4" x14ac:dyDescent="0.25">
      <c r="A506" t="s">
        <v>736</v>
      </c>
      <c r="B506" s="1" t="s">
        <v>737</v>
      </c>
      <c r="C506" t="e" cm="1">
        <f t="array" aca="1" ref="C506" ca="1">XGETVOLUME("2240 x 450mm PT Beam, REO: 50 PT Rate:7[1|S;3|L3]",0)</f>
        <v>#NAME?</v>
      </c>
      <c r="D506" t="s">
        <v>64</v>
      </c>
    </row>
    <row r="507" spans="1:4" x14ac:dyDescent="0.25">
      <c r="A507" t="s">
        <v>738</v>
      </c>
      <c r="B507" s="1" t="s">
        <v>739</v>
      </c>
      <c r="C507" t="e" cm="1">
        <f t="array" aca="1" ref="C507" ca="1">XGETVOLUME("2600 x 450mm PT Beam, REO: 50 PT Rate:7[1|S;3|L3]",0)</f>
        <v>#NAME?</v>
      </c>
      <c r="D507" t="s">
        <v>64</v>
      </c>
    </row>
    <row r="508" spans="1:4" x14ac:dyDescent="0.25">
      <c r="B508" s="1" t="s">
        <v>522</v>
      </c>
      <c r="D508" t="s">
        <v>78</v>
      </c>
    </row>
    <row r="509" spans="1:4" x14ac:dyDescent="0.25">
      <c r="A509" t="s">
        <v>740</v>
      </c>
      <c r="B509" s="1" t="s">
        <v>392</v>
      </c>
      <c r="C509" t="e" cm="1">
        <f t="array" aca="1" ref="C509" ca="1">XGETVOLUME("900 x 450mm PT Beam, REO: 50 PT Rate:7[1|S;3|L4]",0)</f>
        <v>#NAME?</v>
      </c>
      <c r="D509" t="s">
        <v>64</v>
      </c>
    </row>
    <row r="510" spans="1:4" x14ac:dyDescent="0.25">
      <c r="A510" t="s">
        <v>741</v>
      </c>
      <c r="B510" s="1" t="s">
        <v>733</v>
      </c>
      <c r="C510" t="e" cm="1">
        <f t="array" aca="1" ref="C510" ca="1">XGETVOLUME("1140 x 450mm PT Beam, REO: 50 PT Rate:7[1|S;3|L4]",0)</f>
        <v>#NAME?</v>
      </c>
      <c r="D510" t="s">
        <v>64</v>
      </c>
    </row>
    <row r="511" spans="1:4" x14ac:dyDescent="0.25">
      <c r="A511" t="s">
        <v>742</v>
      </c>
      <c r="B511" s="1" t="s">
        <v>743</v>
      </c>
      <c r="C511" t="e" cm="1">
        <f t="array" aca="1" ref="C511" ca="1">XGETVOLUME("1350 x 450mm PT Beam, REO: 50 PT Rate:7[1|S;3|L4]",0)</f>
        <v>#NAME?</v>
      </c>
      <c r="D511" t="s">
        <v>64</v>
      </c>
    </row>
    <row r="512" spans="1:4" x14ac:dyDescent="0.25">
      <c r="A512" t="s">
        <v>744</v>
      </c>
      <c r="B512" s="1" t="s">
        <v>404</v>
      </c>
      <c r="C512" t="e" cm="1">
        <f t="array" aca="1" ref="C512" ca="1">XGETVOLUME("1800 x 450mm PT Beam, REO: 50 PT Rate:7[1|S;3|L4]",0)</f>
        <v>#NAME?</v>
      </c>
      <c r="D512" t="s">
        <v>64</v>
      </c>
    </row>
    <row r="513" spans="1:4" x14ac:dyDescent="0.25">
      <c r="A513" t="s">
        <v>745</v>
      </c>
      <c r="B513" s="1" t="s">
        <v>444</v>
      </c>
      <c r="C513" t="e" cm="1">
        <f t="array" aca="1" ref="C513" ca="1">XGETVOLUME("2000 x 450mm PT Beam, REO: 50 PT Rate:7[1|S;3|L4]",0)</f>
        <v>#NAME?</v>
      </c>
      <c r="D513" t="s">
        <v>64</v>
      </c>
    </row>
    <row r="514" spans="1:4" x14ac:dyDescent="0.25">
      <c r="A514" t="s">
        <v>746</v>
      </c>
      <c r="B514" s="1" t="s">
        <v>739</v>
      </c>
      <c r="C514" t="e" cm="1">
        <f t="array" aca="1" ref="C514" ca="1">XGETVOLUME("2600 x 450mm PT Beam, REO: 50 PT Rate:7[1|S;3|L4]",0)</f>
        <v>#NAME?</v>
      </c>
      <c r="D514" t="s">
        <v>64</v>
      </c>
    </row>
    <row r="515" spans="1:4" x14ac:dyDescent="0.25">
      <c r="B515" s="1" t="s">
        <v>448</v>
      </c>
      <c r="D515" t="s">
        <v>14</v>
      </c>
    </row>
    <row r="516" spans="1:4" ht="30" x14ac:dyDescent="0.25">
      <c r="A516" t="s">
        <v>747</v>
      </c>
      <c r="B516" s="1" t="s">
        <v>748</v>
      </c>
      <c r="C516" t="e" cm="1">
        <f t="array" aca="1" ref="C516" ca="1">XSUMQTY(0)</f>
        <v>#NAME?</v>
      </c>
      <c r="D516" t="s">
        <v>64</v>
      </c>
    </row>
    <row r="517" spans="1:4" ht="30" x14ac:dyDescent="0.25">
      <c r="A517" t="s">
        <v>749</v>
      </c>
      <c r="B517" s="1" t="s">
        <v>750</v>
      </c>
      <c r="C517" t="e" cm="1">
        <f t="array" aca="1" ref="C517" ca="1">XSUMQTY(0)</f>
        <v>#NAME?</v>
      </c>
      <c r="D517" t="s">
        <v>64</v>
      </c>
    </row>
    <row r="518" spans="1:4" ht="30" x14ac:dyDescent="0.25">
      <c r="A518" t="s">
        <v>751</v>
      </c>
      <c r="B518" s="1" t="s">
        <v>752</v>
      </c>
      <c r="C518" t="e" cm="1">
        <f t="array" aca="1" ref="C518" ca="1">XSUMQTY(0)</f>
        <v>#NAME?</v>
      </c>
      <c r="D518" t="s">
        <v>64</v>
      </c>
    </row>
    <row r="519" spans="1:4" ht="30" x14ac:dyDescent="0.25">
      <c r="A519" t="s">
        <v>753</v>
      </c>
      <c r="B519" s="1" t="s">
        <v>754</v>
      </c>
      <c r="C519" t="e" cm="1">
        <f t="array" aca="1" ref="C519" ca="1">XSUMQTY(0)</f>
        <v>#NAME?</v>
      </c>
      <c r="D519" t="s">
        <v>64</v>
      </c>
    </row>
    <row r="520" spans="1:4" x14ac:dyDescent="0.25">
      <c r="B520" s="1" t="s">
        <v>455</v>
      </c>
      <c r="D520" t="s">
        <v>14</v>
      </c>
    </row>
    <row r="521" spans="1:4" x14ac:dyDescent="0.25">
      <c r="B521" s="1" t="s">
        <v>456</v>
      </c>
      <c r="D521" t="s">
        <v>76</v>
      </c>
    </row>
    <row r="522" spans="1:4" x14ac:dyDescent="0.25">
      <c r="A522" t="s">
        <v>755</v>
      </c>
      <c r="B522" s="1" t="s">
        <v>458</v>
      </c>
      <c r="C522" t="e" cm="1">
        <f t="array" aca="1" ref="C522" ca="1">XSUMQTY(0)</f>
        <v>#NAME?</v>
      </c>
      <c r="D522" t="s">
        <v>364</v>
      </c>
    </row>
    <row r="523" spans="1:4" x14ac:dyDescent="0.25">
      <c r="A523" t="s">
        <v>756</v>
      </c>
      <c r="B523" s="1" t="s">
        <v>460</v>
      </c>
      <c r="C523" t="e" cm="1">
        <f t="array" aca="1" ref="C523" ca="1">XSUMQTY(0)</f>
        <v>#NAME?</v>
      </c>
      <c r="D523" t="s">
        <v>364</v>
      </c>
    </row>
    <row r="524" spans="1:4" x14ac:dyDescent="0.25">
      <c r="B524" s="1" t="s">
        <v>781</v>
      </c>
      <c r="C524" t="e" cm="1">
        <f t="array" aca="1" ref="C524" ca="1">XSUMQTY(0)</f>
        <v>#NAME?</v>
      </c>
      <c r="D524" t="s">
        <v>364</v>
      </c>
    </row>
    <row r="525" spans="1:4" x14ac:dyDescent="0.25">
      <c r="A525" t="s">
        <v>757</v>
      </c>
      <c r="B525" s="1" t="s">
        <v>462</v>
      </c>
      <c r="C525" t="e" cm="1">
        <f t="array" aca="1" ref="C525" ca="1">XSUMQTY(0)</f>
        <v>#NAME?</v>
      </c>
      <c r="D525" t="s">
        <v>364</v>
      </c>
    </row>
    <row r="526" spans="1:4" x14ac:dyDescent="0.25">
      <c r="B526" s="1" t="s">
        <v>463</v>
      </c>
      <c r="D526" t="s">
        <v>76</v>
      </c>
    </row>
    <row r="527" spans="1:4" x14ac:dyDescent="0.25">
      <c r="A527" t="s">
        <v>758</v>
      </c>
      <c r="B527" s="1" t="s">
        <v>465</v>
      </c>
      <c r="C527" t="e" cm="1">
        <f t="array" aca="1" ref="C527" ca="1">XSUMQTY(0)</f>
        <v>#NAME?</v>
      </c>
      <c r="D527" t="s">
        <v>364</v>
      </c>
    </row>
    <row r="528" spans="1:4" x14ac:dyDescent="0.25">
      <c r="A528" t="s">
        <v>759</v>
      </c>
      <c r="B528" s="1" t="s">
        <v>467</v>
      </c>
      <c r="C528" t="e" cm="1">
        <f t="array" aca="1" ref="C528" ca="1">XSUMQTY(0)</f>
        <v>#NAME?</v>
      </c>
      <c r="D528" t="s">
        <v>364</v>
      </c>
    </row>
    <row r="529" spans="1:4" x14ac:dyDescent="0.25">
      <c r="A529" t="s">
        <v>760</v>
      </c>
      <c r="B529" s="1" t="s">
        <v>469</v>
      </c>
      <c r="C529" t="e" cm="1">
        <f t="array" aca="1" ref="C529" ca="1">XSUMQTY(0)</f>
        <v>#NAME?</v>
      </c>
      <c r="D529" t="s">
        <v>364</v>
      </c>
    </row>
    <row r="530" spans="1:4" x14ac:dyDescent="0.25">
      <c r="B530" s="1" t="s">
        <v>470</v>
      </c>
      <c r="D530" t="s">
        <v>78</v>
      </c>
    </row>
    <row r="531" spans="1:4" x14ac:dyDescent="0.25">
      <c r="A531" t="s">
        <v>761</v>
      </c>
      <c r="B531" s="1" t="s">
        <v>472</v>
      </c>
      <c r="C531" t="e" cm="1">
        <f t="array" aca="1" ref="C531" ca="1">XSUMQTY(0)</f>
        <v>#NAME?</v>
      </c>
      <c r="D531" t="s">
        <v>473</v>
      </c>
    </row>
    <row r="532" spans="1:4" x14ac:dyDescent="0.25">
      <c r="A532" t="s">
        <v>762</v>
      </c>
      <c r="B532" s="1" t="s">
        <v>475</v>
      </c>
      <c r="C532" t="e" cm="1">
        <f t="array" aca="1" ref="C532" ca="1">XSUMQTY(0)</f>
        <v>#NAME?</v>
      </c>
      <c r="D532" t="s">
        <v>364</v>
      </c>
    </row>
    <row r="533" spans="1:4" x14ac:dyDescent="0.25">
      <c r="B533" s="1" t="s">
        <v>479</v>
      </c>
      <c r="D533" t="s">
        <v>76</v>
      </c>
    </row>
    <row r="534" spans="1:4" x14ac:dyDescent="0.25">
      <c r="A534" t="s">
        <v>763</v>
      </c>
      <c r="B534" s="1" t="s">
        <v>764</v>
      </c>
      <c r="C534" t="e" cm="1">
        <f t="array" aca="1" ref="C534" ca="1">XSUMQTY(0)</f>
        <v>#NAME?</v>
      </c>
      <c r="D534" t="s">
        <v>364</v>
      </c>
    </row>
    <row r="535" spans="1:4" ht="30" x14ac:dyDescent="0.25">
      <c r="A535" t="s">
        <v>765</v>
      </c>
      <c r="B535" s="1" t="s">
        <v>481</v>
      </c>
      <c r="C535" t="e" cm="1">
        <f t="array" aca="1" ref="C535" ca="1">XSUMQTY(0)</f>
        <v>#NAME?</v>
      </c>
      <c r="D535" t="s">
        <v>364</v>
      </c>
    </row>
    <row r="536" spans="1:4" x14ac:dyDescent="0.25">
      <c r="A536" t="s">
        <v>766</v>
      </c>
      <c r="B536" s="1" t="s">
        <v>483</v>
      </c>
      <c r="C536" t="e" cm="1">
        <f t="array" aca="1" ref="C536" ca="1">XSUMQTY(0)</f>
        <v>#NAME?</v>
      </c>
      <c r="D536" t="s">
        <v>364</v>
      </c>
    </row>
    <row r="537" spans="1:4" x14ac:dyDescent="0.25">
      <c r="A537" t="s">
        <v>767</v>
      </c>
      <c r="B537" s="1" t="s">
        <v>485</v>
      </c>
      <c r="C537" t="e" cm="1">
        <f t="array" aca="1" ref="C537" ca="1">XSUMQTY(0)</f>
        <v>#NAME?</v>
      </c>
      <c r="D537" t="s">
        <v>473</v>
      </c>
    </row>
    <row r="538" spans="1:4" x14ac:dyDescent="0.25">
      <c r="A538" t="s">
        <v>768</v>
      </c>
      <c r="B538" s="1" t="s">
        <v>487</v>
      </c>
      <c r="C538" t="e" cm="1">
        <f t="array" aca="1" ref="C538" ca="1">XSUMQTY(0)</f>
        <v>#NAME?</v>
      </c>
      <c r="D538" t="s">
        <v>364</v>
      </c>
    </row>
    <row r="539" spans="1:4" x14ac:dyDescent="0.25">
      <c r="B539" s="1" t="s">
        <v>488</v>
      </c>
      <c r="D539" t="s">
        <v>14</v>
      </c>
    </row>
    <row r="540" spans="1:4" x14ac:dyDescent="0.25">
      <c r="A540" t="s">
        <v>769</v>
      </c>
      <c r="B540" s="1" t="s">
        <v>495</v>
      </c>
      <c r="C540" t="e" cm="1">
        <f t="array" aca="1" ref="C540" ca="1">XSUMQTY(0)</f>
        <v>#NAME?</v>
      </c>
      <c r="D540" t="s">
        <v>473</v>
      </c>
    </row>
    <row r="541" spans="1:4" x14ac:dyDescent="0.25">
      <c r="B541" s="1" t="s">
        <v>496</v>
      </c>
      <c r="D541" t="s">
        <v>14</v>
      </c>
    </row>
    <row r="542" spans="1:4" x14ac:dyDescent="0.25">
      <c r="A542" t="s">
        <v>770</v>
      </c>
      <c r="B542" s="1" t="s">
        <v>498</v>
      </c>
      <c r="C542" t="e" cm="1">
        <f t="array" aca="1" ref="C542" ca="1">XSUMQTY(0)</f>
        <v>#NAME?</v>
      </c>
      <c r="D542" t="s">
        <v>364</v>
      </c>
    </row>
    <row r="543" spans="1:4" ht="30" x14ac:dyDescent="0.25">
      <c r="A543" t="s">
        <v>771</v>
      </c>
      <c r="B543" s="1" t="s">
        <v>772</v>
      </c>
      <c r="C543" t="e" cm="1">
        <f t="array" aca="1" ref="C543" ca="1">XSUMQTY(0)</f>
        <v>#NAME?</v>
      </c>
      <c r="D543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</dc:creator>
  <cp:lastModifiedBy>365</cp:lastModifiedBy>
  <dcterms:created xsi:type="dcterms:W3CDTF">2026-07-09T22:54:41Z</dcterms:created>
  <dcterms:modified xsi:type="dcterms:W3CDTF">2026-07-09T22:56:04Z</dcterms:modified>
</cp:coreProperties>
</file>