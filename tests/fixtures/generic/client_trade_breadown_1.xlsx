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unisyd.sharepoint.com/sites/ui/planningpathways&amp;heritage/Heritage/Buildings/A01 - Ross Street Teaching &amp; Learning Hub/Projects/PRJ000469 - A01 Ross St T &amp; L Hub - MBW/09 Contracts and Procurement/00 Main Building Works/04 RFT - A01 Ross St/03 Tender Addendums/Tender Addendum 02/"/>
    </mc:Choice>
  </mc:AlternateContent>
  <xr:revisionPtr revIDLastSave="67" documentId="13_ncr:1_{A7AD1AD7-5918-40F7-9156-D83578EA3EBE}" xr6:coauthVersionLast="47" xr6:coauthVersionMax="47" xr10:uidLastSave="{DAC120D3-F348-4020-87DD-247F9E8DC141}"/>
  <bookViews>
    <workbookView xWindow="-13980" yWindow="-16320" windowWidth="29040" windowHeight="15720" tabRatio="557" activeTab="4" xr2:uid="{00000000-000D-0000-FFFF-FFFF00000000}"/>
  </bookViews>
  <sheets>
    <sheet name="Summary " sheetId="18" r:id="rId1"/>
    <sheet name="Preliminaries " sheetId="15" r:id="rId2"/>
    <sheet name="VE" sheetId="8" r:id="rId3"/>
    <sheet name="Trade " sheetId="4" r:id="rId4"/>
    <sheet name="Trade - Elec" sheetId="22" r:id="rId5"/>
    <sheet name="Trade - Hydr" sheetId="23" r:id="rId6"/>
    <sheet name="Trade - Mech" sheetId="21" r:id="rId7"/>
    <sheet name="Trade - Fire" sheetId="24" r:id="rId8"/>
    <sheet name="Design " sheetId="6" r:id="rId9"/>
    <sheet name="Prov Sums " sheetId="17" r:id="rId10"/>
    <sheet name="PA Variations" sheetId="19" r:id="rId11"/>
    <sheet name="Labour" sheetId="10" r:id="rId12"/>
    <sheet name="Schedule of Rates" sheetId="20" r:id="rId13"/>
  </sheets>
  <definedNames>
    <definedName name="_xlnm.Print_Area" localSheetId="8">'Design '!$A$1:$C$37</definedName>
    <definedName name="_xlnm.Print_Area" localSheetId="11">Labour!$A$1:$E$52</definedName>
    <definedName name="_xlnm.Print_Area" localSheetId="10">'PA Variations'!$A$1:$F$22</definedName>
    <definedName name="_xlnm.Print_Area" localSheetId="1">'Preliminaries '!$A$1:$C$43</definedName>
    <definedName name="_xlnm.Print_Area" localSheetId="9">'Prov Sums '!$A$1:$C$17</definedName>
    <definedName name="_xlnm.Print_Area" localSheetId="12">'Schedule of Rates'!$A$1:$E$845</definedName>
    <definedName name="_xlnm.Print_Area" localSheetId="0">'Summary '!$A$1:$C$32</definedName>
    <definedName name="_xlnm.Print_Area" localSheetId="3">'Trade '!$A$1:$C$69</definedName>
    <definedName name="_xlnm.Print_Area" localSheetId="4">'Trade - Elec'!$A$1:$C$37</definedName>
    <definedName name="_xlnm.Print_Area" localSheetId="7">'Trade - Fire'!$A$1:$C$51</definedName>
    <definedName name="_xlnm.Print_Area" localSheetId="5">'Trade - Hydr'!$A$1:$C$51</definedName>
    <definedName name="_xlnm.Print_Area" localSheetId="6">'Trade - Mech'!$A$1:$C$37</definedName>
    <definedName name="_xlnm.Print_Area" localSheetId="2">VE!$A$1:$H$24</definedName>
    <definedName name="_xlnm.Print_Titles" localSheetId="8">'Design '!$3:$6</definedName>
    <definedName name="_xlnm.Print_Titles" localSheetId="10">'PA Variations'!$3:$6</definedName>
    <definedName name="_xlnm.Print_Titles" localSheetId="1">'Preliminaries '!$3:$6</definedName>
    <definedName name="_xlnm.Print_Titles" localSheetId="9">'Prov Sums '!$3:$6</definedName>
    <definedName name="_xlnm.Print_Titles" localSheetId="12">'Schedule of Rates'!$1:$7</definedName>
    <definedName name="_xlnm.Print_Titles" localSheetId="0">'Summary '!$1:$6</definedName>
    <definedName name="_xlnm.Print_Titles" localSheetId="3">'Trade '!$3:$6</definedName>
    <definedName name="_xlnm.Print_Titles" localSheetId="4">'Trade - Elec'!$3:$6</definedName>
    <definedName name="_xlnm.Print_Titles" localSheetId="7">'Trade - Fire'!$3:$6</definedName>
    <definedName name="_xlnm.Print_Titles" localSheetId="5">'Trade - Hydr'!$3:$6</definedName>
    <definedName name="_xlnm.Print_Titles" localSheetId="6">'Trade - Mech'!$3:$6</definedName>
    <definedName name="_xlnm.Print_Titles" localSheetId="2">VE!$3:$6</definedName>
    <definedName name="Z_546ED396_A5BB_4D70_BC99_E3364A5FB554_.wvu.Cols" localSheetId="12" hidden="1">'Schedule of Rates'!#REF!,'Schedule of Rates'!#REF!,'Schedule of Rates'!#REF!</definedName>
    <definedName name="Z_546ED396_A5BB_4D70_BC99_E3364A5FB554_.wvu.PrintArea" localSheetId="12" hidden="1">'Schedule of Rates'!$A$1:$E$845</definedName>
    <definedName name="Z_546ED396_A5BB_4D70_BC99_E3364A5FB554_.wvu.PrintTitles" localSheetId="12" hidden="1">'Schedule of Rates'!$1:$7</definedName>
    <definedName name="Z_F9E22265_D0D3_4B23_AEEA_86635C28529D_.wvu.Cols" localSheetId="12" hidden="1">'Schedule of Rates'!#REF!</definedName>
    <definedName name="Z_F9E22265_D0D3_4B23_AEEA_86635C28529D_.wvu.PrintArea" localSheetId="12" hidden="1">'Schedule of Rates'!$A$1:$E$845</definedName>
    <definedName name="Z_F9E22265_D0D3_4B23_AEEA_86635C28529D_.wvu.PrintTitles" localSheetId="12" hidden="1">'Schedule of Rates'!$1:$7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4" l="1"/>
  <c r="C49" i="24"/>
  <c r="C52" i="4"/>
  <c r="C67" i="4" s="1"/>
  <c r="C49" i="23"/>
  <c r="C35" i="22"/>
  <c r="C53" i="4"/>
  <c r="C35" i="21"/>
  <c r="C16" i="17"/>
  <c r="C18" i="18" s="1"/>
  <c r="C26" i="18"/>
  <c r="C42" i="15"/>
  <c r="C12" i="18" s="1"/>
  <c r="C36" i="6" l="1"/>
  <c r="C16" i="18" s="1"/>
  <c r="C14" i="18"/>
  <c r="C20" i="18" l="1"/>
  <c r="C24" i="18" s="1"/>
  <c r="C28" i="18" s="1"/>
</calcChain>
</file>

<file path=xl/sharedStrings.xml><?xml version="1.0" encoding="utf-8"?>
<sst xmlns="http://schemas.openxmlformats.org/spreadsheetml/2006/main" count="1826" uniqueCount="845">
  <si>
    <t>The University of Sydney</t>
  </si>
  <si>
    <t>A01 Ross Street Teaching and Learning Hub</t>
  </si>
  <si>
    <t>Project Tender Summary</t>
  </si>
  <si>
    <t>Fixed Price Summary</t>
  </si>
  <si>
    <t>Tenderers are to complete the following Price Schedule which shall be all inclusive of all Works under the Design &amp; Construct Contract. Preliminaries are to be fixed based on the current scope of works as described in the tender documents. Margin is to be a fixed % to be applied to the sum of Preliminaries and Trade costs and shall not be included within trade costs or preliminaries.</t>
  </si>
  <si>
    <t xml:space="preserve">Project Summary </t>
  </si>
  <si>
    <t>Amount</t>
  </si>
  <si>
    <t xml:space="preserve">Preliminaries </t>
  </si>
  <si>
    <t xml:space="preserve">Trade Costs </t>
  </si>
  <si>
    <t>Delivery Phase Consultant Fees</t>
  </si>
  <si>
    <t>Provisional Sums</t>
  </si>
  <si>
    <t>Sub Total</t>
  </si>
  <si>
    <t>Builder's Margin</t>
  </si>
  <si>
    <t>Total</t>
  </si>
  <si>
    <t>GST</t>
  </si>
  <si>
    <t>Total Cost of Works Carried to Form of Tender</t>
  </si>
  <si>
    <t>Tender Price Validity Period</t>
  </si>
  <si>
    <t>Tender submissions must remain valid for 90 days (until direction to proceed is issued). By lodging a Tender, the Tenderer agrees that its Tender, including all prices, rates, programs, proposed methodologies and nominated team members, will remain valid for acceptance for the Tender Validity Period and that it may not be withdrawn during this period</t>
  </si>
  <si>
    <t>Head Contractor Preliminaries Breakups</t>
  </si>
  <si>
    <t xml:space="preserve">Preliminaries Breakup </t>
  </si>
  <si>
    <t>Amount (Excl GST)</t>
  </si>
  <si>
    <t>Management Staff</t>
  </si>
  <si>
    <t>Attendance Labour</t>
  </si>
  <si>
    <t>Traffic Management</t>
  </si>
  <si>
    <t>Insurances</t>
  </si>
  <si>
    <t>Bank Guarantees/Securities/Bonds</t>
  </si>
  <si>
    <t xml:space="preserve">Long Service Levy </t>
  </si>
  <si>
    <t>Building Fees &amp; Charges</t>
  </si>
  <si>
    <t>Legal Fees</t>
  </si>
  <si>
    <t>Surveying</t>
  </si>
  <si>
    <t>Hoardings, Fencing &amp; Gantries</t>
  </si>
  <si>
    <t>Site Signage</t>
  </si>
  <si>
    <t>Site Accomodation</t>
  </si>
  <si>
    <t>Tower Cranage</t>
  </si>
  <si>
    <t>Other Cranage</t>
  </si>
  <si>
    <t>Hoisting Equipment</t>
  </si>
  <si>
    <t>Loading Platforms</t>
  </si>
  <si>
    <t>Other Plant &amp; Equipment</t>
  </si>
  <si>
    <t>Scaffolding</t>
  </si>
  <si>
    <t>Screens</t>
  </si>
  <si>
    <t>Temporary Access</t>
  </si>
  <si>
    <t>Temporary Services</t>
  </si>
  <si>
    <t>Temporary Protection</t>
  </si>
  <si>
    <t>Site Office Expenses</t>
  </si>
  <si>
    <t>Site Security</t>
  </si>
  <si>
    <t>Site Safety</t>
  </si>
  <si>
    <t>Transport &amp; Parking</t>
  </si>
  <si>
    <t>Cleaning &amp; Rubbish Removal</t>
  </si>
  <si>
    <t>Final Cleaning</t>
  </si>
  <si>
    <t>DLP Maintenance</t>
  </si>
  <si>
    <t>Aconex</t>
  </si>
  <si>
    <t>Sundry Expenses</t>
  </si>
  <si>
    <t>Total Cost of Works Carried to Project Summary</t>
  </si>
  <si>
    <t>Contract Trade Breakup</t>
  </si>
  <si>
    <t>Trade Cost Breakup</t>
  </si>
  <si>
    <t xml:space="preserve">Tenderers must submit a tender price for the project in accordance with the below trade breakdown. Tenderers will be requested to re-submit their trade breakdown if it is not in accordance with the below table.  </t>
  </si>
  <si>
    <t xml:space="preserve">Trade Breakdown </t>
  </si>
  <si>
    <t>Excavation &amp; Earthwork</t>
  </si>
  <si>
    <t>Piling</t>
  </si>
  <si>
    <t>Insitu Concrete</t>
  </si>
  <si>
    <t>Formwork</t>
  </si>
  <si>
    <t>Reinforcing Steel</t>
  </si>
  <si>
    <t>Post-Tensioning</t>
  </si>
  <si>
    <t>Masonry</t>
  </si>
  <si>
    <t>Structural Steel</t>
  </si>
  <si>
    <t>Metalwork</t>
  </si>
  <si>
    <t xml:space="preserve">Carpentry </t>
  </si>
  <si>
    <t>Roofing</t>
  </si>
  <si>
    <t>Acoustic &amp; Thermal Insulation</t>
  </si>
  <si>
    <t>Partitions &amp; Wall Linings</t>
  </si>
  <si>
    <t>Suspended Ceilings</t>
  </si>
  <si>
    <t>Aluminium Windows and Doors</t>
  </si>
  <si>
    <t>Timber Doors &amp; Frames</t>
  </si>
  <si>
    <t>Hardware</t>
  </si>
  <si>
    <t>Plastering</t>
  </si>
  <si>
    <t>Waterproofing</t>
  </si>
  <si>
    <t>Resilient Flooring</t>
  </si>
  <si>
    <t>Cementitous Topping</t>
  </si>
  <si>
    <t>Carpet Flooring</t>
  </si>
  <si>
    <t>Painting</t>
  </si>
  <si>
    <t>Mirrors / Glazing</t>
  </si>
  <si>
    <t xml:space="preserve">Joinery &amp; Fitments </t>
  </si>
  <si>
    <t>Toilet &amp; Shower Partitions</t>
  </si>
  <si>
    <t>Statutory and Wayfinding Signage</t>
  </si>
  <si>
    <t>External Signages &amp; Building Signage</t>
  </si>
  <si>
    <t>Mechanical Services</t>
  </si>
  <si>
    <t>Fire Services</t>
  </si>
  <si>
    <t>Lift Services</t>
  </si>
  <si>
    <t>Delivery Phase Consultant Fees Breakup</t>
  </si>
  <si>
    <t xml:space="preserve">Design Fees Breakup </t>
  </si>
  <si>
    <t>Architect</t>
  </si>
  <si>
    <t>Structural Engineer</t>
  </si>
  <si>
    <t>Civil Engineer</t>
  </si>
  <si>
    <t>Geotechnical Engineer</t>
  </si>
  <si>
    <t>Enviromental Engineer</t>
  </si>
  <si>
    <t>Building Services Engineer (Elec, Mech, Hyd)</t>
  </si>
  <si>
    <t>Vertical Transportation</t>
  </si>
  <si>
    <t>Landscape Architect</t>
  </si>
  <si>
    <t>Specialist Lighting</t>
  </si>
  <si>
    <t>Waste Engineer</t>
  </si>
  <si>
    <t>ESD &amp; Greenstar Consultant</t>
  </si>
  <si>
    <t>Surveyor</t>
  </si>
  <si>
    <t>Facade Engineer</t>
  </si>
  <si>
    <t>Wind Engineer</t>
  </si>
  <si>
    <t>Acoustics &amp; Vibration</t>
  </si>
  <si>
    <t>Accessibility Consultant</t>
  </si>
  <si>
    <t>BCA</t>
  </si>
  <si>
    <t>Fire Safety Engineer</t>
  </si>
  <si>
    <t>Traffic Engineer</t>
  </si>
  <si>
    <t>Other Consultants (List)</t>
  </si>
  <si>
    <t xml:space="preserve">Provisional Sums Breakup </t>
  </si>
  <si>
    <t>Innovation and Value Engineering Schedule</t>
  </si>
  <si>
    <t>Contractor Nominated Innovation &amp;  Value Engineering Options</t>
  </si>
  <si>
    <r>
      <t xml:space="preserve">- The Tenderer is encouraged to submit Options and Savings for consideration. It should be noted that the Tenderer </t>
    </r>
    <r>
      <rPr>
        <b/>
        <u/>
        <sz val="10"/>
        <color theme="1"/>
        <rFont val="Khmer UI"/>
        <family val="2"/>
      </rPr>
      <t>must</t>
    </r>
    <r>
      <rPr>
        <sz val="10"/>
        <color theme="1"/>
        <rFont val="Khmer UI"/>
        <family val="2"/>
      </rPr>
      <t xml:space="preserve"> submit a conforming bid in accordance with the Tender. Any options and savings will be treated as Commercial-in-Confidence to the Tenderer. 
- Options and Savings, should be presented in a table with a description of the element of work and saving involved. The table is to reference the relevant sections or other document forming part of the Tender Documents.
- The costs for the below items must include any associated adjustments to preliminaries, profits and overheads
- The tenderer must demonstrate the direct benefit to the project including safety, quality, time and cost implications</t>
    </r>
  </si>
  <si>
    <t>No.</t>
  </si>
  <si>
    <t>Document Reference or Clause</t>
  </si>
  <si>
    <t>Clause</t>
  </si>
  <si>
    <t>Option</t>
  </si>
  <si>
    <t>Program Implication 
(if applicable)</t>
  </si>
  <si>
    <t>Comments / Project Benefit</t>
  </si>
  <si>
    <t>Pre-Agreed Variations Schedule</t>
  </si>
  <si>
    <t>Pre-Agreed Variations</t>
  </si>
  <si>
    <t xml:space="preserve">Comments </t>
  </si>
  <si>
    <t>Schedule of Rates - Delay, Variation &amp; Labour Rates</t>
  </si>
  <si>
    <t>Project Delay Rates</t>
  </si>
  <si>
    <t>$/day</t>
  </si>
  <si>
    <t>Stage of Project - Pre-construction</t>
  </si>
  <si>
    <t>Stage of Project - Early Construction: Pre-Crane</t>
  </si>
  <si>
    <t>Stage of Project - Mid Construction:  Crane Active</t>
  </si>
  <si>
    <t>Stage of Project - Mid Construction:  Crane and Materials Hoist Active</t>
  </si>
  <si>
    <t>Stage of Project - Mid Construction:  Crane and Materials Hoist active and Full Building Scaffolding Erected</t>
  </si>
  <si>
    <t xml:space="preserve">Stage of Project - Late Construction: Post Demobilising of Crane </t>
  </si>
  <si>
    <t>Project Variation Margins</t>
  </si>
  <si>
    <t>%</t>
  </si>
  <si>
    <t>General Variations</t>
  </si>
  <si>
    <t>Hourly Rates for Personnel</t>
  </si>
  <si>
    <t>Normal Time $/Hour</t>
  </si>
  <si>
    <t>Time &amp; Half $/Hour</t>
  </si>
  <si>
    <t>Double Time $/Hour</t>
  </si>
  <si>
    <t>Project Director</t>
  </si>
  <si>
    <t>Project Manager</t>
  </si>
  <si>
    <t>Design Manager</t>
  </si>
  <si>
    <t>Commercial Manager</t>
  </si>
  <si>
    <t>Cost Planner</t>
  </si>
  <si>
    <t>Contract Administrator</t>
  </si>
  <si>
    <t>Programmer</t>
  </si>
  <si>
    <t>WH&amp;S Officer</t>
  </si>
  <si>
    <t>Project Engineer</t>
  </si>
  <si>
    <t>Site Manager</t>
  </si>
  <si>
    <t>General Foreman</t>
  </si>
  <si>
    <t>Foreman</t>
  </si>
  <si>
    <t>Traffic Controller</t>
  </si>
  <si>
    <t>Glazing / Façade</t>
  </si>
  <si>
    <t>Painter</t>
  </si>
  <si>
    <t>Electrical Services - Qualified Electrician</t>
  </si>
  <si>
    <t>Lift Services - Qualified Lift Tradesman</t>
  </si>
  <si>
    <t>Hydraulic Services - Qualified Plumber</t>
  </si>
  <si>
    <t>All costs are reported exclusive of GST.</t>
  </si>
  <si>
    <t>Schedule of Rates</t>
  </si>
  <si>
    <t>Item</t>
  </si>
  <si>
    <t>Trade</t>
  </si>
  <si>
    <t>Unit</t>
  </si>
  <si>
    <t>Rate $</t>
  </si>
  <si>
    <t>Comment</t>
  </si>
  <si>
    <t>Excavation &amp; Waste Disposal</t>
  </si>
  <si>
    <t>All Rates are inclusive of allowances for bulking, wastage, preliminaries, profit and attendance</t>
  </si>
  <si>
    <t>No margin shall be added to any disposal costs for material classified above VENM</t>
  </si>
  <si>
    <t>Bulk Excavation in OTR and disposal as VENM</t>
  </si>
  <si>
    <t>m3</t>
  </si>
  <si>
    <t>Bulk Excavation in rock and disposal as VENM</t>
  </si>
  <si>
    <t>Detailed Excavation in OTR and disposal as VENM</t>
  </si>
  <si>
    <t>Detailed Excavation in rock and disposal as VENM</t>
  </si>
  <si>
    <t>Extra over OTR disposal of ENM</t>
  </si>
  <si>
    <t>Tonne</t>
  </si>
  <si>
    <t>Extra over OTR disposal of recyclable GSW</t>
  </si>
  <si>
    <t>Extra over OTR disposal of non-recyclable GSW</t>
  </si>
  <si>
    <t>Extra over OTR disposal of recyclable GSW&gt; CT1</t>
  </si>
  <si>
    <t>Extra over OTR disposal of non-recyclable GSW&gt; CT1</t>
  </si>
  <si>
    <t>Extra over OTR disposal of General Solid Waste – With Asbestos</t>
  </si>
  <si>
    <t>Extra over OTR disposal of Restricted Solid Waste up to 500t</t>
  </si>
  <si>
    <t>Extra over OTR disposal of Restricted Solid Waste up to 500t - 1000t</t>
  </si>
  <si>
    <t>Extra over OTR disposal of Restricted Solid Waste over 1000t</t>
  </si>
  <si>
    <t>Asbestos Management Rates</t>
  </si>
  <si>
    <t>Clearance Certificates</t>
  </si>
  <si>
    <t>No</t>
  </si>
  <si>
    <t>Asbestos Air Monitors (per day, each)</t>
  </si>
  <si>
    <t>Day</t>
  </si>
  <si>
    <t xml:space="preserve">Asbestos removal works - Asbestos Contaminated Material (ACM) Friable </t>
  </si>
  <si>
    <t xml:space="preserve">Asbestos removal works - Asbestos Contaminated Material (ACM) Non-Friable </t>
  </si>
  <si>
    <t>Monitoring Rates</t>
  </si>
  <si>
    <t>Vibration Monitors (per day, each)</t>
  </si>
  <si>
    <t>Dust Monitors (per day, each)</t>
  </si>
  <si>
    <t>Noise Monitors (per day, each)</t>
  </si>
  <si>
    <t>Air Monitors (per day, each)</t>
  </si>
  <si>
    <t>Equipment Rates - Excludes Transport</t>
  </si>
  <si>
    <t>6 tonne Excavator</t>
  </si>
  <si>
    <t>hr</t>
  </si>
  <si>
    <t>12 tonne Excavator</t>
  </si>
  <si>
    <t>20 tonne Excavator</t>
  </si>
  <si>
    <t>30 tonne Excavator</t>
  </si>
  <si>
    <t>Front end loader</t>
  </si>
  <si>
    <t>Backhoe loader</t>
  </si>
  <si>
    <t>5 tonne truck</t>
  </si>
  <si>
    <t>12 tonne truck</t>
  </si>
  <si>
    <t>25 tonne truck</t>
  </si>
  <si>
    <t>Dump truck</t>
  </si>
  <si>
    <t>Boggie Tippers</t>
  </si>
  <si>
    <t>Concrete cutting - 0 to 100mm deep (assume slab on ground) excludes establishment</t>
  </si>
  <si>
    <t>m</t>
  </si>
  <si>
    <t>Concrete cutting - 100 to 200mm deep (assume slab on ground) excludes establishment</t>
  </si>
  <si>
    <t>Provisional Sum 2</t>
  </si>
  <si>
    <t xml:space="preserve">Provisional Sum 3 </t>
  </si>
  <si>
    <t>Provisional Sum  4</t>
  </si>
  <si>
    <t>Provisional Sum 5</t>
  </si>
  <si>
    <t>Forklift Operator</t>
  </si>
  <si>
    <t>Hoist Operator</t>
  </si>
  <si>
    <t>Crane Driver</t>
  </si>
  <si>
    <t>Dogman</t>
  </si>
  <si>
    <t>Carpenter</t>
  </si>
  <si>
    <t>Blockwork</t>
  </si>
  <si>
    <t>Tiling</t>
  </si>
  <si>
    <t>Labourer</t>
  </si>
  <si>
    <t xml:space="preserve">Soft landscaping </t>
  </si>
  <si>
    <t xml:space="preserve">Hard landscaping </t>
  </si>
  <si>
    <t>Civil Stormwater</t>
  </si>
  <si>
    <t>Demolition</t>
  </si>
  <si>
    <t>Shotcrete</t>
  </si>
  <si>
    <t>Raised access floor</t>
  </si>
  <si>
    <t xml:space="preserve">Tiling </t>
  </si>
  <si>
    <t>Stonework</t>
  </si>
  <si>
    <t>FFE</t>
  </si>
  <si>
    <t>Brick slip façade</t>
  </si>
  <si>
    <t>Façade glazing</t>
  </si>
  <si>
    <t>Cladding façade systems</t>
  </si>
  <si>
    <t>AV</t>
  </si>
  <si>
    <t>Security Services</t>
  </si>
  <si>
    <t>Contractor's profits, overheads, margin and supervision to manage any variation works - Addition</t>
  </si>
  <si>
    <t>Contractor's profits, overheads, margin and supervision to manage any variation works - Deduction</t>
  </si>
  <si>
    <t>Contractor's profits, overheads, margin and supervision to manage any provisional sum adjustment - Addition</t>
  </si>
  <si>
    <t>Contractor's profits, overheads, margin and supervision to manage any provisional sum adjustment - Deductions</t>
  </si>
  <si>
    <t>External electrical services</t>
  </si>
  <si>
    <t>External communication services</t>
  </si>
  <si>
    <t>External sewer services</t>
  </si>
  <si>
    <t>External water services</t>
  </si>
  <si>
    <t>External fire services</t>
  </si>
  <si>
    <t>External lighting</t>
  </si>
  <si>
    <t>Please confirm base assumption (quantity and rate) for removal of contaminated material in Tonnes.</t>
  </si>
  <si>
    <t>Civil Roadworks</t>
  </si>
  <si>
    <t>Base assumption (quantity and rate) for removal of contaminated material</t>
  </si>
  <si>
    <t>Provisional Sum 1 - People Counting Cameras (equipment supply and installation of indoor Xovis cameras)</t>
  </si>
  <si>
    <t>Structure</t>
  </si>
  <si>
    <t>Shoring and piling</t>
  </si>
  <si>
    <t>Anchor A1</t>
  </si>
  <si>
    <t>T</t>
  </si>
  <si>
    <t>m2</t>
  </si>
  <si>
    <t>Dowelled joint L01</t>
  </si>
  <si>
    <t>Saw joint L01</t>
  </si>
  <si>
    <t>Structural steelwork</t>
  </si>
  <si>
    <t>Fire protection</t>
  </si>
  <si>
    <t>Galvanising</t>
  </si>
  <si>
    <t>Connections</t>
  </si>
  <si>
    <t>Façade, Cladding and Internal Glazing</t>
  </si>
  <si>
    <t>Brick Cladding with Fixed Glazing (FWT-101)</t>
  </si>
  <si>
    <t>Feature Window with Fixed Glazing (FWT-102)</t>
  </si>
  <si>
    <t>Brick Cladding with Fixed Glazing (FWT-103)</t>
  </si>
  <si>
    <t>Brick Cladding with Fixed Glazing (FWT-104)</t>
  </si>
  <si>
    <t>Fixed/ Operable Glazing with Sunshading Screen and Timber Colonnade (FWT-105)</t>
  </si>
  <si>
    <t>Fixed/ Operable Glazing Feature Glazing with Aluminium Shroud (FWT-106)</t>
  </si>
  <si>
    <t>Feature Window - Fixed Glazing (FWT-107)</t>
  </si>
  <si>
    <t>Fixed Feature Glazing with Steel Shroud (FWT-108)</t>
  </si>
  <si>
    <t>Profiled Brick Cladding (FWT-109)</t>
  </si>
  <si>
    <t>Metal Louvred Cladding (FWT-110)</t>
  </si>
  <si>
    <t>Level 2 Glazing (FWT-111)</t>
  </si>
  <si>
    <t>Level 2 Glazing - F&amp;B (FWT-111b)</t>
  </si>
  <si>
    <t>Ground Floor Brick Wall (FWT-112)</t>
  </si>
  <si>
    <t>Custom Steel Feature Screen on Aluminium Cladding (FWT-113)</t>
  </si>
  <si>
    <t>Custom Steel Feature Screen on Aluminium Cladding (+ Concrete Wall) (FWT-113b)</t>
  </si>
  <si>
    <t>Custom Steel Feature Screen to Mechanical Intake (FWT-114)</t>
  </si>
  <si>
    <t>Wintergarden Glazing (FWT-115)</t>
  </si>
  <si>
    <t>Rooftop Skylights (FWT-116)</t>
  </si>
  <si>
    <t>Level 01 Highlight Window and Wall Cladding (FWT-117)</t>
  </si>
  <si>
    <t>Doors and Frames</t>
  </si>
  <si>
    <t>Internal:</t>
  </si>
  <si>
    <t>Swing door - Solid - Single</t>
  </si>
  <si>
    <t>no.</t>
  </si>
  <si>
    <t>Swing door - Solid - Single - Fixed panel</t>
  </si>
  <si>
    <t>Swing door - Solid - Double</t>
  </si>
  <si>
    <t>Swing door - Solid - Double - Fixed panel</t>
  </si>
  <si>
    <t>Swing door - Solid - Single (Fire rated)</t>
  </si>
  <si>
    <t>Swing door - Solid - Single - Fixed panel (Fire rated)</t>
  </si>
  <si>
    <t>Swing door - Solid - Double (Fire rated)</t>
  </si>
  <si>
    <t>Swing door - Solid - Double - Fixed panel (Fire rated)</t>
  </si>
  <si>
    <t>Swing door - Glazed - Single</t>
  </si>
  <si>
    <t>Swing door - Glazed - Double</t>
  </si>
  <si>
    <t>Cavity slider</t>
  </si>
  <si>
    <t>Swing door - Solid - Single - Timber joinery</t>
  </si>
  <si>
    <t>Swing door - Solid - Double - Timber joinery</t>
  </si>
  <si>
    <t>Frameless Pivot door - Solid - Double</t>
  </si>
  <si>
    <t>Sliding door - Glazed - Single (Smoke sealed, drenched)</t>
  </si>
  <si>
    <t>External:</t>
  </si>
  <si>
    <t>Frameless Glass Door (Maintenance access)</t>
  </si>
  <si>
    <t>Glass Sliding Double Door (Level 2 entry)</t>
  </si>
  <si>
    <t>Glass Sliding Double Door (Level 2 entry and F&amp;B)</t>
  </si>
  <si>
    <t>Glass Single Swing Door</t>
  </si>
  <si>
    <t>Glazed Single Swing Door - Wintergarden</t>
  </si>
  <si>
    <t>Solid Core Double Door (Level 5 Plant)</t>
  </si>
  <si>
    <t>Floor Finishes</t>
  </si>
  <si>
    <t>Carpet tile (FLR-101)</t>
  </si>
  <si>
    <t>Carpet tile (FLR-107)</t>
  </si>
  <si>
    <t>Vinyl sheeting (FLR-301 - FLR302)</t>
  </si>
  <si>
    <t>Stone paver (FLR-401)</t>
  </si>
  <si>
    <t>Stone paver (FLR-402)</t>
  </si>
  <si>
    <t>Terrazzo tile (FLR-403)</t>
  </si>
  <si>
    <t>Porcelain floor (FLR-405)</t>
  </si>
  <si>
    <t>Porcelain floor (FLR-406)</t>
  </si>
  <si>
    <t>Wall/ Ceiling Finishes</t>
  </si>
  <si>
    <t>Standard internal wall partition, PB each side with insulation, to 3000 high</t>
  </si>
  <si>
    <t xml:space="preserve">Standard internal wall partition, with two layers PB to each side with insulation, to 3000 high </t>
  </si>
  <si>
    <t>Single layer PB only fixed to framing</t>
  </si>
  <si>
    <t>Single layer PB only fixed to masonry wall</t>
  </si>
  <si>
    <t>92 stud frame only</t>
  </si>
  <si>
    <t>76 stud frame only</t>
  </si>
  <si>
    <t>64 stud frame only</t>
  </si>
  <si>
    <t>R2.0 wall/ceiling insulation</t>
  </si>
  <si>
    <t>R3.0 wall/ceiling insulation</t>
  </si>
  <si>
    <t>Standard exposed grid 1200 x 600 acoustic ceiling</t>
  </si>
  <si>
    <t>Suspended Flush Plasterboard ceiling system</t>
  </si>
  <si>
    <t>Ditto in perforated plasterboard</t>
  </si>
  <si>
    <t xml:space="preserve">Plasterboard ceiling access panel/hatch </t>
  </si>
  <si>
    <t>Porcelain wall tiling (ILS-401)</t>
  </si>
  <si>
    <t>Porcelain wall tiling (ILS-402)</t>
  </si>
  <si>
    <t>Porcelain wall tiling (ILS-403)</t>
  </si>
  <si>
    <t>Profiled wall tiling (ILS-404)</t>
  </si>
  <si>
    <t>Timber batten feature lining (ILS-501)</t>
  </si>
  <si>
    <t>Acoustic panel (ILS-801 - ILS 806)</t>
  </si>
  <si>
    <t>Paint</t>
  </si>
  <si>
    <t>Paint plasterboard wall linings</t>
  </si>
  <si>
    <t>Paint plasterboard ceilings to 3m high</t>
  </si>
  <si>
    <t>Paint exposed soffits, concrete, bondek etc.</t>
  </si>
  <si>
    <t>Paint timber door/frame etc.</t>
  </si>
  <si>
    <t>Paint masonry wall</t>
  </si>
  <si>
    <t>Paint plywood finishes</t>
  </si>
  <si>
    <t>Paint metal finishes/materials/ balustrades etc.</t>
  </si>
  <si>
    <t>Balustrades</t>
  </si>
  <si>
    <t>Metal Steel Plate Balustrade</t>
  </si>
  <si>
    <t>Metal Palisade Balustrade (External)</t>
  </si>
  <si>
    <t>Metal Palisade Balustrade (Internal)</t>
  </si>
  <si>
    <t>Electrical</t>
  </si>
  <si>
    <t>Light fittings and Accessories (including cablinga nd cable supports from nearest lighting circuit or light switch)</t>
  </si>
  <si>
    <t>Type - please specify</t>
  </si>
  <si>
    <t>Lighting control (including cabling and cable supports from nearest lighting circuit)</t>
  </si>
  <si>
    <t>Lighting Control Headend System</t>
  </si>
  <si>
    <t>Lighting Control equipment (relays, DALI modules etc)</t>
  </si>
  <si>
    <t>Lighting control panel 1</t>
  </si>
  <si>
    <t>Lighting control panel 2</t>
  </si>
  <si>
    <t>Lighting control panel ___</t>
  </si>
  <si>
    <t>1 gang switch</t>
  </si>
  <si>
    <t>Combined Motion and Photoelectric Sensor (including cabling and cable supports from nearest lighting circuit)</t>
  </si>
  <si>
    <t xml:space="preserve">360º Ceiling Type </t>
  </si>
  <si>
    <t xml:space="preserve">180º Wall Type </t>
  </si>
  <si>
    <t xml:space="preserve">90º Wall-Corner Type </t>
  </si>
  <si>
    <t>Photoelectric Sensor</t>
  </si>
  <si>
    <t xml:space="preserve">360º Weatherproof Type </t>
  </si>
  <si>
    <t>Dimmers</t>
  </si>
  <si>
    <t>Emergency and exit light fittings (including cabling and cable supports from nearest lighting circuit)</t>
  </si>
  <si>
    <t>Emergency Lighting Headend system</t>
  </si>
  <si>
    <t>Emergency Lighting Test system</t>
  </si>
  <si>
    <t xml:space="preserve">Type Exit </t>
  </si>
  <si>
    <t xml:space="preserve">Type Recessed </t>
  </si>
  <si>
    <t xml:space="preserve">Type Surface </t>
  </si>
  <si>
    <t>Cabling</t>
  </si>
  <si>
    <t>Final Sub-circuit Cabling (excluding cable housing or support)</t>
  </si>
  <si>
    <t>Catenary</t>
  </si>
  <si>
    <t xml:space="preserve">2.5mm2 TPS </t>
  </si>
  <si>
    <t xml:space="preserve">4.0mm2 TPS </t>
  </si>
  <si>
    <t xml:space="preserve">6mm2 TPS </t>
  </si>
  <si>
    <t>Conduit</t>
  </si>
  <si>
    <t>XLPE (excluding cable housing or support)</t>
  </si>
  <si>
    <t>Cable Tray</t>
  </si>
  <si>
    <t xml:space="preserve">4C 50mm2 Cu XLPE/PVC </t>
  </si>
  <si>
    <t xml:space="preserve">4C 70mm2 Cu XLPE/PVC </t>
  </si>
  <si>
    <t xml:space="preserve">1C 95mm2 Cu XLPE/PVC </t>
  </si>
  <si>
    <t xml:space="preserve">1C 120mm2 Cu XLPE/PVC </t>
  </si>
  <si>
    <t xml:space="preserve">1C 185mm2 Cu XLPE/PVC </t>
  </si>
  <si>
    <t xml:space="preserve">1C 240mm2 Cu XLPE/PVC </t>
  </si>
  <si>
    <t xml:space="preserve">1C 300mm2 Cu XLPE/PVC </t>
  </si>
  <si>
    <t xml:space="preserve">1C 400mm2 Cu XLPE/PVC </t>
  </si>
  <si>
    <t>Underground Conduit</t>
  </si>
  <si>
    <t>Firestop</t>
  </si>
  <si>
    <t xml:space="preserve">2C 4mm2 Cu Firestop (Fire calls it Fire Rated) + E </t>
  </si>
  <si>
    <t xml:space="preserve">2C 6mm2 Cu Firestop + E </t>
  </si>
  <si>
    <t xml:space="preserve">2C 10mm2 Cu Firestop + E </t>
  </si>
  <si>
    <t xml:space="preserve">4C 16mm2 Cu Firestop + E </t>
  </si>
  <si>
    <t xml:space="preserve">4C 35mm2 Cu Firestop + E </t>
  </si>
  <si>
    <t xml:space="preserve">4C 50mm2  Cu Firestop + E </t>
  </si>
  <si>
    <t xml:space="preserve">4C 95mm2 Cu Firestop + E </t>
  </si>
  <si>
    <t>Earth</t>
  </si>
  <si>
    <t xml:space="preserve">1C 25mm2 Cu PVC/PVC </t>
  </si>
  <si>
    <t xml:space="preserve">1C 35mm2 Cu PVC/PVC </t>
  </si>
  <si>
    <t xml:space="preserve">1C 50mm2 Cu PVC/PVC </t>
  </si>
  <si>
    <t xml:space="preserve">1C 70mm2 Cu PVC/PVC </t>
  </si>
  <si>
    <t xml:space="preserve">1C 95mm2 Cu PVC/PVC </t>
  </si>
  <si>
    <t xml:space="preserve">1C 120mm2 Cu PVC/PVC </t>
  </si>
  <si>
    <t>Lightning Protection System</t>
  </si>
  <si>
    <t>Terminals</t>
  </si>
  <si>
    <t>Down conductors</t>
  </si>
  <si>
    <t>Cable Support Systems and Trenching</t>
  </si>
  <si>
    <t>Plastic fasteners</t>
  </si>
  <si>
    <t>Stainless steel fasteners</t>
  </si>
  <si>
    <t>Perforated cable tray</t>
  </si>
  <si>
    <t>Without Cover</t>
  </si>
  <si>
    <t xml:space="preserve">150mm wide </t>
  </si>
  <si>
    <t xml:space="preserve">300mm wide </t>
  </si>
  <si>
    <t xml:space="preserve">600mm wide </t>
  </si>
  <si>
    <t>With Cover</t>
  </si>
  <si>
    <t>Conduits (including draw wires)</t>
  </si>
  <si>
    <t>PVC</t>
  </si>
  <si>
    <t xml:space="preserve">25mm dia </t>
  </si>
  <si>
    <t xml:space="preserve">32mm dia </t>
  </si>
  <si>
    <t xml:space="preserve">50mm dia </t>
  </si>
  <si>
    <t>Underground uPVC</t>
  </si>
  <si>
    <t xml:space="preserve">100mm dia </t>
  </si>
  <si>
    <t xml:space="preserve">150mm dia </t>
  </si>
  <si>
    <t>Power Accessories</t>
  </si>
  <si>
    <t>Power Outlets (including cabling and cable supports)</t>
  </si>
  <si>
    <t xml:space="preserve">10A single SSO </t>
  </si>
  <si>
    <t xml:space="preserve">10A double SSO </t>
  </si>
  <si>
    <t xml:space="preserve">10A ceiling suspended single SSO </t>
  </si>
  <si>
    <t xml:space="preserve">10A weatherproof single SSO </t>
  </si>
  <si>
    <t>On New Dedicated Circuit from DB</t>
  </si>
  <si>
    <t xml:space="preserve">15A single SSO </t>
  </si>
  <si>
    <t xml:space="preserve">20A single SSO </t>
  </si>
  <si>
    <t xml:space="preserve">15A captive single SSO </t>
  </si>
  <si>
    <t xml:space="preserve">20A captive single SSO </t>
  </si>
  <si>
    <t xml:space="preserve">20A starter socket outlet </t>
  </si>
  <si>
    <t xml:space="preserve">15A weatherproof single SSO </t>
  </si>
  <si>
    <t>isolators (including cabling and supports)</t>
  </si>
  <si>
    <t xml:space="preserve">10A, 1ph </t>
  </si>
  <si>
    <t xml:space="preserve">20A, 1ph </t>
  </si>
  <si>
    <t xml:space="preserve">32A, 1ph </t>
  </si>
  <si>
    <t xml:space="preserve">40A, 1ph </t>
  </si>
  <si>
    <t xml:space="preserve">10A, 3ph </t>
  </si>
  <si>
    <t xml:space="preserve">20A, 3ph </t>
  </si>
  <si>
    <t xml:space="preserve">32A, 3ph </t>
  </si>
  <si>
    <t xml:space="preserve">40A, 3ph </t>
  </si>
  <si>
    <t>Communications</t>
  </si>
  <si>
    <t>Voice and data outlets (including cabling and supports from patch panel)</t>
  </si>
  <si>
    <t xml:space="preserve">Single </t>
  </si>
  <si>
    <t xml:space="preserve">Double </t>
  </si>
  <si>
    <t xml:space="preserve">Triple </t>
  </si>
  <si>
    <t>Equipment Rack &amp; Associated Items</t>
  </si>
  <si>
    <t>Communication Rack</t>
  </si>
  <si>
    <t xml:space="preserve">24 port patch panel </t>
  </si>
  <si>
    <t xml:space="preserve">Horizontal cable management rail </t>
  </si>
  <si>
    <t xml:space="preserve">10x10A SSO power rail </t>
  </si>
  <si>
    <t>Patch and Fly Leads</t>
  </si>
  <si>
    <t xml:space="preserve">0.5m </t>
  </si>
  <si>
    <t xml:space="preserve">1.0m </t>
  </si>
  <si>
    <t xml:space="preserve">1.5m </t>
  </si>
  <si>
    <t xml:space="preserve">2.0m </t>
  </si>
  <si>
    <t xml:space="preserve">3.0m </t>
  </si>
  <si>
    <t>Dual data outlet</t>
  </si>
  <si>
    <t>Floor box with data and power</t>
  </si>
  <si>
    <t>Double DGPO</t>
  </si>
  <si>
    <t>Distribution Boards</t>
  </si>
  <si>
    <t>With Main Isolator</t>
  </si>
  <si>
    <t xml:space="preserve">36 way, 3 ph </t>
  </si>
  <si>
    <t xml:space="preserve">60 way, 3 ph </t>
  </si>
  <si>
    <t xml:space="preserve">72 way, 3 ph </t>
  </si>
  <si>
    <t xml:space="preserve">84 way, 3 ph </t>
  </si>
  <si>
    <t xml:space="preserve">96 way, 3 ph </t>
  </si>
  <si>
    <t>Without Main Isolator</t>
  </si>
  <si>
    <t>Miniature Circuit Breakers</t>
  </si>
  <si>
    <t>1ph</t>
  </si>
  <si>
    <t xml:space="preserve">16A with 30mA RCD </t>
  </si>
  <si>
    <t xml:space="preserve">20A with 30mA RCD </t>
  </si>
  <si>
    <t xml:space="preserve">10A </t>
  </si>
  <si>
    <t xml:space="preserve">16A </t>
  </si>
  <si>
    <t xml:space="preserve">20A </t>
  </si>
  <si>
    <t xml:space="preserve">32A </t>
  </si>
  <si>
    <t xml:space="preserve">40A </t>
  </si>
  <si>
    <t xml:space="preserve">50A </t>
  </si>
  <si>
    <t xml:space="preserve">63A </t>
  </si>
  <si>
    <t xml:space="preserve">100A </t>
  </si>
  <si>
    <t xml:space="preserve">20A D-Curve </t>
  </si>
  <si>
    <t xml:space="preserve">32A D-Curve </t>
  </si>
  <si>
    <t xml:space="preserve">40A D-Curve </t>
  </si>
  <si>
    <t xml:space="preserve">50A D-Curve </t>
  </si>
  <si>
    <t xml:space="preserve">63A D-Curve </t>
  </si>
  <si>
    <t xml:space="preserve">100A D-Curve </t>
  </si>
  <si>
    <t>3ph</t>
  </si>
  <si>
    <t>Authority metering</t>
  </si>
  <si>
    <t>Meter panel</t>
  </si>
  <si>
    <t>Current Transformer Cabinet</t>
  </si>
  <si>
    <t>Current Transformer Installation</t>
  </si>
  <si>
    <t>Security</t>
  </si>
  <si>
    <r>
      <rPr>
        <sz val="9.5"/>
        <rFont val="Aptos"/>
        <family val="2"/>
      </rPr>
      <t>Battery Backed Power Supply</t>
    </r>
  </si>
  <si>
    <r>
      <rPr>
        <sz val="9.5"/>
        <rFont val="Aptos"/>
        <family val="2"/>
      </rPr>
      <t>Recessed Reed Switches</t>
    </r>
  </si>
  <si>
    <r>
      <rPr>
        <sz val="9.5"/>
        <rFont val="Aptos"/>
        <family val="2"/>
      </rPr>
      <t>EACAS Security Control Panel</t>
    </r>
  </si>
  <si>
    <r>
      <rPr>
        <sz val="9.5"/>
        <rFont val="Aptos"/>
        <family val="2"/>
      </rPr>
      <t>EACAS Door Controllers</t>
    </r>
  </si>
  <si>
    <r>
      <rPr>
        <sz val="9.5"/>
        <rFont val="Aptos"/>
        <family val="2"/>
      </rPr>
      <t>Data Gathering Panel</t>
    </r>
  </si>
  <si>
    <r>
      <rPr>
        <sz val="9.5"/>
        <rFont val="Aptos"/>
        <family val="2"/>
      </rPr>
      <t>Card Readers</t>
    </r>
  </si>
  <si>
    <r>
      <rPr>
        <sz val="9.5"/>
        <rFont val="Aptos"/>
        <family val="2"/>
      </rPr>
      <t>Electric Strikes</t>
    </r>
  </si>
  <si>
    <r>
      <rPr>
        <sz val="9.5"/>
        <rFont val="Aptos"/>
        <family val="2"/>
      </rPr>
      <t>Electric Mortice Locks</t>
    </r>
  </si>
  <si>
    <r>
      <rPr>
        <sz val="9.5"/>
        <rFont val="Aptos"/>
        <family val="2"/>
      </rPr>
      <t>Electromagnetic Locks</t>
    </r>
  </si>
  <si>
    <r>
      <rPr>
        <sz val="9.5"/>
        <rFont val="Aptos"/>
        <family val="2"/>
      </rPr>
      <t>Emergency Break glass Units</t>
    </r>
  </si>
  <si>
    <r>
      <rPr>
        <sz val="9.5"/>
        <rFont val="Aptos"/>
        <family val="2"/>
      </rPr>
      <t>Audible Door Sounders</t>
    </r>
  </si>
  <si>
    <r>
      <rPr>
        <sz val="9.5"/>
        <rFont val="Aptos"/>
        <family val="2"/>
      </rPr>
      <t>Avigilon H6A dome camera</t>
    </r>
  </si>
  <si>
    <r>
      <rPr>
        <sz val="9.5"/>
        <rFont val="Aptos"/>
        <family val="2"/>
      </rPr>
      <t>Avigilon H6A bullet camera</t>
    </r>
  </si>
  <si>
    <r>
      <rPr>
        <sz val="9.5"/>
        <rFont val="Aptos"/>
        <family val="2"/>
      </rPr>
      <t>Avigilon H5A multisensor camera</t>
    </r>
  </si>
  <si>
    <r>
      <rPr>
        <sz val="9.5"/>
        <rFont val="Aptos"/>
        <family val="2"/>
      </rPr>
      <t>Patch panels</t>
    </r>
  </si>
  <si>
    <r>
      <rPr>
        <sz val="9.5"/>
        <rFont val="Aptos"/>
        <family val="2"/>
      </rPr>
      <t>FOBOTs</t>
    </r>
  </si>
  <si>
    <r>
      <rPr>
        <sz val="9.5"/>
        <rFont val="Aptos"/>
        <family val="2"/>
      </rPr>
      <t>Surge protection device</t>
    </r>
  </si>
  <si>
    <r>
      <rPr>
        <sz val="9.5"/>
        <rFont val="Aptos"/>
        <family val="2"/>
      </rPr>
      <t>Media converter</t>
    </r>
  </si>
  <si>
    <r>
      <rPr>
        <sz val="9.5"/>
        <rFont val="Aptos"/>
        <family val="2"/>
      </rPr>
      <t>NVR</t>
    </r>
  </si>
  <si>
    <r>
      <rPr>
        <sz val="9.5"/>
        <rFont val="Aptos"/>
        <family val="2"/>
      </rPr>
      <t>4m camera pole</t>
    </r>
  </si>
  <si>
    <r>
      <rPr>
        <sz val="9.5"/>
        <rFont val="Aptos"/>
        <family val="2"/>
      </rPr>
      <t>Duress button</t>
    </r>
  </si>
  <si>
    <r>
      <rPr>
        <sz val="9.5"/>
        <rFont val="Aptos"/>
        <family val="2"/>
      </rPr>
      <t>Break glass device</t>
    </r>
  </si>
  <si>
    <r>
      <rPr>
        <sz val="9.5"/>
        <rFont val="Aptos"/>
        <family val="2"/>
      </rPr>
      <t>Request to exit button</t>
    </r>
  </si>
  <si>
    <r>
      <rPr>
        <sz val="9.5"/>
        <rFont val="Aptos"/>
        <family val="2"/>
      </rPr>
      <t>Help Point</t>
    </r>
  </si>
  <si>
    <r>
      <rPr>
        <sz val="9.5"/>
        <rFont val="Aptos"/>
        <family val="2"/>
      </rPr>
      <t>Accessible Bathroom Assistance Button</t>
    </r>
  </si>
  <si>
    <r>
      <rPr>
        <sz val="9.5"/>
        <rFont val="Aptos"/>
        <family val="2"/>
      </rPr>
      <t>Strobe Light</t>
    </r>
  </si>
  <si>
    <r>
      <rPr>
        <sz val="9.5"/>
        <rFont val="Aptos"/>
        <family val="2"/>
      </rPr>
      <t>Other (specify)</t>
    </r>
  </si>
  <si>
    <t>Mechanical</t>
  </si>
  <si>
    <t>Ductwork</t>
  </si>
  <si>
    <t>Straight - 1m girth</t>
  </si>
  <si>
    <t>Uninsulated - 1.5m girth</t>
  </si>
  <si>
    <t>Square or Rectangular - 2m girth</t>
  </si>
  <si>
    <t>Square or Rectangular - 2.5m girth</t>
  </si>
  <si>
    <t>Square or Rectangular - 3m girth</t>
  </si>
  <si>
    <t>Square or Rectangular - 3.5m girth</t>
  </si>
  <si>
    <t>90° bend - 1m girth</t>
  </si>
  <si>
    <t>Turning Vanes - 1.5m girth</t>
  </si>
  <si>
    <t>Uninsulated - 2m girth</t>
  </si>
  <si>
    <t>Square or rectangular - 2.5m girth</t>
  </si>
  <si>
    <t>Square or rectangular - 3m girth</t>
  </si>
  <si>
    <t>Square or rectangular - 3.5m girth</t>
  </si>
  <si>
    <t>Transition (girth dimension is the larger dimension) Square or rectangular - 1m girth</t>
  </si>
  <si>
    <t>Transition (girth dimension is the larger dimension) Square or rectangular - 1.5m girth</t>
  </si>
  <si>
    <t>Transition (girth dimension is the larger dimension) Square or rectangular - 2m girth</t>
  </si>
  <si>
    <t>Transition (girth dimension is the larger dimension) Square or rectangular - 2.5m girth</t>
  </si>
  <si>
    <t>Transition (girth dimension is the larger dimension) Square or rectangular - 3m girth</t>
  </si>
  <si>
    <t>Transition (girth dimension is the larger dimension) Square or rectangular - 3.5m girth</t>
  </si>
  <si>
    <t>Uninsulated Splitter damper - Square or rectangular - 1m girth</t>
  </si>
  <si>
    <t>Uninsulated Splitter damper - Square or rectangular - 1.5m girth</t>
  </si>
  <si>
    <t>Uninsulated Splitter damper - Square or rectangular - 2m girth</t>
  </si>
  <si>
    <t>Uninsulated Splitter damper - Square or rectangular - 2.5m girth</t>
  </si>
  <si>
    <t>Uninsulated Splitter damper - Square or rectangular - 3m girth</t>
  </si>
  <si>
    <t>Uninsulated Splitter damper - Square or rectangular - 3.5m girth</t>
  </si>
  <si>
    <t>Set Down or Set up.  Up to 300mm - 1m girth</t>
  </si>
  <si>
    <t>Set Down or Set up.  Up to 300mm - Square or rectangular - 1.5m girth</t>
  </si>
  <si>
    <t>Set Down or Set up.  Up to 300mm - Square or rectangular - 2m girth</t>
  </si>
  <si>
    <t>Set Down or Set up.  Up to 300mm - Square or rectangular - 2.5m girth</t>
  </si>
  <si>
    <t>Set Down or Set up.  Up to 300mm - Square or rectangular - 3m girth</t>
  </si>
  <si>
    <t>Set Down or Set up.  Up to 300mm - Square or rectangular - 3.5m girth</t>
  </si>
  <si>
    <t>Pipework</t>
  </si>
  <si>
    <t>Copper Piping Uninsulated</t>
  </si>
  <si>
    <t>Straight metre per pipe (CHW)</t>
  </si>
  <si>
    <t>20mm diameter</t>
  </si>
  <si>
    <t>25mm diameter</t>
  </si>
  <si>
    <t>32mm diameter</t>
  </si>
  <si>
    <t>40mm diameter</t>
  </si>
  <si>
    <t>50mm diameter</t>
  </si>
  <si>
    <t>65mm diameter</t>
  </si>
  <si>
    <t>80mm diameter</t>
  </si>
  <si>
    <t>100mm diameter</t>
  </si>
  <si>
    <t>125mm diameter</t>
  </si>
  <si>
    <t>90° Bend (CHW)</t>
  </si>
  <si>
    <t>Straight metre per pipe (HHW)</t>
  </si>
  <si>
    <t>90° Bend (HHW)</t>
  </si>
  <si>
    <t>Copper Piping Insulated and Cased</t>
  </si>
  <si>
    <t>Steel Piping Uninsulated</t>
  </si>
  <si>
    <t>Steel Piping Insulated</t>
  </si>
  <si>
    <t>Valves</t>
  </si>
  <si>
    <t>Ball Valve</t>
  </si>
  <si>
    <t>Butterfly Valve</t>
  </si>
  <si>
    <t>Calibrated Balancing Valve</t>
  </si>
  <si>
    <t>Non-Return Valve</t>
  </si>
  <si>
    <t>Strainer</t>
  </si>
  <si>
    <t>Flexible Connection</t>
  </si>
  <si>
    <t>Controls</t>
  </si>
  <si>
    <t>Price per additional digital input control point</t>
  </si>
  <si>
    <t>Price per additional digital output control point</t>
  </si>
  <si>
    <t>Price per additional analogue input control point</t>
  </si>
  <si>
    <t>Wall Mounted Temperature Sensor &amp; Wiring</t>
  </si>
  <si>
    <t>In-duct Air Temperature Sensor &amp; Wiring</t>
  </si>
  <si>
    <t>Immersion Temperature Sensor, Well and Wiring</t>
  </si>
  <si>
    <t>Differential Pressure Switch</t>
  </si>
  <si>
    <t>Air system pressure transmitter and wiring</t>
  </si>
  <si>
    <t>Water System differential pressure transmitter, piping and wiring</t>
  </si>
  <si>
    <t>Damper actuator and wiring</t>
  </si>
  <si>
    <t>15mm control valve (CHW/HHW with actuator, installed and wired)</t>
  </si>
  <si>
    <t>20mm control valve (CHW/HHW with actuator, installed and wired)</t>
  </si>
  <si>
    <t>25mm control valve (CHW/HHW with actuator, installed and wired)</t>
  </si>
  <si>
    <t>32mm control valve (CHW/HHW with actuator, installed and wired)</t>
  </si>
  <si>
    <t>40mm control valve (CHW/HHW with actuator, installed and wired)</t>
  </si>
  <si>
    <t>50mm control valve (CHW/HHW with actuator, installed and wired)</t>
  </si>
  <si>
    <t>65mm control valve (CHW/HHW with actuator, installed and wired)</t>
  </si>
  <si>
    <t>80mm control valve (CHW/HHW with actuator, installed and wired)</t>
  </si>
  <si>
    <t>100mm control valve (CHW/HHW with actuator, installed and wired)</t>
  </si>
  <si>
    <t>Sanitary Fixture/ Tap Set and Fit Off</t>
  </si>
  <si>
    <t>WC pan and cistern</t>
  </si>
  <si>
    <t>Urinal and cistern</t>
  </si>
  <si>
    <t>Vanity basin</t>
  </si>
  <si>
    <t>Cleaners sink</t>
  </si>
  <si>
    <t>Tea room sink</t>
  </si>
  <si>
    <t>Boiling Water Unit</t>
  </si>
  <si>
    <t>Domestic Hot Water Service (Electrical type hot water unit)</t>
  </si>
  <si>
    <t>Domestic cold water pumpset</t>
  </si>
  <si>
    <t>Domestic cold water filtration systems</t>
  </si>
  <si>
    <t>Private water meter assembly</t>
  </si>
  <si>
    <t>Pressure reduction valve assembly</t>
  </si>
  <si>
    <t>Supply &amp; install per metre of 20mm Copper tube B</t>
  </si>
  <si>
    <t>Supply &amp; install per metre of 25mm Copper tube B</t>
  </si>
  <si>
    <t>Supply &amp; install per metre of 32mm Copper tube B</t>
  </si>
  <si>
    <t>Supply &amp; install per metre of 40mm Copper tube B</t>
  </si>
  <si>
    <t>Supply &amp; install per metre of 50mm Copper tube B</t>
  </si>
  <si>
    <t>Supply &amp; install per metre of 65mm Copper tube B</t>
  </si>
  <si>
    <t>Supply &amp; install per metre of 80mm Copper tube B</t>
  </si>
  <si>
    <t>Supply &amp; install per metre of 100mm Copper tube B</t>
  </si>
  <si>
    <t>Rainwater Reuse water pumpset</t>
  </si>
  <si>
    <t>Rainwater Reuse filtration systems</t>
  </si>
  <si>
    <t>Rainwater tank stainless steel</t>
  </si>
  <si>
    <t>Supply &amp; install per metre of 20mm Copper tube B lilac</t>
  </si>
  <si>
    <t>Supply &amp; install per metre of 25mm Copper tube B lilac</t>
  </si>
  <si>
    <t>Supply &amp; install per metre of 32mm Copper tube B lilac</t>
  </si>
  <si>
    <t>Supply &amp; install per metre of 40mm Copper tube B lilac</t>
  </si>
  <si>
    <t>Supply &amp; install per metre of 50mm Copper tube B lilac</t>
  </si>
  <si>
    <t>Supply &amp; install per metre of 65mm Copper tube B lilac</t>
  </si>
  <si>
    <t>Supply &amp; install per metre of 80mm Copper tube B lilac</t>
  </si>
  <si>
    <t>Supply &amp; install per metre of 100mm Copper tube B lilac</t>
  </si>
  <si>
    <t>Sewer &amp; Sanitary Plumbing Drainage</t>
  </si>
  <si>
    <t>Inground sewer pump station</t>
  </si>
  <si>
    <t>Supply &amp; install per metre of 40mm PVC</t>
  </si>
  <si>
    <t>Supply &amp; install per metre of 50mm PVC</t>
  </si>
  <si>
    <t>Supply &amp; install per metre of 65mm PVC</t>
  </si>
  <si>
    <t>Supply &amp; install per metre of 80mm PVC</t>
  </si>
  <si>
    <t>Supply &amp; install per metre of 100mm PVC</t>
  </si>
  <si>
    <t>Grease Waste Drainage</t>
  </si>
  <si>
    <t xml:space="preserve">Inground Grease Arrestor </t>
  </si>
  <si>
    <t>Supply &amp; install per metre of 56mm HDPE</t>
  </si>
  <si>
    <t>Supply &amp; install per metre of 65mm HDPE</t>
  </si>
  <si>
    <t>Supply &amp; install per metre of 75mm HDPE</t>
  </si>
  <si>
    <t>Supply &amp; install per metre of 110mm HDPE</t>
  </si>
  <si>
    <t>Supply &amp; install per metre of 160mm HDPE</t>
  </si>
  <si>
    <t>Stormwater Drainage</t>
  </si>
  <si>
    <t>Gross pollutant trap</t>
  </si>
  <si>
    <t>Supply &amp; install per metre of 150mm PVC</t>
  </si>
  <si>
    <t>Supply &amp; install per metre of 225mm PVC</t>
  </si>
  <si>
    <t>Supply &amp; install per metre of 300mm PVC</t>
  </si>
  <si>
    <t>Supply &amp; install per metre of 375mm PVC</t>
  </si>
  <si>
    <t>Supply &amp; install per metre of 450mm PVC</t>
  </si>
  <si>
    <t>Supply &amp; install per metre of 200mm HDPE</t>
  </si>
  <si>
    <t>Supply &amp; install per metre of 250mm HDPE</t>
  </si>
  <si>
    <t>Supply &amp; install per metre of 315mm HDPE</t>
  </si>
  <si>
    <t>Subsoil Drainage</t>
  </si>
  <si>
    <t>Inground subsoil pump station</t>
  </si>
  <si>
    <t>Fire</t>
  </si>
  <si>
    <t>Ceiling mounted smoke detector</t>
  </si>
  <si>
    <t>Concealed space smoke detector</t>
  </si>
  <si>
    <t>Duct probe smoke detector</t>
  </si>
  <si>
    <t>Remote indicator</t>
  </si>
  <si>
    <t>Reprogramme Fire Detection Control and Indicating Equipment (FDCIE)</t>
  </si>
  <si>
    <t>Ceiling speaker</t>
  </si>
  <si>
    <t>Exposed speaker</t>
  </si>
  <si>
    <t>Horn speaker</t>
  </si>
  <si>
    <t>Installed below ceiling sprinkler head</t>
  </si>
  <si>
    <t>Relocation of below ceiling concealed type sprinkler head</t>
  </si>
  <si>
    <t>Installed concealed space sprinkler head</t>
  </si>
  <si>
    <t>Installed exposed sprinkler head</t>
  </si>
  <si>
    <t>Relocation of exposed sprinkler head</t>
  </si>
  <si>
    <t>Installed external sprinkler head/ drencher</t>
  </si>
  <si>
    <t>Fire hose reel system</t>
  </si>
  <si>
    <t>Fire hose reel pump</t>
  </si>
  <si>
    <t>Fire pumpset</t>
  </si>
  <si>
    <t>Gatehouse Mimic Panel</t>
  </si>
  <si>
    <t>Fire extinguisher</t>
  </si>
  <si>
    <t>Sprinkler pipe work:</t>
  </si>
  <si>
    <t>Supply and install per metre of 25mm</t>
  </si>
  <si>
    <t>lm</t>
  </si>
  <si>
    <t>Supply and install per metre of 32mm</t>
  </si>
  <si>
    <t>Supply and install per metre of 40mm</t>
  </si>
  <si>
    <t>Supply and install per metre of 50mm</t>
  </si>
  <si>
    <t>Supply and install per metre of 65mm</t>
  </si>
  <si>
    <t>Supply and install per metre of 80mm</t>
  </si>
  <si>
    <t>Supply and install per metre of 100mm</t>
  </si>
  <si>
    <t>Supply and install per metre of 150mm</t>
  </si>
  <si>
    <t>Fixed Joinery</t>
  </si>
  <si>
    <t>JOI-F01</t>
  </si>
  <si>
    <t>JOI-F02</t>
  </si>
  <si>
    <t>JOI-F03</t>
  </si>
  <si>
    <t>JOI-F04</t>
  </si>
  <si>
    <t>JOI-F05</t>
  </si>
  <si>
    <t>JOI-F06</t>
  </si>
  <si>
    <t>JOI-F07</t>
  </si>
  <si>
    <t>JOI-101</t>
  </si>
  <si>
    <t>JOI-102</t>
  </si>
  <si>
    <t>JOI-103</t>
  </si>
  <si>
    <t>JOI-104</t>
  </si>
  <si>
    <t>JOI-105</t>
  </si>
  <si>
    <t>JOI-106</t>
  </si>
  <si>
    <t>JOI-107</t>
  </si>
  <si>
    <t>JOI-108</t>
  </si>
  <si>
    <t>JOI-109</t>
  </si>
  <si>
    <t>JOI-110</t>
  </si>
  <si>
    <t>JOI-201</t>
  </si>
  <si>
    <t>JOI-202</t>
  </si>
  <si>
    <t>JOI-203</t>
  </si>
  <si>
    <t>JOI-204</t>
  </si>
  <si>
    <t>JOI-205</t>
  </si>
  <si>
    <t>JOI-206</t>
  </si>
  <si>
    <t>JOI-207</t>
  </si>
  <si>
    <t>JOI-208A</t>
  </si>
  <si>
    <t>JOI-208B</t>
  </si>
  <si>
    <t>JOI-209</t>
  </si>
  <si>
    <t>JOI-210</t>
  </si>
  <si>
    <t>JOI-211</t>
  </si>
  <si>
    <t>JOI-301</t>
  </si>
  <si>
    <t>JOI-303</t>
  </si>
  <si>
    <t>JOI-304</t>
  </si>
  <si>
    <t>JOI-305</t>
  </si>
  <si>
    <t>JOI-306</t>
  </si>
  <si>
    <t>JOI-307</t>
  </si>
  <si>
    <t>JOI-308</t>
  </si>
  <si>
    <t>JOI-309</t>
  </si>
  <si>
    <t>JOI-401</t>
  </si>
  <si>
    <t>JOI-403</t>
  </si>
  <si>
    <t>JOI-404</t>
  </si>
  <si>
    <t>JOI-406</t>
  </si>
  <si>
    <t>JOI-407</t>
  </si>
  <si>
    <t>JOI-501</t>
  </si>
  <si>
    <t>JOI-502</t>
  </si>
  <si>
    <t>JOI-503</t>
  </si>
  <si>
    <t>JOI-504</t>
  </si>
  <si>
    <t>JOI-505</t>
  </si>
  <si>
    <t>JOI-506</t>
  </si>
  <si>
    <t>JOI-507</t>
  </si>
  <si>
    <t>JOI-A01</t>
  </si>
  <si>
    <t>JOI-A02</t>
  </si>
  <si>
    <t>JOI-A03</t>
  </si>
  <si>
    <t>40MPa reinforced concrete to bored pile</t>
  </si>
  <si>
    <t>40MPa reinforced concrete to shotcrete wall</t>
  </si>
  <si>
    <t>50MPa reinforced concrete to footings</t>
  </si>
  <si>
    <t>50MPA reinforced concrete to walls</t>
  </si>
  <si>
    <t>65MPA reinforced concrete to columns</t>
  </si>
  <si>
    <t>40MPa reinforced concrete to suspended slabs</t>
  </si>
  <si>
    <t>40MPa reinforced concrete to wall</t>
  </si>
  <si>
    <t>m4</t>
  </si>
  <si>
    <t>Formwork to sides of footings</t>
  </si>
  <si>
    <t>Formwork to columns</t>
  </si>
  <si>
    <t>Formwor to walls</t>
  </si>
  <si>
    <t>Formwork ro soffit of suspended slab</t>
  </si>
  <si>
    <t>Formwork to edge of slab, n/e 300 high</t>
  </si>
  <si>
    <t>Bar reinforcement</t>
  </si>
  <si>
    <t>Post tensioned reinforcement</t>
  </si>
  <si>
    <t>Mesh reinforcement to ground slab</t>
  </si>
  <si>
    <t>Mesh reinforcement to shotcrete wall</t>
  </si>
  <si>
    <t>WPS-101</t>
  </si>
  <si>
    <t>WPS-102</t>
  </si>
  <si>
    <t>WPS-201A</t>
  </si>
  <si>
    <t>WPS-201B</t>
  </si>
  <si>
    <t>WPS-202</t>
  </si>
  <si>
    <t>WPS-203</t>
  </si>
  <si>
    <t>WPS-204</t>
  </si>
  <si>
    <t>WPS-205</t>
  </si>
  <si>
    <t>WPS-206</t>
  </si>
  <si>
    <t>240mm Core filled blockwork RB1</t>
  </si>
  <si>
    <t>All Rates provided are to be inclusive of supply and install</t>
  </si>
  <si>
    <t xml:space="preserve">Mechanical Trade Breakdown </t>
  </si>
  <si>
    <t>Central Plant (Heat Pumps) Cooling</t>
  </si>
  <si>
    <t>Central Plant (Heat Pumps) Heating</t>
  </si>
  <si>
    <t>Air Handling Units</t>
  </si>
  <si>
    <t>Fans</t>
  </si>
  <si>
    <t>Dampers</t>
  </si>
  <si>
    <t>Pumps</t>
  </si>
  <si>
    <t>Buffer Tanks</t>
  </si>
  <si>
    <t>BMS including (points, head end works, sensor, wiring etc)</t>
  </si>
  <si>
    <t>Mechanical Switchboards</t>
  </si>
  <si>
    <t>Mechanical – electrical works</t>
  </si>
  <si>
    <t>Ancillaries – Expansion vessels, Water treatment unit, etc</t>
  </si>
  <si>
    <t>Rebalancing and commissioning</t>
  </si>
  <si>
    <t xml:space="preserve">Miscellaneous Work </t>
  </si>
  <si>
    <t xml:space="preserve">Associated Building Works </t>
  </si>
  <si>
    <t xml:space="preserve">Testing and Commissioning </t>
  </si>
  <si>
    <t xml:space="preserve">Demonstration and Training </t>
  </si>
  <si>
    <t xml:space="preserve">Manuals and As-Built Drawings </t>
  </si>
  <si>
    <t xml:space="preserve">Services &amp; Maintenance during Warranty Period </t>
  </si>
  <si>
    <t>Warranty</t>
  </si>
  <si>
    <t xml:space="preserve">Other (Specify) </t>
  </si>
  <si>
    <t>Mechanical Services (refer Trade - Mech tab)</t>
  </si>
  <si>
    <t>Total Cost of Mechanical Works Carried to Project Summary</t>
  </si>
  <si>
    <t xml:space="preserve">Electrical Trade Breakdown </t>
  </si>
  <si>
    <t>Total Cost of Electrical Works Carried to Project Summary</t>
  </si>
  <si>
    <t xml:space="preserve">Demolition and relocation of services </t>
  </si>
  <si>
    <t xml:space="preserve">Main Switchboards  </t>
  </si>
  <si>
    <t xml:space="preserve">Main Distribution Boards  </t>
  </si>
  <si>
    <t xml:space="preserve">Metering </t>
  </si>
  <si>
    <t xml:space="preserve">Surge Suppressors/Lightning Protection </t>
  </si>
  <si>
    <t xml:space="preserve">Submains Cabling </t>
  </si>
  <si>
    <t xml:space="preserve">Medical Service Panels </t>
  </si>
  <si>
    <t xml:space="preserve">Take of Boxes </t>
  </si>
  <si>
    <t xml:space="preserve">Distribution Boards </t>
  </si>
  <si>
    <t xml:space="preserve">Cable Support Systems </t>
  </si>
  <si>
    <t xml:space="preserve">Lighting System </t>
  </si>
  <si>
    <t xml:space="preserve">Power System </t>
  </si>
  <si>
    <t xml:space="preserve">Emergency and Exit Lighting </t>
  </si>
  <si>
    <t xml:space="preserve">Emergency Lighting Monitoring System </t>
  </si>
  <si>
    <t xml:space="preserve">Security System and CCTV </t>
  </si>
  <si>
    <t xml:space="preserve">Data System Infrastructure Cabling </t>
  </si>
  <si>
    <t xml:space="preserve">Voice and Data Structured Cabling System </t>
  </si>
  <si>
    <t xml:space="preserve">Site Allowance </t>
  </si>
  <si>
    <t>Other (Specify)</t>
  </si>
  <si>
    <t>Electrical Services (refer Trade - Elec tab)</t>
  </si>
  <si>
    <t>Hydraulic Services (refer Trade - Hydr tab)</t>
  </si>
  <si>
    <t xml:space="preserve">Hydraulic Trade Breakdown </t>
  </si>
  <si>
    <t>Total Cost of Hydraulic Works Carried to Project Summary</t>
  </si>
  <si>
    <t>Combined Fire Sprinkler / Hydrant System</t>
  </si>
  <si>
    <t>Hydrants</t>
  </si>
  <si>
    <t>Sprinkler Control Assemblies</t>
  </si>
  <si>
    <t>Inground Works</t>
  </si>
  <si>
    <t>Fire Hose Reel System</t>
  </si>
  <si>
    <t>Fire Hose Reel Pump</t>
  </si>
  <si>
    <t>Fire Hose Reels</t>
  </si>
  <si>
    <t>Fire Pumpsets</t>
  </si>
  <si>
    <t>Temporary Fire Hydrant and Fire Hose Reel Service as required by Section E1D16 of the NCC</t>
  </si>
  <si>
    <t>Fire Detection &amp; Alarm System</t>
  </si>
  <si>
    <t>FDCIE</t>
  </si>
  <si>
    <t>FMS Network</t>
  </si>
  <si>
    <t>Network with FASS Building</t>
  </si>
  <si>
    <t>Colour Graphics</t>
  </si>
  <si>
    <t>Emergency Warning &amp; Intercom System (EWIS)</t>
  </si>
  <si>
    <t>EWCIE</t>
  </si>
  <si>
    <t>MNS Network</t>
  </si>
  <si>
    <t>Works associated with Seismic restraints to AS 1170.4 requirements</t>
  </si>
  <si>
    <t>Fire Extinguishers</t>
  </si>
  <si>
    <t>Green Star Compliance Requirements</t>
  </si>
  <si>
    <t>Fire System Block Plans &amp; Hydrant way-finding Block Plans</t>
  </si>
  <si>
    <t>BIM Revit and CAD Workshop Drawings</t>
  </si>
  <si>
    <t>BIM Revit and CAD As Installed Drawings</t>
  </si>
  <si>
    <t>Operating and Maintenance Instruction Manuals</t>
  </si>
  <si>
    <t>Twelve (12) Months Service, Testing and Maintenance</t>
  </si>
  <si>
    <t>Quality Assurance Plan, including Inspection, Testing and Records</t>
  </si>
  <si>
    <t xml:space="preserve">Fire Services Trade Breakdown </t>
  </si>
  <si>
    <t>Total Cost of Fire Services Works Carried to Project Summary</t>
  </si>
  <si>
    <t>Fire Services (refer Trade - Fire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</si>
</sst>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44" formatCode="_-&quot;$&quot;* #,##0.00_-;\-&quot;$&quot;* #,##0.00_-;_-&quot;$&quot;* &quot;-&quot;??_-;_-@_-"/>
    <numFmt numFmtId="43" formatCode="_-* #,##0.00_-;\-* #,##0.00_-;_-* &quot;-&quot;??_-;_-@_-"/>
    <numFmt numFmtId="164" formatCode="_(&quot;$&quot;* #,##0.00_);_(&quot;$&quot;* \(#,##0.00\);_(&quot;$&quot;* &quot;-&quot;??_);_(@_)"/>
    <numFmt numFmtId="165" formatCode="_-&quot;$&quot;* #,##0_-;\-&quot;$&quot;* #,##0_-;_-&quot;$&quot;* &quot;-&quot;??_-;_-@_-"/>
    <numFmt numFmtId="166" formatCode="_(* #,##0_);_(* \(#,##0\);_(* &quot;-&quot;??_);_(@_)"/>
    <numFmt numFmtId="167" formatCode="d\ mmmm\,\ yyyy"/>
    <numFmt numFmtId="168" formatCode="[$-C09]dd\-mmmm\-yyyy;@"/>
    <numFmt numFmtId="169" formatCode="0.0%"/>
    <numFmt numFmtId="170" formatCode="&quot;$&quot;#,##0.00"/>
    <numFmt numFmtId="171" formatCode="0.0"/>
    <numFmt numFmtId="172" formatCode="_(&quot;$&quot;* #,##0_);_(&quot;$&quot;* \(#,##0\);_(&quot;$&quot;* &quot;-&quot;??_);_(@_)"/>
  </numFmts>
  <fonts count="33">
    <font>
      <sz val="10"/>
      <color theme="1"/>
      <name val="Khmer UI"/>
      <family val="2"/>
    </font>
    <font>
      <sz val="11"/>
      <color theme="1"/>
      <name val="Calibri"/>
      <family val="2"/>
      <scheme val="minor"/>
    </font>
    <font>
      <b/>
      <sz val="11"/>
      <color theme="1"/>
      <name val="Khmer UI"/>
      <family val="2"/>
    </font>
    <font>
      <sz val="11"/>
      <name val="Khmer UI"/>
      <family val="2"/>
    </font>
    <font>
      <b/>
      <sz val="11"/>
      <name val="Khmer UI"/>
      <family val="2"/>
    </font>
    <font>
      <b/>
      <sz val="11"/>
      <color theme="0"/>
      <name val="Khmer UI"/>
      <family val="2"/>
    </font>
    <font>
      <sz val="10"/>
      <color theme="1"/>
      <name val="Khmer UI"/>
      <family val="2"/>
    </font>
    <font>
      <sz val="10"/>
      <name val="Helv"/>
    </font>
    <font>
      <sz val="10"/>
      <name val="Arial"/>
      <family val="2"/>
    </font>
    <font>
      <u/>
      <sz val="11"/>
      <name val="Khmer UI"/>
      <family val="2"/>
    </font>
    <font>
      <b/>
      <sz val="26"/>
      <color theme="1"/>
      <name val="Georgia"/>
      <family val="1"/>
    </font>
    <font>
      <b/>
      <sz val="12"/>
      <color theme="1"/>
      <name val="Khmer UI"/>
      <family val="2"/>
    </font>
    <font>
      <b/>
      <u/>
      <sz val="10"/>
      <color theme="1"/>
      <name val="Khmer UI"/>
      <family val="2"/>
    </font>
    <font>
      <b/>
      <sz val="11"/>
      <name val="Georgia"/>
      <family val="1"/>
    </font>
    <font>
      <sz val="11"/>
      <color theme="1"/>
      <name val="Akzidenz-Grotesk BQ"/>
      <family val="2"/>
    </font>
    <font>
      <sz val="10"/>
      <color indexed="8"/>
      <name val="Khmer UI"/>
      <family val="2"/>
    </font>
    <font>
      <b/>
      <sz val="10"/>
      <color indexed="8"/>
      <name val="Khmer UI"/>
      <family val="2"/>
    </font>
    <font>
      <b/>
      <sz val="11"/>
      <color theme="0" tint="-0.499984740745262"/>
      <name val="Georgia"/>
      <family val="1"/>
    </font>
    <font>
      <b/>
      <sz val="10"/>
      <name val="Khmer UI"/>
      <family val="2"/>
    </font>
    <font>
      <sz val="10"/>
      <name val="Khmer UI"/>
      <family val="2"/>
    </font>
    <font>
      <sz val="10"/>
      <name val="Akzidenz-Grotesk BQ"/>
    </font>
    <font>
      <b/>
      <sz val="10"/>
      <color theme="0"/>
      <name val="Khmer UI"/>
      <family val="2"/>
    </font>
    <font>
      <sz val="11"/>
      <name val="Georgia"/>
      <family val="1"/>
    </font>
    <font>
      <sz val="11"/>
      <color theme="0" tint="-0.499984740745262"/>
      <name val="Georgia"/>
      <family val="1"/>
    </font>
    <font>
      <b/>
      <sz val="8"/>
      <name val="Khmer UI"/>
      <family val="2"/>
    </font>
    <font>
      <sz val="10"/>
      <color rgb="FFFFFF00"/>
      <name val="Khmer UI"/>
      <family val="2"/>
    </font>
    <font>
      <b/>
      <sz val="10"/>
      <color theme="0"/>
      <name val="Aptos"/>
      <family val="2"/>
    </font>
    <font>
      <sz val="10"/>
      <name val="Aptos"/>
      <family val="2"/>
    </font>
    <font>
      <b/>
      <sz val="10"/>
      <name val="Aptos"/>
      <family val="2"/>
    </font>
    <font>
      <i/>
      <u/>
      <sz val="10"/>
      <name val="Aptos"/>
      <family val="2"/>
    </font>
    <font>
      <i/>
      <sz val="10"/>
      <name val="Aptos"/>
      <family val="2"/>
    </font>
    <font>
      <sz val="9.5"/>
      <name val="Aptos"/>
      <family val="2"/>
    </font>
    <font>
      <sz val="8"/>
      <name val="Khmer UI"/>
      <family val="2"/>
    </font>
  </fonts>
  <fills count="9">
    <fill>
      <patternFill patternType="none"/>
    </fill>
    <fill>
      <patternFill patternType="gray125"/>
    </fill>
    <fill>
      <patternFill patternType="solid">
        <fgColor rgb="FFE98F73"/>
        <bgColor indexed="64"/>
      </patternFill>
    </fill>
    <fill>
      <patternFill patternType="solid">
        <fgColor theme="0" tint="-0.499984740745262"/>
        <bgColor indexed="64"/>
      </patternFill>
    </fill>
    <fill>
      <patternFill patternType="solid">
        <fgColor theme="0"/>
        <bgColor indexed="64"/>
      </patternFill>
    </fill>
    <fill>
      <patternFill patternType="solid">
        <fgColor theme="0" tint="-4.9989318521683403E-2"/>
        <bgColor indexed="64"/>
      </patternFill>
    </fill>
    <fill>
      <patternFill patternType="solid">
        <fgColor rgb="FF004581"/>
        <bgColor indexed="64"/>
      </patternFill>
    </fill>
    <fill>
      <patternFill patternType="solid">
        <fgColor rgb="FFB7D8FF"/>
        <bgColor indexed="64"/>
      </patternFill>
    </fill>
    <fill>
      <patternFill patternType="solid">
        <fgColor rgb="FFFFFF00"/>
        <bgColor indexed="64"/>
      </patternFill>
    </fill>
  </fills>
  <borders count="40">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18">
    <xf numFmtId="0" fontId="0" fillId="0" borderId="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7" fillId="0" borderId="0"/>
    <xf numFmtId="0" fontId="7" fillId="0" borderId="0"/>
    <xf numFmtId="0" fontId="14" fillId="0" borderId="0"/>
    <xf numFmtId="0" fontId="7" fillId="0" borderId="0"/>
    <xf numFmtId="0" fontId="20" fillId="0" borderId="0"/>
    <xf numFmtId="44" fontId="14" fillId="0" borderId="0" applyFont="0" applyFill="0" applyBorder="0" applyAlignment="0" applyProtection="0"/>
    <xf numFmtId="0" fontId="7" fillId="0" borderId="0"/>
    <xf numFmtId="9" fontId="20" fillId="0" borderId="0" applyFont="0" applyFill="0" applyBorder="0" applyAlignment="0" applyProtection="0"/>
    <xf numFmtId="0" fontId="20" fillId="0" borderId="0"/>
    <xf numFmtId="0" fontId="8" fillId="0" borderId="0"/>
    <xf numFmtId="0" fontId="8" fillId="0" borderId="0"/>
    <xf numFmtId="44" fontId="20" fillId="0" borderId="0" applyFont="0" applyFill="0" applyBorder="0" applyAlignment="0" applyProtection="0"/>
    <xf numFmtId="0" fontId="7" fillId="0" borderId="0"/>
    <xf numFmtId="0" fontId="1" fillId="0" borderId="0"/>
  </cellStyleXfs>
  <cellXfs count="174">
    <xf numFmtId="0" fontId="0" fillId="0" borderId="0" xfId="0"/>
    <xf numFmtId="0" fontId="0" fillId="0" borderId="0" xfId="0" applyAlignment="1">
      <alignment vertical="top"/>
    </xf>
    <xf numFmtId="0" fontId="2" fillId="0" borderId="0" xfId="0" applyFont="1" applyAlignment="1">
      <alignment vertical="top"/>
    </xf>
    <xf numFmtId="0" fontId="0" fillId="2" borderId="0" xfId="0" applyFill="1" applyAlignment="1">
      <alignment vertical="top"/>
    </xf>
    <xf numFmtId="165" fontId="0" fillId="0" borderId="0" xfId="1" applyNumberFormat="1" applyFont="1"/>
    <xf numFmtId="0" fontId="0" fillId="0" borderId="0" xfId="0" applyAlignment="1">
      <alignment horizontal="center"/>
    </xf>
    <xf numFmtId="9" fontId="0" fillId="0" borderId="0" xfId="2" applyFont="1" applyAlignment="1">
      <alignment horizontal="center"/>
    </xf>
    <xf numFmtId="0" fontId="3" fillId="0" borderId="1" xfId="4" applyFont="1" applyBorder="1" applyAlignment="1">
      <alignment horizontal="left" indent="1"/>
    </xf>
    <xf numFmtId="0" fontId="4" fillId="0" borderId="4" xfId="4" applyFont="1" applyBorder="1" applyAlignment="1">
      <alignment horizontal="left" vertical="center" indent="1"/>
    </xf>
    <xf numFmtId="0" fontId="3" fillId="0" borderId="1" xfId="4" applyFont="1" applyBorder="1" applyAlignment="1">
      <alignment horizontal="left" wrapText="1" indent="1"/>
    </xf>
    <xf numFmtId="0" fontId="4" fillId="0" borderId="1" xfId="4" applyFont="1" applyBorder="1" applyAlignment="1">
      <alignment horizontal="left" indent="1"/>
    </xf>
    <xf numFmtId="0" fontId="10" fillId="0" borderId="0" xfId="0" applyFont="1" applyAlignment="1">
      <alignment vertical="top"/>
    </xf>
    <xf numFmtId="0" fontId="5" fillId="3" borderId="2" xfId="4" applyFont="1" applyFill="1" applyBorder="1" applyAlignment="1">
      <alignment horizontal="center" vertical="center"/>
    </xf>
    <xf numFmtId="166" fontId="5" fillId="3" borderId="2" xfId="3" applyNumberFormat="1" applyFont="1" applyFill="1" applyBorder="1" applyAlignment="1">
      <alignment horizontal="center" vertical="center"/>
    </xf>
    <xf numFmtId="165" fontId="3" fillId="0" borderId="1" xfId="1" applyNumberFormat="1" applyFont="1" applyBorder="1"/>
    <xf numFmtId="165" fontId="4" fillId="0" borderId="4" xfId="1" applyNumberFormat="1" applyFont="1" applyBorder="1" applyAlignment="1">
      <alignment vertical="center"/>
    </xf>
    <xf numFmtId="165" fontId="4" fillId="0" borderId="1" xfId="1" applyNumberFormat="1" applyFont="1" applyBorder="1"/>
    <xf numFmtId="165" fontId="3" fillId="0" borderId="1" xfId="1" applyNumberFormat="1" applyFont="1" applyBorder="1" applyAlignment="1">
      <alignment horizontal="right"/>
    </xf>
    <xf numFmtId="0" fontId="5" fillId="3" borderId="2" xfId="4" applyFont="1" applyFill="1" applyBorder="1" applyAlignment="1">
      <alignment vertical="center"/>
    </xf>
    <xf numFmtId="0" fontId="5" fillId="3" borderId="2" xfId="4" applyFont="1" applyFill="1" applyBorder="1" applyAlignment="1">
      <alignment vertical="center" wrapText="1"/>
    </xf>
    <xf numFmtId="0" fontId="0" fillId="0" borderId="2" xfId="0" applyBorder="1"/>
    <xf numFmtId="0" fontId="15" fillId="4" borderId="0" xfId="6" applyFont="1" applyFill="1"/>
    <xf numFmtId="0" fontId="15" fillId="0" borderId="0" xfId="6" applyFont="1"/>
    <xf numFmtId="0" fontId="21" fillId="3" borderId="6" xfId="6" applyFont="1" applyFill="1" applyBorder="1" applyAlignment="1">
      <alignment horizontal="center" vertical="center" wrapText="1"/>
    </xf>
    <xf numFmtId="6" fontId="15" fillId="0" borderId="6" xfId="9" applyNumberFormat="1" applyFont="1" applyBorder="1" applyAlignment="1">
      <alignment horizontal="center" vertical="center"/>
    </xf>
    <xf numFmtId="6" fontId="15" fillId="0" borderId="11" xfId="9" applyNumberFormat="1" applyFont="1" applyBorder="1" applyAlignment="1">
      <alignment horizontal="center" vertical="center"/>
    </xf>
    <xf numFmtId="169" fontId="15" fillId="0" borderId="6" xfId="6" applyNumberFormat="1" applyFont="1" applyBorder="1" applyAlignment="1">
      <alignment horizontal="center" vertical="center"/>
    </xf>
    <xf numFmtId="170" fontId="15" fillId="0" borderId="16" xfId="6" applyNumberFormat="1" applyFont="1" applyBorder="1" applyAlignment="1">
      <alignment horizontal="center" vertical="center"/>
    </xf>
    <xf numFmtId="170" fontId="15" fillId="0" borderId="19" xfId="6" applyNumberFormat="1" applyFont="1" applyBorder="1" applyAlignment="1">
      <alignment horizontal="center" vertical="center"/>
    </xf>
    <xf numFmtId="170" fontId="15" fillId="0" borderId="0" xfId="6" applyNumberFormat="1" applyFont="1"/>
    <xf numFmtId="170" fontId="15" fillId="0" borderId="22" xfId="6" applyNumberFormat="1" applyFont="1" applyBorder="1" applyAlignment="1">
      <alignment horizontal="center" vertical="center"/>
    </xf>
    <xf numFmtId="0" fontId="19" fillId="0" borderId="0" xfId="10" applyFont="1"/>
    <xf numFmtId="0" fontId="19" fillId="0" borderId="0" xfId="4" applyFont="1" applyAlignment="1">
      <alignment wrapText="1"/>
    </xf>
    <xf numFmtId="0" fontId="19" fillId="0" borderId="0" xfId="4" applyFont="1" applyAlignment="1">
      <alignment horizontal="center"/>
    </xf>
    <xf numFmtId="0" fontId="19" fillId="0" borderId="0" xfId="8" applyFont="1"/>
    <xf numFmtId="0" fontId="19" fillId="0" borderId="0" xfId="8" applyFont="1" applyAlignment="1">
      <alignment horizontal="center"/>
    </xf>
    <xf numFmtId="0" fontId="15" fillId="0" borderId="0" xfId="6" applyFont="1" applyAlignment="1">
      <alignment vertical="center"/>
    </xf>
    <xf numFmtId="9" fontId="15" fillId="0" borderId="0" xfId="11" applyFont="1"/>
    <xf numFmtId="0" fontId="22" fillId="0" borderId="0" xfId="8" applyFont="1"/>
    <xf numFmtId="0" fontId="13" fillId="0" borderId="0" xfId="8" applyFont="1"/>
    <xf numFmtId="0" fontId="18" fillId="0" borderId="23" xfId="4" applyFont="1" applyBorder="1" applyAlignment="1">
      <alignment wrapText="1"/>
    </xf>
    <xf numFmtId="164" fontId="19" fillId="0" borderId="35" xfId="15" applyNumberFormat="1" applyFont="1" applyBorder="1" applyAlignment="1">
      <alignment vertical="top"/>
    </xf>
    <xf numFmtId="0" fontId="19" fillId="4" borderId="36" xfId="4" applyFont="1" applyFill="1" applyBorder="1" applyAlignment="1">
      <alignment horizontal="justify" vertical="top" wrapText="1"/>
    </xf>
    <xf numFmtId="2" fontId="19" fillId="0" borderId="34" xfId="4" applyNumberFormat="1" applyFont="1" applyBorder="1" applyAlignment="1">
      <alignment horizontal="center" vertical="top"/>
    </xf>
    <xf numFmtId="0" fontId="19" fillId="0" borderId="0" xfId="8" applyFont="1" applyAlignment="1">
      <alignment wrapText="1"/>
    </xf>
    <xf numFmtId="9" fontId="19" fillId="0" borderId="0" xfId="11" applyFont="1"/>
    <xf numFmtId="167" fontId="17" fillId="0" borderId="0" xfId="4" applyNumberFormat="1" applyFont="1" applyAlignment="1">
      <alignment horizontal="right"/>
    </xf>
    <xf numFmtId="170" fontId="15" fillId="0" borderId="17" xfId="6" applyNumberFormat="1" applyFont="1" applyBorder="1" applyAlignment="1">
      <alignment vertical="center"/>
    </xf>
    <xf numFmtId="170" fontId="15" fillId="0" borderId="18" xfId="6" applyNumberFormat="1" applyFont="1" applyBorder="1" applyAlignment="1">
      <alignment vertical="center"/>
    </xf>
    <xf numFmtId="0" fontId="13" fillId="4" borderId="0" xfId="5" applyFont="1" applyFill="1" applyProtection="1">
      <protection hidden="1"/>
    </xf>
    <xf numFmtId="0" fontId="17" fillId="0" borderId="0" xfId="5" applyFont="1" applyProtection="1">
      <protection hidden="1"/>
    </xf>
    <xf numFmtId="0" fontId="11" fillId="0" borderId="0" xfId="0" applyFont="1" applyAlignment="1">
      <alignment horizontal="left" vertical="top"/>
    </xf>
    <xf numFmtId="0" fontId="2" fillId="6" borderId="0" xfId="0" applyFont="1" applyFill="1" applyAlignment="1">
      <alignment vertical="top"/>
    </xf>
    <xf numFmtId="0" fontId="0" fillId="6" borderId="0" xfId="0" applyFill="1" applyAlignment="1">
      <alignment vertical="top"/>
    </xf>
    <xf numFmtId="0" fontId="19" fillId="6" borderId="0" xfId="8" applyFont="1" applyFill="1"/>
    <xf numFmtId="166" fontId="5" fillId="3" borderId="2" xfId="3" applyNumberFormat="1" applyFont="1" applyFill="1" applyBorder="1" applyAlignment="1">
      <alignment horizontal="center" vertical="center" wrapText="1"/>
    </xf>
    <xf numFmtId="0" fontId="13" fillId="4" borderId="0" xfId="4" applyFont="1" applyFill="1" applyAlignment="1">
      <alignment horizontal="center" wrapText="1"/>
    </xf>
    <xf numFmtId="0" fontId="13" fillId="0" borderId="0" xfId="4" applyFont="1" applyAlignment="1">
      <alignment horizontal="center"/>
    </xf>
    <xf numFmtId="0" fontId="22" fillId="0" borderId="0" xfId="4" applyFont="1"/>
    <xf numFmtId="0" fontId="22" fillId="0" borderId="0" xfId="4" applyFont="1" applyAlignment="1">
      <alignment horizontal="center"/>
    </xf>
    <xf numFmtId="0" fontId="17" fillId="0" borderId="0" xfId="4" applyFont="1" applyAlignment="1">
      <alignment horizontal="center" wrapText="1"/>
    </xf>
    <xf numFmtId="0" fontId="17" fillId="0" borderId="0" xfId="4" applyFont="1" applyAlignment="1">
      <alignment horizontal="center"/>
    </xf>
    <xf numFmtId="0" fontId="23" fillId="0" borderId="0" xfId="4" applyFont="1"/>
    <xf numFmtId="167" fontId="17" fillId="0" borderId="0" xfId="4" applyNumberFormat="1" applyFont="1"/>
    <xf numFmtId="167" fontId="13" fillId="0" borderId="0" xfId="12" applyNumberFormat="1" applyFont="1" applyAlignment="1">
      <alignment horizontal="left" wrapText="1"/>
    </xf>
    <xf numFmtId="167" fontId="13" fillId="0" borderId="0" xfId="12" applyNumberFormat="1" applyFont="1" applyAlignment="1">
      <alignment horizontal="center"/>
    </xf>
    <xf numFmtId="0" fontId="24" fillId="6" borderId="0" xfId="13" applyFont="1" applyFill="1" applyAlignment="1">
      <alignment horizontal="left"/>
    </xf>
    <xf numFmtId="0" fontId="24" fillId="6" borderId="0" xfId="13" applyFont="1" applyFill="1" applyAlignment="1">
      <alignment horizontal="left" wrapText="1"/>
    </xf>
    <xf numFmtId="0" fontId="24" fillId="6" borderId="0" xfId="13" applyFont="1" applyFill="1" applyAlignment="1">
      <alignment horizontal="center"/>
    </xf>
    <xf numFmtId="0" fontId="19" fillId="0" borderId="23" xfId="4" applyFont="1" applyBorder="1" applyAlignment="1">
      <alignment horizontal="center"/>
    </xf>
    <xf numFmtId="0" fontId="19" fillId="0" borderId="23" xfId="4" applyFont="1" applyBorder="1"/>
    <xf numFmtId="0" fontId="19" fillId="0" borderId="23" xfId="8" applyFont="1" applyBorder="1"/>
    <xf numFmtId="0" fontId="16" fillId="4" borderId="0" xfId="6" applyFont="1" applyFill="1"/>
    <xf numFmtId="0" fontId="16" fillId="4" borderId="0" xfId="6" applyFont="1" applyFill="1" applyAlignment="1">
      <alignment horizontal="left" vertical="top"/>
    </xf>
    <xf numFmtId="0" fontId="16" fillId="4" borderId="0" xfId="6" applyFont="1" applyFill="1" applyAlignment="1">
      <alignment horizontal="left"/>
    </xf>
    <xf numFmtId="168" fontId="18" fillId="4" borderId="0" xfId="7" applyNumberFormat="1" applyFont="1" applyFill="1" applyAlignment="1" applyProtection="1">
      <alignment horizontal="left"/>
      <protection hidden="1"/>
    </xf>
    <xf numFmtId="0" fontId="15" fillId="6" borderId="0" xfId="6" applyFont="1" applyFill="1" applyAlignment="1">
      <alignment horizontal="right"/>
    </xf>
    <xf numFmtId="14" fontId="19" fillId="6" borderId="0" xfId="7" applyNumberFormat="1" applyFont="1" applyFill="1" applyAlignment="1" applyProtection="1">
      <alignment horizontal="left"/>
      <protection hidden="1"/>
    </xf>
    <xf numFmtId="0" fontId="15" fillId="6" borderId="0" xfId="6" applyFont="1" applyFill="1"/>
    <xf numFmtId="0" fontId="15" fillId="4" borderId="0" xfId="6" applyFont="1" applyFill="1" applyAlignment="1">
      <alignment horizontal="right"/>
    </xf>
    <xf numFmtId="14" fontId="19" fillId="4" borderId="0" xfId="7" applyNumberFormat="1" applyFont="1" applyFill="1" applyAlignment="1" applyProtection="1">
      <alignment horizontal="left"/>
      <protection hidden="1"/>
    </xf>
    <xf numFmtId="0" fontId="15" fillId="4" borderId="12" xfId="6" applyFont="1" applyFill="1" applyBorder="1" applyAlignment="1">
      <alignment horizontal="right"/>
    </xf>
    <xf numFmtId="14" fontId="19" fillId="4" borderId="12" xfId="7" applyNumberFormat="1" applyFont="1" applyFill="1" applyBorder="1" applyAlignment="1" applyProtection="1">
      <alignment horizontal="left"/>
      <protection hidden="1"/>
    </xf>
    <xf numFmtId="0" fontId="15" fillId="4" borderId="12" xfId="6" applyFont="1" applyFill="1" applyBorder="1"/>
    <xf numFmtId="0" fontId="15" fillId="4" borderId="17" xfId="6" applyFont="1" applyFill="1" applyBorder="1" applyAlignment="1">
      <alignment horizontal="left" vertical="center"/>
    </xf>
    <xf numFmtId="0" fontId="15" fillId="4" borderId="18" xfId="6" applyFont="1" applyFill="1" applyBorder="1" applyAlignment="1">
      <alignment horizontal="left" vertical="center"/>
    </xf>
    <xf numFmtId="0" fontId="15" fillId="0" borderId="17" xfId="6" applyFont="1" applyBorder="1" applyAlignment="1">
      <alignment horizontal="left" vertical="center"/>
    </xf>
    <xf numFmtId="0" fontId="15" fillId="0" borderId="18" xfId="6" applyFont="1" applyBorder="1" applyAlignment="1">
      <alignment horizontal="left" vertical="center"/>
    </xf>
    <xf numFmtId="0" fontId="3" fillId="0" borderId="0" xfId="4" applyFont="1" applyAlignment="1">
      <alignment horizontal="left" vertical="top" wrapText="1" indent="1"/>
    </xf>
    <xf numFmtId="0" fontId="15" fillId="8" borderId="0" xfId="6" applyFont="1" applyFill="1"/>
    <xf numFmtId="165" fontId="3" fillId="0" borderId="1" xfId="1" applyNumberFormat="1" applyFont="1" applyFill="1" applyBorder="1" applyAlignment="1"/>
    <xf numFmtId="0" fontId="25" fillId="8" borderId="0" xfId="6" applyFont="1" applyFill="1" applyAlignment="1">
      <alignment wrapText="1"/>
    </xf>
    <xf numFmtId="0" fontId="9" fillId="0" borderId="1" xfId="4" applyFont="1" applyBorder="1" applyAlignment="1">
      <alignment horizontal="left" indent="1"/>
    </xf>
    <xf numFmtId="0" fontId="0" fillId="0" borderId="2" xfId="0" applyBorder="1" applyAlignment="1">
      <alignment vertical="center" wrapText="1"/>
    </xf>
    <xf numFmtId="0" fontId="0" fillId="0" borderId="2" xfId="0" applyBorder="1" applyAlignment="1">
      <alignment vertical="center"/>
    </xf>
    <xf numFmtId="0" fontId="3" fillId="0" borderId="38" xfId="4" applyFont="1" applyBorder="1" applyAlignment="1">
      <alignment horizontal="left" indent="1"/>
    </xf>
    <xf numFmtId="165" fontId="3" fillId="0" borderId="38" xfId="1" applyNumberFormat="1" applyFont="1" applyBorder="1"/>
    <xf numFmtId="0" fontId="0" fillId="0" borderId="39" xfId="0" applyBorder="1"/>
    <xf numFmtId="0" fontId="0" fillId="0" borderId="1" xfId="0" applyBorder="1"/>
    <xf numFmtId="165" fontId="3" fillId="0" borderId="1" xfId="1" applyNumberFormat="1" applyFont="1" applyFill="1" applyBorder="1" applyAlignment="1">
      <alignment vertical="center"/>
    </xf>
    <xf numFmtId="0" fontId="3" fillId="0" borderId="1" xfId="4" applyFont="1" applyBorder="1" applyAlignment="1">
      <alignment horizontal="left" vertical="center" wrapText="1" indent="1"/>
    </xf>
    <xf numFmtId="0" fontId="26" fillId="3" borderId="2" xfId="4" applyFont="1" applyFill="1" applyBorder="1" applyAlignment="1">
      <alignment horizontal="center" vertical="center"/>
    </xf>
    <xf numFmtId="0" fontId="26" fillId="3" borderId="2" xfId="4" applyFont="1" applyFill="1" applyBorder="1" applyAlignment="1">
      <alignment horizontal="center" vertical="center" wrapText="1"/>
    </xf>
    <xf numFmtId="0" fontId="26" fillId="3" borderId="2" xfId="14" applyFont="1" applyFill="1" applyBorder="1" applyAlignment="1">
      <alignment horizontal="center" vertical="center"/>
    </xf>
    <xf numFmtId="0" fontId="26" fillId="3" borderId="2" xfId="14" applyFont="1" applyFill="1" applyBorder="1" applyAlignment="1">
      <alignment horizontal="center" vertical="center" wrapText="1"/>
    </xf>
    <xf numFmtId="0" fontId="27" fillId="0" borderId="0" xfId="8" applyFont="1"/>
    <xf numFmtId="0" fontId="27" fillId="0" borderId="25" xfId="4" applyFont="1" applyBorder="1" applyAlignment="1">
      <alignment horizontal="center" vertical="top"/>
    </xf>
    <xf numFmtId="0" fontId="27" fillId="0" borderId="26" xfId="4" applyFont="1" applyBorder="1" applyAlignment="1">
      <alignment horizontal="left" vertical="top" wrapText="1"/>
    </xf>
    <xf numFmtId="0" fontId="27" fillId="7" borderId="26" xfId="15" applyNumberFormat="1" applyFont="1" applyFill="1" applyBorder="1" applyAlignment="1">
      <alignment horizontal="center" vertical="top"/>
    </xf>
    <xf numFmtId="0" fontId="27" fillId="0" borderId="27" xfId="8" applyFont="1" applyBorder="1" applyAlignment="1">
      <alignment horizontal="center" vertical="top"/>
    </xf>
    <xf numFmtId="0" fontId="27" fillId="0" borderId="28" xfId="4" applyFont="1" applyBorder="1" applyAlignment="1">
      <alignment horizontal="justify" vertical="top" wrapText="1"/>
    </xf>
    <xf numFmtId="171" fontId="28" fillId="0" borderId="29" xfId="4" applyNumberFormat="1" applyFont="1" applyBorder="1" applyAlignment="1">
      <alignment horizontal="center" vertical="top"/>
    </xf>
    <xf numFmtId="0" fontId="28" fillId="0" borderId="30" xfId="4" applyFont="1" applyBorder="1" applyAlignment="1">
      <alignment horizontal="left" vertical="top" wrapText="1"/>
    </xf>
    <xf numFmtId="172" fontId="28" fillId="7" borderId="31" xfId="15" applyNumberFormat="1" applyFont="1" applyFill="1" applyBorder="1" applyAlignment="1">
      <alignment horizontal="center" vertical="top"/>
    </xf>
    <xf numFmtId="172" fontId="28" fillId="0" borderId="32" xfId="15" applyNumberFormat="1" applyFont="1" applyBorder="1" applyAlignment="1">
      <alignment vertical="top"/>
    </xf>
    <xf numFmtId="0" fontId="27" fillId="0" borderId="33" xfId="4" applyFont="1" applyBorder="1" applyAlignment="1">
      <alignment horizontal="justify" vertical="top" wrapText="1"/>
    </xf>
    <xf numFmtId="0" fontId="29" fillId="0" borderId="30" xfId="4" applyFont="1" applyBorder="1" applyAlignment="1">
      <alignment horizontal="left" vertical="top" wrapText="1"/>
    </xf>
    <xf numFmtId="0" fontId="27" fillId="0" borderId="30" xfId="4" applyFont="1" applyBorder="1" applyAlignment="1">
      <alignment horizontal="left" vertical="top" wrapText="1"/>
    </xf>
    <xf numFmtId="172" fontId="27" fillId="7" borderId="31" xfId="15" applyNumberFormat="1" applyFont="1" applyFill="1" applyBorder="1" applyAlignment="1">
      <alignment horizontal="center" vertical="top"/>
    </xf>
    <xf numFmtId="172" fontId="28" fillId="0" borderId="32" xfId="15" applyNumberFormat="1" applyFont="1" applyFill="1" applyBorder="1" applyAlignment="1">
      <alignment vertical="top"/>
    </xf>
    <xf numFmtId="0" fontId="30" fillId="0" borderId="33" xfId="4" applyFont="1" applyBorder="1" applyAlignment="1">
      <alignment horizontal="justify" vertical="top" wrapText="1"/>
    </xf>
    <xf numFmtId="171" fontId="27" fillId="0" borderId="34" xfId="4" applyNumberFormat="1" applyFont="1" applyBorder="1" applyAlignment="1">
      <alignment horizontal="center" vertical="top"/>
    </xf>
    <xf numFmtId="0" fontId="27" fillId="0" borderId="31" xfId="4" applyFont="1" applyBorder="1" applyAlignment="1">
      <alignment vertical="top" wrapText="1"/>
    </xf>
    <xf numFmtId="164" fontId="27" fillId="0" borderId="35" xfId="15" applyNumberFormat="1" applyFont="1" applyBorder="1" applyAlignment="1">
      <alignment vertical="top"/>
    </xf>
    <xf numFmtId="0" fontId="27" fillId="0" borderId="36" xfId="4" applyFont="1" applyBorder="1" applyAlignment="1">
      <alignment horizontal="justify" vertical="top" wrapText="1"/>
    </xf>
    <xf numFmtId="0" fontId="27" fillId="4" borderId="36" xfId="4" applyFont="1" applyFill="1" applyBorder="1" applyAlignment="1">
      <alignment horizontal="justify" vertical="top" wrapText="1"/>
    </xf>
    <xf numFmtId="2" fontId="27" fillId="0" borderId="34" xfId="4" applyNumberFormat="1" applyFont="1" applyBorder="1" applyAlignment="1">
      <alignment horizontal="center" vertical="top"/>
    </xf>
    <xf numFmtId="0" fontId="28" fillId="0" borderId="31" xfId="4" applyFont="1" applyBorder="1" applyAlignment="1">
      <alignment vertical="top" wrapText="1"/>
    </xf>
    <xf numFmtId="0" fontId="27" fillId="0" borderId="34" xfId="4" applyFont="1" applyBorder="1" applyAlignment="1">
      <alignment horizontal="center" vertical="top"/>
    </xf>
    <xf numFmtId="172" fontId="27" fillId="0" borderId="35" xfId="15" applyNumberFormat="1" applyFont="1" applyBorder="1" applyAlignment="1">
      <alignment horizontal="right" vertical="top"/>
    </xf>
    <xf numFmtId="0" fontId="27" fillId="0" borderId="36" xfId="16" applyFont="1" applyBorder="1" applyAlignment="1">
      <alignment horizontal="justify" vertical="top"/>
    </xf>
    <xf numFmtId="0" fontId="27" fillId="7" borderId="31" xfId="15" applyNumberFormat="1" applyFont="1" applyFill="1" applyBorder="1" applyAlignment="1">
      <alignment horizontal="center" vertical="top"/>
    </xf>
    <xf numFmtId="0" fontId="27" fillId="0" borderId="0" xfId="8" applyFont="1" applyAlignment="1">
      <alignment wrapText="1"/>
    </xf>
    <xf numFmtId="0" fontId="26" fillId="3" borderId="37" xfId="4" applyFont="1" applyFill="1" applyBorder="1" applyAlignment="1">
      <alignment vertical="top"/>
    </xf>
    <xf numFmtId="0" fontId="26" fillId="3" borderId="3" xfId="4" applyFont="1" applyFill="1" applyBorder="1" applyAlignment="1">
      <alignment vertical="top" wrapText="1"/>
    </xf>
    <xf numFmtId="172" fontId="26" fillId="3" borderId="5" xfId="15" applyNumberFormat="1" applyFont="1" applyFill="1" applyBorder="1" applyAlignment="1">
      <alignment horizontal="center" vertical="top"/>
    </xf>
    <xf numFmtId="172" fontId="26" fillId="3" borderId="5" xfId="15" applyNumberFormat="1" applyFont="1" applyFill="1" applyBorder="1" applyAlignment="1">
      <alignment vertical="top"/>
    </xf>
    <xf numFmtId="0" fontId="26" fillId="3" borderId="24" xfId="16" applyFont="1" applyFill="1" applyBorder="1" applyAlignment="1">
      <alignment horizontal="justify" vertical="top"/>
    </xf>
    <xf numFmtId="0" fontId="28" fillId="0" borderId="0" xfId="8" applyFont="1"/>
    <xf numFmtId="0" fontId="27" fillId="0" borderId="10" xfId="10" applyFont="1" applyBorder="1"/>
    <xf numFmtId="0" fontId="27" fillId="0" borderId="12" xfId="4" applyFont="1" applyBorder="1" applyAlignment="1">
      <alignment wrapText="1"/>
    </xf>
    <xf numFmtId="0" fontId="27" fillId="0" borderId="12" xfId="4" applyFont="1" applyBorder="1" applyAlignment="1">
      <alignment horizontal="center"/>
    </xf>
    <xf numFmtId="0" fontId="27" fillId="0" borderId="12" xfId="4" applyFont="1" applyBorder="1"/>
    <xf numFmtId="0" fontId="27" fillId="0" borderId="13" xfId="8" applyFont="1" applyBorder="1"/>
    <xf numFmtId="0" fontId="27" fillId="0" borderId="30" xfId="4" applyFont="1" applyBorder="1" applyAlignment="1">
      <alignment vertical="top" wrapText="1"/>
    </xf>
    <xf numFmtId="164" fontId="27" fillId="0" borderId="35" xfId="15" applyNumberFormat="1" applyFont="1" applyFill="1" applyBorder="1" applyAlignment="1">
      <alignment vertical="top"/>
    </xf>
    <xf numFmtId="0" fontId="29" fillId="8" borderId="30" xfId="4" applyFont="1" applyFill="1" applyBorder="1" applyAlignment="1">
      <alignment horizontal="left" vertical="top" wrapText="1"/>
    </xf>
    <xf numFmtId="0" fontId="11" fillId="0" borderId="0" xfId="0" applyFont="1" applyAlignment="1">
      <alignment horizontal="left" vertical="top"/>
    </xf>
    <xf numFmtId="0" fontId="0" fillId="0" borderId="0" xfId="0" applyAlignment="1">
      <alignment horizontal="left" vertical="top" wrapText="1"/>
    </xf>
    <xf numFmtId="0" fontId="10" fillId="0" borderId="0" xfId="0" applyFont="1" applyAlignment="1">
      <alignment horizontal="left" vertical="top" wrapText="1"/>
    </xf>
    <xf numFmtId="0" fontId="0" fillId="0" borderId="0" xfId="0" quotePrefix="1" applyAlignment="1">
      <alignment horizontal="left" vertical="top" wrapText="1"/>
    </xf>
    <xf numFmtId="0" fontId="16" fillId="5" borderId="7" xfId="6" applyFont="1" applyFill="1" applyBorder="1" applyAlignment="1">
      <alignment horizontal="left" vertical="center" wrapText="1"/>
    </xf>
    <xf numFmtId="0" fontId="16" fillId="5" borderId="8" xfId="6" applyFont="1" applyFill="1" applyBorder="1" applyAlignment="1">
      <alignment horizontal="left" vertical="center" wrapText="1"/>
    </xf>
    <xf numFmtId="0" fontId="16" fillId="5" borderId="12" xfId="6" applyFont="1" applyFill="1" applyBorder="1" applyAlignment="1">
      <alignment horizontal="left" vertical="center" wrapText="1"/>
    </xf>
    <xf numFmtId="0" fontId="16" fillId="5" borderId="13" xfId="6" applyFont="1" applyFill="1" applyBorder="1" applyAlignment="1">
      <alignment horizontal="left" vertical="center" wrapText="1"/>
    </xf>
    <xf numFmtId="0" fontId="19" fillId="0" borderId="7" xfId="6" applyFont="1" applyBorder="1" applyAlignment="1">
      <alignment horizontal="left" vertical="center" wrapText="1"/>
    </xf>
    <xf numFmtId="0" fontId="19" fillId="0" borderId="8" xfId="6" applyFont="1" applyBorder="1" applyAlignment="1">
      <alignment horizontal="left" vertical="center" wrapText="1"/>
    </xf>
    <xf numFmtId="0" fontId="19" fillId="0" borderId="9" xfId="6" applyFont="1" applyBorder="1" applyAlignment="1">
      <alignment horizontal="left" vertical="center" wrapText="1"/>
    </xf>
    <xf numFmtId="167" fontId="17" fillId="0" borderId="0" xfId="4" applyNumberFormat="1" applyFont="1" applyAlignment="1">
      <alignment horizontal="right"/>
    </xf>
    <xf numFmtId="0" fontId="21" fillId="3" borderId="7" xfId="6" applyFont="1" applyFill="1" applyBorder="1" applyAlignment="1">
      <alignment horizontal="center" vertical="center" wrapText="1"/>
    </xf>
    <xf numFmtId="0" fontId="21" fillId="3" borderId="8" xfId="6" applyFont="1" applyFill="1" applyBorder="1" applyAlignment="1">
      <alignment horizontal="center" vertical="center" wrapText="1"/>
    </xf>
    <xf numFmtId="0" fontId="21" fillId="3" borderId="9" xfId="6" applyFont="1" applyFill="1" applyBorder="1" applyAlignment="1">
      <alignment horizontal="center" vertical="center" wrapText="1"/>
    </xf>
    <xf numFmtId="0" fontId="15" fillId="0" borderId="7" xfId="6" applyFont="1" applyBorder="1" applyAlignment="1">
      <alignment horizontal="left" vertical="center" wrapText="1"/>
    </xf>
    <xf numFmtId="0" fontId="15" fillId="0" borderId="8" xfId="6" applyFont="1" applyBorder="1" applyAlignment="1">
      <alignment horizontal="left" vertical="center" wrapText="1"/>
    </xf>
    <xf numFmtId="0" fontId="15" fillId="0" borderId="9" xfId="6" applyFont="1" applyBorder="1" applyAlignment="1">
      <alignment horizontal="left" vertical="center" wrapText="1"/>
    </xf>
    <xf numFmtId="0" fontId="15" fillId="4" borderId="20" xfId="6" applyFont="1" applyFill="1" applyBorder="1" applyAlignment="1">
      <alignment horizontal="left" vertical="center"/>
    </xf>
    <xf numFmtId="0" fontId="15" fillId="4" borderId="21" xfId="6" applyFont="1" applyFill="1" applyBorder="1" applyAlignment="1">
      <alignment horizontal="left" vertical="center"/>
    </xf>
    <xf numFmtId="0" fontId="15" fillId="4" borderId="17" xfId="6" applyFont="1" applyFill="1" applyBorder="1" applyAlignment="1">
      <alignment horizontal="left" vertical="center"/>
    </xf>
    <xf numFmtId="0" fontId="15" fillId="4" borderId="18" xfId="6" applyFont="1" applyFill="1" applyBorder="1" applyAlignment="1">
      <alignment horizontal="left" vertical="center"/>
    </xf>
    <xf numFmtId="0" fontId="15" fillId="0" borderId="17" xfId="6" applyFont="1" applyBorder="1" applyAlignment="1">
      <alignment horizontal="left" vertical="center"/>
    </xf>
    <xf numFmtId="0" fontId="15" fillId="0" borderId="18" xfId="6" applyFont="1" applyBorder="1" applyAlignment="1">
      <alignment horizontal="left" vertical="center"/>
    </xf>
    <xf numFmtId="0" fontId="15" fillId="0" borderId="14" xfId="6" applyFont="1" applyBorder="1" applyAlignment="1">
      <alignment horizontal="left" vertical="center"/>
    </xf>
    <xf numFmtId="0" fontId="15" fillId="0" borderId="15" xfId="6" applyFont="1" applyBorder="1" applyAlignment="1">
      <alignment horizontal="left" vertical="center"/>
    </xf>
    <xf numFmtId="0" fontId="3" fillId="8" borderId="1" xfId="4" applyFont="1" applyFill="1" applyBorder="1" applyAlignment="1">
      <alignment horizontal="left" indent="1"/>
    </xf>
  </cellXfs>
  <cellStyles count="18">
    <cellStyle name="Comma" xfId="3" builtinId="3"/>
    <cellStyle name="Currency" xfId="1" builtinId="4"/>
    <cellStyle name="Currency 2" xfId="15" xr:uid="{82112573-FE23-43D6-98FF-20B92DFAC0BB}"/>
    <cellStyle name="Currency 3" xfId="9" xr:uid="{F5EB7837-82AD-476F-BB6B-197B08E1A7D2}"/>
    <cellStyle name="Normal" xfId="0" builtinId="0"/>
    <cellStyle name="Normal 2" xfId="8" xr:uid="{C110D937-E67C-414C-8301-75F8655ED507}"/>
    <cellStyle name="Normal 3" xfId="6" xr:uid="{60459E5B-FE15-4328-BF45-25AA4BE28B10}"/>
    <cellStyle name="Normal 4" xfId="17" xr:uid="{9F03BF16-350B-456F-B57B-AB50C6B02E3E}"/>
    <cellStyle name="Normal_3030BQsum" xfId="4" xr:uid="{082EB473-185B-42A6-ADD5-BED2928CA49C}"/>
    <cellStyle name="Normal_3580-12" xfId="5" xr:uid="{E596CAD1-A546-4263-8C6F-174A8B32936B}"/>
    <cellStyle name="Normal_4712-2" xfId="7" xr:uid="{2D9E4CEC-C53F-4437-B89B-248D62867274}"/>
    <cellStyle name="Normal_4949-1" xfId="14" xr:uid="{BA1EFC65-8771-41E5-9F8C-B7559C00A29A}"/>
    <cellStyle name="Normal_5816-cp1" xfId="13" xr:uid="{F8ECEED6-E054-4400-8C9A-1B6FA6BCE4B5}"/>
    <cellStyle name="Normal_5989-tndrpt" xfId="10" xr:uid="{3195AB06-A0EF-43A5-8BAA-F255EF8BE601}"/>
    <cellStyle name="Normal_Cost Plan Template 'Single Block' (Excel Version) - use only if instructed by a Director" xfId="12" xr:uid="{931142DB-FAD1-4C36-8806-234714C5F547}"/>
    <cellStyle name="Normal_Trade Summary" xfId="16" xr:uid="{83BF6FC3-CAD6-4549-99D4-F1C9B577A828}"/>
    <cellStyle name="Percent" xfId="2" builtinId="5"/>
    <cellStyle name="Percent 2" xfId="11" xr:uid="{26294F4E-B819-4310-89E8-698812D938DF}"/>
  </cellStyles>
  <dxfs count="0"/>
  <tableStyles count="0" defaultTableStyle="TableStyleMedium2" defaultPivotStyle="PivotStyleLight16"/>
  <colors>
    <mruColors>
      <color rgb="FFB7D8FF"/>
      <color rgb="FF53A1FF"/>
      <color rgb="FF004581"/>
      <color rgb="FFE98F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EBE2-30A8-4A85-A01B-71D33D764D79}">
  <sheetPr>
    <tabColor rgb="FF92D050"/>
    <pageSetUpPr fitToPage="1"/>
  </sheetPr>
  <dimension ref="A1:N31"/>
  <sheetViews>
    <sheetView showGridLines="0" view="pageBreakPreview" topLeftCell="A4" zoomScale="85" zoomScaleNormal="100" zoomScaleSheetLayoutView="85" workbookViewId="0">
      <selection activeCell="B17" sqref="B17"/>
    </sheetView>
  </sheetViews>
  <sheetFormatPr defaultRowHeight="13"/>
  <cols>
    <col min="1" max="1" width="1.81640625" customWidth="1"/>
    <col min="2" max="2" width="100" customWidth="1"/>
    <col min="3" max="3" width="38.453125" customWidth="1"/>
    <col min="4" max="4" width="74" customWidth="1"/>
    <col min="5" max="11" width="14.7265625" customWidth="1"/>
    <col min="12" max="12" width="76.26953125" customWidth="1"/>
    <col min="14" max="14" width="15.1796875" style="5" customWidth="1"/>
    <col min="15" max="15" width="13.26953125" customWidth="1"/>
    <col min="16" max="21" width="12.54296875" customWidth="1"/>
  </cols>
  <sheetData>
    <row r="1" spans="1:12" s="22" customFormat="1" ht="14.5">
      <c r="B1" s="49" t="s">
        <v>0</v>
      </c>
      <c r="C1" s="21"/>
      <c r="D1" s="21"/>
      <c r="E1" s="21"/>
    </row>
    <row r="2" spans="1:12" s="22" customFormat="1" ht="14.5">
      <c r="B2" s="49" t="s">
        <v>1</v>
      </c>
      <c r="C2" s="46"/>
      <c r="D2" s="21"/>
      <c r="E2" s="21"/>
    </row>
    <row r="3" spans="1:12" s="22" customFormat="1" ht="14.5">
      <c r="B3" s="50"/>
      <c r="D3" s="46"/>
    </row>
    <row r="4" spans="1:12" ht="66" customHeight="1">
      <c r="A4" s="1"/>
      <c r="B4" s="149" t="s">
        <v>2</v>
      </c>
      <c r="C4" s="149"/>
      <c r="D4" s="1"/>
      <c r="E4" s="1"/>
      <c r="F4" s="1"/>
      <c r="G4" s="1"/>
      <c r="H4" s="1"/>
      <c r="I4" s="1"/>
      <c r="J4" s="1"/>
      <c r="K4" s="1"/>
      <c r="L4" s="1"/>
    </row>
    <row r="5" spans="1:12" ht="16.5">
      <c r="A5" s="1"/>
      <c r="B5" s="2"/>
      <c r="C5" s="1"/>
      <c r="D5" s="1"/>
      <c r="E5" s="1"/>
      <c r="F5" s="1"/>
      <c r="G5" s="1"/>
      <c r="H5" s="1"/>
      <c r="I5" s="1"/>
      <c r="J5" s="1"/>
      <c r="K5" s="1"/>
      <c r="L5" s="1"/>
    </row>
    <row r="6" spans="1:12" ht="16.5">
      <c r="A6" s="1"/>
      <c r="B6" s="52"/>
      <c r="C6" s="53"/>
      <c r="D6" s="3"/>
      <c r="E6" s="3"/>
      <c r="F6" s="3"/>
      <c r="G6" s="3"/>
      <c r="H6" s="3"/>
      <c r="I6" s="3"/>
      <c r="J6" s="3"/>
      <c r="K6" s="3"/>
      <c r="L6" s="3"/>
    </row>
    <row r="8" spans="1:12" ht="23.25" customHeight="1">
      <c r="B8" s="147" t="s">
        <v>3</v>
      </c>
      <c r="C8" s="147"/>
      <c r="F8" s="1"/>
      <c r="G8" s="1"/>
      <c r="H8" s="1"/>
      <c r="I8" s="1"/>
      <c r="J8" s="1"/>
      <c r="K8" s="1"/>
      <c r="L8" s="1"/>
    </row>
    <row r="9" spans="1:12" ht="60" customHeight="1">
      <c r="B9" s="148" t="s">
        <v>4</v>
      </c>
      <c r="C9" s="148"/>
      <c r="F9" s="1"/>
      <c r="G9" s="1"/>
      <c r="H9" s="1"/>
      <c r="I9" s="1"/>
      <c r="J9" s="1"/>
      <c r="K9" s="1"/>
      <c r="L9" s="1"/>
    </row>
    <row r="10" spans="1:12">
      <c r="G10" s="1"/>
      <c r="H10" s="1"/>
      <c r="I10" s="1"/>
      <c r="J10" s="1"/>
      <c r="K10" s="1"/>
      <c r="L10" s="1"/>
    </row>
    <row r="11" spans="1:12" ht="21" customHeight="1">
      <c r="B11" s="12" t="s">
        <v>5</v>
      </c>
      <c r="C11" s="13" t="s">
        <v>6</v>
      </c>
    </row>
    <row r="12" spans="1:12" ht="23.25" customHeight="1">
      <c r="B12" s="7" t="s">
        <v>7</v>
      </c>
      <c r="C12" s="14">
        <f>'Preliminaries '!C42</f>
        <v>0</v>
      </c>
    </row>
    <row r="13" spans="1:12" ht="14">
      <c r="B13" s="7"/>
      <c r="C13" s="14"/>
    </row>
    <row r="14" spans="1:12" ht="14">
      <c r="B14" s="7" t="s">
        <v>8</v>
      </c>
      <c r="C14" s="14">
        <f>'Trade '!C67</f>
        <v>0</v>
      </c>
    </row>
    <row r="15" spans="1:12" ht="14">
      <c r="B15" s="7"/>
      <c r="C15" s="14"/>
    </row>
    <row r="16" spans="1:12" ht="14">
      <c r="B16" s="9" t="s">
        <v>9</v>
      </c>
      <c r="C16" s="14">
        <f>'Design '!C36</f>
        <v>0</v>
      </c>
    </row>
    <row r="17" spans="2:12" ht="14">
      <c r="B17" s="7"/>
      <c r="C17" s="14"/>
    </row>
    <row r="18" spans="2:12" ht="14">
      <c r="B18" s="7" t="s">
        <v>10</v>
      </c>
      <c r="C18" s="14">
        <f>'Prov Sums '!C16</f>
        <v>71250</v>
      </c>
    </row>
    <row r="19" spans="2:12" ht="14">
      <c r="B19" s="7"/>
      <c r="C19" s="14"/>
    </row>
    <row r="20" spans="2:12" ht="16.5">
      <c r="B20" s="10" t="s">
        <v>11</v>
      </c>
      <c r="C20" s="16">
        <f>SUM(C12:C19)</f>
        <v>71250</v>
      </c>
    </row>
    <row r="21" spans="2:12" ht="14">
      <c r="B21" s="7"/>
      <c r="C21" s="14"/>
    </row>
    <row r="22" spans="2:12" ht="14">
      <c r="B22" s="7" t="s">
        <v>12</v>
      </c>
      <c r="C22" s="14">
        <v>0</v>
      </c>
    </row>
    <row r="23" spans="2:12" ht="14">
      <c r="B23" s="7"/>
      <c r="C23" s="14"/>
    </row>
    <row r="24" spans="2:12" ht="16.5">
      <c r="B24" s="10" t="s">
        <v>13</v>
      </c>
      <c r="C24" s="16">
        <f>SUM(C20:C22)</f>
        <v>71250</v>
      </c>
    </row>
    <row r="25" spans="2:12" ht="14">
      <c r="B25" s="7"/>
      <c r="C25" s="17"/>
    </row>
    <row r="26" spans="2:12" ht="14">
      <c r="B26" s="7" t="s">
        <v>14</v>
      </c>
      <c r="C26" s="14">
        <f>C25*0.1</f>
        <v>0</v>
      </c>
    </row>
    <row r="27" spans="2:12" ht="14">
      <c r="B27" s="7"/>
      <c r="C27" s="14"/>
    </row>
    <row r="28" spans="2:12" ht="16.5">
      <c r="B28" s="8" t="s">
        <v>15</v>
      </c>
      <c r="C28" s="15">
        <f>SUM(C24:C26)</f>
        <v>71250</v>
      </c>
    </row>
    <row r="30" spans="2:12" ht="17.5">
      <c r="B30" s="147" t="s">
        <v>16</v>
      </c>
      <c r="C30" s="147"/>
    </row>
    <row r="31" spans="2:12" ht="64.5" customHeight="1">
      <c r="B31" s="148" t="s">
        <v>17</v>
      </c>
      <c r="C31" s="148"/>
      <c r="F31" s="1"/>
      <c r="G31" s="1"/>
      <c r="H31" s="1"/>
      <c r="I31" s="1"/>
      <c r="J31" s="1"/>
      <c r="K31" s="1"/>
      <c r="L31" s="1"/>
    </row>
  </sheetData>
  <mergeCells count="5">
    <mergeCell ref="B8:C8"/>
    <mergeCell ref="B9:C9"/>
    <mergeCell ref="B30:C30"/>
    <mergeCell ref="B31:C31"/>
    <mergeCell ref="B4:C4"/>
  </mergeCells>
  <pageMargins left="0.47244094488188981" right="0.51181102362204722" top="0.47244094488188981" bottom="0.74803149606299213" header="0.31496062992125984" footer="0.31496062992125984"/>
  <pageSetup paperSize="8" scale="99"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77DA7-EDD8-473A-84BC-C89C5072FEF3}">
  <sheetPr>
    <tabColor rgb="FF92D050"/>
    <pageSetUpPr fitToPage="1"/>
  </sheetPr>
  <dimension ref="A1:N43"/>
  <sheetViews>
    <sheetView showGridLines="0" view="pageBreakPreview" zoomScale="85" zoomScaleNormal="100" zoomScaleSheetLayoutView="85" workbookViewId="0">
      <selection activeCell="B29" sqref="B29"/>
    </sheetView>
  </sheetViews>
  <sheetFormatPr defaultRowHeight="13"/>
  <cols>
    <col min="1" max="1" width="1.81640625" customWidth="1"/>
    <col min="2" max="2" width="100" customWidth="1"/>
    <col min="3" max="3" width="38.453125" customWidth="1"/>
    <col min="5" max="5" width="15.1796875" style="5" customWidth="1"/>
    <col min="6" max="6" width="13.26953125" customWidth="1"/>
    <col min="7" max="12" width="12.54296875" customWidth="1"/>
  </cols>
  <sheetData>
    <row r="1" spans="1:14" s="22" customFormat="1" ht="14.5">
      <c r="B1" s="49" t="s">
        <v>0</v>
      </c>
      <c r="C1" s="21"/>
      <c r="D1" s="21"/>
      <c r="E1" s="21"/>
    </row>
    <row r="2" spans="1:14" s="22" customFormat="1" ht="14.5">
      <c r="B2" s="49" t="s">
        <v>1</v>
      </c>
      <c r="C2" s="46"/>
      <c r="D2" s="21"/>
      <c r="E2" s="21"/>
    </row>
    <row r="3" spans="1:14">
      <c r="A3" s="1"/>
      <c r="B3" s="1"/>
      <c r="C3" s="1"/>
    </row>
    <row r="4" spans="1:14" ht="64.5" customHeight="1">
      <c r="A4" s="1"/>
      <c r="B4" s="149" t="s">
        <v>18</v>
      </c>
      <c r="C4" s="149"/>
      <c r="D4" s="1"/>
      <c r="E4" s="1"/>
      <c r="F4" s="1"/>
      <c r="G4" s="1"/>
      <c r="H4" s="1"/>
      <c r="I4" s="1"/>
      <c r="J4" s="1"/>
      <c r="K4" s="1"/>
      <c r="L4" s="1"/>
      <c r="N4" s="5"/>
    </row>
    <row r="5" spans="1:14" ht="16.5">
      <c r="A5" s="1"/>
      <c r="B5" s="2"/>
      <c r="C5" s="1"/>
    </row>
    <row r="6" spans="1:14" ht="16.5">
      <c r="A6" s="1"/>
      <c r="B6" s="52"/>
      <c r="C6" s="53"/>
    </row>
    <row r="8" spans="1:14" ht="9.75" customHeight="1"/>
    <row r="9" spans="1:14" ht="16.5">
      <c r="B9" s="12" t="s">
        <v>19</v>
      </c>
      <c r="C9" s="13" t="s">
        <v>20</v>
      </c>
    </row>
    <row r="10" spans="1:14" ht="14">
      <c r="B10" s="7" t="s">
        <v>21</v>
      </c>
      <c r="C10" s="14">
        <v>0</v>
      </c>
    </row>
    <row r="11" spans="1:14" ht="14">
      <c r="B11" s="7" t="s">
        <v>22</v>
      </c>
      <c r="C11" s="14">
        <v>0</v>
      </c>
    </row>
    <row r="12" spans="1:14" ht="14">
      <c r="B12" s="7" t="s">
        <v>23</v>
      </c>
      <c r="C12" s="14">
        <v>0</v>
      </c>
    </row>
    <row r="13" spans="1:14" ht="14">
      <c r="B13" s="7" t="s">
        <v>24</v>
      </c>
      <c r="C13" s="14">
        <v>0</v>
      </c>
    </row>
    <row r="14" spans="1:14" ht="14">
      <c r="B14" s="7" t="s">
        <v>25</v>
      </c>
      <c r="C14" s="14">
        <v>0</v>
      </c>
    </row>
    <row r="15" spans="1:14" ht="14">
      <c r="B15" s="7" t="s">
        <v>26</v>
      </c>
      <c r="C15" s="14">
        <v>0</v>
      </c>
    </row>
    <row r="16" spans="1:14" ht="14">
      <c r="B16" s="7" t="s">
        <v>27</v>
      </c>
      <c r="C16" s="14">
        <v>0</v>
      </c>
    </row>
    <row r="17" spans="2:3" ht="14">
      <c r="B17" s="7" t="s">
        <v>28</v>
      </c>
      <c r="C17" s="14">
        <v>0</v>
      </c>
    </row>
    <row r="18" spans="2:3" ht="14">
      <c r="B18" s="7" t="s">
        <v>29</v>
      </c>
      <c r="C18" s="14">
        <v>0</v>
      </c>
    </row>
    <row r="19" spans="2:3" ht="14">
      <c r="B19" s="7" t="s">
        <v>30</v>
      </c>
      <c r="C19" s="14">
        <v>0</v>
      </c>
    </row>
    <row r="20" spans="2:3" ht="14">
      <c r="B20" s="7" t="s">
        <v>31</v>
      </c>
      <c r="C20" s="14">
        <v>0</v>
      </c>
    </row>
    <row r="21" spans="2:3" ht="14">
      <c r="B21" s="7" t="s">
        <v>32</v>
      </c>
      <c r="C21" s="14">
        <v>0</v>
      </c>
    </row>
    <row r="22" spans="2:3" ht="14">
      <c r="B22" s="7" t="s">
        <v>33</v>
      </c>
      <c r="C22" s="14">
        <v>0</v>
      </c>
    </row>
    <row r="23" spans="2:3" ht="14">
      <c r="B23" s="7" t="s">
        <v>34</v>
      </c>
      <c r="C23" s="14">
        <v>0</v>
      </c>
    </row>
    <row r="24" spans="2:3" ht="14">
      <c r="B24" s="7" t="s">
        <v>35</v>
      </c>
      <c r="C24" s="14">
        <v>0</v>
      </c>
    </row>
    <row r="25" spans="2:3" ht="14">
      <c r="B25" s="7" t="s">
        <v>36</v>
      </c>
      <c r="C25" s="14">
        <v>0</v>
      </c>
    </row>
    <row r="26" spans="2:3" ht="14">
      <c r="B26" s="7" t="s">
        <v>37</v>
      </c>
      <c r="C26" s="14">
        <v>0</v>
      </c>
    </row>
    <row r="27" spans="2:3" ht="14">
      <c r="B27" s="7" t="s">
        <v>38</v>
      </c>
      <c r="C27" s="14">
        <v>0</v>
      </c>
    </row>
    <row r="28" spans="2:3" ht="14">
      <c r="B28" s="7" t="s">
        <v>39</v>
      </c>
      <c r="C28" s="14">
        <v>0</v>
      </c>
    </row>
    <row r="29" spans="2:3" ht="14">
      <c r="B29" s="7" t="s">
        <v>40</v>
      </c>
      <c r="C29" s="14">
        <v>0</v>
      </c>
    </row>
    <row r="30" spans="2:3" ht="14">
      <c r="B30" s="7" t="s">
        <v>41</v>
      </c>
      <c r="C30" s="14">
        <v>0</v>
      </c>
    </row>
    <row r="31" spans="2:3" ht="14">
      <c r="B31" s="7" t="s">
        <v>42</v>
      </c>
      <c r="C31" s="14">
        <v>0</v>
      </c>
    </row>
    <row r="32" spans="2:3" ht="14">
      <c r="B32" s="7" t="s">
        <v>43</v>
      </c>
      <c r="C32" s="14">
        <v>0</v>
      </c>
    </row>
    <row r="33" spans="2:5" ht="14">
      <c r="B33" s="7" t="s">
        <v>44</v>
      </c>
      <c r="C33" s="14">
        <v>0</v>
      </c>
    </row>
    <row r="34" spans="2:5" ht="14">
      <c r="B34" s="7" t="s">
        <v>45</v>
      </c>
      <c r="C34" s="14">
        <v>0</v>
      </c>
    </row>
    <row r="35" spans="2:5" ht="14">
      <c r="B35" s="7" t="s">
        <v>46</v>
      </c>
      <c r="C35" s="14">
        <v>0</v>
      </c>
    </row>
    <row r="36" spans="2:5" ht="14">
      <c r="B36" s="7" t="s">
        <v>47</v>
      </c>
      <c r="C36" s="14">
        <v>0</v>
      </c>
    </row>
    <row r="37" spans="2:5" ht="14">
      <c r="B37" s="7" t="s">
        <v>48</v>
      </c>
      <c r="C37" s="14">
        <v>0</v>
      </c>
    </row>
    <row r="38" spans="2:5" ht="14">
      <c r="B38" s="7" t="s">
        <v>49</v>
      </c>
      <c r="C38" s="14">
        <v>0</v>
      </c>
    </row>
    <row r="39" spans="2:5" ht="14">
      <c r="B39" s="7" t="s">
        <v>50</v>
      </c>
      <c r="C39" s="14">
        <v>0</v>
      </c>
    </row>
    <row r="40" spans="2:5" ht="14">
      <c r="B40" s="7" t="s">
        <v>51</v>
      </c>
      <c r="C40" s="14">
        <v>0</v>
      </c>
    </row>
    <row r="41" spans="2:5" ht="14">
      <c r="B41" s="7"/>
      <c r="C41" s="14"/>
    </row>
    <row r="42" spans="2:5" ht="16.5">
      <c r="B42" s="8" t="s">
        <v>52</v>
      </c>
      <c r="C42" s="15">
        <f>SUM(C10:C40)</f>
        <v>0</v>
      </c>
    </row>
    <row r="43" spans="2:5">
      <c r="E43"/>
    </row>
  </sheetData>
  <mergeCells count="1">
    <mergeCell ref="B4:C4"/>
  </mergeCells>
  <pageMargins left="0.47244094488188981" right="0.51181102362204722" top="0.47244094488188981" bottom="0.74803149606299213" header="0.31496062992125984" footer="0.31496062992125984"/>
  <pageSetup paperSize="8" scale="99"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CB127-43CF-4B90-81A4-00DB4D491EA0}">
  <sheetPr>
    <tabColor theme="7" tint="0.59999389629810485"/>
    <pageSetUpPr fitToPage="1"/>
  </sheetPr>
  <dimension ref="A1:S22"/>
  <sheetViews>
    <sheetView showGridLines="0" view="pageBreakPreview" topLeftCell="A4" zoomScale="85" zoomScaleNormal="100" zoomScaleSheetLayoutView="85" workbookViewId="0">
      <selection activeCell="E15" sqref="E15"/>
    </sheetView>
  </sheetViews>
  <sheetFormatPr defaultRowHeight="13"/>
  <cols>
    <col min="1" max="1" width="1.81640625" customWidth="1"/>
    <col min="2" max="2" width="9.453125" customWidth="1"/>
    <col min="3" max="3" width="27" customWidth="1"/>
    <col min="4" max="4" width="21.453125" customWidth="1"/>
    <col min="5" max="5" width="57" customWidth="1"/>
    <col min="6" max="7" width="23.453125" customWidth="1"/>
    <col min="8" max="8" width="41.26953125" customWidth="1"/>
    <col min="9" max="9" width="11.26953125" bestFit="1" customWidth="1"/>
    <col min="10" max="10" width="15.1796875" style="5" customWidth="1"/>
    <col min="11" max="11" width="13.26953125" customWidth="1"/>
    <col min="12" max="17" width="12.54296875" customWidth="1"/>
  </cols>
  <sheetData>
    <row r="1" spans="1:19" s="22" customFormat="1" ht="14.5">
      <c r="B1" s="49" t="s">
        <v>0</v>
      </c>
      <c r="C1" s="21"/>
      <c r="D1" s="21"/>
      <c r="E1" s="21"/>
    </row>
    <row r="2" spans="1:19" s="22" customFormat="1" ht="14.5">
      <c r="B2" s="49" t="s">
        <v>1</v>
      </c>
      <c r="C2" s="46"/>
      <c r="D2" s="21"/>
      <c r="E2" s="21"/>
    </row>
    <row r="3" spans="1:19" ht="16.5">
      <c r="A3" s="1"/>
      <c r="B3" s="2"/>
      <c r="C3" s="2"/>
      <c r="D3" s="2"/>
      <c r="E3" s="2"/>
      <c r="F3" s="1"/>
      <c r="G3" s="1"/>
      <c r="H3" s="1"/>
    </row>
    <row r="4" spans="1:19" ht="32.5">
      <c r="A4" s="1"/>
      <c r="B4" s="11" t="s">
        <v>111</v>
      </c>
      <c r="C4" s="11"/>
      <c r="D4" s="11"/>
      <c r="E4" s="11"/>
      <c r="F4" s="1"/>
      <c r="G4" s="1"/>
      <c r="H4" s="1"/>
      <c r="I4" s="1"/>
      <c r="J4" s="1"/>
      <c r="K4" s="1"/>
      <c r="L4" s="1"/>
      <c r="M4" s="1"/>
      <c r="N4" s="1"/>
      <c r="O4" s="1"/>
      <c r="P4" s="1"/>
      <c r="Q4" s="1"/>
      <c r="S4" s="5"/>
    </row>
    <row r="5" spans="1:19" ht="16.5">
      <c r="A5" s="1"/>
      <c r="B5" s="2"/>
      <c r="C5" s="2"/>
      <c r="D5" s="2"/>
      <c r="E5" s="2"/>
      <c r="F5" s="1"/>
      <c r="G5" s="1"/>
      <c r="H5" s="1"/>
    </row>
    <row r="6" spans="1:19" ht="16.5">
      <c r="A6" s="1"/>
      <c r="B6" s="52"/>
      <c r="C6" s="52"/>
      <c r="D6" s="52"/>
      <c r="E6" s="52"/>
      <c r="F6" s="53"/>
      <c r="G6" s="53"/>
      <c r="H6" s="53"/>
    </row>
    <row r="8" spans="1:19" ht="23.25" customHeight="1">
      <c r="B8" s="147" t="s">
        <v>112</v>
      </c>
      <c r="C8" s="147"/>
      <c r="D8" s="147"/>
      <c r="E8" s="147"/>
      <c r="F8" s="147"/>
      <c r="G8" s="51"/>
      <c r="H8" s="51"/>
      <c r="J8"/>
      <c r="K8" s="1"/>
      <c r="L8" s="1"/>
      <c r="M8" s="1"/>
      <c r="N8" s="1"/>
      <c r="O8" s="1"/>
      <c r="P8" s="1"/>
      <c r="Q8" s="1"/>
      <c r="S8" s="5"/>
    </row>
    <row r="9" spans="1:19" ht="93" customHeight="1">
      <c r="B9" s="150" t="s">
        <v>113</v>
      </c>
      <c r="C9" s="148"/>
      <c r="D9" s="148"/>
      <c r="E9" s="148"/>
      <c r="F9" s="148"/>
      <c r="G9" s="148"/>
      <c r="H9" s="148"/>
    </row>
    <row r="11" spans="1:19" ht="33">
      <c r="B11" s="18" t="s">
        <v>114</v>
      </c>
      <c r="C11" s="19" t="s">
        <v>115</v>
      </c>
      <c r="D11" s="12" t="s">
        <v>116</v>
      </c>
      <c r="E11" s="12" t="s">
        <v>117</v>
      </c>
      <c r="F11" s="13" t="s">
        <v>20</v>
      </c>
      <c r="G11" s="55" t="s">
        <v>118</v>
      </c>
      <c r="H11" s="13" t="s">
        <v>119</v>
      </c>
    </row>
    <row r="12" spans="1:19" ht="22.15" customHeight="1">
      <c r="B12" s="20"/>
      <c r="C12" s="20"/>
      <c r="D12" s="20"/>
      <c r="E12" s="93"/>
      <c r="F12" s="20"/>
      <c r="G12" s="20"/>
      <c r="H12" s="20"/>
    </row>
    <row r="13" spans="1:19" ht="22.15" customHeight="1">
      <c r="B13" s="20"/>
      <c r="C13" s="20"/>
      <c r="D13" s="20"/>
      <c r="E13" s="94"/>
      <c r="F13" s="20"/>
      <c r="G13" s="20"/>
      <c r="H13" s="20"/>
    </row>
    <row r="14" spans="1:19" ht="22.15" customHeight="1">
      <c r="B14" s="20"/>
      <c r="C14" s="20"/>
      <c r="D14" s="20"/>
      <c r="E14" s="94"/>
      <c r="F14" s="20"/>
      <c r="G14" s="20"/>
      <c r="H14" s="20"/>
    </row>
    <row r="15" spans="1:19" ht="22.15" customHeight="1">
      <c r="B15" s="20"/>
      <c r="C15" s="20"/>
      <c r="D15" s="20"/>
      <c r="E15" s="20"/>
      <c r="F15" s="20"/>
      <c r="G15" s="20"/>
      <c r="H15" s="20"/>
    </row>
    <row r="16" spans="1:19" ht="22.15" customHeight="1">
      <c r="B16" s="20"/>
      <c r="C16" s="20"/>
      <c r="D16" s="20"/>
      <c r="E16" s="20"/>
      <c r="F16" s="20"/>
      <c r="G16" s="20"/>
      <c r="H16" s="20"/>
      <c r="I16" s="4"/>
      <c r="J16" s="6"/>
    </row>
    <row r="17" spans="2:10" ht="22.15" customHeight="1">
      <c r="B17" s="20"/>
      <c r="C17" s="20"/>
      <c r="D17" s="20"/>
      <c r="E17" s="20"/>
      <c r="F17" s="20"/>
      <c r="G17" s="20"/>
      <c r="H17" s="20"/>
    </row>
    <row r="18" spans="2:10" ht="22.15" customHeight="1">
      <c r="B18" s="20"/>
      <c r="C18" s="20"/>
      <c r="D18" s="20"/>
      <c r="E18" s="20"/>
      <c r="F18" s="20"/>
      <c r="G18" s="20"/>
      <c r="H18" s="20"/>
      <c r="I18" s="4"/>
      <c r="J18" s="6"/>
    </row>
    <row r="19" spans="2:10" ht="22.15" customHeight="1">
      <c r="B19" s="20"/>
      <c r="C19" s="20"/>
      <c r="D19" s="20"/>
      <c r="E19" s="20"/>
      <c r="F19" s="20"/>
      <c r="G19" s="20"/>
      <c r="H19" s="20"/>
    </row>
    <row r="20" spans="2:10" ht="22.15" customHeight="1">
      <c r="B20" s="20"/>
      <c r="C20" s="20"/>
      <c r="D20" s="20"/>
      <c r="E20" s="20"/>
      <c r="F20" s="20"/>
      <c r="G20" s="20"/>
      <c r="H20" s="20"/>
      <c r="I20" s="4"/>
      <c r="J20" s="6"/>
    </row>
    <row r="21" spans="2:10" ht="22.15" customHeight="1">
      <c r="B21" s="20"/>
      <c r="C21" s="20"/>
      <c r="D21" s="20"/>
      <c r="E21" s="20"/>
      <c r="F21" s="20"/>
      <c r="G21" s="20"/>
      <c r="H21" s="20"/>
    </row>
    <row r="22" spans="2:10" ht="22.15" customHeight="1">
      <c r="B22" s="20"/>
      <c r="C22" s="20"/>
      <c r="D22" s="20"/>
      <c r="E22" s="20"/>
      <c r="F22" s="20"/>
      <c r="G22" s="20"/>
      <c r="H22" s="20"/>
      <c r="I22" s="4"/>
      <c r="J22" s="6"/>
    </row>
  </sheetData>
  <mergeCells count="2">
    <mergeCell ref="B8:F8"/>
    <mergeCell ref="B9:H9"/>
  </mergeCells>
  <pageMargins left="0.47244094488188981" right="0.51181102362204722" top="0.47244094488188981" bottom="0.74803149606299213" header="0.31496062992125984" footer="0.31496062992125984"/>
  <pageSetup paperSize="8" scale="68"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AD63-F8CC-4FD2-BC45-02D312F2019C}">
  <sheetPr>
    <tabColor rgb="FF92D050"/>
    <pageSetUpPr fitToPage="1"/>
  </sheetPr>
  <dimension ref="A1:N69"/>
  <sheetViews>
    <sheetView showGridLines="0" view="pageBreakPreview" zoomScaleNormal="100" zoomScaleSheetLayoutView="100" workbookViewId="0">
      <selection activeCell="B58" sqref="B58"/>
    </sheetView>
  </sheetViews>
  <sheetFormatPr defaultRowHeight="13"/>
  <cols>
    <col min="1" max="1" width="1.81640625" customWidth="1"/>
    <col min="2" max="2" width="97.7265625" customWidth="1"/>
    <col min="3" max="3" width="40.26953125" customWidth="1"/>
    <col min="5" max="5" width="36.26953125" style="5" customWidth="1"/>
    <col min="6" max="6" width="13.26953125" customWidth="1"/>
    <col min="7" max="12" width="12.54296875" customWidth="1"/>
  </cols>
  <sheetData>
    <row r="1" spans="1:14" s="22" customFormat="1" ht="14.5">
      <c r="B1" s="49" t="s">
        <v>0</v>
      </c>
      <c r="C1" s="21"/>
      <c r="D1" s="21"/>
      <c r="E1" s="21"/>
    </row>
    <row r="2" spans="1:14" s="22" customFormat="1" ht="14.5">
      <c r="B2" s="49" t="s">
        <v>1</v>
      </c>
      <c r="C2" s="46"/>
      <c r="D2" s="21"/>
      <c r="E2" s="21"/>
    </row>
    <row r="3" spans="1:14" ht="16.5">
      <c r="A3" s="1"/>
      <c r="B3" s="2"/>
      <c r="C3" s="1"/>
    </row>
    <row r="4" spans="1:14" ht="66" customHeight="1">
      <c r="A4" s="1"/>
      <c r="B4" s="149" t="s">
        <v>53</v>
      </c>
      <c r="C4" s="149"/>
      <c r="D4" s="1"/>
      <c r="E4" s="1"/>
      <c r="F4" s="1"/>
      <c r="G4" s="1"/>
      <c r="H4" s="1"/>
      <c r="I4" s="1"/>
      <c r="J4" s="1"/>
      <c r="K4" s="1"/>
      <c r="L4" s="1"/>
      <c r="N4" s="5"/>
    </row>
    <row r="5" spans="1:14" ht="16.5">
      <c r="A5" s="1"/>
      <c r="B5" s="2"/>
      <c r="C5" s="1"/>
    </row>
    <row r="6" spans="1:14" ht="16.5">
      <c r="A6" s="1"/>
      <c r="B6" s="52"/>
      <c r="C6" s="53"/>
    </row>
    <row r="8" spans="1:14" ht="23.25" customHeight="1">
      <c r="B8" s="147" t="s">
        <v>54</v>
      </c>
      <c r="C8" s="147"/>
      <c r="E8"/>
      <c r="F8" s="1"/>
      <c r="G8" s="1"/>
      <c r="H8" s="1"/>
      <c r="I8" s="1"/>
      <c r="J8" s="1"/>
      <c r="K8" s="1"/>
      <c r="L8" s="1"/>
      <c r="N8" s="5"/>
    </row>
    <row r="9" spans="1:14" ht="50.25" customHeight="1">
      <c r="B9" s="148" t="s">
        <v>55</v>
      </c>
      <c r="C9" s="148"/>
      <c r="E9"/>
      <c r="F9" s="1"/>
      <c r="G9" s="1"/>
      <c r="H9" s="1"/>
      <c r="I9" s="1"/>
      <c r="J9" s="1"/>
      <c r="K9" s="1"/>
      <c r="L9" s="1"/>
      <c r="N9" s="5"/>
    </row>
    <row r="11" spans="1:14" ht="16.5">
      <c r="B11" s="12" t="s">
        <v>56</v>
      </c>
      <c r="C11" s="13" t="s">
        <v>20</v>
      </c>
    </row>
    <row r="12" spans="1:14" ht="14">
      <c r="B12" s="95" t="s">
        <v>225</v>
      </c>
      <c r="C12" s="96">
        <v>0</v>
      </c>
    </row>
    <row r="13" spans="1:14" ht="14">
      <c r="B13" s="7" t="s">
        <v>57</v>
      </c>
      <c r="C13" s="14">
        <v>0</v>
      </c>
      <c r="E13"/>
    </row>
    <row r="14" spans="1:14" ht="14">
      <c r="B14" s="7" t="s">
        <v>58</v>
      </c>
      <c r="C14" s="14">
        <v>0</v>
      </c>
      <c r="E14"/>
    </row>
    <row r="15" spans="1:14" ht="14">
      <c r="B15" s="7" t="s">
        <v>226</v>
      </c>
      <c r="C15" s="14">
        <v>0</v>
      </c>
      <c r="E15"/>
    </row>
    <row r="16" spans="1:14" ht="14">
      <c r="B16" s="7" t="s">
        <v>59</v>
      </c>
      <c r="C16" s="14">
        <v>0</v>
      </c>
      <c r="E16"/>
    </row>
    <row r="17" spans="2:5" ht="14">
      <c r="B17" s="7" t="s">
        <v>60</v>
      </c>
      <c r="C17" s="14">
        <v>0</v>
      </c>
      <c r="E17"/>
    </row>
    <row r="18" spans="2:5" ht="14">
      <c r="B18" s="7" t="s">
        <v>61</v>
      </c>
      <c r="C18" s="14">
        <v>0</v>
      </c>
      <c r="E18"/>
    </row>
    <row r="19" spans="2:5" ht="14">
      <c r="B19" s="7" t="s">
        <v>62</v>
      </c>
      <c r="C19" s="14">
        <v>0</v>
      </c>
      <c r="E19"/>
    </row>
    <row r="20" spans="2:5" ht="14">
      <c r="B20" s="7" t="s">
        <v>63</v>
      </c>
      <c r="C20" s="14">
        <v>0</v>
      </c>
      <c r="E20"/>
    </row>
    <row r="21" spans="2:5" ht="14">
      <c r="B21" s="7" t="s">
        <v>229</v>
      </c>
      <c r="C21" s="14">
        <v>0</v>
      </c>
      <c r="E21"/>
    </row>
    <row r="22" spans="2:5" ht="14">
      <c r="B22" s="7" t="s">
        <v>64</v>
      </c>
      <c r="C22" s="14">
        <v>0</v>
      </c>
      <c r="E22"/>
    </row>
    <row r="23" spans="2:5" ht="14">
      <c r="B23" s="7" t="s">
        <v>65</v>
      </c>
      <c r="C23" s="14">
        <v>0</v>
      </c>
      <c r="E23"/>
    </row>
    <row r="24" spans="2:5" ht="14">
      <c r="B24" s="7" t="s">
        <v>66</v>
      </c>
      <c r="C24" s="14">
        <v>0</v>
      </c>
      <c r="E24"/>
    </row>
    <row r="25" spans="2:5" ht="14">
      <c r="B25" s="7" t="s">
        <v>231</v>
      </c>
      <c r="C25" s="14">
        <v>0</v>
      </c>
      <c r="E25"/>
    </row>
    <row r="26" spans="2:5" ht="14">
      <c r="B26" s="7" t="s">
        <v>233</v>
      </c>
      <c r="C26" s="14">
        <v>0</v>
      </c>
      <c r="E26"/>
    </row>
    <row r="27" spans="2:5" ht="14">
      <c r="B27" s="7" t="s">
        <v>232</v>
      </c>
      <c r="C27" s="14">
        <v>0</v>
      </c>
      <c r="E27"/>
    </row>
    <row r="28" spans="2:5" ht="14">
      <c r="B28" s="7" t="s">
        <v>67</v>
      </c>
      <c r="C28" s="14">
        <v>0</v>
      </c>
      <c r="E28"/>
    </row>
    <row r="29" spans="2:5" ht="14">
      <c r="B29" s="7" t="s">
        <v>68</v>
      </c>
      <c r="C29" s="14">
        <v>0</v>
      </c>
      <c r="E29"/>
    </row>
    <row r="30" spans="2:5" ht="14">
      <c r="B30" s="7" t="s">
        <v>69</v>
      </c>
      <c r="C30" s="14">
        <v>0</v>
      </c>
      <c r="E30"/>
    </row>
    <row r="31" spans="2:5" ht="14">
      <c r="B31" s="7" t="s">
        <v>70</v>
      </c>
      <c r="C31" s="14">
        <v>0</v>
      </c>
      <c r="E31"/>
    </row>
    <row r="32" spans="2:5" ht="14">
      <c r="B32" s="7" t="s">
        <v>71</v>
      </c>
      <c r="C32" s="14">
        <v>0</v>
      </c>
      <c r="E32"/>
    </row>
    <row r="33" spans="2:5" ht="14">
      <c r="B33" s="7" t="s">
        <v>72</v>
      </c>
      <c r="C33" s="14">
        <v>0</v>
      </c>
      <c r="E33"/>
    </row>
    <row r="34" spans="2:5" ht="14">
      <c r="B34" s="7" t="s">
        <v>73</v>
      </c>
      <c r="C34" s="14">
        <v>0</v>
      </c>
      <c r="E34"/>
    </row>
    <row r="35" spans="2:5" ht="14">
      <c r="B35" s="7" t="s">
        <v>74</v>
      </c>
      <c r="C35" s="14">
        <v>0</v>
      </c>
      <c r="E35"/>
    </row>
    <row r="36" spans="2:5" ht="14">
      <c r="B36" s="7" t="s">
        <v>75</v>
      </c>
      <c r="C36" s="14">
        <v>0</v>
      </c>
      <c r="E36"/>
    </row>
    <row r="37" spans="2:5" ht="14">
      <c r="B37" s="7" t="s">
        <v>76</v>
      </c>
      <c r="C37" s="14">
        <v>0</v>
      </c>
      <c r="E37"/>
    </row>
    <row r="38" spans="2:5" ht="14">
      <c r="B38" s="7" t="s">
        <v>77</v>
      </c>
      <c r="C38" s="14">
        <v>0</v>
      </c>
      <c r="E38"/>
    </row>
    <row r="39" spans="2:5" ht="14">
      <c r="B39" s="7" t="s">
        <v>78</v>
      </c>
      <c r="C39" s="14">
        <v>0</v>
      </c>
      <c r="E39"/>
    </row>
    <row r="40" spans="2:5" ht="14">
      <c r="B40" s="7" t="s">
        <v>228</v>
      </c>
      <c r="C40" s="14">
        <v>0</v>
      </c>
      <c r="E40"/>
    </row>
    <row r="41" spans="2:5" ht="14">
      <c r="B41" s="7" t="s">
        <v>227</v>
      </c>
      <c r="C41" s="14">
        <v>0</v>
      </c>
      <c r="E41"/>
    </row>
    <row r="42" spans="2:5" ht="14">
      <c r="B42" s="7" t="s">
        <v>79</v>
      </c>
      <c r="C42" s="14">
        <v>0</v>
      </c>
      <c r="E42"/>
    </row>
    <row r="43" spans="2:5" ht="14">
      <c r="B43" s="7" t="s">
        <v>80</v>
      </c>
      <c r="C43" s="14">
        <v>0</v>
      </c>
      <c r="E43"/>
    </row>
    <row r="44" spans="2:5" ht="14">
      <c r="B44" s="7" t="s">
        <v>81</v>
      </c>
      <c r="C44" s="14">
        <v>0</v>
      </c>
      <c r="E44"/>
    </row>
    <row r="45" spans="2:5" ht="14">
      <c r="B45" s="7" t="s">
        <v>230</v>
      </c>
      <c r="C45" s="14">
        <v>0</v>
      </c>
      <c r="E45"/>
    </row>
    <row r="46" spans="2:5" ht="14">
      <c r="B46" s="7" t="s">
        <v>82</v>
      </c>
      <c r="C46" s="14">
        <v>0</v>
      </c>
      <c r="E46"/>
    </row>
    <row r="47" spans="2:5" ht="14">
      <c r="B47" s="7" t="s">
        <v>83</v>
      </c>
      <c r="C47" s="14">
        <v>0</v>
      </c>
      <c r="E47"/>
    </row>
    <row r="48" spans="2:5" ht="14">
      <c r="B48" s="7" t="s">
        <v>84</v>
      </c>
      <c r="C48" s="14">
        <v>0</v>
      </c>
      <c r="E48"/>
    </row>
    <row r="49" spans="2:5" ht="14">
      <c r="B49" s="173" t="s">
        <v>812</v>
      </c>
      <c r="C49" s="14">
        <v>0</v>
      </c>
      <c r="E49"/>
    </row>
    <row r="50" spans="2:5" ht="14">
      <c r="B50" s="7" t="s">
        <v>235</v>
      </c>
      <c r="C50" s="14">
        <v>0</v>
      </c>
      <c r="E50"/>
    </row>
    <row r="51" spans="2:5" ht="14">
      <c r="B51" s="7" t="s">
        <v>234</v>
      </c>
      <c r="C51" s="14">
        <v>0</v>
      </c>
      <c r="E51"/>
    </row>
    <row r="52" spans="2:5" ht="14">
      <c r="B52" s="173" t="s">
        <v>813</v>
      </c>
      <c r="C52" s="14">
        <f>'Trade - Hydr'!C49</f>
        <v>0</v>
      </c>
      <c r="E52"/>
    </row>
    <row r="53" spans="2:5" ht="14">
      <c r="B53" s="173" t="s">
        <v>789</v>
      </c>
      <c r="C53" s="14">
        <f>'Trade - Mech'!C35</f>
        <v>0</v>
      </c>
      <c r="E53"/>
    </row>
    <row r="54" spans="2:5" ht="14">
      <c r="B54" s="173" t="s">
        <v>844</v>
      </c>
      <c r="C54" s="14">
        <f>'Trade - Fire'!C49</f>
        <v>0</v>
      </c>
      <c r="E54"/>
    </row>
    <row r="55" spans="2:5" ht="14">
      <c r="B55" s="7" t="s">
        <v>87</v>
      </c>
      <c r="C55" s="14">
        <v>0</v>
      </c>
    </row>
    <row r="56" spans="2:5" ht="14">
      <c r="B56" s="7" t="s">
        <v>224</v>
      </c>
      <c r="C56" s="14">
        <v>0</v>
      </c>
    </row>
    <row r="57" spans="2:5" ht="14">
      <c r="B57" s="7" t="s">
        <v>247</v>
      </c>
      <c r="C57" s="14">
        <v>0</v>
      </c>
    </row>
    <row r="58" spans="2:5" ht="14">
      <c r="B58" s="7" t="s">
        <v>222</v>
      </c>
      <c r="C58" s="14">
        <v>0</v>
      </c>
    </row>
    <row r="59" spans="2:5" ht="14">
      <c r="B59" s="7" t="s">
        <v>223</v>
      </c>
      <c r="C59" s="14">
        <v>0</v>
      </c>
    </row>
    <row r="60" spans="2:5" ht="14">
      <c r="B60" s="7" t="s">
        <v>240</v>
      </c>
      <c r="C60" s="14">
        <v>0</v>
      </c>
    </row>
    <row r="61" spans="2:5" ht="14">
      <c r="B61" s="7" t="s">
        <v>241</v>
      </c>
      <c r="C61" s="14">
        <v>0</v>
      </c>
    </row>
    <row r="62" spans="2:5" ht="14">
      <c r="B62" s="7" t="s">
        <v>242</v>
      </c>
      <c r="C62" s="14">
        <v>0</v>
      </c>
    </row>
    <row r="63" spans="2:5" ht="14">
      <c r="B63" s="7" t="s">
        <v>243</v>
      </c>
      <c r="C63" s="14">
        <v>0</v>
      </c>
    </row>
    <row r="64" spans="2:5" ht="14">
      <c r="B64" s="7" t="s">
        <v>244</v>
      </c>
      <c r="C64" s="14">
        <v>0</v>
      </c>
    </row>
    <row r="65" spans="2:3" ht="14">
      <c r="B65" s="7" t="s">
        <v>245</v>
      </c>
      <c r="C65" s="14">
        <v>0</v>
      </c>
    </row>
    <row r="66" spans="2:3">
      <c r="B66" s="97"/>
      <c r="C66" s="98"/>
    </row>
    <row r="67" spans="2:3" ht="16.5">
      <c r="B67" s="8" t="s">
        <v>52</v>
      </c>
      <c r="C67" s="15">
        <f>SUM(C12:C65)</f>
        <v>0</v>
      </c>
    </row>
    <row r="69" spans="2:3" ht="14">
      <c r="B69" s="88"/>
    </row>
  </sheetData>
  <mergeCells count="3">
    <mergeCell ref="B8:C8"/>
    <mergeCell ref="B9:C9"/>
    <mergeCell ref="B4:C4"/>
  </mergeCells>
  <pageMargins left="0.47244094488188981" right="0.51181102362204722" top="0.47244094488188981" bottom="0.74803149606299213" header="0.31496062992125984" footer="0.31496062992125984"/>
  <pageSetup paperSize="8" scale="99"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F6F2-4FAE-4FCB-8739-802C9CDA800C}">
  <sheetPr>
    <tabColor rgb="FF92D050"/>
    <pageSetUpPr fitToPage="1"/>
  </sheetPr>
  <dimension ref="A1:N37"/>
  <sheetViews>
    <sheetView showGridLines="0" tabSelected="1" view="pageBreakPreview" zoomScaleNormal="100" zoomScaleSheetLayoutView="100" workbookViewId="0">
      <selection activeCell="B26" sqref="B26"/>
    </sheetView>
  </sheetViews>
  <sheetFormatPr defaultRowHeight="13"/>
  <cols>
    <col min="1" max="1" width="1.81640625" customWidth="1"/>
    <col min="2" max="2" width="97.7265625" customWidth="1"/>
    <col min="3" max="3" width="40.26953125" customWidth="1"/>
    <col min="5" max="5" width="36.26953125" style="5" customWidth="1"/>
    <col min="6" max="6" width="13.26953125" customWidth="1"/>
    <col min="7" max="12" width="12.54296875" customWidth="1"/>
  </cols>
  <sheetData>
    <row r="1" spans="1:14" s="22" customFormat="1" ht="14.5">
      <c r="B1" s="49" t="s">
        <v>0</v>
      </c>
      <c r="C1" s="21"/>
      <c r="D1" s="21"/>
      <c r="E1" s="21"/>
    </row>
    <row r="2" spans="1:14" s="22" customFormat="1" ht="14.5">
      <c r="B2" s="49" t="s">
        <v>1</v>
      </c>
      <c r="C2" s="46"/>
      <c r="D2" s="21"/>
      <c r="E2" s="21"/>
    </row>
    <row r="3" spans="1:14" ht="16.5">
      <c r="A3" s="1"/>
      <c r="B3" s="2"/>
      <c r="C3" s="1"/>
    </row>
    <row r="4" spans="1:14" ht="66" customHeight="1">
      <c r="A4" s="1"/>
      <c r="B4" s="149" t="s">
        <v>53</v>
      </c>
      <c r="C4" s="149"/>
      <c r="D4" s="1"/>
      <c r="E4" s="1"/>
      <c r="F4" s="1"/>
      <c r="G4" s="1"/>
      <c r="H4" s="1"/>
      <c r="I4" s="1"/>
      <c r="J4" s="1"/>
      <c r="K4" s="1"/>
      <c r="L4" s="1"/>
      <c r="N4" s="5"/>
    </row>
    <row r="5" spans="1:14" ht="16.5">
      <c r="A5" s="1"/>
      <c r="B5" s="2"/>
      <c r="C5" s="1"/>
    </row>
    <row r="6" spans="1:14" ht="16.5">
      <c r="A6" s="1"/>
      <c r="B6" s="52"/>
      <c r="C6" s="53"/>
    </row>
    <row r="8" spans="1:14" ht="23.25" customHeight="1">
      <c r="B8" s="147" t="s">
        <v>54</v>
      </c>
      <c r="C8" s="147"/>
      <c r="E8"/>
      <c r="F8" s="1"/>
      <c r="G8" s="1"/>
      <c r="H8" s="1"/>
      <c r="I8" s="1"/>
      <c r="J8" s="1"/>
      <c r="K8" s="1"/>
      <c r="L8" s="1"/>
      <c r="N8" s="5"/>
    </row>
    <row r="9" spans="1:14" ht="50.25" customHeight="1">
      <c r="B9" s="148" t="s">
        <v>55</v>
      </c>
      <c r="C9" s="148"/>
      <c r="E9"/>
      <c r="F9" s="1"/>
      <c r="G9" s="1"/>
      <c r="H9" s="1"/>
      <c r="I9" s="1"/>
      <c r="J9" s="1"/>
      <c r="K9" s="1"/>
      <c r="L9" s="1"/>
      <c r="N9" s="5"/>
    </row>
    <row r="11" spans="1:14" ht="16.5">
      <c r="B11" s="12" t="s">
        <v>791</v>
      </c>
      <c r="C11" s="13" t="s">
        <v>20</v>
      </c>
    </row>
    <row r="12" spans="1:14" ht="14">
      <c r="B12" s="7" t="s">
        <v>793</v>
      </c>
      <c r="C12" s="14">
        <v>0</v>
      </c>
      <c r="E12"/>
    </row>
    <row r="13" spans="1:14" ht="14">
      <c r="B13" s="7" t="s">
        <v>794</v>
      </c>
      <c r="C13" s="14">
        <v>0</v>
      </c>
      <c r="E13"/>
    </row>
    <row r="14" spans="1:14" ht="14">
      <c r="B14" s="7" t="s">
        <v>795</v>
      </c>
      <c r="C14" s="14">
        <v>0</v>
      </c>
      <c r="E14"/>
    </row>
    <row r="15" spans="1:14" ht="14">
      <c r="B15" s="7" t="s">
        <v>796</v>
      </c>
      <c r="C15" s="14">
        <v>0</v>
      </c>
      <c r="E15"/>
    </row>
    <row r="16" spans="1:14" ht="14">
      <c r="B16" s="7" t="s">
        <v>797</v>
      </c>
      <c r="C16" s="14">
        <v>0</v>
      </c>
      <c r="E16"/>
    </row>
    <row r="17" spans="2:5" ht="14">
      <c r="B17" s="7" t="s">
        <v>798</v>
      </c>
      <c r="C17" s="14">
        <v>0</v>
      </c>
      <c r="E17"/>
    </row>
    <row r="18" spans="2:5" ht="14">
      <c r="B18" s="7" t="s">
        <v>799</v>
      </c>
      <c r="C18" s="14">
        <v>0</v>
      </c>
      <c r="E18"/>
    </row>
    <row r="19" spans="2:5" ht="14">
      <c r="B19" s="7" t="s">
        <v>800</v>
      </c>
      <c r="C19" s="14">
        <v>0</v>
      </c>
      <c r="E19"/>
    </row>
    <row r="20" spans="2:5" ht="14">
      <c r="B20" s="7" t="s">
        <v>801</v>
      </c>
      <c r="C20" s="14">
        <v>0</v>
      </c>
      <c r="E20"/>
    </row>
    <row r="21" spans="2:5" ht="14">
      <c r="B21" s="7" t="s">
        <v>802</v>
      </c>
      <c r="C21" s="14">
        <v>0</v>
      </c>
      <c r="E21"/>
    </row>
    <row r="22" spans="2:5" ht="14">
      <c r="B22" s="7" t="s">
        <v>803</v>
      </c>
      <c r="C22" s="14">
        <v>0</v>
      </c>
      <c r="E22"/>
    </row>
    <row r="23" spans="2:5" ht="14">
      <c r="B23" s="7" t="s">
        <v>804</v>
      </c>
      <c r="C23" s="14">
        <v>0</v>
      </c>
      <c r="E23"/>
    </row>
    <row r="24" spans="2:5" ht="14">
      <c r="B24" s="7" t="s">
        <v>805</v>
      </c>
      <c r="C24" s="14">
        <v>0</v>
      </c>
      <c r="E24"/>
    </row>
    <row r="25" spans="2:5" ht="14">
      <c r="B25" s="7" t="s">
        <v>806</v>
      </c>
      <c r="C25" s="14">
        <v>0</v>
      </c>
      <c r="E25"/>
    </row>
    <row r="26" spans="2:5" ht="14">
      <c r="B26" s="7" t="s">
        <v>807</v>
      </c>
      <c r="C26" s="14">
        <v>0</v>
      </c>
      <c r="E26"/>
    </row>
    <row r="27" spans="2:5" ht="14">
      <c r="B27" s="7" t="s">
        <v>808</v>
      </c>
      <c r="C27" s="14">
        <v>0</v>
      </c>
      <c r="E27"/>
    </row>
    <row r="28" spans="2:5" ht="14">
      <c r="B28" s="7" t="s">
        <v>809</v>
      </c>
      <c r="C28" s="14">
        <v>0</v>
      </c>
      <c r="E28"/>
    </row>
    <row r="29" spans="2:5" ht="14">
      <c r="B29" s="7" t="s">
        <v>781</v>
      </c>
      <c r="C29" s="14">
        <v>0</v>
      </c>
      <c r="E29"/>
    </row>
    <row r="30" spans="2:5" ht="14">
      <c r="B30" s="7" t="s">
        <v>782</v>
      </c>
      <c r="C30" s="14">
        <v>0</v>
      </c>
      <c r="E30"/>
    </row>
    <row r="31" spans="2:5" ht="14">
      <c r="B31" s="7" t="s">
        <v>810</v>
      </c>
      <c r="C31" s="14">
        <v>0</v>
      </c>
      <c r="E31"/>
    </row>
    <row r="32" spans="2:5" ht="14">
      <c r="B32" s="7" t="s">
        <v>783</v>
      </c>
      <c r="C32" s="14">
        <v>0</v>
      </c>
      <c r="E32"/>
    </row>
    <row r="33" spans="2:5" ht="14">
      <c r="B33" s="7" t="s">
        <v>784</v>
      </c>
      <c r="C33" s="14">
        <v>0</v>
      </c>
      <c r="E33"/>
    </row>
    <row r="34" spans="2:5" ht="14">
      <c r="B34" s="7" t="s">
        <v>811</v>
      </c>
      <c r="C34" s="14">
        <v>0</v>
      </c>
      <c r="E34"/>
    </row>
    <row r="35" spans="2:5" ht="16.5">
      <c r="B35" s="8" t="s">
        <v>792</v>
      </c>
      <c r="C35" s="15">
        <f>SUM(C12:C34)</f>
        <v>0</v>
      </c>
    </row>
    <row r="37" spans="2:5" ht="14">
      <c r="B37" s="88"/>
    </row>
  </sheetData>
  <mergeCells count="3">
    <mergeCell ref="B4:C4"/>
    <mergeCell ref="B8:C8"/>
    <mergeCell ref="B9:C9"/>
  </mergeCells>
  <pageMargins left="0.47244094488188981" right="0.51181102362204722" top="0.47244094488188981" bottom="0.74803149606299213" header="0.31496062992125984" footer="0.31496062992125984"/>
  <pageSetup paperSize="8" scale="99"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4175E-BF18-454E-9981-0F314BCDD592}">
  <sheetPr>
    <tabColor rgb="FF92D050"/>
    <pageSetUpPr fitToPage="1"/>
  </sheetPr>
  <dimension ref="A1:N51"/>
  <sheetViews>
    <sheetView showGridLines="0" view="pageBreakPreview" topLeftCell="A17" zoomScaleNormal="100" zoomScaleSheetLayoutView="100" workbookViewId="0">
      <selection activeCell="B43" sqref="B43"/>
    </sheetView>
  </sheetViews>
  <sheetFormatPr defaultRowHeight="13"/>
  <cols>
    <col min="1" max="1" width="1.81640625" customWidth="1"/>
    <col min="2" max="2" width="97.7265625" customWidth="1"/>
    <col min="3" max="3" width="40.26953125" customWidth="1"/>
    <col min="5" max="5" width="36.26953125" style="5" customWidth="1"/>
    <col min="6" max="6" width="13.26953125" customWidth="1"/>
    <col min="7" max="12" width="12.54296875" customWidth="1"/>
  </cols>
  <sheetData>
    <row r="1" spans="1:14" s="22" customFormat="1" ht="14.5">
      <c r="B1" s="49" t="s">
        <v>0</v>
      </c>
      <c r="C1" s="21"/>
      <c r="D1" s="21"/>
      <c r="E1" s="21"/>
    </row>
    <row r="2" spans="1:14" s="22" customFormat="1" ht="14.5">
      <c r="B2" s="49" t="s">
        <v>1</v>
      </c>
      <c r="C2" s="46"/>
      <c r="D2" s="21"/>
      <c r="E2" s="21"/>
    </row>
    <row r="3" spans="1:14" ht="16.5">
      <c r="A3" s="1"/>
      <c r="B3" s="2"/>
      <c r="C3" s="1"/>
    </row>
    <row r="4" spans="1:14" ht="66" customHeight="1">
      <c r="A4" s="1"/>
      <c r="B4" s="149" t="s">
        <v>53</v>
      </c>
      <c r="C4" s="149"/>
      <c r="D4" s="1"/>
      <c r="E4" s="1"/>
      <c r="F4" s="1"/>
      <c r="G4" s="1"/>
      <c r="H4" s="1"/>
      <c r="I4" s="1"/>
      <c r="J4" s="1"/>
      <c r="K4" s="1"/>
      <c r="L4" s="1"/>
      <c r="N4" s="5"/>
    </row>
    <row r="5" spans="1:14" ht="16.5">
      <c r="A5" s="1"/>
      <c r="B5" s="2"/>
      <c r="C5" s="1"/>
    </row>
    <row r="6" spans="1:14" ht="16.5">
      <c r="A6" s="1"/>
      <c r="B6" s="52"/>
      <c r="C6" s="53"/>
    </row>
    <row r="8" spans="1:14" ht="23.25" customHeight="1">
      <c r="B8" s="147" t="s">
        <v>54</v>
      </c>
      <c r="C8" s="147"/>
      <c r="E8"/>
      <c r="F8" s="1"/>
      <c r="G8" s="1"/>
      <c r="H8" s="1"/>
      <c r="I8" s="1"/>
      <c r="J8" s="1"/>
      <c r="K8" s="1"/>
      <c r="L8" s="1"/>
      <c r="N8" s="5"/>
    </row>
    <row r="9" spans="1:14" ht="50.25" customHeight="1">
      <c r="B9" s="148" t="s">
        <v>55</v>
      </c>
      <c r="C9" s="148"/>
      <c r="E9"/>
      <c r="F9" s="1"/>
      <c r="G9" s="1"/>
      <c r="H9" s="1"/>
      <c r="I9" s="1"/>
      <c r="J9" s="1"/>
      <c r="K9" s="1"/>
      <c r="L9" s="1"/>
      <c r="N9" s="5"/>
    </row>
    <row r="11" spans="1:14" ht="16.5">
      <c r="B11" s="12" t="s">
        <v>814</v>
      </c>
      <c r="C11" s="13" t="s">
        <v>20</v>
      </c>
    </row>
    <row r="12" spans="1:14" ht="14">
      <c r="B12" s="7" t="s">
        <v>816</v>
      </c>
      <c r="C12" s="14">
        <v>0</v>
      </c>
      <c r="E12"/>
    </row>
    <row r="13" spans="1:14" ht="14">
      <c r="B13" s="7" t="s">
        <v>817</v>
      </c>
      <c r="C13" s="14">
        <v>0</v>
      </c>
      <c r="E13"/>
    </row>
    <row r="14" spans="1:14" ht="14">
      <c r="B14" s="7" t="s">
        <v>818</v>
      </c>
      <c r="C14" s="14">
        <v>0</v>
      </c>
      <c r="E14"/>
    </row>
    <row r="15" spans="1:14" ht="14">
      <c r="B15" s="7" t="s">
        <v>819</v>
      </c>
      <c r="C15" s="14">
        <v>0</v>
      </c>
      <c r="E15"/>
    </row>
    <row r="16" spans="1:14" ht="14">
      <c r="B16" s="7" t="s">
        <v>573</v>
      </c>
      <c r="C16" s="14">
        <v>0</v>
      </c>
      <c r="E16"/>
    </row>
    <row r="17" spans="2:5" ht="14">
      <c r="B17" s="7" t="s">
        <v>820</v>
      </c>
      <c r="C17" s="14">
        <v>0</v>
      </c>
      <c r="E17"/>
    </row>
    <row r="18" spans="2:5" ht="14">
      <c r="B18" s="7" t="s">
        <v>821</v>
      </c>
      <c r="C18" s="14">
        <v>0</v>
      </c>
      <c r="E18"/>
    </row>
    <row r="19" spans="2:5" ht="14">
      <c r="B19" s="7" t="s">
        <v>822</v>
      </c>
      <c r="C19" s="14">
        <v>0</v>
      </c>
      <c r="E19"/>
    </row>
    <row r="20" spans="2:5" ht="14">
      <c r="B20" s="7" t="s">
        <v>823</v>
      </c>
      <c r="C20" s="14">
        <v>0</v>
      </c>
      <c r="E20"/>
    </row>
    <row r="21" spans="2:5" ht="14">
      <c r="B21" s="7" t="s">
        <v>824</v>
      </c>
      <c r="C21" s="14">
        <v>0</v>
      </c>
      <c r="E21"/>
    </row>
    <row r="22" spans="2:5" ht="14">
      <c r="B22" s="7" t="s">
        <v>825</v>
      </c>
      <c r="C22" s="14">
        <v>0</v>
      </c>
      <c r="E22"/>
    </row>
    <row r="23" spans="2:5" ht="14">
      <c r="B23" s="7" t="s">
        <v>826</v>
      </c>
      <c r="C23" s="14">
        <v>0</v>
      </c>
      <c r="E23"/>
    </row>
    <row r="24" spans="2:5" ht="14">
      <c r="B24" s="7" t="s">
        <v>827</v>
      </c>
      <c r="C24" s="14">
        <v>0</v>
      </c>
      <c r="E24"/>
    </row>
    <row r="25" spans="2:5" ht="14">
      <c r="B25" s="7" t="s">
        <v>828</v>
      </c>
      <c r="C25" s="14">
        <v>0</v>
      </c>
      <c r="E25"/>
    </row>
    <row r="26" spans="2:5" ht="14">
      <c r="B26" s="7" t="s">
        <v>829</v>
      </c>
      <c r="C26" s="14">
        <v>0</v>
      </c>
      <c r="E26"/>
    </row>
    <row r="27" spans="2:5" ht="14">
      <c r="B27" s="7" t="s">
        <v>675</v>
      </c>
      <c r="C27" s="14">
        <v>0</v>
      </c>
      <c r="E27"/>
    </row>
    <row r="28" spans="2:5" ht="14">
      <c r="B28" s="7" t="s">
        <v>830</v>
      </c>
      <c r="C28" s="14">
        <v>0</v>
      </c>
      <c r="E28"/>
    </row>
    <row r="29" spans="2:5" ht="14">
      <c r="B29" s="7" t="s">
        <v>831</v>
      </c>
      <c r="C29" s="14">
        <v>0</v>
      </c>
      <c r="E29"/>
    </row>
    <row r="30" spans="2:5" ht="14">
      <c r="B30" s="7" t="s">
        <v>832</v>
      </c>
      <c r="C30" s="14">
        <v>0</v>
      </c>
      <c r="E30"/>
    </row>
    <row r="31" spans="2:5" ht="14">
      <c r="B31" s="7" t="s">
        <v>833</v>
      </c>
      <c r="C31" s="14">
        <v>0</v>
      </c>
      <c r="E31"/>
    </row>
    <row r="32" spans="2:5" ht="14">
      <c r="B32" s="7" t="s">
        <v>834</v>
      </c>
      <c r="C32" s="14">
        <v>0</v>
      </c>
      <c r="E32"/>
    </row>
    <row r="33" spans="2:5" ht="14">
      <c r="B33" s="7" t="s">
        <v>835</v>
      </c>
      <c r="C33" s="14">
        <v>0</v>
      </c>
      <c r="E33"/>
    </row>
    <row r="34" spans="2:5" ht="14">
      <c r="B34" s="7" t="s">
        <v>79</v>
      </c>
      <c r="C34" s="14">
        <v>0</v>
      </c>
      <c r="E34"/>
    </row>
    <row r="35" spans="2:5" ht="14">
      <c r="B35" s="7" t="s">
        <v>836</v>
      </c>
      <c r="C35" s="14">
        <v>0</v>
      </c>
      <c r="E35"/>
    </row>
    <row r="36" spans="2:5" ht="14">
      <c r="B36" s="7" t="s">
        <v>837</v>
      </c>
      <c r="C36" s="14">
        <v>0</v>
      </c>
      <c r="E36"/>
    </row>
    <row r="37" spans="2:5" ht="14">
      <c r="B37" s="7" t="s">
        <v>838</v>
      </c>
      <c r="C37" s="14">
        <v>0</v>
      </c>
      <c r="E37"/>
    </row>
    <row r="38" spans="2:5" ht="14">
      <c r="B38" s="7" t="s">
        <v>839</v>
      </c>
      <c r="C38" s="14">
        <v>0</v>
      </c>
      <c r="E38"/>
    </row>
    <row r="39" spans="2:5" ht="14">
      <c r="B39" s="7" t="s">
        <v>840</v>
      </c>
      <c r="C39" s="14">
        <v>0</v>
      </c>
      <c r="E39"/>
    </row>
    <row r="40" spans="2:5" ht="14">
      <c r="B40" s="7" t="s">
        <v>841</v>
      </c>
      <c r="C40" s="14">
        <v>0</v>
      </c>
      <c r="E40"/>
    </row>
    <row r="41" spans="2:5" ht="14">
      <c r="B41" s="7" t="s">
        <v>781</v>
      </c>
      <c r="C41" s="14">
        <v>0</v>
      </c>
      <c r="E41"/>
    </row>
    <row r="42" spans="2:5" ht="14">
      <c r="B42" s="7" t="s">
        <v>782</v>
      </c>
      <c r="C42" s="14">
        <v>0</v>
      </c>
      <c r="E42"/>
    </row>
    <row r="43" spans="2:5" ht="14">
      <c r="B43" s="7" t="s">
        <v>810</v>
      </c>
      <c r="C43" s="14">
        <v>0</v>
      </c>
      <c r="E43"/>
    </row>
    <row r="44" spans="2:5" ht="14">
      <c r="B44" s="7" t="s">
        <v>783</v>
      </c>
      <c r="C44" s="14">
        <v>0</v>
      </c>
      <c r="E44"/>
    </row>
    <row r="45" spans="2:5" ht="14">
      <c r="B45" s="7" t="s">
        <v>784</v>
      </c>
      <c r="C45" s="14">
        <v>0</v>
      </c>
      <c r="E45"/>
    </row>
    <row r="46" spans="2:5" ht="14">
      <c r="B46" s="7" t="s">
        <v>785</v>
      </c>
      <c r="C46" s="14">
        <v>0</v>
      </c>
      <c r="E46"/>
    </row>
    <row r="47" spans="2:5" ht="14">
      <c r="B47" s="7" t="s">
        <v>786</v>
      </c>
      <c r="C47" s="14">
        <v>0</v>
      </c>
      <c r="E47"/>
    </row>
    <row r="48" spans="2:5" ht="14">
      <c r="B48" s="7" t="s">
        <v>811</v>
      </c>
      <c r="C48" s="14">
        <v>0</v>
      </c>
      <c r="E48"/>
    </row>
    <row r="49" spans="2:3" ht="16.5">
      <c r="B49" s="8" t="s">
        <v>815</v>
      </c>
      <c r="C49" s="15">
        <f>SUM(C12:C48)</f>
        <v>0</v>
      </c>
    </row>
    <row r="51" spans="2:3" ht="14">
      <c r="B51" s="88"/>
    </row>
  </sheetData>
  <mergeCells count="3">
    <mergeCell ref="B4:C4"/>
    <mergeCell ref="B8:C8"/>
    <mergeCell ref="B9:C9"/>
  </mergeCells>
  <pageMargins left="0.47244094488188981" right="0.51181102362204722" top="0.47244094488188981" bottom="0.74803149606299213" header="0.31496062992125984" footer="0.31496062992125984"/>
  <pageSetup paperSize="8" scale="99"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E1E6F-C354-46A8-9243-E07263B1DC7D}">
  <sheetPr>
    <tabColor rgb="FF92D050"/>
    <pageSetUpPr fitToPage="1"/>
  </sheetPr>
  <dimension ref="A1:N37"/>
  <sheetViews>
    <sheetView showGridLines="0" view="pageBreakPreview" topLeftCell="A7" zoomScaleNormal="100" zoomScaleSheetLayoutView="100" workbookViewId="0">
      <selection activeCell="C35" sqref="C35"/>
    </sheetView>
  </sheetViews>
  <sheetFormatPr defaultRowHeight="13"/>
  <cols>
    <col min="1" max="1" width="1.81640625" customWidth="1"/>
    <col min="2" max="2" width="97.7265625" customWidth="1"/>
    <col min="3" max="3" width="40.26953125" customWidth="1"/>
    <col min="5" max="5" width="36.26953125" style="5" customWidth="1"/>
    <col min="6" max="6" width="13.26953125" customWidth="1"/>
    <col min="7" max="12" width="12.54296875" customWidth="1"/>
  </cols>
  <sheetData>
    <row r="1" spans="1:14" s="22" customFormat="1" ht="14.5">
      <c r="B1" s="49" t="s">
        <v>0</v>
      </c>
      <c r="C1" s="21"/>
      <c r="D1" s="21"/>
      <c r="E1" s="21"/>
    </row>
    <row r="2" spans="1:14" s="22" customFormat="1" ht="14.5">
      <c r="B2" s="49" t="s">
        <v>1</v>
      </c>
      <c r="C2" s="46"/>
      <c r="D2" s="21"/>
      <c r="E2" s="21"/>
    </row>
    <row r="3" spans="1:14" ht="16.5">
      <c r="A3" s="1"/>
      <c r="B3" s="2"/>
      <c r="C3" s="1"/>
    </row>
    <row r="4" spans="1:14" ht="66" customHeight="1">
      <c r="A4" s="1"/>
      <c r="B4" s="149" t="s">
        <v>53</v>
      </c>
      <c r="C4" s="149"/>
      <c r="D4" s="1"/>
      <c r="E4" s="1"/>
      <c r="F4" s="1"/>
      <c r="G4" s="1"/>
      <c r="H4" s="1"/>
      <c r="I4" s="1"/>
      <c r="J4" s="1"/>
      <c r="K4" s="1"/>
      <c r="L4" s="1"/>
      <c r="N4" s="5"/>
    </row>
    <row r="5" spans="1:14" ht="16.5">
      <c r="A5" s="1"/>
      <c r="B5" s="2"/>
      <c r="C5" s="1"/>
    </row>
    <row r="6" spans="1:14" ht="16.5">
      <c r="A6" s="1"/>
      <c r="B6" s="52"/>
      <c r="C6" s="53"/>
    </row>
    <row r="8" spans="1:14" ht="23.25" customHeight="1">
      <c r="B8" s="147" t="s">
        <v>54</v>
      </c>
      <c r="C8" s="147"/>
      <c r="E8"/>
      <c r="F8" s="1"/>
      <c r="G8" s="1"/>
      <c r="H8" s="1"/>
      <c r="I8" s="1"/>
      <c r="J8" s="1"/>
      <c r="K8" s="1"/>
      <c r="L8" s="1"/>
      <c r="N8" s="5"/>
    </row>
    <row r="9" spans="1:14" ht="50.25" customHeight="1">
      <c r="B9" s="148" t="s">
        <v>55</v>
      </c>
      <c r="C9" s="148"/>
      <c r="E9"/>
      <c r="F9" s="1"/>
      <c r="G9" s="1"/>
      <c r="H9" s="1"/>
      <c r="I9" s="1"/>
      <c r="J9" s="1"/>
      <c r="K9" s="1"/>
      <c r="L9" s="1"/>
      <c r="N9" s="5"/>
    </row>
    <row r="11" spans="1:14" ht="16.5">
      <c r="B11" s="12" t="s">
        <v>768</v>
      </c>
      <c r="C11" s="13" t="s">
        <v>20</v>
      </c>
    </row>
    <row r="12" spans="1:14" ht="14">
      <c r="B12" s="7" t="s">
        <v>769</v>
      </c>
      <c r="C12" s="96">
        <v>0</v>
      </c>
    </row>
    <row r="13" spans="1:14" ht="14">
      <c r="B13" s="7" t="s">
        <v>770</v>
      </c>
      <c r="C13" s="14">
        <v>0</v>
      </c>
      <c r="E13"/>
    </row>
    <row r="14" spans="1:14" ht="14">
      <c r="B14" s="7" t="s">
        <v>771</v>
      </c>
      <c r="C14" s="14">
        <v>0</v>
      </c>
      <c r="E14"/>
    </row>
    <row r="15" spans="1:14" ht="14">
      <c r="B15" s="7" t="s">
        <v>772</v>
      </c>
      <c r="C15" s="14">
        <v>0</v>
      </c>
      <c r="E15"/>
    </row>
    <row r="16" spans="1:14" ht="14">
      <c r="B16" s="7" t="s">
        <v>524</v>
      </c>
      <c r="C16" s="14">
        <v>0</v>
      </c>
      <c r="E16"/>
    </row>
    <row r="17" spans="2:5" ht="14">
      <c r="B17" s="7" t="s">
        <v>773</v>
      </c>
      <c r="C17" s="14">
        <v>0</v>
      </c>
      <c r="E17"/>
    </row>
    <row r="18" spans="2:5" ht="14">
      <c r="B18" s="7" t="s">
        <v>555</v>
      </c>
      <c r="C18" s="14">
        <v>0</v>
      </c>
      <c r="E18"/>
    </row>
    <row r="19" spans="2:5" ht="14">
      <c r="B19" s="7" t="s">
        <v>573</v>
      </c>
      <c r="C19" s="14">
        <v>0</v>
      </c>
      <c r="E19"/>
    </row>
    <row r="20" spans="2:5" ht="14">
      <c r="B20" s="7" t="s">
        <v>774</v>
      </c>
      <c r="C20" s="14">
        <v>0</v>
      </c>
      <c r="E20"/>
    </row>
    <row r="21" spans="2:5" ht="14">
      <c r="B21" s="7" t="s">
        <v>775</v>
      </c>
      <c r="C21" s="14">
        <v>0</v>
      </c>
      <c r="E21"/>
    </row>
    <row r="22" spans="2:5" ht="14">
      <c r="B22" s="7" t="s">
        <v>776</v>
      </c>
      <c r="C22" s="14">
        <v>0</v>
      </c>
      <c r="E22"/>
    </row>
    <row r="23" spans="2:5" ht="14">
      <c r="B23" s="7" t="s">
        <v>777</v>
      </c>
      <c r="C23" s="14">
        <v>0</v>
      </c>
      <c r="E23"/>
    </row>
    <row r="24" spans="2:5" ht="14">
      <c r="B24" s="7" t="s">
        <v>778</v>
      </c>
      <c r="C24" s="14">
        <v>0</v>
      </c>
      <c r="E24"/>
    </row>
    <row r="25" spans="2:5" ht="14">
      <c r="B25" s="7" t="s">
        <v>779</v>
      </c>
      <c r="C25" s="14">
        <v>0</v>
      </c>
      <c r="E25"/>
    </row>
    <row r="26" spans="2:5" ht="14">
      <c r="B26" s="7" t="s">
        <v>780</v>
      </c>
      <c r="C26" s="14">
        <v>0</v>
      </c>
      <c r="E26"/>
    </row>
    <row r="27" spans="2:5" ht="14">
      <c r="B27" s="7" t="s">
        <v>781</v>
      </c>
      <c r="C27" s="14">
        <v>0</v>
      </c>
      <c r="E27"/>
    </row>
    <row r="28" spans="2:5" ht="14">
      <c r="B28" s="7" t="s">
        <v>782</v>
      </c>
      <c r="C28" s="14">
        <v>0</v>
      </c>
      <c r="E28"/>
    </row>
    <row r="29" spans="2:5" ht="14">
      <c r="B29" s="7" t="s">
        <v>783</v>
      </c>
      <c r="C29" s="14">
        <v>0</v>
      </c>
      <c r="E29"/>
    </row>
    <row r="30" spans="2:5" ht="14">
      <c r="B30" s="7" t="s">
        <v>784</v>
      </c>
      <c r="C30" s="14">
        <v>0</v>
      </c>
      <c r="E30"/>
    </row>
    <row r="31" spans="2:5" ht="14">
      <c r="B31" s="7" t="s">
        <v>785</v>
      </c>
      <c r="C31" s="14">
        <v>0</v>
      </c>
      <c r="E31"/>
    </row>
    <row r="32" spans="2:5" ht="14">
      <c r="B32" s="7" t="s">
        <v>786</v>
      </c>
      <c r="C32" s="14">
        <v>0</v>
      </c>
      <c r="E32"/>
    </row>
    <row r="33" spans="2:5" ht="14">
      <c r="B33" s="7" t="s">
        <v>787</v>
      </c>
      <c r="C33" s="14">
        <v>0</v>
      </c>
      <c r="E33"/>
    </row>
    <row r="34" spans="2:5" ht="14">
      <c r="B34" s="7" t="s">
        <v>788</v>
      </c>
      <c r="C34" s="14">
        <v>0</v>
      </c>
      <c r="E34"/>
    </row>
    <row r="35" spans="2:5" ht="16.5">
      <c r="B35" s="8" t="s">
        <v>790</v>
      </c>
      <c r="C35" s="15">
        <f>SUM(C12:C34)</f>
        <v>0</v>
      </c>
    </row>
    <row r="37" spans="2:5" ht="14">
      <c r="B37" s="88"/>
    </row>
  </sheetData>
  <mergeCells count="3">
    <mergeCell ref="B4:C4"/>
    <mergeCell ref="B8:C8"/>
    <mergeCell ref="B9:C9"/>
  </mergeCells>
  <pageMargins left="0.47244094488188981" right="0.51181102362204722" top="0.47244094488188981" bottom="0.74803149606299213" header="0.31496062992125984" footer="0.31496062992125984"/>
  <pageSetup paperSize="8" scale="99"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CBC93-6101-4442-B05E-D0B7443488E9}">
  <sheetPr>
    <tabColor rgb="FF92D050"/>
    <pageSetUpPr fitToPage="1"/>
  </sheetPr>
  <dimension ref="A1:N51"/>
  <sheetViews>
    <sheetView showGridLines="0" view="pageBreakPreview" topLeftCell="A25" zoomScaleNormal="100" zoomScaleSheetLayoutView="100" workbookViewId="0">
      <selection activeCell="C55" sqref="C55"/>
    </sheetView>
  </sheetViews>
  <sheetFormatPr defaultRowHeight="13"/>
  <cols>
    <col min="1" max="1" width="1.81640625" customWidth="1"/>
    <col min="2" max="2" width="97.7265625" customWidth="1"/>
    <col min="3" max="3" width="40.26953125" customWidth="1"/>
    <col min="5" max="5" width="36.26953125" style="5" customWidth="1"/>
    <col min="6" max="6" width="13.26953125" customWidth="1"/>
    <col min="7" max="12" width="12.54296875" customWidth="1"/>
  </cols>
  <sheetData>
    <row r="1" spans="1:14" s="22" customFormat="1" ht="14.5">
      <c r="B1" s="49" t="s">
        <v>0</v>
      </c>
      <c r="C1" s="21"/>
      <c r="D1" s="21"/>
      <c r="E1" s="21"/>
    </row>
    <row r="2" spans="1:14" s="22" customFormat="1" ht="14.5">
      <c r="B2" s="49" t="s">
        <v>1</v>
      </c>
      <c r="C2" s="46"/>
      <c r="D2" s="21"/>
      <c r="E2" s="21"/>
    </row>
    <row r="3" spans="1:14" ht="16.5">
      <c r="A3" s="1"/>
      <c r="B3" s="2"/>
      <c r="C3" s="1"/>
    </row>
    <row r="4" spans="1:14" ht="66" customHeight="1">
      <c r="A4" s="1"/>
      <c r="B4" s="149" t="s">
        <v>53</v>
      </c>
      <c r="C4" s="149"/>
      <c r="D4" s="1"/>
      <c r="E4" s="1"/>
      <c r="F4" s="1"/>
      <c r="G4" s="1"/>
      <c r="H4" s="1"/>
      <c r="I4" s="1"/>
      <c r="J4" s="1"/>
      <c r="K4" s="1"/>
      <c r="L4" s="1"/>
      <c r="N4" s="5"/>
    </row>
    <row r="5" spans="1:14" ht="16.5">
      <c r="A5" s="1"/>
      <c r="B5" s="2"/>
      <c r="C5" s="1"/>
    </row>
    <row r="6" spans="1:14" ht="16.5">
      <c r="A6" s="1"/>
      <c r="B6" s="52"/>
      <c r="C6" s="53"/>
    </row>
    <row r="8" spans="1:14" ht="23.25" customHeight="1">
      <c r="B8" s="147" t="s">
        <v>54</v>
      </c>
      <c r="C8" s="147"/>
      <c r="E8"/>
      <c r="F8" s="1"/>
      <c r="G8" s="1"/>
      <c r="H8" s="1"/>
      <c r="I8" s="1"/>
      <c r="J8" s="1"/>
      <c r="K8" s="1"/>
      <c r="L8" s="1"/>
      <c r="N8" s="5"/>
    </row>
    <row r="9" spans="1:14" ht="50.25" customHeight="1">
      <c r="B9" s="148" t="s">
        <v>55</v>
      </c>
      <c r="C9" s="148"/>
      <c r="E9"/>
      <c r="F9" s="1"/>
      <c r="G9" s="1"/>
      <c r="H9" s="1"/>
      <c r="I9" s="1"/>
      <c r="J9" s="1"/>
      <c r="K9" s="1"/>
      <c r="L9" s="1"/>
      <c r="N9" s="5"/>
    </row>
    <row r="11" spans="1:14" ht="16.5">
      <c r="B11" s="12" t="s">
        <v>842</v>
      </c>
      <c r="C11" s="13" t="s">
        <v>20</v>
      </c>
    </row>
    <row r="12" spans="1:14" ht="14">
      <c r="B12" s="7" t="s">
        <v>816</v>
      </c>
      <c r="C12" s="96">
        <v>0</v>
      </c>
    </row>
    <row r="13" spans="1:14" ht="14">
      <c r="B13" s="7" t="s">
        <v>817</v>
      </c>
      <c r="C13" s="14">
        <v>0</v>
      </c>
      <c r="E13"/>
    </row>
    <row r="14" spans="1:14" ht="14">
      <c r="B14" s="7" t="s">
        <v>818</v>
      </c>
      <c r="C14" s="14">
        <v>0</v>
      </c>
      <c r="E14"/>
    </row>
    <row r="15" spans="1:14" ht="14">
      <c r="B15" s="7" t="s">
        <v>819</v>
      </c>
      <c r="C15" s="14">
        <v>0</v>
      </c>
      <c r="E15"/>
    </row>
    <row r="16" spans="1:14" ht="14">
      <c r="B16" s="7" t="s">
        <v>573</v>
      </c>
      <c r="C16" s="14">
        <v>0</v>
      </c>
      <c r="E16"/>
    </row>
    <row r="17" spans="2:5" ht="14">
      <c r="B17" s="7" t="s">
        <v>820</v>
      </c>
      <c r="C17" s="14">
        <v>0</v>
      </c>
      <c r="E17"/>
    </row>
    <row r="18" spans="2:5" ht="14">
      <c r="B18" s="7" t="s">
        <v>821</v>
      </c>
      <c r="C18" s="14">
        <v>0</v>
      </c>
      <c r="E18"/>
    </row>
    <row r="19" spans="2:5" ht="14">
      <c r="B19" s="7" t="s">
        <v>822</v>
      </c>
      <c r="C19" s="14">
        <v>0</v>
      </c>
      <c r="E19"/>
    </row>
    <row r="20" spans="2:5" ht="14">
      <c r="B20" s="7" t="s">
        <v>823</v>
      </c>
      <c r="C20" s="14">
        <v>0</v>
      </c>
      <c r="E20"/>
    </row>
    <row r="21" spans="2:5" ht="14">
      <c r="B21" s="7" t="s">
        <v>824</v>
      </c>
      <c r="C21" s="14">
        <v>0</v>
      </c>
      <c r="E21"/>
    </row>
    <row r="22" spans="2:5" ht="14">
      <c r="B22" s="7" t="s">
        <v>825</v>
      </c>
      <c r="C22" s="14">
        <v>0</v>
      </c>
      <c r="E22"/>
    </row>
    <row r="23" spans="2:5" ht="14">
      <c r="B23" s="7" t="s">
        <v>826</v>
      </c>
      <c r="C23" s="14">
        <v>0</v>
      </c>
      <c r="E23"/>
    </row>
    <row r="24" spans="2:5" ht="14">
      <c r="B24" s="7" t="s">
        <v>827</v>
      </c>
      <c r="C24" s="14">
        <v>0</v>
      </c>
      <c r="E24"/>
    </row>
    <row r="25" spans="2:5" ht="14">
      <c r="B25" s="7" t="s">
        <v>828</v>
      </c>
      <c r="C25" s="14">
        <v>0</v>
      </c>
      <c r="E25"/>
    </row>
    <row r="26" spans="2:5" ht="14">
      <c r="B26" s="7" t="s">
        <v>829</v>
      </c>
      <c r="C26" s="14">
        <v>0</v>
      </c>
      <c r="E26"/>
    </row>
    <row r="27" spans="2:5" ht="14">
      <c r="B27" s="7" t="s">
        <v>675</v>
      </c>
      <c r="C27" s="14">
        <v>0</v>
      </c>
      <c r="E27"/>
    </row>
    <row r="28" spans="2:5" ht="14">
      <c r="B28" s="7" t="s">
        <v>830</v>
      </c>
      <c r="C28" s="14">
        <v>0</v>
      </c>
      <c r="E28"/>
    </row>
    <row r="29" spans="2:5" ht="14">
      <c r="B29" s="7" t="s">
        <v>831</v>
      </c>
      <c r="C29" s="14">
        <v>0</v>
      </c>
      <c r="E29"/>
    </row>
    <row r="30" spans="2:5" ht="14">
      <c r="B30" s="7" t="s">
        <v>832</v>
      </c>
      <c r="C30" s="14">
        <v>0</v>
      </c>
      <c r="E30"/>
    </row>
    <row r="31" spans="2:5" ht="14">
      <c r="B31" s="7" t="s">
        <v>833</v>
      </c>
      <c r="C31" s="14">
        <v>0</v>
      </c>
      <c r="E31"/>
    </row>
    <row r="32" spans="2:5" ht="14">
      <c r="B32" s="7" t="s">
        <v>834</v>
      </c>
      <c r="C32" s="14">
        <v>0</v>
      </c>
      <c r="E32"/>
    </row>
    <row r="33" spans="2:5" ht="14">
      <c r="B33" s="7" t="s">
        <v>835</v>
      </c>
      <c r="C33" s="14">
        <v>0</v>
      </c>
      <c r="E33"/>
    </row>
    <row r="34" spans="2:5" ht="14">
      <c r="B34" s="7" t="s">
        <v>79</v>
      </c>
      <c r="C34" s="14">
        <v>0</v>
      </c>
    </row>
    <row r="35" spans="2:5" ht="14">
      <c r="B35" s="7" t="s">
        <v>836</v>
      </c>
      <c r="C35" s="14">
        <v>0</v>
      </c>
      <c r="E35"/>
    </row>
    <row r="36" spans="2:5" ht="14">
      <c r="B36" s="7" t="s">
        <v>837</v>
      </c>
      <c r="C36" s="14">
        <v>0</v>
      </c>
      <c r="E36"/>
    </row>
    <row r="37" spans="2:5" ht="14">
      <c r="B37" s="7" t="s">
        <v>838</v>
      </c>
      <c r="C37" s="14">
        <v>0</v>
      </c>
      <c r="E37"/>
    </row>
    <row r="38" spans="2:5" ht="14">
      <c r="B38" s="7" t="s">
        <v>839</v>
      </c>
      <c r="C38" s="14">
        <v>0</v>
      </c>
      <c r="E38"/>
    </row>
    <row r="39" spans="2:5" ht="14">
      <c r="B39" s="7" t="s">
        <v>840</v>
      </c>
      <c r="C39" s="14">
        <v>0</v>
      </c>
      <c r="E39"/>
    </row>
    <row r="40" spans="2:5" ht="14">
      <c r="B40" s="7" t="s">
        <v>841</v>
      </c>
      <c r="C40" s="14">
        <v>0</v>
      </c>
      <c r="E40"/>
    </row>
    <row r="41" spans="2:5" ht="14">
      <c r="B41" s="7" t="s">
        <v>781</v>
      </c>
      <c r="C41" s="14">
        <v>0</v>
      </c>
      <c r="E41"/>
    </row>
    <row r="42" spans="2:5" ht="14">
      <c r="B42" s="7" t="s">
        <v>782</v>
      </c>
      <c r="C42" s="14">
        <v>0</v>
      </c>
      <c r="E42"/>
    </row>
    <row r="43" spans="2:5" ht="14">
      <c r="B43" s="7" t="s">
        <v>810</v>
      </c>
      <c r="C43" s="14">
        <v>0</v>
      </c>
      <c r="E43"/>
    </row>
    <row r="44" spans="2:5" ht="14">
      <c r="B44" s="7" t="s">
        <v>783</v>
      </c>
      <c r="C44" s="14">
        <v>0</v>
      </c>
      <c r="E44"/>
    </row>
    <row r="45" spans="2:5" ht="14">
      <c r="B45" s="7" t="s">
        <v>784</v>
      </c>
      <c r="C45" s="14">
        <v>0</v>
      </c>
      <c r="E45"/>
    </row>
    <row r="46" spans="2:5" ht="14">
      <c r="B46" s="7" t="s">
        <v>785</v>
      </c>
      <c r="C46" s="14">
        <v>0</v>
      </c>
      <c r="E46"/>
    </row>
    <row r="47" spans="2:5" ht="14">
      <c r="B47" s="7" t="s">
        <v>786</v>
      </c>
      <c r="C47" s="14">
        <v>0</v>
      </c>
      <c r="E47"/>
    </row>
    <row r="48" spans="2:5" ht="14">
      <c r="B48" s="7" t="s">
        <v>788</v>
      </c>
      <c r="C48" s="14">
        <v>0</v>
      </c>
      <c r="E48"/>
    </row>
    <row r="49" spans="2:3" ht="16.5">
      <c r="B49" s="8" t="s">
        <v>843</v>
      </c>
      <c r="C49" s="15">
        <f>SUM(C12:C48)</f>
        <v>0</v>
      </c>
    </row>
    <row r="51" spans="2:3" ht="14">
      <c r="B51" s="88"/>
    </row>
  </sheetData>
  <mergeCells count="3">
    <mergeCell ref="B4:C4"/>
    <mergeCell ref="B8:C8"/>
    <mergeCell ref="B9:C9"/>
  </mergeCells>
  <pageMargins left="0.47244094488188981" right="0.51181102362204722" top="0.47244094488188981" bottom="0.74803149606299213" header="0.31496062992125984" footer="0.31496062992125984"/>
  <pageSetup paperSize="8" scale="99"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7AB0F-9C66-47A1-B673-7201D231209D}">
  <sheetPr>
    <tabColor rgb="FF92D050"/>
    <pageSetUpPr fitToPage="1"/>
  </sheetPr>
  <dimension ref="A1:N36"/>
  <sheetViews>
    <sheetView showGridLines="0" view="pageBreakPreview" topLeftCell="A3" zoomScale="85" zoomScaleNormal="100" zoomScaleSheetLayoutView="85" workbookViewId="0">
      <selection activeCell="C36" sqref="C36"/>
    </sheetView>
  </sheetViews>
  <sheetFormatPr defaultRowHeight="13"/>
  <cols>
    <col min="1" max="1" width="1.81640625" customWidth="1"/>
    <col min="2" max="2" width="100" customWidth="1"/>
    <col min="3" max="3" width="38.453125" customWidth="1"/>
    <col min="4" max="4" width="4.26953125" customWidth="1"/>
    <col min="5" max="5" width="15.1796875" style="5" customWidth="1"/>
    <col min="6" max="6" width="13.26953125" customWidth="1"/>
    <col min="7" max="12" width="12.54296875" customWidth="1"/>
  </cols>
  <sheetData>
    <row r="1" spans="1:14" s="22" customFormat="1" ht="14.5">
      <c r="B1" s="49" t="s">
        <v>0</v>
      </c>
      <c r="C1" s="21"/>
      <c r="D1" s="21"/>
      <c r="E1" s="21"/>
    </row>
    <row r="2" spans="1:14" s="22" customFormat="1" ht="14.5">
      <c r="B2" s="49" t="s">
        <v>1</v>
      </c>
      <c r="C2" s="46"/>
      <c r="D2" s="21"/>
      <c r="E2" s="21"/>
    </row>
    <row r="3" spans="1:14" ht="16.5">
      <c r="A3" s="1"/>
      <c r="B3" s="2"/>
      <c r="C3" s="1"/>
    </row>
    <row r="4" spans="1:14" ht="72" customHeight="1">
      <c r="A4" s="1"/>
      <c r="B4" s="149" t="s">
        <v>88</v>
      </c>
      <c r="C4" s="149"/>
      <c r="D4" s="1"/>
      <c r="E4"/>
      <c r="F4" s="1"/>
      <c r="G4" s="1"/>
      <c r="H4" s="1"/>
      <c r="I4" s="1"/>
      <c r="J4" s="1"/>
      <c r="K4" s="1"/>
      <c r="L4" s="1"/>
      <c r="N4" s="5"/>
    </row>
    <row r="5" spans="1:14" ht="16.5">
      <c r="A5" s="1"/>
      <c r="B5" s="2"/>
      <c r="C5" s="1"/>
      <c r="E5"/>
    </row>
    <row r="6" spans="1:14" ht="16.5">
      <c r="A6" s="1"/>
      <c r="B6" s="52"/>
      <c r="C6" s="53"/>
      <c r="E6"/>
    </row>
    <row r="7" spans="1:14">
      <c r="E7"/>
    </row>
    <row r="8" spans="1:14" ht="9.75" customHeight="1">
      <c r="E8"/>
    </row>
    <row r="9" spans="1:14" ht="16.5">
      <c r="B9" s="12" t="s">
        <v>89</v>
      </c>
      <c r="C9" s="13" t="s">
        <v>20</v>
      </c>
      <c r="E9"/>
    </row>
    <row r="10" spans="1:14" ht="14">
      <c r="B10" s="7" t="s">
        <v>90</v>
      </c>
      <c r="C10" s="14">
        <v>0</v>
      </c>
      <c r="E10"/>
    </row>
    <row r="11" spans="1:14" ht="14">
      <c r="B11" s="7" t="s">
        <v>91</v>
      </c>
      <c r="C11" s="14">
        <v>0</v>
      </c>
      <c r="E11"/>
    </row>
    <row r="12" spans="1:14" ht="14">
      <c r="B12" s="7" t="s">
        <v>92</v>
      </c>
      <c r="C12" s="14">
        <v>0</v>
      </c>
      <c r="E12"/>
    </row>
    <row r="13" spans="1:14" ht="14">
      <c r="B13" s="7" t="s">
        <v>93</v>
      </c>
      <c r="C13" s="14">
        <v>0</v>
      </c>
      <c r="E13"/>
    </row>
    <row r="14" spans="1:14" ht="14">
      <c r="B14" s="7" t="s">
        <v>94</v>
      </c>
      <c r="C14" s="14">
        <v>0</v>
      </c>
      <c r="E14"/>
    </row>
    <row r="15" spans="1:14" ht="14">
      <c r="B15" s="7" t="s">
        <v>95</v>
      </c>
      <c r="C15" s="14">
        <v>0</v>
      </c>
      <c r="E15"/>
    </row>
    <row r="16" spans="1:14" ht="14">
      <c r="B16" s="7" t="s">
        <v>96</v>
      </c>
      <c r="C16" s="14">
        <v>0</v>
      </c>
      <c r="E16"/>
    </row>
    <row r="17" spans="2:5" ht="14">
      <c r="B17" s="7" t="s">
        <v>97</v>
      </c>
      <c r="C17" s="14">
        <v>0</v>
      </c>
      <c r="E17"/>
    </row>
    <row r="18" spans="2:5" ht="14">
      <c r="B18" s="7" t="s">
        <v>98</v>
      </c>
      <c r="C18" s="14">
        <v>0</v>
      </c>
      <c r="E18"/>
    </row>
    <row r="19" spans="2:5" ht="14">
      <c r="B19" s="7" t="s">
        <v>99</v>
      </c>
      <c r="C19" s="14">
        <v>0</v>
      </c>
      <c r="E19"/>
    </row>
    <row r="20" spans="2:5" ht="14">
      <c r="B20" s="7" t="s">
        <v>100</v>
      </c>
      <c r="C20" s="14">
        <v>0</v>
      </c>
      <c r="E20"/>
    </row>
    <row r="21" spans="2:5" ht="14">
      <c r="B21" s="7" t="s">
        <v>101</v>
      </c>
      <c r="C21" s="14">
        <v>0</v>
      </c>
      <c r="E21"/>
    </row>
    <row r="22" spans="2:5" ht="14">
      <c r="B22" s="7" t="s">
        <v>102</v>
      </c>
      <c r="C22" s="14">
        <v>0</v>
      </c>
      <c r="E22"/>
    </row>
    <row r="23" spans="2:5" ht="14">
      <c r="B23" s="7" t="s">
        <v>103</v>
      </c>
      <c r="C23" s="14">
        <v>0</v>
      </c>
      <c r="E23"/>
    </row>
    <row r="24" spans="2:5" ht="14">
      <c r="B24" s="7" t="s">
        <v>104</v>
      </c>
      <c r="C24" s="14">
        <v>0</v>
      </c>
      <c r="E24"/>
    </row>
    <row r="25" spans="2:5" ht="14">
      <c r="B25" s="7" t="s">
        <v>105</v>
      </c>
      <c r="C25" s="14">
        <v>0</v>
      </c>
      <c r="E25"/>
    </row>
    <row r="26" spans="2:5" ht="14">
      <c r="B26" s="7" t="s">
        <v>106</v>
      </c>
      <c r="C26" s="14">
        <v>0</v>
      </c>
      <c r="E26"/>
    </row>
    <row r="27" spans="2:5" ht="14">
      <c r="B27" s="7" t="s">
        <v>107</v>
      </c>
      <c r="C27" s="14">
        <v>0</v>
      </c>
      <c r="E27"/>
    </row>
    <row r="28" spans="2:5" ht="14">
      <c r="B28" s="7" t="s">
        <v>108</v>
      </c>
      <c r="C28" s="14">
        <v>0</v>
      </c>
      <c r="E28"/>
    </row>
    <row r="29" spans="2:5" ht="14">
      <c r="B29" s="92" t="s">
        <v>109</v>
      </c>
      <c r="C29" s="14"/>
      <c r="E29"/>
    </row>
    <row r="30" spans="2:5" ht="14">
      <c r="B30" s="7"/>
      <c r="C30" s="14">
        <v>0</v>
      </c>
      <c r="E30"/>
    </row>
    <row r="31" spans="2:5" ht="14">
      <c r="B31" s="7"/>
      <c r="C31" s="14">
        <v>0</v>
      </c>
      <c r="E31"/>
    </row>
    <row r="32" spans="2:5" ht="14">
      <c r="B32" s="7"/>
      <c r="C32" s="14">
        <v>0</v>
      </c>
      <c r="E32"/>
    </row>
    <row r="33" spans="2:5" ht="14">
      <c r="B33" s="7"/>
      <c r="C33" s="14">
        <v>0</v>
      </c>
      <c r="E33"/>
    </row>
    <row r="34" spans="2:5" ht="14">
      <c r="B34" s="7"/>
      <c r="C34" s="14">
        <v>0</v>
      </c>
      <c r="E34"/>
    </row>
    <row r="35" spans="2:5" ht="14">
      <c r="B35" s="7"/>
      <c r="C35" s="14"/>
      <c r="E35"/>
    </row>
    <row r="36" spans="2:5" ht="16.5">
      <c r="B36" s="8" t="s">
        <v>52</v>
      </c>
      <c r="C36" s="15">
        <f>SUM(C10:C34)</f>
        <v>0</v>
      </c>
      <c r="E36"/>
    </row>
  </sheetData>
  <mergeCells count="1">
    <mergeCell ref="B4:C4"/>
  </mergeCells>
  <pageMargins left="0.47244094488188981" right="0.51181102362204722" top="0.47244094488188981" bottom="0.74803149606299213" header="0.31496062992125984" footer="0.31496062992125984"/>
  <pageSetup paperSize="8" scale="99"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061E8-915C-4662-A67E-F9DF42503DDD}">
  <sheetPr>
    <tabColor rgb="FF92D050"/>
    <pageSetUpPr fitToPage="1"/>
  </sheetPr>
  <dimension ref="A1:N16"/>
  <sheetViews>
    <sheetView showGridLines="0" view="pageBreakPreview" zoomScale="85" zoomScaleNormal="100" zoomScaleSheetLayoutView="85" workbookViewId="0">
      <selection activeCell="C38" sqref="C38"/>
    </sheetView>
  </sheetViews>
  <sheetFormatPr defaultRowHeight="13"/>
  <cols>
    <col min="1" max="1" width="1.81640625" customWidth="1"/>
    <col min="2" max="2" width="101.7265625" customWidth="1"/>
    <col min="3" max="3" width="38.453125" customWidth="1"/>
    <col min="5" max="5" width="15.1796875" style="5" customWidth="1"/>
    <col min="6" max="6" width="13.26953125" customWidth="1"/>
    <col min="7" max="12" width="12.54296875" customWidth="1"/>
  </cols>
  <sheetData>
    <row r="1" spans="1:14" s="22" customFormat="1" ht="14.5">
      <c r="B1" s="49" t="s">
        <v>0</v>
      </c>
      <c r="C1" s="21"/>
      <c r="D1" s="21"/>
      <c r="E1" s="21"/>
    </row>
    <row r="2" spans="1:14" s="22" customFormat="1" ht="14.5">
      <c r="B2" s="49" t="s">
        <v>1</v>
      </c>
      <c r="C2" s="46"/>
      <c r="D2" s="21"/>
      <c r="E2" s="21"/>
    </row>
    <row r="3" spans="1:14" ht="16.5">
      <c r="A3" s="1"/>
      <c r="B3" s="2"/>
      <c r="C3" s="1"/>
    </row>
    <row r="4" spans="1:14" ht="32.5">
      <c r="A4" s="1"/>
      <c r="B4" s="149" t="s">
        <v>10</v>
      </c>
      <c r="C4" s="149"/>
      <c r="D4" s="1"/>
      <c r="E4" s="1"/>
      <c r="F4" s="1"/>
      <c r="G4" s="1"/>
      <c r="H4" s="1"/>
      <c r="I4" s="1"/>
      <c r="J4" s="1"/>
      <c r="K4" s="1"/>
      <c r="L4" s="1"/>
      <c r="N4" s="5"/>
    </row>
    <row r="5" spans="1:14" ht="16.5">
      <c r="A5" s="1"/>
      <c r="B5" s="2"/>
      <c r="C5" s="1"/>
    </row>
    <row r="6" spans="1:14" ht="16.5">
      <c r="A6" s="1"/>
      <c r="B6" s="52"/>
      <c r="C6" s="53"/>
    </row>
    <row r="8" spans="1:14" ht="16.5">
      <c r="B8" s="12" t="s">
        <v>110</v>
      </c>
      <c r="C8" s="13" t="s">
        <v>20</v>
      </c>
    </row>
    <row r="9" spans="1:14" ht="11.25" customHeight="1">
      <c r="B9" s="7"/>
      <c r="C9" s="14"/>
    </row>
    <row r="10" spans="1:14" ht="29.15" customHeight="1">
      <c r="B10" s="100" t="s">
        <v>249</v>
      </c>
      <c r="C10" s="99">
        <v>71250</v>
      </c>
    </row>
    <row r="11" spans="1:14" ht="36.75" hidden="1" customHeight="1">
      <c r="B11" s="9" t="s">
        <v>210</v>
      </c>
      <c r="C11" s="90"/>
    </row>
    <row r="12" spans="1:14" ht="36.75" hidden="1" customHeight="1">
      <c r="B12" s="9" t="s">
        <v>211</v>
      </c>
      <c r="C12" s="90"/>
    </row>
    <row r="13" spans="1:14" ht="36.75" hidden="1" customHeight="1">
      <c r="B13" s="9" t="s">
        <v>212</v>
      </c>
      <c r="C13" s="90"/>
    </row>
    <row r="14" spans="1:14" ht="36.75" hidden="1" customHeight="1">
      <c r="B14" s="7" t="s">
        <v>213</v>
      </c>
      <c r="C14" s="90"/>
    </row>
    <row r="15" spans="1:14" ht="14" hidden="1">
      <c r="B15" s="7"/>
      <c r="C15" s="14"/>
    </row>
    <row r="16" spans="1:14" ht="16.5">
      <c r="B16" s="8" t="s">
        <v>52</v>
      </c>
      <c r="C16" s="15">
        <f>SUM(C10:C14)</f>
        <v>71250</v>
      </c>
    </row>
  </sheetData>
  <mergeCells count="1">
    <mergeCell ref="B4:C4"/>
  </mergeCells>
  <pageMargins left="0.47244094488188981" right="0.51181102362204722" top="0.47244094488188981" bottom="0.74803149606299213" header="0.31496062992125984" footer="0.31496062992125984"/>
  <pageSetup paperSize="8" scale="98"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24BDF-9566-4868-A0DD-0465CC6A4508}">
  <sheetPr>
    <tabColor theme="7" tint="0.59999389629810485"/>
    <pageSetUpPr fitToPage="1"/>
  </sheetPr>
  <dimension ref="A1:Q20"/>
  <sheetViews>
    <sheetView showGridLines="0" view="pageBreakPreview" topLeftCell="A2" zoomScale="85" zoomScaleNormal="100" zoomScaleSheetLayoutView="85" workbookViewId="0">
      <selection activeCell="C32" sqref="C32"/>
    </sheetView>
  </sheetViews>
  <sheetFormatPr defaultRowHeight="13"/>
  <cols>
    <col min="1" max="1" width="1.81640625" customWidth="1"/>
    <col min="2" max="2" width="9.453125" customWidth="1"/>
    <col min="3" max="3" width="78.453125" customWidth="1"/>
    <col min="4" max="5" width="23.453125" customWidth="1"/>
    <col min="6" max="6" width="55" customWidth="1"/>
    <col min="7" max="7" width="11.26953125" bestFit="1" customWidth="1"/>
    <col min="8" max="8" width="15.1796875" style="5" customWidth="1"/>
    <col min="9" max="9" width="13.26953125" customWidth="1"/>
    <col min="10" max="15" width="12.54296875" customWidth="1"/>
  </cols>
  <sheetData>
    <row r="1" spans="1:17" s="22" customFormat="1" ht="14.5">
      <c r="B1" s="49" t="s">
        <v>0</v>
      </c>
      <c r="C1" s="21"/>
    </row>
    <row r="2" spans="1:17" s="22" customFormat="1" ht="14.5">
      <c r="B2" s="49" t="s">
        <v>1</v>
      </c>
      <c r="C2" s="46"/>
    </row>
    <row r="3" spans="1:17" ht="16.5">
      <c r="A3" s="1"/>
      <c r="B3" s="2"/>
      <c r="C3" s="2"/>
      <c r="D3" s="1"/>
      <c r="E3" s="1"/>
      <c r="F3" s="1"/>
    </row>
    <row r="4" spans="1:17" ht="32.5">
      <c r="A4" s="1"/>
      <c r="B4" s="11" t="s">
        <v>120</v>
      </c>
      <c r="C4" s="11"/>
      <c r="D4" s="1"/>
      <c r="E4" s="1"/>
      <c r="F4" s="1"/>
      <c r="G4" s="1"/>
      <c r="H4" s="1"/>
      <c r="I4" s="1"/>
      <c r="J4" s="1"/>
      <c r="K4" s="1"/>
      <c r="L4" s="1"/>
      <c r="M4" s="1"/>
      <c r="N4" s="1"/>
      <c r="O4" s="1"/>
      <c r="Q4" s="5"/>
    </row>
    <row r="5" spans="1:17" ht="16.5">
      <c r="A5" s="1"/>
      <c r="B5" s="2"/>
      <c r="C5" s="2"/>
      <c r="D5" s="1"/>
      <c r="E5" s="1"/>
      <c r="F5" s="1"/>
    </row>
    <row r="6" spans="1:17" ht="16.5">
      <c r="A6" s="1"/>
      <c r="B6" s="52"/>
      <c r="C6" s="52"/>
      <c r="D6" s="53"/>
      <c r="E6" s="53"/>
      <c r="F6" s="53"/>
    </row>
    <row r="8" spans="1:17" ht="23.25" customHeight="1">
      <c r="B8" s="147" t="s">
        <v>121</v>
      </c>
      <c r="C8" s="147"/>
      <c r="D8" s="147"/>
      <c r="E8" s="51"/>
      <c r="F8" s="51"/>
      <c r="H8"/>
      <c r="I8" s="1"/>
      <c r="J8" s="1"/>
      <c r="K8" s="1"/>
      <c r="L8" s="1"/>
      <c r="M8" s="1"/>
      <c r="N8" s="1"/>
      <c r="O8" s="1"/>
      <c r="Q8" s="5"/>
    </row>
    <row r="10" spans="1:17" ht="33">
      <c r="B10" s="18" t="s">
        <v>114</v>
      </c>
      <c r="C10" s="19" t="s">
        <v>115</v>
      </c>
      <c r="D10" s="13" t="s">
        <v>20</v>
      </c>
      <c r="E10" s="55" t="s">
        <v>118</v>
      </c>
      <c r="F10" s="13" t="s">
        <v>122</v>
      </c>
    </row>
    <row r="11" spans="1:17" ht="22.15" customHeight="1">
      <c r="B11" s="20">
        <v>1</v>
      </c>
      <c r="C11" s="20"/>
      <c r="D11" s="20"/>
      <c r="E11" s="20"/>
      <c r="F11" s="20"/>
    </row>
    <row r="12" spans="1:17" ht="22.15" customHeight="1">
      <c r="B12" s="20">
        <v>2</v>
      </c>
      <c r="C12" s="20"/>
      <c r="D12" s="20"/>
      <c r="E12" s="20"/>
      <c r="F12" s="20"/>
    </row>
    <row r="13" spans="1:17" ht="22.15" customHeight="1">
      <c r="B13" s="20">
        <v>3</v>
      </c>
      <c r="C13" s="20"/>
      <c r="D13" s="20"/>
      <c r="E13" s="20"/>
      <c r="F13" s="20"/>
    </row>
    <row r="14" spans="1:17" ht="22.15" customHeight="1">
      <c r="B14" s="20">
        <v>4</v>
      </c>
      <c r="C14" s="20"/>
      <c r="D14" s="20"/>
      <c r="E14" s="20"/>
      <c r="F14" s="20"/>
    </row>
    <row r="15" spans="1:17" ht="22.15" customHeight="1">
      <c r="B15" s="20">
        <v>5</v>
      </c>
      <c r="C15" s="20"/>
      <c r="D15" s="20"/>
      <c r="E15" s="20"/>
      <c r="F15" s="20"/>
      <c r="G15" s="4"/>
      <c r="H15" s="6"/>
    </row>
    <row r="16" spans="1:17" ht="22.15" customHeight="1">
      <c r="B16" s="20"/>
      <c r="C16" s="20"/>
      <c r="D16" s="20"/>
      <c r="E16" s="20"/>
      <c r="F16" s="20"/>
      <c r="G16" s="4"/>
      <c r="H16" s="6"/>
    </row>
    <row r="17" spans="2:8" ht="22.15" customHeight="1">
      <c r="B17" s="20"/>
      <c r="C17" s="20"/>
      <c r="D17" s="20"/>
      <c r="E17" s="20"/>
      <c r="F17" s="20"/>
    </row>
    <row r="18" spans="2:8" ht="22.15" customHeight="1">
      <c r="B18" s="20"/>
      <c r="C18" s="20"/>
      <c r="D18" s="20"/>
      <c r="E18" s="20"/>
      <c r="F18" s="20"/>
      <c r="G18" s="4"/>
      <c r="H18" s="6"/>
    </row>
    <row r="19" spans="2:8" ht="22.15" customHeight="1">
      <c r="B19" s="20"/>
      <c r="C19" s="20"/>
      <c r="D19" s="20"/>
      <c r="E19" s="20"/>
      <c r="F19" s="20"/>
    </row>
    <row r="20" spans="2:8" ht="22.15" customHeight="1">
      <c r="B20" s="20"/>
      <c r="C20" s="20"/>
      <c r="D20" s="20"/>
      <c r="E20" s="20"/>
      <c r="F20" s="20"/>
      <c r="G20" s="4"/>
      <c r="H20" s="6"/>
    </row>
  </sheetData>
  <mergeCells count="1">
    <mergeCell ref="B8:D8"/>
  </mergeCells>
  <pageMargins left="0.47244094488188981" right="0.51181102362204722" top="0.47244094488188981" bottom="0.74803149606299213" header="0.31496062992125984" footer="0.31496062992125984"/>
  <pageSetup paperSize="8" scale="73" fitToHeight="0" orientation="portrait" horizontalDpi="300" verticalDpi="300" r:id="rId1"/>
  <headerFooter>
    <oddFooter>&amp;C&amp;"Khmer UI,Bold"&amp;11Ref&amp;"Khmer UI,Regular" &amp;F         &amp;"Khmer UI,Bold"Date&amp;"Khmer UI,Regular"   &amp;D&amp;R&amp;"Khmer UI,Bold"&amp;11Page &amp;"Khmer UI,Regular"&amp;P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0B49-06D0-48B4-B7DA-3D34F15DB8DF}">
  <sheetPr>
    <tabColor theme="7" tint="0.59999389629810485"/>
    <pageSetUpPr fitToPage="1"/>
  </sheetPr>
  <dimension ref="A1:O55"/>
  <sheetViews>
    <sheetView view="pageBreakPreview" topLeftCell="A13" zoomScale="90" zoomScaleNormal="100" zoomScaleSheetLayoutView="90" workbookViewId="0">
      <selection activeCell="A22" sqref="A22:B22"/>
    </sheetView>
  </sheetViews>
  <sheetFormatPr defaultColWidth="10.1796875" defaultRowHeight="13"/>
  <cols>
    <col min="1" max="1" width="10.453125" style="22" customWidth="1"/>
    <col min="2" max="2" width="83.7265625" style="22" customWidth="1"/>
    <col min="3" max="5" width="17" style="22" customWidth="1"/>
    <col min="6" max="6" width="32.1796875" style="22" customWidth="1"/>
    <col min="7" max="16384" width="10.1796875" style="22"/>
  </cols>
  <sheetData>
    <row r="1" spans="1:5" ht="14.5">
      <c r="A1" s="49" t="s">
        <v>0</v>
      </c>
      <c r="B1" s="21"/>
      <c r="C1" s="21"/>
      <c r="D1" s="21"/>
      <c r="E1" s="21"/>
    </row>
    <row r="2" spans="1:5" ht="16">
      <c r="A2" s="49" t="s">
        <v>1</v>
      </c>
      <c r="B2" s="72"/>
      <c r="C2" s="21"/>
      <c r="D2" s="21"/>
      <c r="E2" s="21"/>
    </row>
    <row r="3" spans="1:5" ht="16">
      <c r="A3" s="50" t="s">
        <v>123</v>
      </c>
      <c r="B3" s="73"/>
      <c r="C3" s="21"/>
      <c r="D3" s="158"/>
      <c r="E3" s="158"/>
    </row>
    <row r="4" spans="1:5" ht="7.5" customHeight="1">
      <c r="A4" s="74"/>
      <c r="B4" s="75"/>
      <c r="C4" s="21"/>
      <c r="D4" s="21"/>
      <c r="E4" s="21"/>
    </row>
    <row r="5" spans="1:5" ht="18" customHeight="1">
      <c r="A5" s="76"/>
      <c r="B5" s="77"/>
      <c r="C5" s="78"/>
      <c r="D5" s="78"/>
      <c r="E5" s="78"/>
    </row>
    <row r="6" spans="1:5" ht="7.5" customHeight="1">
      <c r="A6" s="79"/>
      <c r="B6" s="80"/>
      <c r="C6" s="21"/>
      <c r="D6" s="21"/>
      <c r="E6" s="21"/>
    </row>
    <row r="7" spans="1:5" ht="19.5" customHeight="1">
      <c r="A7" s="81"/>
      <c r="B7" s="82"/>
      <c r="C7" s="83"/>
      <c r="D7" s="83"/>
      <c r="E7" s="83"/>
    </row>
    <row r="8" spans="1:5" ht="32.25" customHeight="1">
      <c r="A8" s="159" t="s">
        <v>124</v>
      </c>
      <c r="B8" s="160"/>
      <c r="C8" s="160"/>
      <c r="D8" s="161"/>
      <c r="E8" s="23" t="s">
        <v>125</v>
      </c>
    </row>
    <row r="9" spans="1:5">
      <c r="A9" s="162" t="s">
        <v>126</v>
      </c>
      <c r="B9" s="163"/>
      <c r="C9" s="163"/>
      <c r="D9" s="164"/>
      <c r="E9" s="24"/>
    </row>
    <row r="10" spans="1:5">
      <c r="A10" s="162" t="s">
        <v>127</v>
      </c>
      <c r="B10" s="163"/>
      <c r="C10" s="163"/>
      <c r="D10" s="164"/>
      <c r="E10" s="24"/>
    </row>
    <row r="11" spans="1:5">
      <c r="A11" s="162" t="s">
        <v>128</v>
      </c>
      <c r="B11" s="163"/>
      <c r="C11" s="163"/>
      <c r="D11" s="164"/>
      <c r="E11" s="24"/>
    </row>
    <row r="12" spans="1:5">
      <c r="A12" s="162" t="s">
        <v>129</v>
      </c>
      <c r="B12" s="163"/>
      <c r="C12" s="163"/>
      <c r="D12" s="164"/>
      <c r="E12" s="25"/>
    </row>
    <row r="13" spans="1:5">
      <c r="A13" s="162" t="s">
        <v>130</v>
      </c>
      <c r="B13" s="163"/>
      <c r="C13" s="163"/>
      <c r="D13" s="164"/>
      <c r="E13" s="25"/>
    </row>
    <row r="14" spans="1:5">
      <c r="A14" s="162" t="s">
        <v>131</v>
      </c>
      <c r="B14" s="163"/>
      <c r="C14" s="163"/>
      <c r="D14" s="164"/>
      <c r="E14" s="25"/>
    </row>
    <row r="15" spans="1:5" ht="28.5" customHeight="1">
      <c r="A15" s="159" t="s">
        <v>132</v>
      </c>
      <c r="B15" s="160"/>
      <c r="C15" s="160"/>
      <c r="D15" s="161"/>
      <c r="E15" s="23" t="s">
        <v>133</v>
      </c>
    </row>
    <row r="16" spans="1:5" ht="18.75" customHeight="1">
      <c r="A16" s="151" t="s">
        <v>134</v>
      </c>
      <c r="B16" s="152"/>
      <c r="C16" s="153"/>
      <c r="D16" s="153"/>
      <c r="E16" s="154"/>
    </row>
    <row r="17" spans="1:15">
      <c r="A17" s="162" t="s">
        <v>236</v>
      </c>
      <c r="B17" s="163"/>
      <c r="C17" s="163"/>
      <c r="D17" s="164"/>
      <c r="E17" s="26"/>
      <c r="F17" s="91"/>
      <c r="G17" s="89"/>
      <c r="H17" s="89"/>
      <c r="I17" s="89"/>
      <c r="J17" s="89"/>
      <c r="K17" s="89"/>
      <c r="L17" s="89"/>
      <c r="M17" s="89"/>
      <c r="N17" s="89"/>
      <c r="O17" s="89"/>
    </row>
    <row r="18" spans="1:15" ht="17.25" customHeight="1">
      <c r="A18" s="162" t="s">
        <v>237</v>
      </c>
      <c r="B18" s="163"/>
      <c r="C18" s="163"/>
      <c r="D18" s="164"/>
      <c r="E18" s="26"/>
    </row>
    <row r="19" spans="1:15" ht="18.75" customHeight="1">
      <c r="A19" s="151" t="s">
        <v>10</v>
      </c>
      <c r="B19" s="152"/>
      <c r="C19" s="153"/>
      <c r="D19" s="153"/>
      <c r="E19" s="154"/>
    </row>
    <row r="20" spans="1:15">
      <c r="A20" s="155" t="s">
        <v>238</v>
      </c>
      <c r="B20" s="156"/>
      <c r="C20" s="156"/>
      <c r="D20" s="157"/>
      <c r="E20" s="26"/>
      <c r="F20" s="91"/>
    </row>
    <row r="21" spans="1:15">
      <c r="A21" s="155" t="s">
        <v>239</v>
      </c>
      <c r="B21" s="156"/>
      <c r="C21" s="156"/>
      <c r="D21" s="157"/>
      <c r="E21" s="26"/>
      <c r="F21" s="91"/>
    </row>
    <row r="22" spans="1:15" ht="30.75" customHeight="1">
      <c r="A22" s="159" t="s">
        <v>135</v>
      </c>
      <c r="B22" s="160"/>
      <c r="C22" s="23" t="s">
        <v>136</v>
      </c>
      <c r="D22" s="23" t="s">
        <v>137</v>
      </c>
      <c r="E22" s="23" t="s">
        <v>138</v>
      </c>
    </row>
    <row r="23" spans="1:15" ht="15" customHeight="1">
      <c r="A23" s="171" t="s">
        <v>139</v>
      </c>
      <c r="B23" s="172"/>
      <c r="C23" s="27"/>
      <c r="D23" s="27"/>
      <c r="E23" s="27"/>
    </row>
    <row r="24" spans="1:15" ht="15" customHeight="1">
      <c r="A24" s="169" t="s">
        <v>140</v>
      </c>
      <c r="B24" s="170"/>
      <c r="C24" s="28"/>
      <c r="D24" s="27"/>
      <c r="E24" s="27"/>
    </row>
    <row r="25" spans="1:15" ht="15" customHeight="1">
      <c r="A25" s="169" t="s">
        <v>141</v>
      </c>
      <c r="B25" s="170"/>
      <c r="C25" s="28"/>
      <c r="D25" s="27"/>
      <c r="E25" s="27"/>
    </row>
    <row r="26" spans="1:15" ht="15" customHeight="1">
      <c r="A26" s="167" t="s">
        <v>142</v>
      </c>
      <c r="B26" s="168"/>
      <c r="C26" s="28"/>
      <c r="D26" s="27"/>
      <c r="E26" s="27"/>
    </row>
    <row r="27" spans="1:15" ht="15" customHeight="1">
      <c r="A27" s="167" t="s">
        <v>143</v>
      </c>
      <c r="B27" s="168"/>
      <c r="C27" s="28"/>
      <c r="D27" s="27"/>
      <c r="E27" s="27"/>
    </row>
    <row r="28" spans="1:15" ht="15" customHeight="1">
      <c r="A28" s="84" t="s">
        <v>144</v>
      </c>
      <c r="B28" s="85"/>
      <c r="C28" s="28"/>
      <c r="D28" s="27"/>
      <c r="E28" s="27"/>
    </row>
    <row r="29" spans="1:15" ht="15" customHeight="1">
      <c r="A29" s="169" t="s">
        <v>145</v>
      </c>
      <c r="B29" s="170"/>
      <c r="C29" s="28"/>
      <c r="D29" s="27"/>
      <c r="E29" s="27"/>
    </row>
    <row r="30" spans="1:15" ht="15" customHeight="1">
      <c r="A30" s="169" t="s">
        <v>101</v>
      </c>
      <c r="B30" s="170"/>
      <c r="C30" s="28"/>
      <c r="D30" s="27"/>
      <c r="E30" s="27"/>
    </row>
    <row r="31" spans="1:15" ht="15" customHeight="1">
      <c r="A31" s="86" t="s">
        <v>146</v>
      </c>
      <c r="B31" s="87"/>
      <c r="C31" s="28"/>
      <c r="D31" s="27"/>
      <c r="E31" s="27"/>
    </row>
    <row r="32" spans="1:15" ht="15" customHeight="1">
      <c r="A32" s="169" t="s">
        <v>147</v>
      </c>
      <c r="B32" s="170"/>
      <c r="C32" s="28"/>
      <c r="D32" s="27"/>
      <c r="E32" s="27"/>
    </row>
    <row r="33" spans="1:5" ht="15" customHeight="1">
      <c r="A33" s="169" t="s">
        <v>148</v>
      </c>
      <c r="B33" s="170"/>
      <c r="C33" s="28"/>
      <c r="D33" s="27"/>
      <c r="E33" s="27"/>
    </row>
    <row r="34" spans="1:5" ht="15" customHeight="1">
      <c r="A34" s="169" t="s">
        <v>149</v>
      </c>
      <c r="B34" s="170"/>
      <c r="C34" s="28"/>
      <c r="D34" s="27"/>
      <c r="E34" s="27"/>
    </row>
    <row r="35" spans="1:5" ht="15" customHeight="1">
      <c r="A35" s="169" t="s">
        <v>150</v>
      </c>
      <c r="B35" s="170"/>
      <c r="C35" s="28"/>
      <c r="D35" s="27"/>
      <c r="E35" s="27"/>
    </row>
    <row r="36" spans="1:5" ht="15" customHeight="1">
      <c r="A36" s="169" t="s">
        <v>221</v>
      </c>
      <c r="B36" s="170"/>
      <c r="C36" s="28"/>
      <c r="D36" s="27"/>
      <c r="E36" s="27"/>
    </row>
    <row r="37" spans="1:5" ht="15" customHeight="1">
      <c r="A37" s="169" t="s">
        <v>214</v>
      </c>
      <c r="B37" s="170"/>
      <c r="C37" s="28"/>
      <c r="D37" s="27"/>
      <c r="E37" s="27"/>
    </row>
    <row r="38" spans="1:5" ht="15" customHeight="1">
      <c r="A38" s="169" t="s">
        <v>215</v>
      </c>
      <c r="B38" s="170"/>
      <c r="C38" s="28"/>
      <c r="D38" s="27"/>
      <c r="E38" s="27"/>
    </row>
    <row r="39" spans="1:5" ht="15" customHeight="1">
      <c r="A39" s="169" t="s">
        <v>216</v>
      </c>
      <c r="B39" s="170"/>
      <c r="C39" s="28"/>
      <c r="D39" s="27"/>
      <c r="E39" s="28"/>
    </row>
    <row r="40" spans="1:5" ht="15" customHeight="1">
      <c r="A40" s="169" t="s">
        <v>217</v>
      </c>
      <c r="B40" s="170"/>
      <c r="C40" s="28"/>
      <c r="D40" s="27"/>
      <c r="E40" s="28"/>
    </row>
    <row r="41" spans="1:5" ht="15" customHeight="1">
      <c r="A41" s="169" t="s">
        <v>218</v>
      </c>
      <c r="B41" s="170"/>
      <c r="C41" s="28"/>
      <c r="D41" s="28"/>
      <c r="E41" s="28"/>
    </row>
    <row r="42" spans="1:5" ht="15" customHeight="1">
      <c r="A42" s="169" t="s">
        <v>219</v>
      </c>
      <c r="B42" s="170"/>
      <c r="C42" s="28"/>
      <c r="D42" s="28"/>
      <c r="E42" s="28"/>
    </row>
    <row r="43" spans="1:5" ht="15" customHeight="1">
      <c r="A43" s="169" t="s">
        <v>220</v>
      </c>
      <c r="B43" s="170"/>
      <c r="C43" s="28"/>
      <c r="D43" s="28"/>
      <c r="E43" s="28"/>
    </row>
    <row r="44" spans="1:5" ht="15" customHeight="1">
      <c r="A44" s="84" t="s">
        <v>151</v>
      </c>
      <c r="B44" s="85"/>
      <c r="C44" s="28"/>
      <c r="D44" s="28"/>
      <c r="E44" s="28"/>
    </row>
    <row r="45" spans="1:5" ht="15" customHeight="1">
      <c r="A45" s="167" t="s">
        <v>152</v>
      </c>
      <c r="B45" s="168"/>
      <c r="C45" s="28"/>
      <c r="D45" s="28"/>
      <c r="E45" s="28"/>
    </row>
    <row r="46" spans="1:5" ht="15" customHeight="1">
      <c r="A46" s="167" t="s">
        <v>153</v>
      </c>
      <c r="B46" s="168"/>
      <c r="C46" s="28"/>
      <c r="D46" s="28"/>
      <c r="E46" s="28"/>
    </row>
    <row r="47" spans="1:5" ht="15" customHeight="1">
      <c r="A47" s="167" t="s">
        <v>86</v>
      </c>
      <c r="B47" s="168"/>
      <c r="C47" s="47"/>
      <c r="D47" s="28"/>
      <c r="E47" s="48"/>
    </row>
    <row r="48" spans="1:5" ht="15" customHeight="1">
      <c r="A48" s="167" t="s">
        <v>85</v>
      </c>
      <c r="B48" s="168"/>
      <c r="C48" s="47"/>
      <c r="D48" s="28"/>
      <c r="E48" s="48"/>
    </row>
    <row r="49" spans="1:5" ht="15" customHeight="1">
      <c r="A49" s="167" t="s">
        <v>154</v>
      </c>
      <c r="B49" s="168"/>
      <c r="C49" s="47"/>
      <c r="D49" s="28"/>
      <c r="E49" s="48"/>
    </row>
    <row r="50" spans="1:5" ht="15" customHeight="1">
      <c r="A50" s="167" t="s">
        <v>155</v>
      </c>
      <c r="B50" s="168"/>
      <c r="C50" s="28"/>
      <c r="D50" s="28"/>
      <c r="E50" s="28"/>
    </row>
    <row r="51" spans="1:5" ht="15" customHeight="1">
      <c r="A51" s="165" t="s">
        <v>156</v>
      </c>
      <c r="B51" s="166"/>
      <c r="C51" s="30"/>
      <c r="D51" s="30"/>
      <c r="E51" s="30"/>
    </row>
    <row r="52" spans="1:5" s="34" customFormat="1">
      <c r="A52" s="31" t="s">
        <v>157</v>
      </c>
      <c r="B52" s="32"/>
      <c r="C52" s="33"/>
      <c r="D52" s="33"/>
    </row>
    <row r="53" spans="1:5">
      <c r="B53" s="36"/>
      <c r="C53" s="36"/>
      <c r="D53" s="36"/>
      <c r="E53" s="36"/>
    </row>
    <row r="54" spans="1:5">
      <c r="C54" s="29"/>
    </row>
    <row r="55" spans="1:5">
      <c r="C55" s="37"/>
    </row>
  </sheetData>
  <mergeCells count="42">
    <mergeCell ref="A41:B41"/>
    <mergeCell ref="A42:B42"/>
    <mergeCell ref="A43:B43"/>
    <mergeCell ref="A22:B22"/>
    <mergeCell ref="A29:B29"/>
    <mergeCell ref="A30:B30"/>
    <mergeCell ref="A23:B23"/>
    <mergeCell ref="A24:B24"/>
    <mergeCell ref="A25:B25"/>
    <mergeCell ref="A26:B26"/>
    <mergeCell ref="A27:B27"/>
    <mergeCell ref="A51:B51"/>
    <mergeCell ref="A46:B46"/>
    <mergeCell ref="A47:B47"/>
    <mergeCell ref="A48:B48"/>
    <mergeCell ref="A32:B32"/>
    <mergeCell ref="A49:B49"/>
    <mergeCell ref="A37:B37"/>
    <mergeCell ref="A38:B38"/>
    <mergeCell ref="A39:B39"/>
    <mergeCell ref="A50:B50"/>
    <mergeCell ref="A33:B33"/>
    <mergeCell ref="A45:B45"/>
    <mergeCell ref="A34:B34"/>
    <mergeCell ref="A35:B35"/>
    <mergeCell ref="A36:B36"/>
    <mergeCell ref="A40:B40"/>
    <mergeCell ref="A19:E19"/>
    <mergeCell ref="A20:D20"/>
    <mergeCell ref="A21:D21"/>
    <mergeCell ref="D3:E3"/>
    <mergeCell ref="A8:D8"/>
    <mergeCell ref="A9:D9"/>
    <mergeCell ref="A15:D15"/>
    <mergeCell ref="A16:E16"/>
    <mergeCell ref="A17:D17"/>
    <mergeCell ref="A18:D18"/>
    <mergeCell ref="A10:D10"/>
    <mergeCell ref="A11:D11"/>
    <mergeCell ref="A14:D14"/>
    <mergeCell ref="A12:D12"/>
    <mergeCell ref="A13:D13"/>
  </mergeCells>
  <pageMargins left="0.51181102362204722" right="0.51181102362204722" top="0.74803149606299213" bottom="0.74803149606299213" header="0.31496062992125984" footer="0.31496062992125984"/>
  <pageSetup paperSize="9" scale="65" orientation="portrait" r:id="rId1"/>
  <headerFooter>
    <oddFooter>&amp;C&amp;"Khmer UI,Bold"Ref&amp;"Khmer UI,Regular" &amp;F &amp;"Khmer UI,Bold"Date&amp;"Khmer UI,Regular" &amp;D&amp;R &amp;"Khmer UI,Bold" Page&amp;"Khmer UI,Regular"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34979-376E-4742-A61E-CA86EDCBA233}">
  <sheetPr>
    <tabColor theme="7" tint="0.59999389629810485"/>
    <pageSetUpPr fitToPage="1"/>
  </sheetPr>
  <dimension ref="A1:E846"/>
  <sheetViews>
    <sheetView showGridLines="0" view="pageBreakPreview" zoomScale="110" zoomScaleNormal="85" zoomScaleSheetLayoutView="110" workbookViewId="0">
      <pane ySplit="7" topLeftCell="A8" activePane="bottomLeft" state="frozen"/>
      <selection activeCell="C25" sqref="C25"/>
      <selection pane="bottomLeft" activeCell="B26" sqref="B26"/>
    </sheetView>
  </sheetViews>
  <sheetFormatPr defaultColWidth="9" defaultRowHeight="13"/>
  <cols>
    <col min="1" max="1" width="4.7265625" style="34" customWidth="1"/>
    <col min="2" max="2" width="56.81640625" style="44" customWidth="1"/>
    <col min="3" max="3" width="9.1796875" style="35" customWidth="1"/>
    <col min="4" max="4" width="16.54296875" style="34" customWidth="1"/>
    <col min="5" max="5" width="53.81640625" style="34" customWidth="1"/>
    <col min="6" max="6" width="9" style="34"/>
    <col min="7" max="7" width="11.26953125" style="34" bestFit="1" customWidth="1"/>
    <col min="8" max="16384" width="9" style="34"/>
  </cols>
  <sheetData>
    <row r="1" spans="1:5" s="38" customFormat="1" ht="16.5" customHeight="1">
      <c r="A1" s="49" t="s">
        <v>0</v>
      </c>
      <c r="B1" s="56"/>
      <c r="C1" s="57"/>
      <c r="D1" s="58"/>
    </row>
    <row r="2" spans="1:5" s="38" customFormat="1" ht="16.5" customHeight="1">
      <c r="A2" s="49" t="s">
        <v>1</v>
      </c>
      <c r="B2" s="56"/>
      <c r="C2" s="59"/>
      <c r="D2" s="58"/>
    </row>
    <row r="3" spans="1:5" s="38" customFormat="1" ht="16.5" customHeight="1">
      <c r="A3" s="50" t="s">
        <v>158</v>
      </c>
      <c r="B3" s="60"/>
      <c r="C3" s="61"/>
      <c r="D3" s="62"/>
      <c r="E3" s="63"/>
    </row>
    <row r="4" spans="1:5" s="39" customFormat="1" ht="8.25" customHeight="1">
      <c r="B4" s="64"/>
      <c r="C4" s="65"/>
    </row>
    <row r="5" spans="1:5" s="54" customFormat="1" ht="14.25" customHeight="1">
      <c r="A5" s="66"/>
      <c r="B5" s="67"/>
      <c r="C5" s="68"/>
      <c r="D5" s="66"/>
      <c r="E5" s="66"/>
    </row>
    <row r="6" spans="1:5" ht="16">
      <c r="A6" s="69"/>
      <c r="B6" s="40"/>
      <c r="C6" s="69"/>
      <c r="D6" s="70"/>
      <c r="E6" s="71"/>
    </row>
    <row r="7" spans="1:5" s="105" customFormat="1">
      <c r="A7" s="101" t="s">
        <v>159</v>
      </c>
      <c r="B7" s="102" t="s">
        <v>160</v>
      </c>
      <c r="C7" s="103" t="s">
        <v>161</v>
      </c>
      <c r="D7" s="104" t="s">
        <v>162</v>
      </c>
      <c r="E7" s="103" t="s">
        <v>163</v>
      </c>
    </row>
    <row r="8" spans="1:5" s="105" customFormat="1">
      <c r="A8" s="106"/>
      <c r="B8" s="107"/>
      <c r="C8" s="108"/>
      <c r="D8" s="109"/>
      <c r="E8" s="110"/>
    </row>
    <row r="9" spans="1:5" s="105" customFormat="1">
      <c r="A9" s="111"/>
      <c r="B9" s="112" t="s">
        <v>164</v>
      </c>
      <c r="C9" s="113"/>
      <c r="D9" s="114"/>
      <c r="E9" s="115"/>
    </row>
    <row r="10" spans="1:5" s="105" customFormat="1">
      <c r="A10" s="111"/>
      <c r="B10" s="112"/>
      <c r="C10" s="113"/>
      <c r="D10" s="114"/>
      <c r="E10" s="115"/>
    </row>
    <row r="11" spans="1:5" s="105" customFormat="1" ht="26">
      <c r="A11" s="111"/>
      <c r="B11" s="146" t="s">
        <v>165</v>
      </c>
      <c r="C11" s="113"/>
      <c r="D11" s="114"/>
      <c r="E11" s="115"/>
    </row>
    <row r="12" spans="1:5" s="105" customFormat="1">
      <c r="A12" s="111"/>
      <c r="B12" s="116"/>
      <c r="C12" s="113"/>
      <c r="D12" s="114"/>
      <c r="E12" s="115"/>
    </row>
    <row r="13" spans="1:5" s="105" customFormat="1" ht="26">
      <c r="A13" s="111"/>
      <c r="B13" s="146" t="s">
        <v>166</v>
      </c>
      <c r="C13" s="113"/>
      <c r="D13" s="114"/>
      <c r="E13" s="115"/>
    </row>
    <row r="14" spans="1:5" s="105" customFormat="1">
      <c r="A14" s="111"/>
      <c r="B14" s="116"/>
      <c r="C14" s="113"/>
      <c r="D14" s="114"/>
      <c r="E14" s="115"/>
    </row>
    <row r="15" spans="1:5" s="105" customFormat="1" ht="26">
      <c r="A15" s="111"/>
      <c r="B15" s="117" t="s">
        <v>248</v>
      </c>
      <c r="C15" s="118" t="s">
        <v>173</v>
      </c>
      <c r="D15" s="119"/>
      <c r="E15" s="120" t="s">
        <v>246</v>
      </c>
    </row>
    <row r="16" spans="1:5" s="105" customFormat="1">
      <c r="A16" s="111"/>
      <c r="B16" s="116"/>
      <c r="C16" s="113"/>
      <c r="D16" s="114"/>
      <c r="E16" s="115"/>
    </row>
    <row r="17" spans="1:5" s="105" customFormat="1">
      <c r="A17" s="121"/>
      <c r="B17" s="122" t="s">
        <v>167</v>
      </c>
      <c r="C17" s="118" t="s">
        <v>168</v>
      </c>
      <c r="D17" s="123"/>
      <c r="E17" s="124"/>
    </row>
    <row r="18" spans="1:5" s="105" customFormat="1">
      <c r="A18" s="121"/>
      <c r="B18" s="122" t="s">
        <v>169</v>
      </c>
      <c r="C18" s="118" t="s">
        <v>168</v>
      </c>
      <c r="D18" s="123"/>
      <c r="E18" s="124"/>
    </row>
    <row r="19" spans="1:5" s="105" customFormat="1">
      <c r="A19" s="121"/>
      <c r="B19" s="122" t="s">
        <v>170</v>
      </c>
      <c r="C19" s="118" t="s">
        <v>168</v>
      </c>
      <c r="D19" s="123"/>
      <c r="E19" s="124"/>
    </row>
    <row r="20" spans="1:5" s="105" customFormat="1">
      <c r="A20" s="121"/>
      <c r="B20" s="122" t="s">
        <v>171</v>
      </c>
      <c r="C20" s="118" t="s">
        <v>168</v>
      </c>
      <c r="D20" s="123"/>
      <c r="E20" s="124"/>
    </row>
    <row r="21" spans="1:5" s="105" customFormat="1" ht="13" customHeight="1">
      <c r="A21" s="121"/>
      <c r="B21" s="122" t="s">
        <v>172</v>
      </c>
      <c r="C21" s="118" t="s">
        <v>173</v>
      </c>
      <c r="D21" s="123"/>
      <c r="E21" s="125"/>
    </row>
    <row r="22" spans="1:5" s="105" customFormat="1">
      <c r="A22" s="121"/>
      <c r="B22" s="122" t="s">
        <v>174</v>
      </c>
      <c r="C22" s="118" t="s">
        <v>173</v>
      </c>
      <c r="D22" s="123"/>
      <c r="E22" s="125"/>
    </row>
    <row r="23" spans="1:5" s="105" customFormat="1">
      <c r="A23" s="121"/>
      <c r="B23" s="122" t="s">
        <v>175</v>
      </c>
      <c r="C23" s="118" t="s">
        <v>173</v>
      </c>
      <c r="D23" s="123"/>
      <c r="E23" s="125"/>
    </row>
    <row r="24" spans="1:5" s="105" customFormat="1">
      <c r="A24" s="126"/>
      <c r="B24" s="122" t="s">
        <v>176</v>
      </c>
      <c r="C24" s="118" t="s">
        <v>173</v>
      </c>
      <c r="D24" s="123"/>
      <c r="E24" s="125"/>
    </row>
    <row r="25" spans="1:5" s="105" customFormat="1">
      <c r="A25" s="126"/>
      <c r="B25" s="122" t="s">
        <v>177</v>
      </c>
      <c r="C25" s="118" t="s">
        <v>173</v>
      </c>
      <c r="D25" s="123"/>
      <c r="E25" s="125"/>
    </row>
    <row r="26" spans="1:5" s="105" customFormat="1">
      <c r="A26" s="126"/>
      <c r="B26" s="122" t="s">
        <v>178</v>
      </c>
      <c r="C26" s="118" t="s">
        <v>173</v>
      </c>
      <c r="D26" s="123"/>
      <c r="E26" s="125"/>
    </row>
    <row r="27" spans="1:5" s="105" customFormat="1">
      <c r="A27" s="126"/>
      <c r="B27" s="122" t="s">
        <v>179</v>
      </c>
      <c r="C27" s="118" t="s">
        <v>173</v>
      </c>
      <c r="D27" s="123"/>
      <c r="E27" s="125"/>
    </row>
    <row r="28" spans="1:5" s="105" customFormat="1">
      <c r="A28" s="126"/>
      <c r="B28" s="122" t="s">
        <v>180</v>
      </c>
      <c r="C28" s="118" t="s">
        <v>173</v>
      </c>
      <c r="D28" s="123"/>
      <c r="E28" s="125"/>
    </row>
    <row r="29" spans="1:5" s="105" customFormat="1">
      <c r="A29" s="126"/>
      <c r="B29" s="122" t="s">
        <v>181</v>
      </c>
      <c r="C29" s="118" t="s">
        <v>173</v>
      </c>
      <c r="D29" s="123"/>
      <c r="E29" s="125"/>
    </row>
    <row r="30" spans="1:5" s="105" customFormat="1">
      <c r="A30" s="126"/>
      <c r="B30" s="122"/>
      <c r="C30" s="118"/>
      <c r="D30" s="123"/>
      <c r="E30" s="125"/>
    </row>
    <row r="31" spans="1:5" s="105" customFormat="1">
      <c r="A31" s="126"/>
      <c r="B31" s="112" t="s">
        <v>182</v>
      </c>
      <c r="C31" s="118"/>
      <c r="D31" s="123"/>
      <c r="E31" s="125"/>
    </row>
    <row r="32" spans="1:5" s="105" customFormat="1">
      <c r="A32" s="126"/>
      <c r="B32" s="122" t="s">
        <v>183</v>
      </c>
      <c r="C32" s="118" t="s">
        <v>184</v>
      </c>
      <c r="D32" s="123"/>
      <c r="E32" s="125"/>
    </row>
    <row r="33" spans="1:5" s="105" customFormat="1">
      <c r="A33" s="126"/>
      <c r="B33" s="122" t="s">
        <v>185</v>
      </c>
      <c r="C33" s="118" t="s">
        <v>186</v>
      </c>
      <c r="D33" s="123"/>
      <c r="E33" s="125"/>
    </row>
    <row r="34" spans="1:5" s="105" customFormat="1" ht="26">
      <c r="A34" s="126"/>
      <c r="B34" s="122" t="s">
        <v>187</v>
      </c>
      <c r="C34" s="118" t="s">
        <v>173</v>
      </c>
      <c r="D34" s="123"/>
      <c r="E34" s="125"/>
    </row>
    <row r="35" spans="1:5" s="105" customFormat="1" ht="26">
      <c r="A35" s="126"/>
      <c r="B35" s="122" t="s">
        <v>188</v>
      </c>
      <c r="C35" s="118" t="s">
        <v>173</v>
      </c>
      <c r="D35" s="123"/>
      <c r="E35" s="125"/>
    </row>
    <row r="36" spans="1:5" s="105" customFormat="1">
      <c r="A36" s="126"/>
      <c r="B36" s="122"/>
      <c r="C36" s="118"/>
      <c r="D36" s="123"/>
      <c r="E36" s="125"/>
    </row>
    <row r="37" spans="1:5" s="105" customFormat="1">
      <c r="A37" s="126"/>
      <c r="B37" s="112" t="s">
        <v>189</v>
      </c>
      <c r="C37" s="118"/>
      <c r="D37" s="123"/>
      <c r="E37" s="125"/>
    </row>
    <row r="38" spans="1:5" s="105" customFormat="1">
      <c r="A38" s="126"/>
      <c r="B38" s="122" t="s">
        <v>190</v>
      </c>
      <c r="C38" s="118" t="s">
        <v>186</v>
      </c>
      <c r="D38" s="123"/>
      <c r="E38" s="125"/>
    </row>
    <row r="39" spans="1:5" s="105" customFormat="1">
      <c r="A39" s="126"/>
      <c r="B39" s="122" t="s">
        <v>191</v>
      </c>
      <c r="C39" s="118" t="s">
        <v>186</v>
      </c>
      <c r="D39" s="123"/>
      <c r="E39" s="125"/>
    </row>
    <row r="40" spans="1:5" s="105" customFormat="1">
      <c r="A40" s="126"/>
      <c r="B40" s="122" t="s">
        <v>192</v>
      </c>
      <c r="C40" s="118" t="s">
        <v>186</v>
      </c>
      <c r="D40" s="123"/>
      <c r="E40" s="125"/>
    </row>
    <row r="41" spans="1:5" s="105" customFormat="1">
      <c r="A41" s="126"/>
      <c r="B41" s="122" t="s">
        <v>193</v>
      </c>
      <c r="C41" s="118" t="s">
        <v>186</v>
      </c>
      <c r="D41" s="123"/>
      <c r="E41" s="125"/>
    </row>
    <row r="42" spans="1:5" s="105" customFormat="1">
      <c r="A42" s="126"/>
      <c r="B42" s="122"/>
      <c r="C42" s="118"/>
      <c r="D42" s="123"/>
      <c r="E42" s="125"/>
    </row>
    <row r="43" spans="1:5" s="105" customFormat="1">
      <c r="A43" s="126"/>
      <c r="B43" s="112" t="s">
        <v>194</v>
      </c>
      <c r="C43" s="118"/>
      <c r="D43" s="123"/>
      <c r="E43" s="125"/>
    </row>
    <row r="44" spans="1:5" s="105" customFormat="1">
      <c r="A44" s="126"/>
      <c r="B44" s="122" t="s">
        <v>190</v>
      </c>
      <c r="C44" s="118" t="s">
        <v>186</v>
      </c>
      <c r="D44" s="123"/>
      <c r="E44" s="125"/>
    </row>
    <row r="45" spans="1:5" s="105" customFormat="1">
      <c r="A45" s="126"/>
      <c r="B45" s="122" t="s">
        <v>191</v>
      </c>
      <c r="C45" s="118" t="s">
        <v>186</v>
      </c>
      <c r="D45" s="123"/>
      <c r="E45" s="125"/>
    </row>
    <row r="46" spans="1:5" s="105" customFormat="1">
      <c r="A46" s="126"/>
      <c r="B46" s="122" t="s">
        <v>192</v>
      </c>
      <c r="C46" s="118" t="s">
        <v>186</v>
      </c>
      <c r="D46" s="123"/>
      <c r="E46" s="125"/>
    </row>
    <row r="47" spans="1:5" s="105" customFormat="1">
      <c r="A47" s="126"/>
      <c r="B47" s="122" t="s">
        <v>193</v>
      </c>
      <c r="C47" s="118" t="s">
        <v>186</v>
      </c>
      <c r="D47" s="123"/>
      <c r="E47" s="125"/>
    </row>
    <row r="48" spans="1:5" s="105" customFormat="1">
      <c r="A48" s="126"/>
      <c r="B48" s="122" t="s">
        <v>195</v>
      </c>
      <c r="C48" s="118" t="s">
        <v>196</v>
      </c>
      <c r="D48" s="123"/>
      <c r="E48" s="125"/>
    </row>
    <row r="49" spans="1:5" s="105" customFormat="1">
      <c r="A49" s="126"/>
      <c r="B49" s="122" t="s">
        <v>197</v>
      </c>
      <c r="C49" s="118" t="s">
        <v>196</v>
      </c>
      <c r="D49" s="123"/>
      <c r="E49" s="125"/>
    </row>
    <row r="50" spans="1:5" s="105" customFormat="1">
      <c r="A50" s="126"/>
      <c r="B50" s="122" t="s">
        <v>198</v>
      </c>
      <c r="C50" s="118" t="s">
        <v>196</v>
      </c>
      <c r="D50" s="123"/>
      <c r="E50" s="125"/>
    </row>
    <row r="51" spans="1:5" s="105" customFormat="1">
      <c r="A51" s="126"/>
      <c r="B51" s="122" t="s">
        <v>199</v>
      </c>
      <c r="C51" s="118" t="s">
        <v>196</v>
      </c>
      <c r="D51" s="123"/>
      <c r="E51" s="125"/>
    </row>
    <row r="52" spans="1:5" s="105" customFormat="1">
      <c r="A52" s="126"/>
      <c r="B52" s="122" t="s">
        <v>200</v>
      </c>
      <c r="C52" s="118" t="s">
        <v>196</v>
      </c>
      <c r="D52" s="123"/>
      <c r="E52" s="125"/>
    </row>
    <row r="53" spans="1:5" s="105" customFormat="1">
      <c r="A53" s="126"/>
      <c r="B53" s="122" t="s">
        <v>201</v>
      </c>
      <c r="C53" s="118" t="s">
        <v>196</v>
      </c>
      <c r="D53" s="123"/>
      <c r="E53" s="125"/>
    </row>
    <row r="54" spans="1:5" s="105" customFormat="1">
      <c r="A54" s="126"/>
      <c r="B54" s="122" t="s">
        <v>202</v>
      </c>
      <c r="C54" s="118" t="s">
        <v>196</v>
      </c>
      <c r="D54" s="123"/>
      <c r="E54" s="125"/>
    </row>
    <row r="55" spans="1:5" s="105" customFormat="1">
      <c r="A55" s="126"/>
      <c r="B55" s="122" t="s">
        <v>203</v>
      </c>
      <c r="C55" s="118" t="s">
        <v>196</v>
      </c>
      <c r="D55" s="123"/>
      <c r="E55" s="125"/>
    </row>
    <row r="56" spans="1:5" s="105" customFormat="1">
      <c r="A56" s="126"/>
      <c r="B56" s="122" t="s">
        <v>204</v>
      </c>
      <c r="C56" s="118" t="s">
        <v>196</v>
      </c>
      <c r="D56" s="123"/>
      <c r="E56" s="125"/>
    </row>
    <row r="57" spans="1:5" s="105" customFormat="1">
      <c r="A57" s="126"/>
      <c r="B57" s="122" t="s">
        <v>205</v>
      </c>
      <c r="C57" s="118" t="s">
        <v>196</v>
      </c>
      <c r="D57" s="123"/>
      <c r="E57" s="125"/>
    </row>
    <row r="58" spans="1:5" s="105" customFormat="1">
      <c r="A58" s="126"/>
      <c r="B58" s="122" t="s">
        <v>206</v>
      </c>
      <c r="C58" s="118" t="s">
        <v>196</v>
      </c>
      <c r="D58" s="123"/>
      <c r="E58" s="125"/>
    </row>
    <row r="59" spans="1:5" s="105" customFormat="1" ht="26">
      <c r="A59" s="126"/>
      <c r="B59" s="122" t="s">
        <v>207</v>
      </c>
      <c r="C59" s="118" t="s">
        <v>208</v>
      </c>
      <c r="D59" s="123"/>
      <c r="E59" s="125"/>
    </row>
    <row r="60" spans="1:5" s="105" customFormat="1" ht="26">
      <c r="A60" s="126"/>
      <c r="B60" s="122" t="s">
        <v>209</v>
      </c>
      <c r="C60" s="118" t="s">
        <v>208</v>
      </c>
      <c r="D60" s="123"/>
      <c r="E60" s="125"/>
    </row>
    <row r="61" spans="1:5" s="105" customFormat="1">
      <c r="A61" s="126"/>
      <c r="B61" s="122"/>
      <c r="C61" s="118"/>
      <c r="D61" s="123"/>
      <c r="E61" s="125"/>
    </row>
    <row r="62" spans="1:5" s="105" customFormat="1">
      <c r="A62" s="126"/>
      <c r="B62" s="112" t="s">
        <v>250</v>
      </c>
      <c r="C62" s="118"/>
      <c r="D62" s="123"/>
      <c r="E62" s="125"/>
    </row>
    <row r="63" spans="1:5" s="105" customFormat="1">
      <c r="A63" s="126"/>
      <c r="B63" s="146" t="s">
        <v>767</v>
      </c>
      <c r="C63" s="118"/>
      <c r="D63" s="123"/>
      <c r="E63" s="125"/>
    </row>
    <row r="64" spans="1:5" s="105" customFormat="1">
      <c r="A64" s="126"/>
      <c r="B64" s="122" t="s">
        <v>740</v>
      </c>
      <c r="C64" s="118" t="s">
        <v>168</v>
      </c>
      <c r="D64" s="123"/>
      <c r="E64" s="125"/>
    </row>
    <row r="65" spans="1:5" s="105" customFormat="1">
      <c r="A65" s="126"/>
      <c r="B65" s="122" t="s">
        <v>741</v>
      </c>
      <c r="C65" s="118" t="s">
        <v>168</v>
      </c>
      <c r="D65" s="123"/>
      <c r="E65" s="125"/>
    </row>
    <row r="66" spans="1:5" s="105" customFormat="1">
      <c r="A66" s="126"/>
      <c r="B66" s="122" t="s">
        <v>746</v>
      </c>
      <c r="C66" s="118" t="s">
        <v>747</v>
      </c>
      <c r="D66" s="123"/>
      <c r="E66" s="125"/>
    </row>
    <row r="67" spans="1:5" s="105" customFormat="1">
      <c r="A67" s="126"/>
      <c r="B67" s="122" t="s">
        <v>745</v>
      </c>
      <c r="C67" s="118" t="s">
        <v>168</v>
      </c>
      <c r="D67" s="123"/>
      <c r="E67" s="125"/>
    </row>
    <row r="68" spans="1:5" s="105" customFormat="1">
      <c r="A68" s="126"/>
      <c r="B68" s="122" t="s">
        <v>742</v>
      </c>
      <c r="C68" s="118" t="s">
        <v>168</v>
      </c>
      <c r="D68" s="123"/>
      <c r="E68" s="125"/>
    </row>
    <row r="69" spans="1:5" s="105" customFormat="1">
      <c r="A69" s="126"/>
      <c r="B69" s="122" t="s">
        <v>743</v>
      </c>
      <c r="C69" s="118" t="s">
        <v>168</v>
      </c>
      <c r="D69" s="123"/>
      <c r="E69" s="125"/>
    </row>
    <row r="70" spans="1:5" s="105" customFormat="1">
      <c r="A70" s="126"/>
      <c r="B70" s="122" t="s">
        <v>744</v>
      </c>
      <c r="C70" s="118" t="s">
        <v>168</v>
      </c>
      <c r="D70" s="123"/>
      <c r="E70" s="125"/>
    </row>
    <row r="71" spans="1:5" s="105" customFormat="1">
      <c r="A71" s="126"/>
      <c r="B71" s="122" t="s">
        <v>748</v>
      </c>
      <c r="C71" s="118" t="s">
        <v>254</v>
      </c>
      <c r="D71" s="123"/>
      <c r="E71" s="125"/>
    </row>
    <row r="72" spans="1:5" s="105" customFormat="1">
      <c r="A72" s="126"/>
      <c r="B72" s="122" t="s">
        <v>749</v>
      </c>
      <c r="C72" s="118" t="s">
        <v>254</v>
      </c>
      <c r="D72" s="123"/>
      <c r="E72" s="125"/>
    </row>
    <row r="73" spans="1:5" s="105" customFormat="1">
      <c r="A73" s="126"/>
      <c r="B73" s="122" t="s">
        <v>750</v>
      </c>
      <c r="C73" s="118" t="s">
        <v>254</v>
      </c>
      <c r="D73" s="123"/>
      <c r="E73" s="125"/>
    </row>
    <row r="74" spans="1:5" s="105" customFormat="1">
      <c r="A74" s="126"/>
      <c r="B74" s="122" t="s">
        <v>751</v>
      </c>
      <c r="C74" s="118" t="s">
        <v>254</v>
      </c>
      <c r="D74" s="123"/>
      <c r="E74" s="125"/>
    </row>
    <row r="75" spans="1:5" s="105" customFormat="1">
      <c r="A75" s="126"/>
      <c r="B75" s="122" t="s">
        <v>752</v>
      </c>
      <c r="C75" s="118" t="s">
        <v>254</v>
      </c>
      <c r="D75" s="123"/>
      <c r="E75" s="125"/>
    </row>
    <row r="76" spans="1:5" s="105" customFormat="1">
      <c r="A76" s="126"/>
      <c r="B76" s="122"/>
      <c r="C76" s="118"/>
      <c r="D76" s="123"/>
      <c r="E76" s="125"/>
    </row>
    <row r="77" spans="1:5" s="105" customFormat="1">
      <c r="A77" s="126"/>
      <c r="B77" s="122" t="s">
        <v>251</v>
      </c>
      <c r="C77" s="118"/>
      <c r="D77" s="123"/>
      <c r="E77" s="125"/>
    </row>
    <row r="78" spans="1:5" s="105" customFormat="1">
      <c r="A78" s="126"/>
      <c r="B78" s="122" t="s">
        <v>252</v>
      </c>
      <c r="C78" s="118" t="s">
        <v>284</v>
      </c>
      <c r="D78" s="123"/>
      <c r="E78" s="125"/>
    </row>
    <row r="79" spans="1:5" s="105" customFormat="1">
      <c r="A79" s="126"/>
      <c r="B79" s="122" t="s">
        <v>753</v>
      </c>
      <c r="C79" s="118" t="s">
        <v>253</v>
      </c>
      <c r="D79" s="123"/>
      <c r="E79" s="125"/>
    </row>
    <row r="80" spans="1:5" s="105" customFormat="1">
      <c r="A80" s="126"/>
      <c r="B80" s="122" t="s">
        <v>754</v>
      </c>
      <c r="C80" s="118" t="s">
        <v>253</v>
      </c>
      <c r="D80" s="123"/>
      <c r="E80" s="125"/>
    </row>
    <row r="81" spans="1:5" s="105" customFormat="1">
      <c r="A81" s="126"/>
      <c r="B81" s="122" t="s">
        <v>755</v>
      </c>
      <c r="C81" s="118" t="s">
        <v>254</v>
      </c>
      <c r="D81" s="123"/>
      <c r="E81" s="125"/>
    </row>
    <row r="82" spans="1:5" s="105" customFormat="1">
      <c r="A82" s="126"/>
      <c r="B82" s="122" t="s">
        <v>756</v>
      </c>
      <c r="C82" s="118" t="s">
        <v>254</v>
      </c>
      <c r="D82" s="123"/>
      <c r="E82" s="125"/>
    </row>
    <row r="83" spans="1:5" s="105" customFormat="1">
      <c r="A83" s="126"/>
      <c r="B83" s="122"/>
      <c r="C83" s="118"/>
      <c r="D83" s="123"/>
      <c r="E83" s="125"/>
    </row>
    <row r="84" spans="1:5" s="105" customFormat="1">
      <c r="A84" s="126"/>
      <c r="B84" s="122" t="s">
        <v>255</v>
      </c>
      <c r="C84" s="118" t="s">
        <v>208</v>
      </c>
      <c r="D84" s="123"/>
      <c r="E84" s="125"/>
    </row>
    <row r="85" spans="1:5" s="105" customFormat="1">
      <c r="A85" s="126"/>
      <c r="B85" s="122" t="s">
        <v>256</v>
      </c>
      <c r="C85" s="118" t="s">
        <v>208</v>
      </c>
      <c r="D85" s="123"/>
      <c r="E85" s="125"/>
    </row>
    <row r="86" spans="1:5" s="105" customFormat="1">
      <c r="A86" s="126"/>
      <c r="B86" s="122"/>
      <c r="C86" s="118"/>
      <c r="D86" s="123"/>
      <c r="E86" s="125"/>
    </row>
    <row r="87" spans="1:5" s="105" customFormat="1">
      <c r="A87" s="126"/>
      <c r="B87" s="122" t="s">
        <v>766</v>
      </c>
      <c r="C87" s="118" t="s">
        <v>254</v>
      </c>
      <c r="D87" s="123"/>
      <c r="E87" s="125"/>
    </row>
    <row r="88" spans="1:5" s="105" customFormat="1">
      <c r="A88" s="126"/>
      <c r="B88" s="122"/>
      <c r="C88" s="118"/>
      <c r="D88" s="123"/>
      <c r="E88" s="125"/>
    </row>
    <row r="89" spans="1:5" s="105" customFormat="1">
      <c r="A89" s="128"/>
      <c r="B89" s="127" t="s">
        <v>257</v>
      </c>
      <c r="C89" s="118"/>
      <c r="D89" s="123"/>
      <c r="E89" s="125"/>
    </row>
    <row r="90" spans="1:5" s="105" customFormat="1">
      <c r="A90" s="128"/>
      <c r="B90" s="122" t="s">
        <v>257</v>
      </c>
      <c r="C90" s="118" t="s">
        <v>253</v>
      </c>
      <c r="D90" s="123"/>
      <c r="E90" s="125"/>
    </row>
    <row r="91" spans="1:5" s="105" customFormat="1">
      <c r="A91" s="128"/>
      <c r="B91" s="122" t="s">
        <v>258</v>
      </c>
      <c r="C91" s="118" t="s">
        <v>254</v>
      </c>
      <c r="D91" s="123"/>
      <c r="E91" s="125"/>
    </row>
    <row r="92" spans="1:5" s="105" customFormat="1">
      <c r="A92" s="128"/>
      <c r="B92" s="122" t="s">
        <v>259</v>
      </c>
      <c r="C92" s="118" t="s">
        <v>253</v>
      </c>
      <c r="D92" s="123"/>
      <c r="E92" s="125"/>
    </row>
    <row r="93" spans="1:5" s="105" customFormat="1">
      <c r="A93" s="128"/>
      <c r="B93" s="122" t="s">
        <v>260</v>
      </c>
      <c r="C93" s="118" t="s">
        <v>253</v>
      </c>
      <c r="D93" s="123"/>
      <c r="E93" s="125"/>
    </row>
    <row r="94" spans="1:5" s="105" customFormat="1">
      <c r="A94" s="128"/>
      <c r="B94" s="127"/>
      <c r="C94" s="118"/>
      <c r="D94" s="123"/>
      <c r="E94" s="125"/>
    </row>
    <row r="95" spans="1:5" s="105" customFormat="1">
      <c r="A95" s="128"/>
      <c r="B95" s="112" t="s">
        <v>75</v>
      </c>
      <c r="C95" s="118"/>
      <c r="D95" s="145"/>
      <c r="E95" s="124"/>
    </row>
    <row r="96" spans="1:5" s="105" customFormat="1">
      <c r="A96" s="126"/>
      <c r="B96" s="146" t="s">
        <v>767</v>
      </c>
      <c r="C96" s="118"/>
      <c r="D96" s="123"/>
      <c r="E96" s="125"/>
    </row>
    <row r="97" spans="1:5" s="105" customFormat="1">
      <c r="A97" s="128"/>
      <c r="B97" s="117" t="s">
        <v>757</v>
      </c>
      <c r="C97" s="118" t="s">
        <v>254</v>
      </c>
      <c r="D97" s="145"/>
      <c r="E97" s="124"/>
    </row>
    <row r="98" spans="1:5" s="105" customFormat="1">
      <c r="A98" s="128"/>
      <c r="B98" s="117" t="s">
        <v>758</v>
      </c>
      <c r="C98" s="118" t="s">
        <v>254</v>
      </c>
      <c r="D98" s="145"/>
      <c r="E98" s="124"/>
    </row>
    <row r="99" spans="1:5" s="105" customFormat="1">
      <c r="A99" s="128"/>
      <c r="B99" s="117" t="s">
        <v>759</v>
      </c>
      <c r="C99" s="118" t="s">
        <v>254</v>
      </c>
      <c r="D99" s="145"/>
      <c r="E99" s="124"/>
    </row>
    <row r="100" spans="1:5" s="105" customFormat="1">
      <c r="A100" s="128"/>
      <c r="B100" s="117" t="s">
        <v>760</v>
      </c>
      <c r="C100" s="118" t="s">
        <v>254</v>
      </c>
      <c r="D100" s="145"/>
      <c r="E100" s="124"/>
    </row>
    <row r="101" spans="1:5" s="105" customFormat="1">
      <c r="A101" s="128"/>
      <c r="B101" s="117" t="s">
        <v>761</v>
      </c>
      <c r="C101" s="118" t="s">
        <v>254</v>
      </c>
      <c r="D101" s="145"/>
      <c r="E101" s="124"/>
    </row>
    <row r="102" spans="1:5" s="105" customFormat="1">
      <c r="A102" s="128"/>
      <c r="B102" s="117" t="s">
        <v>762</v>
      </c>
      <c r="C102" s="118" t="s">
        <v>254</v>
      </c>
      <c r="D102" s="145"/>
      <c r="E102" s="124"/>
    </row>
    <row r="103" spans="1:5" s="105" customFormat="1">
      <c r="A103" s="128"/>
      <c r="B103" s="117" t="s">
        <v>763</v>
      </c>
      <c r="C103" s="118" t="s">
        <v>254</v>
      </c>
      <c r="D103" s="145"/>
      <c r="E103" s="124"/>
    </row>
    <row r="104" spans="1:5" s="105" customFormat="1">
      <c r="A104" s="128"/>
      <c r="B104" s="117" t="s">
        <v>764</v>
      </c>
      <c r="C104" s="118" t="s">
        <v>254</v>
      </c>
      <c r="D104" s="145"/>
      <c r="E104" s="124"/>
    </row>
    <row r="105" spans="1:5" s="105" customFormat="1">
      <c r="A105" s="128"/>
      <c r="B105" s="117" t="s">
        <v>765</v>
      </c>
      <c r="C105" s="118" t="s">
        <v>254</v>
      </c>
      <c r="D105" s="145"/>
      <c r="E105" s="124"/>
    </row>
    <row r="106" spans="1:5" s="105" customFormat="1">
      <c r="A106" s="128"/>
      <c r="B106" s="144"/>
      <c r="C106" s="118"/>
      <c r="D106" s="123"/>
      <c r="E106" s="125"/>
    </row>
    <row r="107" spans="1:5" s="105" customFormat="1">
      <c r="A107" s="126"/>
      <c r="B107" s="112" t="s">
        <v>261</v>
      </c>
      <c r="C107" s="118"/>
      <c r="D107" s="123"/>
      <c r="E107" s="125"/>
    </row>
    <row r="108" spans="1:5" s="105" customFormat="1">
      <c r="A108" s="126"/>
      <c r="B108" s="146" t="s">
        <v>767</v>
      </c>
      <c r="C108" s="118"/>
      <c r="D108" s="123"/>
      <c r="E108" s="125"/>
    </row>
    <row r="109" spans="1:5" s="105" customFormat="1">
      <c r="A109" s="126"/>
      <c r="B109" s="122" t="s">
        <v>262</v>
      </c>
      <c r="C109" s="118" t="s">
        <v>254</v>
      </c>
      <c r="D109" s="123"/>
      <c r="E109" s="125"/>
    </row>
    <row r="110" spans="1:5" s="105" customFormat="1">
      <c r="A110" s="126"/>
      <c r="B110" s="122" t="s">
        <v>263</v>
      </c>
      <c r="C110" s="118" t="s">
        <v>254</v>
      </c>
      <c r="D110" s="123"/>
      <c r="E110" s="125"/>
    </row>
    <row r="111" spans="1:5" s="105" customFormat="1">
      <c r="A111" s="126"/>
      <c r="B111" s="122" t="s">
        <v>264</v>
      </c>
      <c r="C111" s="118" t="s">
        <v>254</v>
      </c>
      <c r="D111" s="123"/>
      <c r="E111" s="125"/>
    </row>
    <row r="112" spans="1:5" s="105" customFormat="1">
      <c r="A112" s="126"/>
      <c r="B112" s="122" t="s">
        <v>265</v>
      </c>
      <c r="C112" s="118" t="s">
        <v>254</v>
      </c>
      <c r="D112" s="123"/>
      <c r="E112" s="125"/>
    </row>
    <row r="113" spans="1:5" s="105" customFormat="1" ht="26">
      <c r="A113" s="126"/>
      <c r="B113" s="122" t="s">
        <v>266</v>
      </c>
      <c r="C113" s="118" t="s">
        <v>254</v>
      </c>
      <c r="D113" s="123"/>
      <c r="E113" s="125"/>
    </row>
    <row r="114" spans="1:5" s="105" customFormat="1" ht="26">
      <c r="A114" s="126"/>
      <c r="B114" s="122" t="s">
        <v>267</v>
      </c>
      <c r="C114" s="118" t="s">
        <v>254</v>
      </c>
      <c r="D114" s="123"/>
      <c r="E114" s="125"/>
    </row>
    <row r="115" spans="1:5" s="105" customFormat="1">
      <c r="A115" s="126"/>
      <c r="B115" s="122" t="s">
        <v>268</v>
      </c>
      <c r="C115" s="118" t="s">
        <v>254</v>
      </c>
      <c r="D115" s="123"/>
      <c r="E115" s="125"/>
    </row>
    <row r="116" spans="1:5" s="105" customFormat="1">
      <c r="A116" s="126"/>
      <c r="B116" s="122" t="s">
        <v>269</v>
      </c>
      <c r="C116" s="118" t="s">
        <v>254</v>
      </c>
      <c r="D116" s="123"/>
      <c r="E116" s="125"/>
    </row>
    <row r="117" spans="1:5" s="105" customFormat="1">
      <c r="A117" s="126"/>
      <c r="B117" s="122" t="s">
        <v>270</v>
      </c>
      <c r="C117" s="118" t="s">
        <v>254</v>
      </c>
      <c r="D117" s="123"/>
      <c r="E117" s="125"/>
    </row>
    <row r="118" spans="1:5" s="105" customFormat="1">
      <c r="A118" s="126"/>
      <c r="B118" s="122" t="s">
        <v>271</v>
      </c>
      <c r="C118" s="118" t="s">
        <v>254</v>
      </c>
      <c r="D118" s="123"/>
      <c r="E118" s="125"/>
    </row>
    <row r="119" spans="1:5" s="105" customFormat="1">
      <c r="A119" s="126"/>
      <c r="B119" s="122" t="s">
        <v>272</v>
      </c>
      <c r="C119" s="118" t="s">
        <v>254</v>
      </c>
      <c r="D119" s="123"/>
      <c r="E119" s="125"/>
    </row>
    <row r="120" spans="1:5" s="105" customFormat="1">
      <c r="A120" s="126"/>
      <c r="B120" s="122" t="s">
        <v>273</v>
      </c>
      <c r="C120" s="118" t="s">
        <v>254</v>
      </c>
      <c r="D120" s="123"/>
      <c r="E120" s="125"/>
    </row>
    <row r="121" spans="1:5" s="105" customFormat="1">
      <c r="A121" s="126"/>
      <c r="B121" s="122" t="s">
        <v>274</v>
      </c>
      <c r="C121" s="118" t="s">
        <v>254</v>
      </c>
      <c r="D121" s="123"/>
      <c r="E121" s="125"/>
    </row>
    <row r="122" spans="1:5" s="105" customFormat="1">
      <c r="A122" s="126"/>
      <c r="B122" s="122" t="s">
        <v>275</v>
      </c>
      <c r="C122" s="118" t="s">
        <v>254</v>
      </c>
      <c r="D122" s="123"/>
      <c r="E122" s="125"/>
    </row>
    <row r="123" spans="1:5" s="105" customFormat="1" ht="26">
      <c r="A123" s="126"/>
      <c r="B123" s="122" t="s">
        <v>276</v>
      </c>
      <c r="C123" s="118" t="s">
        <v>254</v>
      </c>
      <c r="D123" s="123"/>
      <c r="E123" s="125"/>
    </row>
    <row r="124" spans="1:5" s="105" customFormat="1">
      <c r="A124" s="126"/>
      <c r="B124" s="122" t="s">
        <v>277</v>
      </c>
      <c r="C124" s="118" t="s">
        <v>254</v>
      </c>
      <c r="D124" s="123"/>
      <c r="E124" s="125"/>
    </row>
    <row r="125" spans="1:5" s="105" customFormat="1">
      <c r="A125" s="126"/>
      <c r="B125" s="122" t="s">
        <v>278</v>
      </c>
      <c r="C125" s="118" t="s">
        <v>254</v>
      </c>
      <c r="D125" s="123"/>
      <c r="E125" s="125"/>
    </row>
    <row r="126" spans="1:5" s="105" customFormat="1">
      <c r="A126" s="126"/>
      <c r="B126" s="122" t="s">
        <v>279</v>
      </c>
      <c r="C126" s="118" t="s">
        <v>254</v>
      </c>
      <c r="D126" s="123"/>
      <c r="E126" s="125"/>
    </row>
    <row r="127" spans="1:5" s="105" customFormat="1">
      <c r="A127" s="126"/>
      <c r="B127" s="122" t="s">
        <v>280</v>
      </c>
      <c r="C127" s="118" t="s">
        <v>254</v>
      </c>
      <c r="D127" s="123"/>
      <c r="E127" s="125"/>
    </row>
    <row r="128" spans="1:5" s="105" customFormat="1">
      <c r="A128" s="126"/>
      <c r="B128" s="122"/>
      <c r="C128" s="118"/>
      <c r="D128" s="123"/>
      <c r="E128" s="125"/>
    </row>
    <row r="129" spans="1:5" s="105" customFormat="1">
      <c r="A129" s="126"/>
      <c r="B129" s="127" t="s">
        <v>281</v>
      </c>
      <c r="C129" s="118"/>
      <c r="D129" s="123"/>
      <c r="E129" s="125"/>
    </row>
    <row r="130" spans="1:5" s="105" customFormat="1">
      <c r="A130" s="126"/>
      <c r="B130" s="146" t="s">
        <v>767</v>
      </c>
      <c r="C130" s="118"/>
      <c r="D130" s="123"/>
      <c r="E130" s="125"/>
    </row>
    <row r="131" spans="1:5" s="105" customFormat="1">
      <c r="A131" s="126"/>
      <c r="B131" s="122" t="s">
        <v>282</v>
      </c>
      <c r="C131" s="118"/>
      <c r="D131" s="123"/>
      <c r="E131" s="125"/>
    </row>
    <row r="132" spans="1:5" s="105" customFormat="1">
      <c r="A132" s="126"/>
      <c r="B132" s="122" t="s">
        <v>283</v>
      </c>
      <c r="C132" s="118" t="s">
        <v>284</v>
      </c>
      <c r="D132" s="123"/>
      <c r="E132" s="125"/>
    </row>
    <row r="133" spans="1:5" s="105" customFormat="1">
      <c r="A133" s="126"/>
      <c r="B133" s="122" t="s">
        <v>285</v>
      </c>
      <c r="C133" s="118" t="s">
        <v>284</v>
      </c>
      <c r="D133" s="123"/>
      <c r="E133" s="125"/>
    </row>
    <row r="134" spans="1:5" s="105" customFormat="1">
      <c r="A134" s="126"/>
      <c r="B134" s="122" t="s">
        <v>286</v>
      </c>
      <c r="C134" s="118" t="s">
        <v>284</v>
      </c>
      <c r="D134" s="123"/>
      <c r="E134" s="125"/>
    </row>
    <row r="135" spans="1:5" s="105" customFormat="1">
      <c r="A135" s="126"/>
      <c r="B135" s="122" t="s">
        <v>287</v>
      </c>
      <c r="C135" s="118" t="s">
        <v>284</v>
      </c>
      <c r="D135" s="123"/>
      <c r="E135" s="125"/>
    </row>
    <row r="136" spans="1:5" s="105" customFormat="1">
      <c r="A136" s="126"/>
      <c r="B136" s="122" t="s">
        <v>288</v>
      </c>
      <c r="C136" s="118" t="s">
        <v>284</v>
      </c>
      <c r="D136" s="123"/>
      <c r="E136" s="125"/>
    </row>
    <row r="137" spans="1:5" s="105" customFormat="1">
      <c r="A137" s="126"/>
      <c r="B137" s="122" t="s">
        <v>289</v>
      </c>
      <c r="C137" s="118" t="s">
        <v>284</v>
      </c>
      <c r="D137" s="123"/>
      <c r="E137" s="125"/>
    </row>
    <row r="138" spans="1:5" s="105" customFormat="1">
      <c r="A138" s="126"/>
      <c r="B138" s="122" t="s">
        <v>290</v>
      </c>
      <c r="C138" s="118" t="s">
        <v>284</v>
      </c>
      <c r="D138" s="123"/>
      <c r="E138" s="125"/>
    </row>
    <row r="139" spans="1:5" s="105" customFormat="1">
      <c r="A139" s="126"/>
      <c r="B139" s="122" t="s">
        <v>291</v>
      </c>
      <c r="C139" s="118" t="s">
        <v>284</v>
      </c>
      <c r="D139" s="123"/>
      <c r="E139" s="125"/>
    </row>
    <row r="140" spans="1:5" s="105" customFormat="1">
      <c r="A140" s="126"/>
      <c r="B140" s="122" t="s">
        <v>292</v>
      </c>
      <c r="C140" s="118" t="s">
        <v>284</v>
      </c>
      <c r="D140" s="123"/>
      <c r="E140" s="125"/>
    </row>
    <row r="141" spans="1:5" s="105" customFormat="1">
      <c r="A141" s="126"/>
      <c r="B141" s="122" t="s">
        <v>293</v>
      </c>
      <c r="C141" s="118" t="s">
        <v>284</v>
      </c>
      <c r="D141" s="123"/>
      <c r="E141" s="125"/>
    </row>
    <row r="142" spans="1:5" s="105" customFormat="1">
      <c r="A142" s="126"/>
      <c r="B142" s="122" t="s">
        <v>294</v>
      </c>
      <c r="C142" s="118" t="s">
        <v>284</v>
      </c>
      <c r="D142" s="123"/>
      <c r="E142" s="125"/>
    </row>
    <row r="143" spans="1:5" s="105" customFormat="1">
      <c r="A143" s="126"/>
      <c r="B143" s="122" t="s">
        <v>295</v>
      </c>
      <c r="C143" s="118" t="s">
        <v>284</v>
      </c>
      <c r="D143" s="123"/>
      <c r="E143" s="125"/>
    </row>
    <row r="144" spans="1:5" s="105" customFormat="1">
      <c r="A144" s="126"/>
      <c r="B144" s="122" t="s">
        <v>296</v>
      </c>
      <c r="C144" s="118" t="s">
        <v>284</v>
      </c>
      <c r="D144" s="123"/>
      <c r="E144" s="125"/>
    </row>
    <row r="145" spans="1:5" s="105" customFormat="1">
      <c r="A145" s="126"/>
      <c r="B145" s="122" t="s">
        <v>297</v>
      </c>
      <c r="C145" s="118" t="s">
        <v>284</v>
      </c>
      <c r="D145" s="123"/>
      <c r="E145" s="125"/>
    </row>
    <row r="146" spans="1:5" s="105" customFormat="1">
      <c r="A146" s="126"/>
      <c r="B146" s="122" t="s">
        <v>298</v>
      </c>
      <c r="C146" s="118" t="s">
        <v>284</v>
      </c>
      <c r="D146" s="123"/>
      <c r="E146" s="125"/>
    </row>
    <row r="147" spans="1:5" s="105" customFormat="1">
      <c r="A147" s="126"/>
      <c r="B147" s="122"/>
      <c r="C147" s="118"/>
      <c r="D147" s="123"/>
      <c r="E147" s="125"/>
    </row>
    <row r="148" spans="1:5" s="105" customFormat="1">
      <c r="A148" s="126"/>
      <c r="B148" s="122" t="s">
        <v>299</v>
      </c>
      <c r="C148" s="118"/>
      <c r="D148" s="123"/>
      <c r="E148" s="125"/>
    </row>
    <row r="149" spans="1:5" s="105" customFormat="1">
      <c r="A149" s="126"/>
      <c r="B149" s="122" t="s">
        <v>300</v>
      </c>
      <c r="C149" s="118" t="s">
        <v>284</v>
      </c>
      <c r="D149" s="123"/>
      <c r="E149" s="125"/>
    </row>
    <row r="150" spans="1:5" s="105" customFormat="1">
      <c r="A150" s="126"/>
      <c r="B150" s="122" t="s">
        <v>301</v>
      </c>
      <c r="C150" s="118" t="s">
        <v>284</v>
      </c>
      <c r="D150" s="123"/>
      <c r="E150" s="125"/>
    </row>
    <row r="151" spans="1:5" s="105" customFormat="1">
      <c r="A151" s="126"/>
      <c r="B151" s="122" t="s">
        <v>302</v>
      </c>
      <c r="C151" s="118" t="s">
        <v>284</v>
      </c>
      <c r="D151" s="123"/>
      <c r="E151" s="125"/>
    </row>
    <row r="152" spans="1:5" s="105" customFormat="1">
      <c r="A152" s="126"/>
      <c r="B152" s="122" t="s">
        <v>303</v>
      </c>
      <c r="C152" s="118" t="s">
        <v>284</v>
      </c>
      <c r="D152" s="123"/>
      <c r="E152" s="125"/>
    </row>
    <row r="153" spans="1:5" s="105" customFormat="1">
      <c r="A153" s="126"/>
      <c r="B153" s="122" t="s">
        <v>304</v>
      </c>
      <c r="C153" s="118" t="s">
        <v>284</v>
      </c>
      <c r="D153" s="123"/>
      <c r="E153" s="125"/>
    </row>
    <row r="154" spans="1:5" s="105" customFormat="1">
      <c r="A154" s="126"/>
      <c r="B154" s="122" t="s">
        <v>305</v>
      </c>
      <c r="C154" s="118" t="s">
        <v>284</v>
      </c>
      <c r="D154" s="123"/>
      <c r="E154" s="125"/>
    </row>
    <row r="155" spans="1:5" s="105" customFormat="1">
      <c r="A155" s="126"/>
      <c r="B155" s="122"/>
      <c r="C155" s="118"/>
      <c r="D155" s="123"/>
      <c r="E155" s="125"/>
    </row>
    <row r="156" spans="1:5" s="105" customFormat="1">
      <c r="A156" s="126"/>
      <c r="B156" s="127" t="s">
        <v>306</v>
      </c>
      <c r="C156" s="118"/>
      <c r="D156" s="123"/>
      <c r="E156" s="125"/>
    </row>
    <row r="157" spans="1:5" s="105" customFormat="1">
      <c r="A157" s="126"/>
      <c r="B157" s="146" t="s">
        <v>767</v>
      </c>
      <c r="C157" s="118"/>
      <c r="D157" s="123"/>
      <c r="E157" s="125"/>
    </row>
    <row r="158" spans="1:5" s="105" customFormat="1">
      <c r="A158" s="126"/>
      <c r="B158" s="122" t="s">
        <v>307</v>
      </c>
      <c r="C158" s="118" t="s">
        <v>254</v>
      </c>
      <c r="D158" s="123"/>
      <c r="E158" s="125"/>
    </row>
    <row r="159" spans="1:5" s="105" customFormat="1">
      <c r="A159" s="126"/>
      <c r="B159" s="122" t="s">
        <v>308</v>
      </c>
      <c r="C159" s="118" t="s">
        <v>254</v>
      </c>
      <c r="D159" s="123"/>
      <c r="E159" s="125"/>
    </row>
    <row r="160" spans="1:5" s="105" customFormat="1">
      <c r="A160" s="126"/>
      <c r="B160" s="122" t="s">
        <v>309</v>
      </c>
      <c r="C160" s="118" t="s">
        <v>254</v>
      </c>
      <c r="D160" s="123"/>
      <c r="E160" s="125"/>
    </row>
    <row r="161" spans="1:5" s="105" customFormat="1">
      <c r="A161" s="126"/>
      <c r="B161" s="122" t="s">
        <v>310</v>
      </c>
      <c r="C161" s="118" t="s">
        <v>254</v>
      </c>
      <c r="D161" s="123"/>
      <c r="E161" s="125"/>
    </row>
    <row r="162" spans="1:5" s="105" customFormat="1">
      <c r="A162" s="126"/>
      <c r="B162" s="122" t="s">
        <v>311</v>
      </c>
      <c r="C162" s="118" t="s">
        <v>254</v>
      </c>
      <c r="D162" s="123"/>
      <c r="E162" s="125"/>
    </row>
    <row r="163" spans="1:5" s="105" customFormat="1">
      <c r="A163" s="126"/>
      <c r="B163" s="122" t="s">
        <v>312</v>
      </c>
      <c r="C163" s="118" t="s">
        <v>254</v>
      </c>
      <c r="D163" s="123"/>
      <c r="E163" s="125"/>
    </row>
    <row r="164" spans="1:5" s="105" customFormat="1">
      <c r="A164" s="126"/>
      <c r="B164" s="122" t="s">
        <v>313</v>
      </c>
      <c r="C164" s="118" t="s">
        <v>254</v>
      </c>
      <c r="D164" s="123"/>
      <c r="E164" s="125"/>
    </row>
    <row r="165" spans="1:5" s="105" customFormat="1">
      <c r="A165" s="126"/>
      <c r="B165" s="122" t="s">
        <v>314</v>
      </c>
      <c r="C165" s="118" t="s">
        <v>254</v>
      </c>
      <c r="D165" s="123"/>
      <c r="E165" s="125"/>
    </row>
    <row r="166" spans="1:5" s="105" customFormat="1">
      <c r="A166" s="126"/>
      <c r="B166" s="122"/>
      <c r="C166" s="118"/>
      <c r="D166" s="123"/>
      <c r="E166" s="125"/>
    </row>
    <row r="167" spans="1:5" s="105" customFormat="1">
      <c r="A167" s="126"/>
      <c r="B167" s="127" t="s">
        <v>315</v>
      </c>
      <c r="C167" s="118"/>
      <c r="D167" s="123"/>
      <c r="E167" s="125"/>
    </row>
    <row r="168" spans="1:5" s="105" customFormat="1">
      <c r="A168" s="126"/>
      <c r="B168" s="146" t="s">
        <v>767</v>
      </c>
      <c r="C168" s="118"/>
      <c r="D168" s="123"/>
      <c r="E168" s="125"/>
    </row>
    <row r="169" spans="1:5" s="105" customFormat="1" ht="26">
      <c r="A169" s="126"/>
      <c r="B169" s="122" t="s">
        <v>316</v>
      </c>
      <c r="C169" s="118" t="s">
        <v>254</v>
      </c>
      <c r="D169" s="123"/>
      <c r="E169" s="125"/>
    </row>
    <row r="170" spans="1:5" s="105" customFormat="1" ht="26">
      <c r="A170" s="126"/>
      <c r="B170" s="122" t="s">
        <v>317</v>
      </c>
      <c r="C170" s="118" t="s">
        <v>254</v>
      </c>
      <c r="D170" s="123"/>
      <c r="E170" s="125"/>
    </row>
    <row r="171" spans="1:5" s="105" customFormat="1">
      <c r="A171" s="126"/>
      <c r="B171" s="122" t="s">
        <v>318</v>
      </c>
      <c r="C171" s="118" t="s">
        <v>254</v>
      </c>
      <c r="D171" s="123"/>
      <c r="E171" s="125"/>
    </row>
    <row r="172" spans="1:5" s="105" customFormat="1">
      <c r="A172" s="126"/>
      <c r="B172" s="122" t="s">
        <v>319</v>
      </c>
      <c r="C172" s="118" t="s">
        <v>254</v>
      </c>
      <c r="D172" s="123"/>
      <c r="E172" s="125"/>
    </row>
    <row r="173" spans="1:5" s="105" customFormat="1">
      <c r="A173" s="126"/>
      <c r="B173" s="122" t="s">
        <v>320</v>
      </c>
      <c r="C173" s="118" t="s">
        <v>254</v>
      </c>
      <c r="D173" s="123"/>
      <c r="E173" s="125"/>
    </row>
    <row r="174" spans="1:5" s="105" customFormat="1">
      <c r="A174" s="126"/>
      <c r="B174" s="122" t="s">
        <v>321</v>
      </c>
      <c r="C174" s="118" t="s">
        <v>254</v>
      </c>
      <c r="D174" s="123"/>
      <c r="E174" s="125"/>
    </row>
    <row r="175" spans="1:5" s="105" customFormat="1">
      <c r="A175" s="126"/>
      <c r="B175" s="122" t="s">
        <v>322</v>
      </c>
      <c r="C175" s="118" t="s">
        <v>254</v>
      </c>
      <c r="D175" s="123"/>
      <c r="E175" s="125"/>
    </row>
    <row r="176" spans="1:5" s="105" customFormat="1">
      <c r="A176" s="126"/>
      <c r="B176" s="122" t="s">
        <v>323</v>
      </c>
      <c r="C176" s="118" t="s">
        <v>254</v>
      </c>
      <c r="D176" s="123"/>
      <c r="E176" s="125"/>
    </row>
    <row r="177" spans="1:5" s="105" customFormat="1">
      <c r="A177" s="126"/>
      <c r="B177" s="122" t="s">
        <v>324</v>
      </c>
      <c r="C177" s="118" t="s">
        <v>254</v>
      </c>
      <c r="D177" s="123"/>
      <c r="E177" s="125"/>
    </row>
    <row r="178" spans="1:5" s="105" customFormat="1">
      <c r="A178" s="126"/>
      <c r="B178" s="122" t="s">
        <v>325</v>
      </c>
      <c r="C178" s="118" t="s">
        <v>254</v>
      </c>
      <c r="D178" s="123"/>
      <c r="E178" s="125"/>
    </row>
    <row r="179" spans="1:5" s="105" customFormat="1">
      <c r="A179" s="126"/>
      <c r="B179" s="122" t="s">
        <v>326</v>
      </c>
      <c r="C179" s="118" t="s">
        <v>254</v>
      </c>
      <c r="D179" s="123"/>
      <c r="E179" s="125"/>
    </row>
    <row r="180" spans="1:5" s="105" customFormat="1">
      <c r="A180" s="128"/>
      <c r="B180" s="122" t="s">
        <v>327</v>
      </c>
      <c r="C180" s="118" t="s">
        <v>254</v>
      </c>
      <c r="D180" s="129"/>
      <c r="E180" s="130"/>
    </row>
    <row r="181" spans="1:5" s="105" customFormat="1">
      <c r="A181" s="126"/>
      <c r="B181" s="122" t="s">
        <v>328</v>
      </c>
      <c r="C181" s="118" t="s">
        <v>284</v>
      </c>
      <c r="D181" s="123"/>
      <c r="E181" s="125"/>
    </row>
    <row r="182" spans="1:5" s="105" customFormat="1">
      <c r="A182" s="126"/>
      <c r="B182" s="122" t="s">
        <v>329</v>
      </c>
      <c r="C182" s="118" t="s">
        <v>254</v>
      </c>
      <c r="D182" s="123"/>
      <c r="E182" s="125"/>
    </row>
    <row r="183" spans="1:5" s="105" customFormat="1">
      <c r="A183" s="126"/>
      <c r="B183" s="122" t="s">
        <v>330</v>
      </c>
      <c r="C183" s="118" t="s">
        <v>254</v>
      </c>
      <c r="D183" s="123"/>
      <c r="E183" s="125"/>
    </row>
    <row r="184" spans="1:5" s="105" customFormat="1">
      <c r="A184" s="126"/>
      <c r="B184" s="122" t="s">
        <v>331</v>
      </c>
      <c r="C184" s="118" t="s">
        <v>254</v>
      </c>
      <c r="D184" s="123"/>
      <c r="E184" s="125"/>
    </row>
    <row r="185" spans="1:5" s="105" customFormat="1">
      <c r="A185" s="126"/>
      <c r="B185" s="122" t="s">
        <v>332</v>
      </c>
      <c r="C185" s="118" t="s">
        <v>254</v>
      </c>
      <c r="D185" s="123"/>
      <c r="E185" s="125"/>
    </row>
    <row r="186" spans="1:5" s="105" customFormat="1">
      <c r="A186" s="126"/>
      <c r="B186" s="122" t="s">
        <v>333</v>
      </c>
      <c r="C186" s="118" t="s">
        <v>254</v>
      </c>
      <c r="D186" s="123"/>
      <c r="E186" s="125"/>
    </row>
    <row r="187" spans="1:5" s="105" customFormat="1">
      <c r="A187" s="126"/>
      <c r="B187" s="122" t="s">
        <v>334</v>
      </c>
      <c r="C187" s="118" t="s">
        <v>254</v>
      </c>
      <c r="D187" s="123"/>
      <c r="E187" s="125"/>
    </row>
    <row r="188" spans="1:5" s="105" customFormat="1">
      <c r="A188" s="126"/>
      <c r="B188" s="122"/>
      <c r="C188" s="118"/>
      <c r="D188" s="123"/>
      <c r="E188" s="125"/>
    </row>
    <row r="189" spans="1:5" s="105" customFormat="1">
      <c r="A189" s="126"/>
      <c r="B189" s="127" t="s">
        <v>335</v>
      </c>
      <c r="C189" s="118"/>
      <c r="D189" s="123"/>
      <c r="E189" s="125"/>
    </row>
    <row r="190" spans="1:5" s="105" customFormat="1">
      <c r="A190" s="126"/>
      <c r="B190" s="146" t="s">
        <v>767</v>
      </c>
      <c r="C190" s="118"/>
      <c r="D190" s="123"/>
      <c r="E190" s="125"/>
    </row>
    <row r="191" spans="1:5" s="105" customFormat="1">
      <c r="A191" s="126"/>
      <c r="B191" s="122" t="s">
        <v>336</v>
      </c>
      <c r="C191" s="118" t="s">
        <v>254</v>
      </c>
      <c r="D191" s="123"/>
      <c r="E191" s="125"/>
    </row>
    <row r="192" spans="1:5" s="105" customFormat="1">
      <c r="A192" s="126"/>
      <c r="B192" s="122" t="s">
        <v>337</v>
      </c>
      <c r="C192" s="118" t="s">
        <v>254</v>
      </c>
      <c r="D192" s="123"/>
      <c r="E192" s="125"/>
    </row>
    <row r="193" spans="1:5" s="105" customFormat="1">
      <c r="A193" s="126"/>
      <c r="B193" s="122" t="s">
        <v>338</v>
      </c>
      <c r="C193" s="118" t="s">
        <v>254</v>
      </c>
      <c r="D193" s="123"/>
      <c r="E193" s="125"/>
    </row>
    <row r="194" spans="1:5" s="105" customFormat="1">
      <c r="A194" s="126"/>
      <c r="B194" s="122" t="s">
        <v>339</v>
      </c>
      <c r="C194" s="118" t="s">
        <v>254</v>
      </c>
      <c r="D194" s="123"/>
      <c r="E194" s="125"/>
    </row>
    <row r="195" spans="1:5" s="105" customFormat="1">
      <c r="A195" s="126"/>
      <c r="B195" s="122" t="s">
        <v>340</v>
      </c>
      <c r="C195" s="118" t="s">
        <v>254</v>
      </c>
      <c r="D195" s="123"/>
      <c r="E195" s="125"/>
    </row>
    <row r="196" spans="1:5" s="105" customFormat="1">
      <c r="A196" s="126"/>
      <c r="B196" s="122" t="s">
        <v>341</v>
      </c>
      <c r="C196" s="118" t="s">
        <v>254</v>
      </c>
      <c r="D196" s="123"/>
      <c r="E196" s="125"/>
    </row>
    <row r="197" spans="1:5" s="105" customFormat="1">
      <c r="A197" s="126"/>
      <c r="B197" s="122" t="s">
        <v>342</v>
      </c>
      <c r="C197" s="118" t="s">
        <v>254</v>
      </c>
      <c r="D197" s="123"/>
      <c r="E197" s="125"/>
    </row>
    <row r="198" spans="1:5" s="105" customFormat="1">
      <c r="A198" s="126"/>
      <c r="B198" s="122"/>
      <c r="C198" s="118"/>
      <c r="D198" s="123"/>
      <c r="E198" s="125"/>
    </row>
    <row r="199" spans="1:5" s="105" customFormat="1">
      <c r="A199" s="126"/>
      <c r="B199" s="127" t="s">
        <v>343</v>
      </c>
      <c r="C199" s="118"/>
      <c r="D199" s="123"/>
      <c r="E199" s="125"/>
    </row>
    <row r="200" spans="1:5" s="105" customFormat="1">
      <c r="A200" s="126"/>
      <c r="B200" s="146" t="s">
        <v>767</v>
      </c>
      <c r="C200" s="118"/>
      <c r="D200" s="123"/>
      <c r="E200" s="125"/>
    </row>
    <row r="201" spans="1:5" s="105" customFormat="1">
      <c r="A201" s="126"/>
      <c r="B201" s="122" t="s">
        <v>344</v>
      </c>
      <c r="C201" s="118" t="s">
        <v>208</v>
      </c>
      <c r="D201" s="123"/>
      <c r="E201" s="125"/>
    </row>
    <row r="202" spans="1:5" s="105" customFormat="1">
      <c r="A202" s="126"/>
      <c r="B202" s="122" t="s">
        <v>345</v>
      </c>
      <c r="C202" s="118" t="s">
        <v>208</v>
      </c>
      <c r="D202" s="123"/>
      <c r="E202" s="125"/>
    </row>
    <row r="203" spans="1:5" s="105" customFormat="1">
      <c r="A203" s="126"/>
      <c r="B203" s="122" t="s">
        <v>346</v>
      </c>
      <c r="C203" s="118" t="s">
        <v>208</v>
      </c>
      <c r="D203" s="123"/>
      <c r="E203" s="125"/>
    </row>
    <row r="204" spans="1:5" s="105" customFormat="1">
      <c r="A204" s="128"/>
      <c r="B204" s="122"/>
      <c r="C204" s="131"/>
      <c r="D204" s="129"/>
      <c r="E204" s="130"/>
    </row>
    <row r="205" spans="1:5" s="105" customFormat="1">
      <c r="A205" s="126"/>
      <c r="B205" s="127" t="s">
        <v>347</v>
      </c>
      <c r="C205" s="118"/>
      <c r="D205" s="123"/>
      <c r="E205" s="125"/>
    </row>
    <row r="206" spans="1:5" s="105" customFormat="1">
      <c r="A206" s="126"/>
      <c r="B206" s="146" t="s">
        <v>767</v>
      </c>
      <c r="C206" s="118"/>
      <c r="D206" s="123"/>
      <c r="E206" s="125"/>
    </row>
    <row r="207" spans="1:5" s="105" customFormat="1" ht="26">
      <c r="A207" s="126"/>
      <c r="B207" s="122" t="s">
        <v>348</v>
      </c>
      <c r="C207" s="118"/>
      <c r="D207" s="123"/>
      <c r="E207" s="125"/>
    </row>
    <row r="208" spans="1:5" s="105" customFormat="1">
      <c r="A208" s="126"/>
      <c r="B208" s="122" t="s">
        <v>349</v>
      </c>
      <c r="C208" s="118" t="s">
        <v>284</v>
      </c>
      <c r="D208" s="123"/>
      <c r="E208" s="125"/>
    </row>
    <row r="209" spans="1:5" s="105" customFormat="1">
      <c r="A209" s="126"/>
      <c r="B209" s="122"/>
      <c r="C209" s="118"/>
      <c r="D209" s="123"/>
      <c r="E209" s="125"/>
    </row>
    <row r="210" spans="1:5" s="105" customFormat="1" ht="26">
      <c r="A210" s="126"/>
      <c r="B210" s="122" t="s">
        <v>350</v>
      </c>
      <c r="C210" s="118"/>
      <c r="D210" s="123"/>
      <c r="E210" s="125"/>
    </row>
    <row r="211" spans="1:5" s="105" customFormat="1">
      <c r="A211" s="126"/>
      <c r="B211" s="122" t="s">
        <v>351</v>
      </c>
      <c r="C211" s="118" t="s">
        <v>284</v>
      </c>
      <c r="D211" s="123"/>
      <c r="E211" s="125"/>
    </row>
    <row r="212" spans="1:5" s="105" customFormat="1">
      <c r="A212" s="126"/>
      <c r="B212" s="122" t="s">
        <v>352</v>
      </c>
      <c r="C212" s="118" t="s">
        <v>284</v>
      </c>
      <c r="D212" s="123"/>
      <c r="E212" s="125"/>
    </row>
    <row r="213" spans="1:5" s="105" customFormat="1">
      <c r="A213" s="126"/>
      <c r="B213" s="122" t="s">
        <v>353</v>
      </c>
      <c r="C213" s="118" t="s">
        <v>284</v>
      </c>
      <c r="D213" s="123"/>
      <c r="E213" s="125"/>
    </row>
    <row r="214" spans="1:5" s="105" customFormat="1">
      <c r="A214" s="126"/>
      <c r="B214" s="122" t="s">
        <v>354</v>
      </c>
      <c r="C214" s="118" t="s">
        <v>284</v>
      </c>
      <c r="D214" s="123"/>
      <c r="E214" s="125"/>
    </row>
    <row r="215" spans="1:5" s="105" customFormat="1">
      <c r="A215" s="126"/>
      <c r="B215" s="122" t="s">
        <v>355</v>
      </c>
      <c r="C215" s="118" t="s">
        <v>284</v>
      </c>
      <c r="D215" s="123"/>
      <c r="E215" s="125"/>
    </row>
    <row r="216" spans="1:5" s="105" customFormat="1">
      <c r="A216" s="126"/>
      <c r="B216" s="122" t="s">
        <v>356</v>
      </c>
      <c r="C216" s="118" t="s">
        <v>284</v>
      </c>
      <c r="D216" s="123"/>
      <c r="E216" s="125"/>
    </row>
    <row r="217" spans="1:5" s="105" customFormat="1">
      <c r="A217" s="126"/>
      <c r="B217" s="122"/>
      <c r="C217" s="118"/>
      <c r="D217" s="123"/>
      <c r="E217" s="125"/>
    </row>
    <row r="218" spans="1:5" s="105" customFormat="1" ht="26">
      <c r="A218" s="126"/>
      <c r="B218" s="122" t="s">
        <v>357</v>
      </c>
      <c r="C218" s="118"/>
      <c r="D218" s="123"/>
      <c r="E218" s="125"/>
    </row>
    <row r="219" spans="1:5" s="105" customFormat="1">
      <c r="A219" s="126"/>
      <c r="B219" s="122" t="s">
        <v>358</v>
      </c>
      <c r="C219" s="118" t="s">
        <v>284</v>
      </c>
      <c r="D219" s="123"/>
      <c r="E219" s="125"/>
    </row>
    <row r="220" spans="1:5" s="105" customFormat="1">
      <c r="A220" s="126"/>
      <c r="B220" s="122" t="s">
        <v>359</v>
      </c>
      <c r="C220" s="118" t="s">
        <v>284</v>
      </c>
      <c r="D220" s="123"/>
      <c r="E220" s="125"/>
    </row>
    <row r="221" spans="1:5" s="105" customFormat="1">
      <c r="A221" s="126"/>
      <c r="B221" s="122" t="s">
        <v>360</v>
      </c>
      <c r="C221" s="118" t="s">
        <v>284</v>
      </c>
      <c r="D221" s="123"/>
      <c r="E221" s="125"/>
    </row>
    <row r="222" spans="1:5" s="105" customFormat="1">
      <c r="A222" s="126"/>
      <c r="B222" s="122" t="s">
        <v>361</v>
      </c>
      <c r="C222" s="118"/>
      <c r="D222" s="123"/>
      <c r="E222" s="125"/>
    </row>
    <row r="223" spans="1:5" s="105" customFormat="1">
      <c r="A223" s="126"/>
      <c r="B223" s="122" t="s">
        <v>362</v>
      </c>
      <c r="C223" s="118" t="s">
        <v>284</v>
      </c>
      <c r="D223" s="123"/>
      <c r="E223" s="125"/>
    </row>
    <row r="224" spans="1:5" s="105" customFormat="1">
      <c r="A224" s="126"/>
      <c r="B224" s="122"/>
      <c r="C224" s="118"/>
      <c r="D224" s="123"/>
      <c r="E224" s="125"/>
    </row>
    <row r="225" spans="1:5" s="105" customFormat="1">
      <c r="A225" s="126"/>
      <c r="B225" s="122" t="s">
        <v>363</v>
      </c>
      <c r="C225" s="118" t="s">
        <v>284</v>
      </c>
      <c r="D225" s="123"/>
      <c r="E225" s="125"/>
    </row>
    <row r="226" spans="1:5" s="105" customFormat="1">
      <c r="A226" s="126"/>
      <c r="B226" s="122"/>
      <c r="C226" s="118"/>
      <c r="D226" s="123"/>
      <c r="E226" s="125"/>
    </row>
    <row r="227" spans="1:5" s="105" customFormat="1" ht="26">
      <c r="A227" s="126"/>
      <c r="B227" s="122" t="s">
        <v>364</v>
      </c>
      <c r="C227" s="118" t="s">
        <v>284</v>
      </c>
      <c r="D227" s="123"/>
      <c r="E227" s="125"/>
    </row>
    <row r="228" spans="1:5" s="105" customFormat="1">
      <c r="A228" s="126"/>
      <c r="B228" s="122" t="s">
        <v>365</v>
      </c>
      <c r="C228" s="118" t="s">
        <v>284</v>
      </c>
      <c r="D228" s="123"/>
      <c r="E228" s="125"/>
    </row>
    <row r="229" spans="1:5" s="105" customFormat="1">
      <c r="A229" s="126"/>
      <c r="B229" s="122" t="s">
        <v>366</v>
      </c>
      <c r="C229" s="118" t="s">
        <v>284</v>
      </c>
      <c r="D229" s="123"/>
      <c r="E229" s="125"/>
    </row>
    <row r="230" spans="1:5" s="105" customFormat="1">
      <c r="A230" s="126"/>
      <c r="B230" s="122" t="s">
        <v>367</v>
      </c>
      <c r="C230" s="118" t="s">
        <v>284</v>
      </c>
      <c r="D230" s="123"/>
      <c r="E230" s="125"/>
    </row>
    <row r="231" spans="1:5" s="105" customFormat="1">
      <c r="A231" s="126"/>
      <c r="B231" s="122" t="s">
        <v>368</v>
      </c>
      <c r="C231" s="118" t="s">
        <v>284</v>
      </c>
      <c r="D231" s="123"/>
      <c r="E231" s="125"/>
    </row>
    <row r="232" spans="1:5" s="105" customFormat="1">
      <c r="A232" s="126"/>
      <c r="B232" s="122" t="s">
        <v>369</v>
      </c>
      <c r="C232" s="118" t="s">
        <v>284</v>
      </c>
      <c r="D232" s="123"/>
      <c r="E232" s="125"/>
    </row>
    <row r="233" spans="1:5" s="105" customFormat="1">
      <c r="A233" s="126"/>
      <c r="B233" s="122"/>
      <c r="C233" s="118"/>
      <c r="D233" s="123"/>
      <c r="E233" s="125"/>
    </row>
    <row r="234" spans="1:5" s="105" customFormat="1">
      <c r="A234" s="126"/>
      <c r="B234" s="122" t="s">
        <v>370</v>
      </c>
      <c r="C234" s="118"/>
      <c r="D234" s="123"/>
      <c r="E234" s="125"/>
    </row>
    <row r="235" spans="1:5" s="105" customFormat="1">
      <c r="A235" s="126"/>
      <c r="B235" s="122" t="s">
        <v>371</v>
      </c>
      <c r="C235" s="118"/>
      <c r="D235" s="123"/>
      <c r="E235" s="125"/>
    </row>
    <row r="236" spans="1:5" s="105" customFormat="1">
      <c r="A236" s="126"/>
      <c r="B236" s="122" t="s">
        <v>372</v>
      </c>
      <c r="C236" s="118" t="s">
        <v>208</v>
      </c>
      <c r="D236" s="123"/>
      <c r="E236" s="125"/>
    </row>
    <row r="237" spans="1:5" s="105" customFormat="1">
      <c r="A237" s="126"/>
      <c r="B237" s="122" t="s">
        <v>373</v>
      </c>
      <c r="C237" s="118" t="s">
        <v>208</v>
      </c>
      <c r="D237" s="123"/>
      <c r="E237" s="125"/>
    </row>
    <row r="238" spans="1:5" s="105" customFormat="1">
      <c r="A238" s="126"/>
      <c r="B238" s="122" t="s">
        <v>374</v>
      </c>
      <c r="C238" s="118" t="s">
        <v>208</v>
      </c>
      <c r="D238" s="123"/>
      <c r="E238" s="125"/>
    </row>
    <row r="239" spans="1:5" s="105" customFormat="1">
      <c r="A239" s="126"/>
      <c r="B239" s="122" t="s">
        <v>375</v>
      </c>
      <c r="C239" s="118" t="s">
        <v>208</v>
      </c>
      <c r="D239" s="123"/>
      <c r="E239" s="125"/>
    </row>
    <row r="240" spans="1:5" s="105" customFormat="1">
      <c r="A240" s="126"/>
      <c r="B240" s="122"/>
      <c r="C240" s="118"/>
      <c r="D240" s="123"/>
      <c r="E240" s="125"/>
    </row>
    <row r="241" spans="1:5" s="105" customFormat="1">
      <c r="A241" s="126"/>
      <c r="B241" s="122" t="s">
        <v>376</v>
      </c>
      <c r="C241" s="118"/>
      <c r="D241" s="123"/>
      <c r="E241" s="125"/>
    </row>
    <row r="242" spans="1:5" s="105" customFormat="1">
      <c r="A242" s="126"/>
      <c r="B242" s="122" t="s">
        <v>373</v>
      </c>
      <c r="C242" s="118" t="s">
        <v>208</v>
      </c>
      <c r="D242" s="123"/>
      <c r="E242" s="125"/>
    </row>
    <row r="243" spans="1:5" s="105" customFormat="1">
      <c r="A243" s="126"/>
      <c r="B243" s="122" t="s">
        <v>374</v>
      </c>
      <c r="C243" s="118" t="s">
        <v>208</v>
      </c>
      <c r="D243" s="123"/>
      <c r="E243" s="125"/>
    </row>
    <row r="244" spans="1:5" s="105" customFormat="1">
      <c r="A244" s="126"/>
      <c r="B244" s="122" t="s">
        <v>375</v>
      </c>
      <c r="C244" s="118" t="s">
        <v>208</v>
      </c>
      <c r="D244" s="123"/>
      <c r="E244" s="125"/>
    </row>
    <row r="245" spans="1:5" s="105" customFormat="1">
      <c r="A245" s="126"/>
      <c r="B245" s="122"/>
      <c r="C245" s="118"/>
      <c r="D245" s="123"/>
      <c r="E245" s="125"/>
    </row>
    <row r="246" spans="1:5" s="105" customFormat="1">
      <c r="A246" s="126"/>
      <c r="B246" s="122" t="s">
        <v>377</v>
      </c>
      <c r="C246" s="118"/>
      <c r="D246" s="123"/>
      <c r="E246" s="125"/>
    </row>
    <row r="247" spans="1:5" s="105" customFormat="1">
      <c r="A247" s="126"/>
      <c r="B247" s="122" t="s">
        <v>378</v>
      </c>
      <c r="C247" s="118"/>
      <c r="D247" s="123"/>
      <c r="E247" s="125"/>
    </row>
    <row r="248" spans="1:5" s="105" customFormat="1">
      <c r="A248" s="126"/>
      <c r="B248" s="122" t="s">
        <v>379</v>
      </c>
      <c r="C248" s="118" t="s">
        <v>208</v>
      </c>
      <c r="D248" s="123"/>
      <c r="E248" s="125"/>
    </row>
    <row r="249" spans="1:5" s="105" customFormat="1">
      <c r="A249" s="126"/>
      <c r="B249" s="122" t="s">
        <v>380</v>
      </c>
      <c r="C249" s="118" t="s">
        <v>208</v>
      </c>
      <c r="D249" s="123"/>
      <c r="E249" s="125"/>
    </row>
    <row r="250" spans="1:5" s="105" customFormat="1">
      <c r="A250" s="126"/>
      <c r="B250" s="122" t="s">
        <v>381</v>
      </c>
      <c r="C250" s="118" t="s">
        <v>208</v>
      </c>
      <c r="D250" s="123"/>
      <c r="E250" s="125"/>
    </row>
    <row r="251" spans="1:5" s="105" customFormat="1">
      <c r="A251" s="126"/>
      <c r="B251" s="122" t="s">
        <v>382</v>
      </c>
      <c r="C251" s="118" t="s">
        <v>208</v>
      </c>
      <c r="D251" s="123"/>
      <c r="E251" s="125"/>
    </row>
    <row r="252" spans="1:5" s="105" customFormat="1">
      <c r="A252" s="126"/>
      <c r="B252" s="122" t="s">
        <v>383</v>
      </c>
      <c r="C252" s="118" t="s">
        <v>208</v>
      </c>
      <c r="D252" s="123"/>
      <c r="E252" s="125"/>
    </row>
    <row r="253" spans="1:5" s="105" customFormat="1">
      <c r="A253" s="126"/>
      <c r="B253" s="122" t="s">
        <v>384</v>
      </c>
      <c r="C253" s="118" t="s">
        <v>208</v>
      </c>
      <c r="D253" s="123"/>
      <c r="E253" s="125"/>
    </row>
    <row r="254" spans="1:5" s="105" customFormat="1">
      <c r="A254" s="126"/>
      <c r="B254" s="122" t="s">
        <v>385</v>
      </c>
      <c r="C254" s="118" t="s">
        <v>208</v>
      </c>
      <c r="D254" s="123"/>
      <c r="E254" s="125"/>
    </row>
    <row r="255" spans="1:5" s="105" customFormat="1">
      <c r="A255" s="126"/>
      <c r="B255" s="122" t="s">
        <v>386</v>
      </c>
      <c r="C255" s="118" t="s">
        <v>208</v>
      </c>
      <c r="D255" s="123"/>
      <c r="E255" s="125"/>
    </row>
    <row r="256" spans="1:5" s="105" customFormat="1">
      <c r="A256" s="126"/>
      <c r="B256" s="122"/>
      <c r="C256" s="118"/>
      <c r="D256" s="123"/>
      <c r="E256" s="125"/>
    </row>
    <row r="257" spans="1:5" s="105" customFormat="1">
      <c r="A257" s="126"/>
      <c r="B257" s="122" t="s">
        <v>387</v>
      </c>
      <c r="C257" s="118"/>
      <c r="D257" s="123"/>
      <c r="E257" s="125"/>
    </row>
    <row r="258" spans="1:5" s="105" customFormat="1">
      <c r="A258" s="126"/>
      <c r="B258" s="122" t="s">
        <v>379</v>
      </c>
      <c r="C258" s="118" t="s">
        <v>208</v>
      </c>
      <c r="D258" s="123"/>
      <c r="E258" s="125"/>
    </row>
    <row r="259" spans="1:5" s="105" customFormat="1">
      <c r="A259" s="126"/>
      <c r="B259" s="122" t="s">
        <v>380</v>
      </c>
      <c r="C259" s="118" t="s">
        <v>208</v>
      </c>
      <c r="D259" s="123"/>
      <c r="E259" s="125"/>
    </row>
    <row r="260" spans="1:5" s="105" customFormat="1">
      <c r="A260" s="126"/>
      <c r="B260" s="122" t="s">
        <v>381</v>
      </c>
      <c r="C260" s="118" t="s">
        <v>208</v>
      </c>
      <c r="D260" s="123"/>
      <c r="E260" s="125"/>
    </row>
    <row r="261" spans="1:5" s="105" customFormat="1">
      <c r="A261" s="126"/>
      <c r="B261" s="122" t="s">
        <v>382</v>
      </c>
      <c r="C261" s="118" t="s">
        <v>208</v>
      </c>
      <c r="D261" s="123"/>
      <c r="E261" s="125"/>
    </row>
    <row r="262" spans="1:5" s="105" customFormat="1">
      <c r="A262" s="126"/>
      <c r="B262" s="122" t="s">
        <v>383</v>
      </c>
      <c r="C262" s="118" t="s">
        <v>208</v>
      </c>
      <c r="D262" s="123"/>
      <c r="E262" s="125"/>
    </row>
    <row r="263" spans="1:5" s="105" customFormat="1">
      <c r="A263" s="126"/>
      <c r="B263" s="122" t="s">
        <v>384</v>
      </c>
      <c r="C263" s="118" t="s">
        <v>208</v>
      </c>
      <c r="D263" s="123"/>
      <c r="E263" s="125"/>
    </row>
    <row r="264" spans="1:5" s="105" customFormat="1">
      <c r="A264" s="126"/>
      <c r="B264" s="122" t="s">
        <v>385</v>
      </c>
      <c r="C264" s="118" t="s">
        <v>208</v>
      </c>
      <c r="D264" s="123"/>
      <c r="E264" s="125"/>
    </row>
    <row r="265" spans="1:5" s="105" customFormat="1">
      <c r="A265" s="126"/>
      <c r="B265" s="122" t="s">
        <v>386</v>
      </c>
      <c r="C265" s="118" t="s">
        <v>208</v>
      </c>
      <c r="D265" s="123"/>
      <c r="E265" s="125"/>
    </row>
    <row r="266" spans="1:5" s="105" customFormat="1">
      <c r="A266" s="126"/>
      <c r="B266" s="122"/>
      <c r="C266" s="118"/>
      <c r="D266" s="123"/>
      <c r="E266" s="125"/>
    </row>
    <row r="267" spans="1:5" s="105" customFormat="1">
      <c r="A267" s="126"/>
      <c r="B267" s="122" t="s">
        <v>388</v>
      </c>
      <c r="C267" s="118"/>
      <c r="D267" s="123"/>
      <c r="E267" s="125"/>
    </row>
    <row r="268" spans="1:5" s="105" customFormat="1">
      <c r="A268" s="126"/>
      <c r="B268" s="122" t="s">
        <v>378</v>
      </c>
      <c r="C268" s="118"/>
      <c r="D268" s="123"/>
      <c r="E268" s="125"/>
    </row>
    <row r="269" spans="1:5" s="105" customFormat="1">
      <c r="A269" s="126"/>
      <c r="B269" s="122" t="s">
        <v>389</v>
      </c>
      <c r="C269" s="118" t="s">
        <v>208</v>
      </c>
      <c r="D269" s="123"/>
      <c r="E269" s="125"/>
    </row>
    <row r="270" spans="1:5" s="105" customFormat="1">
      <c r="A270" s="126"/>
      <c r="B270" s="122" t="s">
        <v>390</v>
      </c>
      <c r="C270" s="118" t="s">
        <v>208</v>
      </c>
      <c r="D270" s="123"/>
      <c r="E270" s="125"/>
    </row>
    <row r="271" spans="1:5" s="105" customFormat="1">
      <c r="A271" s="126"/>
      <c r="B271" s="122" t="s">
        <v>391</v>
      </c>
      <c r="C271" s="118" t="s">
        <v>208</v>
      </c>
      <c r="D271" s="123"/>
      <c r="E271" s="125"/>
    </row>
    <row r="272" spans="1:5" s="105" customFormat="1">
      <c r="A272" s="126"/>
      <c r="B272" s="122" t="s">
        <v>392</v>
      </c>
      <c r="C272" s="118" t="s">
        <v>208</v>
      </c>
      <c r="D272" s="123"/>
      <c r="E272" s="125"/>
    </row>
    <row r="273" spans="1:5" s="105" customFormat="1">
      <c r="A273" s="126"/>
      <c r="B273" s="122" t="s">
        <v>393</v>
      </c>
      <c r="C273" s="118" t="s">
        <v>208</v>
      </c>
      <c r="D273" s="123"/>
      <c r="E273" s="125"/>
    </row>
    <row r="274" spans="1:5" s="105" customFormat="1">
      <c r="A274" s="126"/>
      <c r="B274" s="122" t="s">
        <v>394</v>
      </c>
      <c r="C274" s="118" t="s">
        <v>208</v>
      </c>
      <c r="D274" s="123"/>
      <c r="E274" s="125"/>
    </row>
    <row r="275" spans="1:5" s="105" customFormat="1">
      <c r="A275" s="126"/>
      <c r="B275" s="122" t="s">
        <v>395</v>
      </c>
      <c r="C275" s="118" t="s">
        <v>208</v>
      </c>
      <c r="D275" s="123"/>
      <c r="E275" s="125"/>
    </row>
    <row r="276" spans="1:5" s="105" customFormat="1">
      <c r="A276" s="126"/>
      <c r="B276" s="122"/>
      <c r="C276" s="118"/>
      <c r="D276" s="123"/>
      <c r="E276" s="125"/>
    </row>
    <row r="277" spans="1:5" s="105" customFormat="1">
      <c r="A277" s="126"/>
      <c r="B277" s="122" t="s">
        <v>387</v>
      </c>
      <c r="C277" s="118"/>
      <c r="D277" s="123"/>
      <c r="E277" s="125"/>
    </row>
    <row r="278" spans="1:5" s="105" customFormat="1">
      <c r="A278" s="126"/>
      <c r="B278" s="122" t="s">
        <v>389</v>
      </c>
      <c r="C278" s="118" t="s">
        <v>208</v>
      </c>
      <c r="D278" s="123"/>
      <c r="E278" s="125"/>
    </row>
    <row r="279" spans="1:5" s="105" customFormat="1">
      <c r="A279" s="126"/>
      <c r="B279" s="122" t="s">
        <v>390</v>
      </c>
      <c r="C279" s="118" t="s">
        <v>208</v>
      </c>
      <c r="D279" s="123"/>
      <c r="E279" s="125"/>
    </row>
    <row r="280" spans="1:5" s="105" customFormat="1">
      <c r="A280" s="126"/>
      <c r="B280" s="122" t="s">
        <v>391</v>
      </c>
      <c r="C280" s="118" t="s">
        <v>208</v>
      </c>
      <c r="D280" s="123"/>
      <c r="E280" s="125"/>
    </row>
    <row r="281" spans="1:5" s="105" customFormat="1">
      <c r="A281" s="126"/>
      <c r="B281" s="122"/>
      <c r="C281" s="118"/>
      <c r="D281" s="123"/>
      <c r="E281" s="125"/>
    </row>
    <row r="282" spans="1:5" s="105" customFormat="1">
      <c r="A282" s="126"/>
      <c r="B282" s="122" t="s">
        <v>396</v>
      </c>
      <c r="C282" s="118"/>
      <c r="D282" s="123"/>
      <c r="E282" s="125"/>
    </row>
    <row r="283" spans="1:5" s="105" customFormat="1">
      <c r="A283" s="126"/>
      <c r="B283" s="122" t="s">
        <v>397</v>
      </c>
      <c r="C283" s="118" t="s">
        <v>208</v>
      </c>
      <c r="D283" s="123"/>
      <c r="E283" s="125"/>
    </row>
    <row r="284" spans="1:5" s="105" customFormat="1">
      <c r="A284" s="126"/>
      <c r="B284" s="122" t="s">
        <v>398</v>
      </c>
      <c r="C284" s="118" t="s">
        <v>208</v>
      </c>
      <c r="D284" s="123"/>
      <c r="E284" s="125"/>
    </row>
    <row r="285" spans="1:5" s="105" customFormat="1">
      <c r="A285" s="126"/>
      <c r="B285" s="122" t="s">
        <v>399</v>
      </c>
      <c r="C285" s="118" t="s">
        <v>208</v>
      </c>
      <c r="D285" s="123"/>
      <c r="E285" s="125"/>
    </row>
    <row r="286" spans="1:5" s="105" customFormat="1">
      <c r="A286" s="126"/>
      <c r="B286" s="122" t="s">
        <v>400</v>
      </c>
      <c r="C286" s="118" t="s">
        <v>208</v>
      </c>
      <c r="D286" s="123"/>
      <c r="E286" s="125"/>
    </row>
    <row r="287" spans="1:5" s="105" customFormat="1">
      <c r="A287" s="126"/>
      <c r="B287" s="122" t="s">
        <v>401</v>
      </c>
      <c r="C287" s="118" t="s">
        <v>208</v>
      </c>
      <c r="D287" s="123"/>
      <c r="E287" s="125"/>
    </row>
    <row r="288" spans="1:5" s="105" customFormat="1">
      <c r="A288" s="126"/>
      <c r="B288" s="122" t="s">
        <v>402</v>
      </c>
      <c r="C288" s="118" t="s">
        <v>208</v>
      </c>
      <c r="D288" s="123"/>
      <c r="E288" s="125"/>
    </row>
    <row r="289" spans="1:5" s="105" customFormat="1">
      <c r="A289" s="126"/>
      <c r="B289" s="122"/>
      <c r="C289" s="118"/>
      <c r="D289" s="123"/>
      <c r="E289" s="125"/>
    </row>
    <row r="290" spans="1:5" s="105" customFormat="1">
      <c r="A290" s="126"/>
      <c r="B290" s="122" t="s">
        <v>403</v>
      </c>
      <c r="C290" s="118"/>
      <c r="D290" s="123"/>
      <c r="E290" s="125"/>
    </row>
    <row r="291" spans="1:5" s="105" customFormat="1">
      <c r="A291" s="126"/>
      <c r="B291" s="122" t="s">
        <v>404</v>
      </c>
      <c r="C291" s="118" t="s">
        <v>284</v>
      </c>
      <c r="D291" s="123"/>
      <c r="E291" s="125"/>
    </row>
    <row r="292" spans="1:5" s="105" customFormat="1">
      <c r="A292" s="126"/>
      <c r="B292" s="122" t="s">
        <v>405</v>
      </c>
      <c r="C292" s="118" t="s">
        <v>284</v>
      </c>
      <c r="D292" s="123"/>
      <c r="E292" s="125"/>
    </row>
    <row r="293" spans="1:5" s="105" customFormat="1">
      <c r="A293" s="126"/>
      <c r="B293" s="122"/>
      <c r="C293" s="118"/>
      <c r="D293" s="123"/>
      <c r="E293" s="125"/>
    </row>
    <row r="294" spans="1:5" s="105" customFormat="1">
      <c r="A294" s="126"/>
      <c r="B294" s="122" t="s">
        <v>406</v>
      </c>
      <c r="C294" s="118"/>
      <c r="D294" s="123"/>
      <c r="E294" s="125"/>
    </row>
    <row r="295" spans="1:5" s="105" customFormat="1">
      <c r="A295" s="126"/>
      <c r="B295" s="122" t="s">
        <v>407</v>
      </c>
      <c r="C295" s="118" t="s">
        <v>208</v>
      </c>
      <c r="D295" s="123"/>
      <c r="E295" s="125"/>
    </row>
    <row r="296" spans="1:5" s="105" customFormat="1">
      <c r="A296" s="126"/>
      <c r="B296" s="122" t="s">
        <v>408</v>
      </c>
      <c r="C296" s="118" t="s">
        <v>208</v>
      </c>
      <c r="D296" s="123"/>
      <c r="E296" s="125"/>
    </row>
    <row r="297" spans="1:5" s="105" customFormat="1">
      <c r="A297" s="126"/>
      <c r="B297" s="122" t="s">
        <v>409</v>
      </c>
      <c r="C297" s="118" t="s">
        <v>208</v>
      </c>
      <c r="D297" s="123"/>
      <c r="E297" s="125"/>
    </row>
    <row r="298" spans="1:5" s="105" customFormat="1">
      <c r="A298" s="126"/>
      <c r="B298" s="122"/>
      <c r="C298" s="118"/>
      <c r="D298" s="123"/>
      <c r="E298" s="125"/>
    </row>
    <row r="299" spans="1:5" s="105" customFormat="1">
      <c r="A299" s="126"/>
      <c r="B299" s="122" t="s">
        <v>410</v>
      </c>
      <c r="C299" s="118"/>
      <c r="D299" s="123"/>
      <c r="E299" s="125"/>
    </row>
    <row r="300" spans="1:5" s="105" customFormat="1">
      <c r="A300" s="126"/>
      <c r="B300" s="122" t="s">
        <v>411</v>
      </c>
      <c r="C300" s="118" t="s">
        <v>208</v>
      </c>
      <c r="D300" s="123"/>
      <c r="E300" s="125"/>
    </row>
    <row r="301" spans="1:5" s="105" customFormat="1">
      <c r="A301" s="126"/>
      <c r="B301" s="122" t="s">
        <v>412</v>
      </c>
      <c r="C301" s="118" t="s">
        <v>208</v>
      </c>
      <c r="D301" s="123"/>
      <c r="E301" s="125"/>
    </row>
    <row r="302" spans="1:5" s="105" customFormat="1">
      <c r="A302" s="126"/>
      <c r="B302" s="122" t="s">
        <v>413</v>
      </c>
      <c r="C302" s="118" t="s">
        <v>208</v>
      </c>
      <c r="D302" s="123"/>
      <c r="E302" s="125"/>
    </row>
    <row r="303" spans="1:5" s="105" customFormat="1">
      <c r="A303" s="126"/>
      <c r="B303" s="122" t="s">
        <v>414</v>
      </c>
      <c r="C303" s="118" t="s">
        <v>208</v>
      </c>
      <c r="D303" s="123"/>
      <c r="E303" s="125"/>
    </row>
    <row r="304" spans="1:5" s="105" customFormat="1">
      <c r="A304" s="126"/>
      <c r="B304" s="122" t="s">
        <v>411</v>
      </c>
      <c r="C304" s="118" t="s">
        <v>208</v>
      </c>
      <c r="D304" s="123"/>
      <c r="E304" s="125"/>
    </row>
    <row r="305" spans="1:5" s="105" customFormat="1">
      <c r="A305" s="126"/>
      <c r="B305" s="122" t="s">
        <v>412</v>
      </c>
      <c r="C305" s="118" t="s">
        <v>208</v>
      </c>
      <c r="D305" s="123"/>
      <c r="E305" s="125"/>
    </row>
    <row r="306" spans="1:5" s="105" customFormat="1">
      <c r="A306" s="126"/>
      <c r="B306" s="122" t="s">
        <v>413</v>
      </c>
      <c r="C306" s="118" t="s">
        <v>208</v>
      </c>
      <c r="D306" s="123"/>
      <c r="E306" s="125"/>
    </row>
    <row r="307" spans="1:5" s="105" customFormat="1">
      <c r="A307" s="126"/>
      <c r="B307" s="122"/>
      <c r="C307" s="118"/>
      <c r="D307" s="123"/>
      <c r="E307" s="125"/>
    </row>
    <row r="308" spans="1:5" s="105" customFormat="1">
      <c r="A308" s="126"/>
      <c r="B308" s="122" t="s">
        <v>415</v>
      </c>
      <c r="C308" s="118"/>
      <c r="D308" s="123"/>
      <c r="E308" s="125"/>
    </row>
    <row r="309" spans="1:5" s="105" customFormat="1">
      <c r="A309" s="126"/>
      <c r="B309" s="122" t="s">
        <v>416</v>
      </c>
      <c r="C309" s="118"/>
      <c r="D309" s="123"/>
      <c r="E309" s="125"/>
    </row>
    <row r="310" spans="1:5" s="105" customFormat="1">
      <c r="A310" s="126"/>
      <c r="B310" s="122" t="s">
        <v>417</v>
      </c>
      <c r="C310" s="118" t="s">
        <v>208</v>
      </c>
      <c r="D310" s="123"/>
      <c r="E310" s="125"/>
    </row>
    <row r="311" spans="1:5" s="105" customFormat="1">
      <c r="A311" s="126"/>
      <c r="B311" s="122" t="s">
        <v>418</v>
      </c>
      <c r="C311" s="118" t="s">
        <v>208</v>
      </c>
      <c r="D311" s="123"/>
      <c r="E311" s="125"/>
    </row>
    <row r="312" spans="1:5" s="105" customFormat="1">
      <c r="A312" s="126"/>
      <c r="B312" s="122" t="s">
        <v>419</v>
      </c>
      <c r="C312" s="118" t="s">
        <v>208</v>
      </c>
      <c r="D312" s="123"/>
      <c r="E312" s="125"/>
    </row>
    <row r="313" spans="1:5" s="105" customFormat="1">
      <c r="A313" s="126"/>
      <c r="B313" s="122" t="s">
        <v>420</v>
      </c>
      <c r="C313" s="118"/>
      <c r="D313" s="123"/>
      <c r="E313" s="125"/>
    </row>
    <row r="314" spans="1:5" s="105" customFormat="1">
      <c r="A314" s="126"/>
      <c r="B314" s="122" t="s">
        <v>417</v>
      </c>
      <c r="C314" s="118" t="s">
        <v>208</v>
      </c>
      <c r="D314" s="123"/>
      <c r="E314" s="125"/>
    </row>
    <row r="315" spans="1:5" s="105" customFormat="1">
      <c r="A315" s="126"/>
      <c r="B315" s="122" t="s">
        <v>418</v>
      </c>
      <c r="C315" s="118" t="s">
        <v>208</v>
      </c>
      <c r="D315" s="123"/>
      <c r="E315" s="125"/>
    </row>
    <row r="316" spans="1:5" s="105" customFormat="1">
      <c r="A316" s="126"/>
      <c r="B316" s="122" t="s">
        <v>419</v>
      </c>
      <c r="C316" s="118" t="s">
        <v>208</v>
      </c>
      <c r="D316" s="123"/>
      <c r="E316" s="125"/>
    </row>
    <row r="317" spans="1:5" s="105" customFormat="1">
      <c r="A317" s="126"/>
      <c r="B317" s="122" t="s">
        <v>421</v>
      </c>
      <c r="C317" s="118" t="s">
        <v>208</v>
      </c>
      <c r="D317" s="123"/>
      <c r="E317" s="125"/>
    </row>
    <row r="318" spans="1:5" s="105" customFormat="1">
      <c r="A318" s="126"/>
      <c r="B318" s="122" t="s">
        <v>422</v>
      </c>
      <c r="C318" s="118" t="s">
        <v>208</v>
      </c>
      <c r="D318" s="123"/>
      <c r="E318" s="125"/>
    </row>
    <row r="319" spans="1:5" s="105" customFormat="1">
      <c r="A319" s="126"/>
      <c r="B319" s="122"/>
      <c r="C319" s="118"/>
      <c r="D319" s="123"/>
      <c r="E319" s="125"/>
    </row>
    <row r="320" spans="1:5" s="105" customFormat="1">
      <c r="A320" s="126"/>
      <c r="B320" s="122" t="s">
        <v>423</v>
      </c>
      <c r="C320" s="118"/>
      <c r="D320" s="123"/>
      <c r="E320" s="125"/>
    </row>
    <row r="321" spans="1:5" s="105" customFormat="1">
      <c r="A321" s="126"/>
      <c r="B321" s="122" t="s">
        <v>424</v>
      </c>
      <c r="C321" s="118"/>
      <c r="D321" s="123"/>
      <c r="E321" s="125"/>
    </row>
    <row r="322" spans="1:5" s="105" customFormat="1">
      <c r="A322" s="126"/>
      <c r="B322" s="122" t="s">
        <v>425</v>
      </c>
      <c r="C322" s="118" t="s">
        <v>284</v>
      </c>
      <c r="D322" s="123"/>
      <c r="E322" s="125"/>
    </row>
    <row r="323" spans="1:5" s="105" customFormat="1">
      <c r="A323" s="126"/>
      <c r="B323" s="122" t="s">
        <v>426</v>
      </c>
      <c r="C323" s="118" t="s">
        <v>284</v>
      </c>
      <c r="D323" s="123"/>
      <c r="E323" s="125"/>
    </row>
    <row r="324" spans="1:5" s="105" customFormat="1">
      <c r="A324" s="126"/>
      <c r="B324" s="122" t="s">
        <v>427</v>
      </c>
      <c r="C324" s="118" t="s">
        <v>284</v>
      </c>
      <c r="D324" s="123"/>
      <c r="E324" s="125"/>
    </row>
    <row r="325" spans="1:5" s="105" customFormat="1">
      <c r="A325" s="126"/>
      <c r="B325" s="122" t="s">
        <v>428</v>
      </c>
      <c r="C325" s="118" t="s">
        <v>284</v>
      </c>
      <c r="D325" s="123"/>
      <c r="E325" s="125"/>
    </row>
    <row r="326" spans="1:5" s="105" customFormat="1">
      <c r="A326" s="126"/>
      <c r="B326" s="122" t="s">
        <v>429</v>
      </c>
      <c r="C326" s="118" t="s">
        <v>284</v>
      </c>
      <c r="D326" s="123"/>
      <c r="E326" s="125"/>
    </row>
    <row r="327" spans="1:5" s="105" customFormat="1">
      <c r="A327" s="126"/>
      <c r="B327" s="122" t="s">
        <v>426</v>
      </c>
      <c r="C327" s="118" t="s">
        <v>284</v>
      </c>
      <c r="D327" s="123"/>
      <c r="E327" s="125"/>
    </row>
    <row r="328" spans="1:5" s="105" customFormat="1">
      <c r="A328" s="126"/>
      <c r="B328" s="122" t="s">
        <v>430</v>
      </c>
      <c r="C328" s="118" t="s">
        <v>284</v>
      </c>
      <c r="D328" s="123"/>
      <c r="E328" s="125"/>
    </row>
    <row r="329" spans="1:5" s="105" customFormat="1">
      <c r="A329" s="126"/>
      <c r="B329" s="122" t="s">
        <v>431</v>
      </c>
      <c r="C329" s="118" t="s">
        <v>284</v>
      </c>
      <c r="D329" s="123"/>
      <c r="E329" s="125"/>
    </row>
    <row r="330" spans="1:5" s="105" customFormat="1">
      <c r="A330" s="126"/>
      <c r="B330" s="122" t="s">
        <v>432</v>
      </c>
      <c r="C330" s="118" t="s">
        <v>284</v>
      </c>
      <c r="D330" s="123"/>
      <c r="E330" s="125"/>
    </row>
    <row r="331" spans="1:5" s="105" customFormat="1">
      <c r="A331" s="126"/>
      <c r="B331" s="122" t="s">
        <v>433</v>
      </c>
      <c r="C331" s="118" t="s">
        <v>284</v>
      </c>
      <c r="D331" s="123"/>
      <c r="E331" s="125"/>
    </row>
    <row r="332" spans="1:5" s="105" customFormat="1">
      <c r="A332" s="126"/>
      <c r="B332" s="122" t="s">
        <v>434</v>
      </c>
      <c r="C332" s="118" t="s">
        <v>284</v>
      </c>
      <c r="D332" s="123"/>
      <c r="E332" s="125"/>
    </row>
    <row r="333" spans="1:5" s="105" customFormat="1">
      <c r="A333" s="126"/>
      <c r="B333" s="122" t="s">
        <v>428</v>
      </c>
      <c r="C333" s="118" t="s">
        <v>284</v>
      </c>
      <c r="D333" s="123"/>
      <c r="E333" s="125"/>
    </row>
    <row r="334" spans="1:5" s="105" customFormat="1">
      <c r="A334" s="126"/>
      <c r="B334" s="122" t="s">
        <v>435</v>
      </c>
      <c r="C334" s="118" t="s">
        <v>284</v>
      </c>
      <c r="D334" s="123"/>
      <c r="E334" s="125"/>
    </row>
    <row r="335" spans="1:5" s="105" customFormat="1">
      <c r="A335" s="126"/>
      <c r="B335" s="122"/>
      <c r="C335" s="118"/>
      <c r="D335" s="123"/>
      <c r="E335" s="125"/>
    </row>
    <row r="336" spans="1:5" s="105" customFormat="1">
      <c r="A336" s="126"/>
      <c r="B336" s="122" t="s">
        <v>436</v>
      </c>
      <c r="C336" s="118"/>
      <c r="D336" s="123"/>
      <c r="E336" s="125"/>
    </row>
    <row r="337" spans="1:5" s="105" customFormat="1">
      <c r="A337" s="126"/>
      <c r="B337" s="122" t="s">
        <v>429</v>
      </c>
      <c r="C337" s="118"/>
      <c r="D337" s="123"/>
      <c r="E337" s="125"/>
    </row>
    <row r="338" spans="1:5" s="105" customFormat="1">
      <c r="A338" s="126"/>
      <c r="B338" s="122" t="s">
        <v>437</v>
      </c>
      <c r="C338" s="118" t="s">
        <v>284</v>
      </c>
      <c r="D338" s="123"/>
      <c r="E338" s="125"/>
    </row>
    <row r="339" spans="1:5" s="105" customFormat="1">
      <c r="A339" s="126"/>
      <c r="B339" s="122" t="s">
        <v>438</v>
      </c>
      <c r="C339" s="118" t="s">
        <v>284</v>
      </c>
      <c r="D339" s="123"/>
      <c r="E339" s="125"/>
    </row>
    <row r="340" spans="1:5" s="105" customFormat="1">
      <c r="A340" s="126"/>
      <c r="B340" s="122" t="s">
        <v>439</v>
      </c>
      <c r="C340" s="118" t="s">
        <v>284</v>
      </c>
      <c r="D340" s="123"/>
      <c r="E340" s="125"/>
    </row>
    <row r="341" spans="1:5" s="105" customFormat="1">
      <c r="A341" s="126"/>
      <c r="B341" s="122" t="s">
        <v>440</v>
      </c>
      <c r="C341" s="118" t="s">
        <v>284</v>
      </c>
      <c r="D341" s="123"/>
      <c r="E341" s="125"/>
    </row>
    <row r="342" spans="1:5" s="105" customFormat="1">
      <c r="A342" s="126"/>
      <c r="B342" s="122" t="s">
        <v>441</v>
      </c>
      <c r="C342" s="118" t="s">
        <v>284</v>
      </c>
      <c r="D342" s="123"/>
      <c r="E342" s="125"/>
    </row>
    <row r="343" spans="1:5" s="105" customFormat="1">
      <c r="A343" s="126"/>
      <c r="B343" s="122" t="s">
        <v>442</v>
      </c>
      <c r="C343" s="118" t="s">
        <v>284</v>
      </c>
      <c r="D343" s="123"/>
      <c r="E343" s="125"/>
    </row>
    <row r="344" spans="1:5" s="105" customFormat="1">
      <c r="A344" s="126"/>
      <c r="B344" s="122" t="s">
        <v>443</v>
      </c>
      <c r="C344" s="118" t="s">
        <v>284</v>
      </c>
      <c r="D344" s="123"/>
      <c r="E344" s="125"/>
    </row>
    <row r="345" spans="1:5" s="105" customFormat="1">
      <c r="A345" s="126"/>
      <c r="B345" s="122" t="s">
        <v>444</v>
      </c>
      <c r="C345" s="118" t="s">
        <v>284</v>
      </c>
      <c r="D345" s="123"/>
      <c r="E345" s="125"/>
    </row>
    <row r="346" spans="1:5" s="105" customFormat="1">
      <c r="A346" s="126"/>
      <c r="B346" s="122"/>
      <c r="C346" s="118"/>
      <c r="D346" s="123"/>
      <c r="E346" s="125"/>
    </row>
    <row r="347" spans="1:5" s="105" customFormat="1">
      <c r="A347" s="126"/>
      <c r="B347" s="122" t="s">
        <v>445</v>
      </c>
      <c r="C347" s="118"/>
      <c r="D347" s="123"/>
      <c r="E347" s="125"/>
    </row>
    <row r="348" spans="1:5" s="105" customFormat="1" ht="13" customHeight="1">
      <c r="A348" s="126"/>
      <c r="B348" s="122" t="s">
        <v>446</v>
      </c>
      <c r="C348" s="118"/>
      <c r="D348" s="123"/>
      <c r="E348" s="125"/>
    </row>
    <row r="349" spans="1:5" s="105" customFormat="1">
      <c r="A349" s="126"/>
      <c r="B349" s="122" t="s">
        <v>447</v>
      </c>
      <c r="C349" s="118" t="s">
        <v>284</v>
      </c>
      <c r="D349" s="123"/>
      <c r="E349" s="125"/>
    </row>
    <row r="350" spans="1:5" s="105" customFormat="1">
      <c r="A350" s="126"/>
      <c r="B350" s="122" t="s">
        <v>448</v>
      </c>
      <c r="C350" s="118" t="s">
        <v>284</v>
      </c>
      <c r="D350" s="123"/>
      <c r="E350" s="125"/>
    </row>
    <row r="351" spans="1:5" s="105" customFormat="1">
      <c r="A351" s="126"/>
      <c r="B351" s="122" t="s">
        <v>449</v>
      </c>
      <c r="C351" s="118" t="s">
        <v>284</v>
      </c>
      <c r="D351" s="123"/>
      <c r="E351" s="125"/>
    </row>
    <row r="352" spans="1:5" s="105" customFormat="1">
      <c r="A352" s="126"/>
      <c r="B352" s="122"/>
      <c r="C352" s="118"/>
      <c r="D352" s="123"/>
      <c r="E352" s="125"/>
    </row>
    <row r="353" spans="1:5" s="105" customFormat="1">
      <c r="A353" s="126"/>
      <c r="B353" s="122" t="s">
        <v>450</v>
      </c>
      <c r="C353" s="118"/>
      <c r="D353" s="123"/>
      <c r="E353" s="125"/>
    </row>
    <row r="354" spans="1:5" s="105" customFormat="1">
      <c r="A354" s="126"/>
      <c r="B354" s="122" t="s">
        <v>451</v>
      </c>
      <c r="C354" s="118" t="s">
        <v>284</v>
      </c>
      <c r="D354" s="123"/>
      <c r="E354" s="125"/>
    </row>
    <row r="355" spans="1:5" s="105" customFormat="1">
      <c r="A355" s="126"/>
      <c r="B355" s="122" t="s">
        <v>452</v>
      </c>
      <c r="C355" s="118" t="s">
        <v>284</v>
      </c>
      <c r="D355" s="123"/>
      <c r="E355" s="125"/>
    </row>
    <row r="356" spans="1:5" s="105" customFormat="1">
      <c r="A356" s="126"/>
      <c r="B356" s="122" t="s">
        <v>453</v>
      </c>
      <c r="C356" s="118" t="s">
        <v>284</v>
      </c>
      <c r="D356" s="123"/>
      <c r="E356" s="125"/>
    </row>
    <row r="357" spans="1:5" s="105" customFormat="1">
      <c r="A357" s="126"/>
      <c r="B357" s="122" t="s">
        <v>454</v>
      </c>
      <c r="C357" s="118" t="s">
        <v>284</v>
      </c>
      <c r="D357" s="123"/>
      <c r="E357" s="125"/>
    </row>
    <row r="358" spans="1:5" s="105" customFormat="1">
      <c r="A358" s="126"/>
      <c r="B358" s="122"/>
      <c r="C358" s="118"/>
      <c r="D358" s="123"/>
      <c r="E358" s="125"/>
    </row>
    <row r="359" spans="1:5" s="105" customFormat="1">
      <c r="A359" s="126"/>
      <c r="B359" s="122" t="s">
        <v>455</v>
      </c>
      <c r="C359" s="118"/>
      <c r="D359" s="123"/>
      <c r="E359" s="125"/>
    </row>
    <row r="360" spans="1:5" s="105" customFormat="1">
      <c r="A360" s="126"/>
      <c r="B360" s="122" t="s">
        <v>456</v>
      </c>
      <c r="C360" s="118" t="s">
        <v>284</v>
      </c>
      <c r="D360" s="123"/>
      <c r="E360" s="125"/>
    </row>
    <row r="361" spans="1:5" s="105" customFormat="1">
      <c r="A361" s="126"/>
      <c r="B361" s="122" t="s">
        <v>457</v>
      </c>
      <c r="C361" s="118" t="s">
        <v>284</v>
      </c>
      <c r="D361" s="123"/>
      <c r="E361" s="125"/>
    </row>
    <row r="362" spans="1:5" s="105" customFormat="1">
      <c r="A362" s="126"/>
      <c r="B362" s="122" t="s">
        <v>458</v>
      </c>
      <c r="C362" s="118" t="s">
        <v>284</v>
      </c>
      <c r="D362" s="123"/>
      <c r="E362" s="125"/>
    </row>
    <row r="363" spans="1:5" s="105" customFormat="1">
      <c r="A363" s="126"/>
      <c r="B363" s="122" t="s">
        <v>459</v>
      </c>
      <c r="C363" s="118" t="s">
        <v>284</v>
      </c>
      <c r="D363" s="123"/>
      <c r="E363" s="125"/>
    </row>
    <row r="364" spans="1:5" s="105" customFormat="1">
      <c r="A364" s="126"/>
      <c r="B364" s="122" t="s">
        <v>460</v>
      </c>
      <c r="C364" s="118" t="s">
        <v>284</v>
      </c>
      <c r="D364" s="123"/>
      <c r="E364" s="125"/>
    </row>
    <row r="365" spans="1:5" s="105" customFormat="1">
      <c r="A365" s="126"/>
      <c r="B365" s="122"/>
      <c r="C365" s="118"/>
      <c r="D365" s="123"/>
      <c r="E365" s="125"/>
    </row>
    <row r="366" spans="1:5" s="105" customFormat="1">
      <c r="A366" s="126"/>
      <c r="B366" s="122" t="s">
        <v>461</v>
      </c>
      <c r="C366" s="118" t="s">
        <v>284</v>
      </c>
      <c r="D366" s="123"/>
      <c r="E366" s="125"/>
    </row>
    <row r="367" spans="1:5" s="105" customFormat="1">
      <c r="A367" s="126"/>
      <c r="B367" s="122" t="s">
        <v>462</v>
      </c>
      <c r="C367" s="118" t="s">
        <v>284</v>
      </c>
      <c r="D367" s="123"/>
      <c r="E367" s="125"/>
    </row>
    <row r="368" spans="1:5" s="105" customFormat="1">
      <c r="A368" s="126"/>
      <c r="B368" s="122" t="s">
        <v>463</v>
      </c>
      <c r="C368" s="118" t="s">
        <v>284</v>
      </c>
      <c r="D368" s="123"/>
      <c r="E368" s="125"/>
    </row>
    <row r="369" spans="1:5" s="105" customFormat="1">
      <c r="A369" s="126"/>
      <c r="B369" s="122"/>
      <c r="C369" s="118"/>
      <c r="D369" s="123"/>
      <c r="E369" s="125"/>
    </row>
    <row r="370" spans="1:5" s="105" customFormat="1">
      <c r="A370" s="126"/>
      <c r="B370" s="122" t="s">
        <v>464</v>
      </c>
      <c r="C370" s="118"/>
      <c r="D370" s="123"/>
      <c r="E370" s="125"/>
    </row>
    <row r="371" spans="1:5" s="105" customFormat="1">
      <c r="A371" s="126"/>
      <c r="B371" s="122" t="s">
        <v>465</v>
      </c>
      <c r="C371" s="118"/>
      <c r="D371" s="123"/>
      <c r="E371" s="125"/>
    </row>
    <row r="372" spans="1:5" s="105" customFormat="1">
      <c r="A372" s="126"/>
      <c r="B372" s="122" t="s">
        <v>466</v>
      </c>
      <c r="C372" s="118" t="s">
        <v>284</v>
      </c>
      <c r="D372" s="123"/>
      <c r="E372" s="125"/>
    </row>
    <row r="373" spans="1:5" s="105" customFormat="1">
      <c r="A373" s="126"/>
      <c r="B373" s="122" t="s">
        <v>467</v>
      </c>
      <c r="C373" s="118" t="s">
        <v>284</v>
      </c>
      <c r="D373" s="123"/>
      <c r="E373" s="125"/>
    </row>
    <row r="374" spans="1:5" s="105" customFormat="1">
      <c r="A374" s="126"/>
      <c r="B374" s="122" t="s">
        <v>468</v>
      </c>
      <c r="C374" s="118" t="s">
        <v>284</v>
      </c>
      <c r="D374" s="123"/>
      <c r="E374" s="125"/>
    </row>
    <row r="375" spans="1:5" s="105" customFormat="1">
      <c r="A375" s="126"/>
      <c r="B375" s="122" t="s">
        <v>469</v>
      </c>
      <c r="C375" s="118" t="s">
        <v>284</v>
      </c>
      <c r="D375" s="123"/>
      <c r="E375" s="125"/>
    </row>
    <row r="376" spans="1:5" s="105" customFormat="1">
      <c r="A376" s="126"/>
      <c r="B376" s="122" t="s">
        <v>470</v>
      </c>
      <c r="C376" s="118" t="s">
        <v>284</v>
      </c>
      <c r="D376" s="123"/>
      <c r="E376" s="125"/>
    </row>
    <row r="377" spans="1:5" s="105" customFormat="1">
      <c r="A377" s="126"/>
      <c r="B377" s="122" t="s">
        <v>471</v>
      </c>
      <c r="C377" s="118"/>
      <c r="D377" s="123"/>
      <c r="E377" s="125"/>
    </row>
    <row r="378" spans="1:5" s="105" customFormat="1">
      <c r="A378" s="126"/>
      <c r="B378" s="122" t="s">
        <v>466</v>
      </c>
      <c r="C378" s="118" t="s">
        <v>284</v>
      </c>
      <c r="D378" s="123"/>
      <c r="E378" s="125"/>
    </row>
    <row r="379" spans="1:5" s="105" customFormat="1">
      <c r="A379" s="126"/>
      <c r="B379" s="122" t="s">
        <v>467</v>
      </c>
      <c r="C379" s="118" t="s">
        <v>284</v>
      </c>
      <c r="D379" s="123"/>
      <c r="E379" s="125"/>
    </row>
    <row r="380" spans="1:5" s="105" customFormat="1">
      <c r="A380" s="126"/>
      <c r="B380" s="122" t="s">
        <v>468</v>
      </c>
      <c r="C380" s="118" t="s">
        <v>284</v>
      </c>
      <c r="D380" s="123"/>
      <c r="E380" s="125"/>
    </row>
    <row r="381" spans="1:5" s="105" customFormat="1">
      <c r="A381" s="126"/>
      <c r="B381" s="122" t="s">
        <v>469</v>
      </c>
      <c r="C381" s="118" t="s">
        <v>284</v>
      </c>
      <c r="D381" s="123"/>
      <c r="E381" s="125"/>
    </row>
    <row r="382" spans="1:5" s="105" customFormat="1">
      <c r="A382" s="126"/>
      <c r="B382" s="122" t="s">
        <v>470</v>
      </c>
      <c r="C382" s="118" t="s">
        <v>284</v>
      </c>
      <c r="D382" s="123"/>
      <c r="E382" s="125"/>
    </row>
    <row r="383" spans="1:5" s="105" customFormat="1">
      <c r="A383" s="126"/>
      <c r="B383" s="122"/>
      <c r="C383" s="118"/>
      <c r="D383" s="123"/>
      <c r="E383" s="125"/>
    </row>
    <row r="384" spans="1:5" s="105" customFormat="1">
      <c r="A384" s="126"/>
      <c r="B384" s="122" t="s">
        <v>472</v>
      </c>
      <c r="C384" s="118"/>
      <c r="D384" s="123"/>
      <c r="E384" s="125"/>
    </row>
    <row r="385" spans="1:5" s="105" customFormat="1">
      <c r="A385" s="126"/>
      <c r="B385" s="122" t="s">
        <v>473</v>
      </c>
      <c r="C385" s="118"/>
      <c r="D385" s="123"/>
      <c r="E385" s="125"/>
    </row>
    <row r="386" spans="1:5" s="105" customFormat="1">
      <c r="A386" s="126"/>
      <c r="B386" s="122" t="s">
        <v>474</v>
      </c>
      <c r="C386" s="118" t="s">
        <v>284</v>
      </c>
      <c r="D386" s="123"/>
      <c r="E386" s="125"/>
    </row>
    <row r="387" spans="1:5" s="105" customFormat="1">
      <c r="A387" s="126"/>
      <c r="B387" s="122" t="s">
        <v>475</v>
      </c>
      <c r="C387" s="118" t="s">
        <v>284</v>
      </c>
      <c r="D387" s="123"/>
      <c r="E387" s="125"/>
    </row>
    <row r="388" spans="1:5" s="105" customFormat="1">
      <c r="A388" s="126"/>
      <c r="B388" s="122" t="s">
        <v>476</v>
      </c>
      <c r="C388" s="118" t="s">
        <v>284</v>
      </c>
      <c r="D388" s="123"/>
      <c r="E388" s="125"/>
    </row>
    <row r="389" spans="1:5" s="105" customFormat="1">
      <c r="A389" s="126"/>
      <c r="B389" s="122" t="s">
        <v>477</v>
      </c>
      <c r="C389" s="118" t="s">
        <v>284</v>
      </c>
      <c r="D389" s="123"/>
      <c r="E389" s="125"/>
    </row>
    <row r="390" spans="1:5" s="105" customFormat="1">
      <c r="A390" s="126"/>
      <c r="B390" s="122" t="s">
        <v>478</v>
      </c>
      <c r="C390" s="118" t="s">
        <v>284</v>
      </c>
      <c r="D390" s="123"/>
      <c r="E390" s="125"/>
    </row>
    <row r="391" spans="1:5" s="105" customFormat="1">
      <c r="A391" s="126"/>
      <c r="B391" s="122" t="s">
        <v>479</v>
      </c>
      <c r="C391" s="118" t="s">
        <v>284</v>
      </c>
      <c r="D391" s="123"/>
      <c r="E391" s="125"/>
    </row>
    <row r="392" spans="1:5" s="105" customFormat="1">
      <c r="A392" s="126"/>
      <c r="B392" s="122" t="s">
        <v>480</v>
      </c>
      <c r="C392" s="118" t="s">
        <v>284</v>
      </c>
      <c r="D392" s="123"/>
      <c r="E392" s="125"/>
    </row>
    <row r="393" spans="1:5" s="105" customFormat="1">
      <c r="A393" s="126"/>
      <c r="B393" s="122" t="s">
        <v>481</v>
      </c>
      <c r="C393" s="118" t="s">
        <v>284</v>
      </c>
      <c r="D393" s="123"/>
      <c r="E393" s="125"/>
    </row>
    <row r="394" spans="1:5" s="105" customFormat="1">
      <c r="A394" s="126"/>
      <c r="B394" s="122" t="s">
        <v>482</v>
      </c>
      <c r="C394" s="118" t="s">
        <v>284</v>
      </c>
      <c r="D394" s="123"/>
      <c r="E394" s="125"/>
    </row>
    <row r="395" spans="1:5" s="105" customFormat="1">
      <c r="A395" s="126"/>
      <c r="B395" s="122" t="s">
        <v>483</v>
      </c>
      <c r="C395" s="118" t="s">
        <v>284</v>
      </c>
      <c r="D395" s="123"/>
      <c r="E395" s="125"/>
    </row>
    <row r="396" spans="1:5" s="105" customFormat="1">
      <c r="A396" s="126"/>
      <c r="B396" s="122" t="s">
        <v>484</v>
      </c>
      <c r="C396" s="118" t="s">
        <v>284</v>
      </c>
      <c r="D396" s="123"/>
      <c r="E396" s="125"/>
    </row>
    <row r="397" spans="1:5" s="105" customFormat="1">
      <c r="A397" s="126"/>
      <c r="B397" s="122" t="s">
        <v>485</v>
      </c>
      <c r="C397" s="118" t="s">
        <v>284</v>
      </c>
      <c r="D397" s="123"/>
      <c r="E397" s="125"/>
    </row>
    <row r="398" spans="1:5" s="105" customFormat="1">
      <c r="A398" s="126"/>
      <c r="B398" s="122" t="s">
        <v>486</v>
      </c>
      <c r="C398" s="118" t="s">
        <v>284</v>
      </c>
      <c r="D398" s="123"/>
      <c r="E398" s="125"/>
    </row>
    <row r="399" spans="1:5" s="105" customFormat="1">
      <c r="A399" s="126"/>
      <c r="B399" s="122" t="s">
        <v>487</v>
      </c>
      <c r="C399" s="118" t="s">
        <v>284</v>
      </c>
      <c r="D399" s="123"/>
      <c r="E399" s="125"/>
    </row>
    <row r="400" spans="1:5" s="105" customFormat="1">
      <c r="A400" s="126"/>
      <c r="B400" s="122" t="s">
        <v>488</v>
      </c>
      <c r="C400" s="118" t="s">
        <v>284</v>
      </c>
      <c r="D400" s="123"/>
      <c r="E400" s="125"/>
    </row>
    <row r="401" spans="1:5" s="105" customFormat="1">
      <c r="A401" s="126"/>
      <c r="B401" s="122" t="s">
        <v>489</v>
      </c>
      <c r="C401" s="118" t="s">
        <v>284</v>
      </c>
      <c r="D401" s="123"/>
      <c r="E401" s="125"/>
    </row>
    <row r="402" spans="1:5" s="105" customFormat="1">
      <c r="A402" s="126"/>
      <c r="B402" s="122"/>
      <c r="C402" s="118"/>
      <c r="D402" s="123"/>
      <c r="E402" s="125"/>
    </row>
    <row r="403" spans="1:5" s="105" customFormat="1">
      <c r="A403" s="126"/>
      <c r="B403" s="122" t="s">
        <v>490</v>
      </c>
      <c r="C403" s="118"/>
      <c r="D403" s="123"/>
      <c r="E403" s="125"/>
    </row>
    <row r="404" spans="1:5" s="105" customFormat="1">
      <c r="A404" s="126"/>
      <c r="B404" s="122" t="s">
        <v>474</v>
      </c>
      <c r="C404" s="118" t="s">
        <v>284</v>
      </c>
      <c r="D404" s="123"/>
      <c r="E404" s="125"/>
    </row>
    <row r="405" spans="1:5" s="105" customFormat="1">
      <c r="A405" s="126"/>
      <c r="B405" s="122" t="s">
        <v>475</v>
      </c>
      <c r="C405" s="118" t="s">
        <v>284</v>
      </c>
      <c r="D405" s="123"/>
      <c r="E405" s="125"/>
    </row>
    <row r="406" spans="1:5" s="105" customFormat="1">
      <c r="A406" s="126"/>
      <c r="B406" s="122" t="s">
        <v>476</v>
      </c>
      <c r="C406" s="118" t="s">
        <v>284</v>
      </c>
      <c r="D406" s="123"/>
      <c r="E406" s="125"/>
    </row>
    <row r="407" spans="1:5" s="105" customFormat="1">
      <c r="A407" s="126"/>
      <c r="B407" s="122" t="s">
        <v>477</v>
      </c>
      <c r="C407" s="118" t="s">
        <v>284</v>
      </c>
      <c r="D407" s="123"/>
      <c r="E407" s="125"/>
    </row>
    <row r="408" spans="1:5" s="105" customFormat="1">
      <c r="A408" s="126"/>
      <c r="B408" s="122" t="s">
        <v>478</v>
      </c>
      <c r="C408" s="118" t="s">
        <v>284</v>
      </c>
      <c r="D408" s="123"/>
      <c r="E408" s="125"/>
    </row>
    <row r="409" spans="1:5" s="105" customFormat="1">
      <c r="A409" s="126"/>
      <c r="B409" s="122" t="s">
        <v>479</v>
      </c>
      <c r="C409" s="118" t="s">
        <v>284</v>
      </c>
      <c r="D409" s="123"/>
      <c r="E409" s="125"/>
    </row>
    <row r="410" spans="1:5" s="105" customFormat="1">
      <c r="A410" s="126"/>
      <c r="B410" s="122" t="s">
        <v>480</v>
      </c>
      <c r="C410" s="118" t="s">
        <v>284</v>
      </c>
      <c r="D410" s="123"/>
      <c r="E410" s="125"/>
    </row>
    <row r="411" spans="1:5" s="105" customFormat="1">
      <c r="A411" s="126"/>
      <c r="B411" s="122" t="s">
        <v>481</v>
      </c>
      <c r="C411" s="118" t="s">
        <v>284</v>
      </c>
      <c r="D411" s="123"/>
      <c r="E411" s="125"/>
    </row>
    <row r="412" spans="1:5" s="105" customFormat="1">
      <c r="A412" s="126"/>
      <c r="B412" s="122" t="s">
        <v>482</v>
      </c>
      <c r="C412" s="118" t="s">
        <v>284</v>
      </c>
      <c r="D412" s="123"/>
      <c r="E412" s="125"/>
    </row>
    <row r="413" spans="1:5" s="105" customFormat="1">
      <c r="A413" s="126"/>
      <c r="B413" s="122" t="s">
        <v>483</v>
      </c>
      <c r="C413" s="118" t="s">
        <v>284</v>
      </c>
      <c r="D413" s="123"/>
      <c r="E413" s="125"/>
    </row>
    <row r="414" spans="1:5" s="105" customFormat="1">
      <c r="A414" s="126"/>
      <c r="B414" s="122" t="s">
        <v>484</v>
      </c>
      <c r="C414" s="118" t="s">
        <v>284</v>
      </c>
      <c r="D414" s="123"/>
      <c r="E414" s="125"/>
    </row>
    <row r="415" spans="1:5" s="105" customFormat="1">
      <c r="A415" s="126"/>
      <c r="B415" s="122" t="s">
        <v>485</v>
      </c>
      <c r="C415" s="118" t="s">
        <v>284</v>
      </c>
      <c r="D415" s="123"/>
      <c r="E415" s="125"/>
    </row>
    <row r="416" spans="1:5" s="105" customFormat="1">
      <c r="A416" s="126"/>
      <c r="B416" s="122" t="s">
        <v>486</v>
      </c>
      <c r="C416" s="118" t="s">
        <v>284</v>
      </c>
      <c r="D416" s="123"/>
      <c r="E416" s="125"/>
    </row>
    <row r="417" spans="1:5" s="105" customFormat="1">
      <c r="A417" s="126"/>
      <c r="B417" s="122" t="s">
        <v>487</v>
      </c>
      <c r="C417" s="118" t="s">
        <v>284</v>
      </c>
      <c r="D417" s="123"/>
      <c r="E417" s="125"/>
    </row>
    <row r="418" spans="1:5" s="105" customFormat="1">
      <c r="A418" s="126"/>
      <c r="B418" s="122" t="s">
        <v>488</v>
      </c>
      <c r="C418" s="118" t="s">
        <v>284</v>
      </c>
      <c r="D418" s="123"/>
      <c r="E418" s="125"/>
    </row>
    <row r="419" spans="1:5" s="105" customFormat="1">
      <c r="A419" s="126"/>
      <c r="B419" s="122" t="s">
        <v>489</v>
      </c>
      <c r="C419" s="118" t="s">
        <v>284</v>
      </c>
      <c r="D419" s="123"/>
      <c r="E419" s="125"/>
    </row>
    <row r="420" spans="1:5" s="105" customFormat="1">
      <c r="A420" s="126"/>
      <c r="B420" s="122"/>
      <c r="C420" s="118"/>
      <c r="D420" s="123"/>
      <c r="E420" s="125"/>
    </row>
    <row r="421" spans="1:5" s="105" customFormat="1">
      <c r="A421" s="126"/>
      <c r="B421" s="122" t="s">
        <v>491</v>
      </c>
      <c r="C421" s="118"/>
      <c r="D421" s="123"/>
      <c r="E421" s="125"/>
    </row>
    <row r="422" spans="1:5" s="105" customFormat="1">
      <c r="A422" s="126"/>
      <c r="B422" s="122" t="s">
        <v>492</v>
      </c>
      <c r="C422" s="118" t="s">
        <v>284</v>
      </c>
      <c r="D422" s="123"/>
      <c r="E422" s="125"/>
    </row>
    <row r="423" spans="1:5" s="105" customFormat="1">
      <c r="A423" s="126"/>
      <c r="B423" s="122" t="s">
        <v>493</v>
      </c>
      <c r="C423" s="118" t="s">
        <v>284</v>
      </c>
      <c r="D423" s="123"/>
      <c r="E423" s="125"/>
    </row>
    <row r="424" spans="1:5" s="105" customFormat="1">
      <c r="A424" s="126"/>
      <c r="B424" s="122" t="s">
        <v>494</v>
      </c>
      <c r="C424" s="118" t="s">
        <v>284</v>
      </c>
      <c r="D424" s="123"/>
      <c r="E424" s="125"/>
    </row>
    <row r="425" spans="1:5" s="105" customFormat="1">
      <c r="A425" s="126"/>
      <c r="B425" s="122"/>
      <c r="C425" s="118"/>
      <c r="D425" s="123"/>
      <c r="E425" s="125"/>
    </row>
    <row r="426" spans="1:5" s="105" customFormat="1">
      <c r="A426" s="128"/>
      <c r="B426" s="127" t="s">
        <v>495</v>
      </c>
      <c r="C426" s="131"/>
      <c r="D426" s="129"/>
      <c r="E426" s="130"/>
    </row>
    <row r="427" spans="1:5" s="105" customFormat="1">
      <c r="A427" s="126"/>
      <c r="B427" s="146" t="s">
        <v>767</v>
      </c>
      <c r="C427" s="118"/>
      <c r="D427" s="123"/>
      <c r="E427" s="125"/>
    </row>
    <row r="428" spans="1:5" s="105" customFormat="1">
      <c r="A428" s="126"/>
      <c r="B428" s="122" t="s">
        <v>496</v>
      </c>
      <c r="C428" s="118" t="s">
        <v>284</v>
      </c>
      <c r="D428" s="123"/>
      <c r="E428" s="125"/>
    </row>
    <row r="429" spans="1:5" s="105" customFormat="1">
      <c r="A429" s="126"/>
      <c r="B429" s="122" t="s">
        <v>497</v>
      </c>
      <c r="C429" s="118" t="s">
        <v>284</v>
      </c>
      <c r="D429" s="123"/>
      <c r="E429" s="125"/>
    </row>
    <row r="430" spans="1:5" s="105" customFormat="1">
      <c r="A430" s="126"/>
      <c r="B430" s="122" t="s">
        <v>498</v>
      </c>
      <c r="C430" s="118" t="s">
        <v>284</v>
      </c>
      <c r="D430" s="123"/>
      <c r="E430" s="125"/>
    </row>
    <row r="431" spans="1:5" s="105" customFormat="1">
      <c r="A431" s="126"/>
      <c r="B431" s="122" t="s">
        <v>499</v>
      </c>
      <c r="C431" s="118" t="s">
        <v>284</v>
      </c>
      <c r="D431" s="123"/>
      <c r="E431" s="125"/>
    </row>
    <row r="432" spans="1:5" s="105" customFormat="1">
      <c r="A432" s="126"/>
      <c r="B432" s="122" t="s">
        <v>500</v>
      </c>
      <c r="C432" s="118" t="s">
        <v>284</v>
      </c>
      <c r="D432" s="123"/>
      <c r="E432" s="125"/>
    </row>
    <row r="433" spans="1:5" s="105" customFormat="1">
      <c r="A433" s="126"/>
      <c r="B433" s="122" t="s">
        <v>501</v>
      </c>
      <c r="C433" s="118" t="s">
        <v>284</v>
      </c>
      <c r="D433" s="123"/>
      <c r="E433" s="125"/>
    </row>
    <row r="434" spans="1:5" s="105" customFormat="1">
      <c r="A434" s="126"/>
      <c r="B434" s="122" t="s">
        <v>502</v>
      </c>
      <c r="C434" s="118" t="s">
        <v>284</v>
      </c>
      <c r="D434" s="123"/>
      <c r="E434" s="125"/>
    </row>
    <row r="435" spans="1:5" s="105" customFormat="1">
      <c r="A435" s="128"/>
      <c r="B435" s="122" t="s">
        <v>503</v>
      </c>
      <c r="C435" s="118" t="s">
        <v>284</v>
      </c>
      <c r="D435" s="129"/>
      <c r="E435" s="130"/>
    </row>
    <row r="436" spans="1:5" s="105" customFormat="1">
      <c r="A436" s="126"/>
      <c r="B436" s="122" t="s">
        <v>504</v>
      </c>
      <c r="C436" s="118" t="s">
        <v>284</v>
      </c>
      <c r="D436" s="123"/>
      <c r="E436" s="125"/>
    </row>
    <row r="437" spans="1:5" s="105" customFormat="1">
      <c r="A437" s="126"/>
      <c r="B437" s="122" t="s">
        <v>505</v>
      </c>
      <c r="C437" s="118" t="s">
        <v>284</v>
      </c>
      <c r="D437" s="123"/>
      <c r="E437" s="125"/>
    </row>
    <row r="438" spans="1:5" s="105" customFormat="1">
      <c r="A438" s="126"/>
      <c r="B438" s="122" t="s">
        <v>506</v>
      </c>
      <c r="C438" s="118" t="s">
        <v>284</v>
      </c>
      <c r="D438" s="123"/>
      <c r="E438" s="125"/>
    </row>
    <row r="439" spans="1:5" s="105" customFormat="1">
      <c r="A439" s="126"/>
      <c r="B439" s="122" t="s">
        <v>507</v>
      </c>
      <c r="C439" s="118" t="s">
        <v>284</v>
      </c>
      <c r="D439" s="123"/>
      <c r="E439" s="125"/>
    </row>
    <row r="440" spans="1:5" s="105" customFormat="1">
      <c r="A440" s="126"/>
      <c r="B440" s="122" t="s">
        <v>508</v>
      </c>
      <c r="C440" s="118" t="s">
        <v>284</v>
      </c>
      <c r="D440" s="123"/>
      <c r="E440" s="125"/>
    </row>
    <row r="441" spans="1:5" s="105" customFormat="1">
      <c r="A441" s="126"/>
      <c r="B441" s="122" t="s">
        <v>509</v>
      </c>
      <c r="C441" s="118" t="s">
        <v>284</v>
      </c>
      <c r="D441" s="123"/>
      <c r="E441" s="125"/>
    </row>
    <row r="442" spans="1:5" s="105" customFormat="1">
      <c r="A442" s="128"/>
      <c r="B442" s="122" t="s">
        <v>510</v>
      </c>
      <c r="C442" s="118" t="s">
        <v>284</v>
      </c>
      <c r="D442" s="129"/>
      <c r="E442" s="130"/>
    </row>
    <row r="443" spans="1:5" s="105" customFormat="1">
      <c r="A443" s="126"/>
      <c r="B443" s="122" t="s">
        <v>511</v>
      </c>
      <c r="C443" s="118" t="s">
        <v>284</v>
      </c>
      <c r="D443" s="123"/>
      <c r="E443" s="125"/>
    </row>
    <row r="444" spans="1:5" s="105" customFormat="1">
      <c r="A444" s="126"/>
      <c r="B444" s="122" t="s">
        <v>512</v>
      </c>
      <c r="C444" s="118" t="s">
        <v>284</v>
      </c>
      <c r="D444" s="123"/>
      <c r="E444" s="125"/>
    </row>
    <row r="445" spans="1:5" s="105" customFormat="1">
      <c r="A445" s="126"/>
      <c r="B445" s="122" t="s">
        <v>513</v>
      </c>
      <c r="C445" s="118" t="s">
        <v>284</v>
      </c>
      <c r="D445" s="123"/>
      <c r="E445" s="125"/>
    </row>
    <row r="446" spans="1:5" s="105" customFormat="1">
      <c r="A446" s="126"/>
      <c r="B446" s="122" t="s">
        <v>514</v>
      </c>
      <c r="C446" s="118" t="s">
        <v>284</v>
      </c>
      <c r="D446" s="123"/>
      <c r="E446" s="125"/>
    </row>
    <row r="447" spans="1:5" s="105" customFormat="1">
      <c r="A447" s="126"/>
      <c r="B447" s="122" t="s">
        <v>515</v>
      </c>
      <c r="C447" s="118" t="s">
        <v>284</v>
      </c>
      <c r="D447" s="123"/>
      <c r="E447" s="125"/>
    </row>
    <row r="448" spans="1:5" s="105" customFormat="1">
      <c r="A448" s="126"/>
      <c r="B448" s="122" t="s">
        <v>516</v>
      </c>
      <c r="C448" s="118" t="s">
        <v>284</v>
      </c>
      <c r="D448" s="123"/>
      <c r="E448" s="125"/>
    </row>
    <row r="449" spans="1:5" s="105" customFormat="1">
      <c r="A449" s="126"/>
      <c r="B449" s="122" t="s">
        <v>517</v>
      </c>
      <c r="C449" s="118" t="s">
        <v>284</v>
      </c>
      <c r="D449" s="123"/>
      <c r="E449" s="125"/>
    </row>
    <row r="450" spans="1:5" s="105" customFormat="1">
      <c r="A450" s="128"/>
      <c r="B450" s="122" t="s">
        <v>518</v>
      </c>
      <c r="C450" s="118" t="s">
        <v>284</v>
      </c>
      <c r="D450" s="129"/>
      <c r="E450" s="130"/>
    </row>
    <row r="451" spans="1:5" s="105" customFormat="1">
      <c r="A451" s="126"/>
      <c r="B451" s="122" t="s">
        <v>519</v>
      </c>
      <c r="C451" s="118" t="s">
        <v>284</v>
      </c>
      <c r="D451" s="123"/>
      <c r="E451" s="125"/>
    </row>
    <row r="452" spans="1:5" s="105" customFormat="1">
      <c r="A452" s="126"/>
      <c r="B452" s="122" t="s">
        <v>520</v>
      </c>
      <c r="C452" s="118" t="s">
        <v>284</v>
      </c>
      <c r="D452" s="123"/>
      <c r="E452" s="125"/>
    </row>
    <row r="453" spans="1:5" s="105" customFormat="1">
      <c r="A453" s="126"/>
      <c r="B453" s="122" t="s">
        <v>521</v>
      </c>
      <c r="C453" s="118" t="s">
        <v>284</v>
      </c>
      <c r="D453" s="123"/>
      <c r="E453" s="125"/>
    </row>
    <row r="454" spans="1:5" s="105" customFormat="1">
      <c r="A454" s="126"/>
      <c r="B454" s="122" t="s">
        <v>522</v>
      </c>
      <c r="C454" s="118"/>
      <c r="D454" s="123"/>
      <c r="E454" s="125"/>
    </row>
    <row r="455" spans="1:5" s="105" customFormat="1">
      <c r="A455" s="126"/>
      <c r="B455" s="122"/>
      <c r="C455" s="118"/>
      <c r="D455" s="123"/>
      <c r="E455" s="125"/>
    </row>
    <row r="456" spans="1:5" s="105" customFormat="1">
      <c r="A456" s="126"/>
      <c r="B456" s="127" t="s">
        <v>523</v>
      </c>
      <c r="C456" s="118"/>
      <c r="D456" s="123"/>
      <c r="E456" s="125"/>
    </row>
    <row r="457" spans="1:5" s="105" customFormat="1">
      <c r="A457" s="126"/>
      <c r="B457" s="146" t="s">
        <v>767</v>
      </c>
      <c r="C457" s="118"/>
      <c r="D457" s="123"/>
      <c r="E457" s="125"/>
    </row>
    <row r="458" spans="1:5" s="105" customFormat="1">
      <c r="A458" s="126"/>
      <c r="B458" s="122" t="s">
        <v>524</v>
      </c>
      <c r="C458" s="118"/>
      <c r="D458" s="123"/>
      <c r="E458" s="125"/>
    </row>
    <row r="459" spans="1:5" s="105" customFormat="1">
      <c r="A459" s="126"/>
      <c r="B459" s="122" t="s">
        <v>525</v>
      </c>
      <c r="C459" s="118" t="s">
        <v>208</v>
      </c>
      <c r="D459" s="123"/>
      <c r="E459" s="125"/>
    </row>
    <row r="460" spans="1:5" s="105" customFormat="1">
      <c r="A460" s="126"/>
      <c r="B460" s="122" t="s">
        <v>526</v>
      </c>
      <c r="C460" s="118" t="s">
        <v>208</v>
      </c>
      <c r="D460" s="123"/>
      <c r="E460" s="125"/>
    </row>
    <row r="461" spans="1:5" s="105" customFormat="1">
      <c r="A461" s="126"/>
      <c r="B461" s="122" t="s">
        <v>527</v>
      </c>
      <c r="C461" s="118" t="s">
        <v>208</v>
      </c>
      <c r="D461" s="123"/>
      <c r="E461" s="125"/>
    </row>
    <row r="462" spans="1:5" s="105" customFormat="1">
      <c r="A462" s="126"/>
      <c r="B462" s="122" t="s">
        <v>528</v>
      </c>
      <c r="C462" s="118" t="s">
        <v>208</v>
      </c>
      <c r="D462" s="123"/>
      <c r="E462" s="125"/>
    </row>
    <row r="463" spans="1:5" s="105" customFormat="1">
      <c r="A463" s="126"/>
      <c r="B463" s="122" t="s">
        <v>529</v>
      </c>
      <c r="C463" s="118" t="s">
        <v>208</v>
      </c>
      <c r="D463" s="123"/>
      <c r="E463" s="125"/>
    </row>
    <row r="464" spans="1:5" s="105" customFormat="1">
      <c r="A464" s="126"/>
      <c r="B464" s="122" t="s">
        <v>530</v>
      </c>
      <c r="C464" s="118" t="s">
        <v>208</v>
      </c>
      <c r="D464" s="123"/>
      <c r="E464" s="125"/>
    </row>
    <row r="465" spans="1:5" s="105" customFormat="1">
      <c r="A465" s="126"/>
      <c r="B465" s="122" t="s">
        <v>531</v>
      </c>
      <c r="C465" s="118" t="s">
        <v>208</v>
      </c>
      <c r="D465" s="123"/>
      <c r="E465" s="125"/>
    </row>
    <row r="466" spans="1:5" s="105" customFormat="1">
      <c r="A466" s="126"/>
      <c r="B466" s="122" t="s">
        <v>532</v>
      </c>
      <c r="C466" s="118" t="s">
        <v>208</v>
      </c>
      <c r="D466" s="123"/>
      <c r="E466" s="125"/>
    </row>
    <row r="467" spans="1:5" s="105" customFormat="1">
      <c r="A467" s="126"/>
      <c r="B467" s="122" t="s">
        <v>533</v>
      </c>
      <c r="C467" s="118" t="s">
        <v>208</v>
      </c>
      <c r="D467" s="123"/>
      <c r="E467" s="125"/>
    </row>
    <row r="468" spans="1:5" s="105" customFormat="1">
      <c r="A468" s="126"/>
      <c r="B468" s="122" t="s">
        <v>534</v>
      </c>
      <c r="C468" s="118" t="s">
        <v>208</v>
      </c>
      <c r="D468" s="123"/>
      <c r="E468" s="125"/>
    </row>
    <row r="469" spans="1:5" s="105" customFormat="1">
      <c r="A469" s="126"/>
      <c r="B469" s="122" t="s">
        <v>535</v>
      </c>
      <c r="C469" s="118" t="s">
        <v>208</v>
      </c>
      <c r="D469" s="123"/>
      <c r="E469" s="125"/>
    </row>
    <row r="470" spans="1:5" s="105" customFormat="1">
      <c r="A470" s="126"/>
      <c r="B470" s="122" t="s">
        <v>536</v>
      </c>
      <c r="C470" s="118" t="s">
        <v>208</v>
      </c>
      <c r="D470" s="123"/>
      <c r="E470" s="125"/>
    </row>
    <row r="471" spans="1:5" s="105" customFormat="1" ht="26">
      <c r="A471" s="126"/>
      <c r="B471" s="122" t="s">
        <v>537</v>
      </c>
      <c r="C471" s="118" t="s">
        <v>208</v>
      </c>
      <c r="D471" s="123"/>
      <c r="E471" s="125"/>
    </row>
    <row r="472" spans="1:5" s="105" customFormat="1" ht="26">
      <c r="A472" s="126"/>
      <c r="B472" s="122" t="s">
        <v>538</v>
      </c>
      <c r="C472" s="118" t="s">
        <v>208</v>
      </c>
      <c r="D472" s="123"/>
      <c r="E472" s="125"/>
    </row>
    <row r="473" spans="1:5" s="105" customFormat="1" ht="26">
      <c r="A473" s="126"/>
      <c r="B473" s="122" t="s">
        <v>539</v>
      </c>
      <c r="C473" s="118" t="s">
        <v>208</v>
      </c>
      <c r="D473" s="123"/>
      <c r="E473" s="125"/>
    </row>
    <row r="474" spans="1:5" s="105" customFormat="1" ht="26">
      <c r="A474" s="126"/>
      <c r="B474" s="122" t="s">
        <v>540</v>
      </c>
      <c r="C474" s="118" t="s">
        <v>208</v>
      </c>
      <c r="D474" s="123"/>
      <c r="E474" s="125"/>
    </row>
    <row r="475" spans="1:5" s="105" customFormat="1" ht="26">
      <c r="A475" s="128"/>
      <c r="B475" s="122" t="s">
        <v>541</v>
      </c>
      <c r="C475" s="118" t="s">
        <v>208</v>
      </c>
      <c r="D475" s="129"/>
      <c r="E475" s="130"/>
    </row>
    <row r="476" spans="1:5" s="105" customFormat="1" ht="26">
      <c r="A476" s="128"/>
      <c r="B476" s="122" t="s">
        <v>542</v>
      </c>
      <c r="C476" s="118" t="s">
        <v>208</v>
      </c>
      <c r="D476" s="129"/>
      <c r="E476" s="130"/>
    </row>
    <row r="477" spans="1:5" s="105" customFormat="1">
      <c r="A477" s="126"/>
      <c r="B477" s="122" t="s">
        <v>543</v>
      </c>
      <c r="C477" s="118" t="s">
        <v>208</v>
      </c>
      <c r="D477" s="123"/>
      <c r="E477" s="125"/>
    </row>
    <row r="478" spans="1:5" s="105" customFormat="1">
      <c r="A478" s="126"/>
      <c r="B478" s="122" t="s">
        <v>544</v>
      </c>
      <c r="C478" s="118" t="s">
        <v>208</v>
      </c>
      <c r="D478" s="123"/>
      <c r="E478" s="125"/>
    </row>
    <row r="479" spans="1:5" s="105" customFormat="1">
      <c r="A479" s="126"/>
      <c r="B479" s="122" t="s">
        <v>545</v>
      </c>
      <c r="C479" s="118" t="s">
        <v>208</v>
      </c>
      <c r="D479" s="123"/>
      <c r="E479" s="125"/>
    </row>
    <row r="480" spans="1:5" s="105" customFormat="1">
      <c r="A480" s="126"/>
      <c r="B480" s="122" t="s">
        <v>546</v>
      </c>
      <c r="C480" s="118" t="s">
        <v>208</v>
      </c>
      <c r="D480" s="123"/>
      <c r="E480" s="125"/>
    </row>
    <row r="481" spans="1:5" s="105" customFormat="1">
      <c r="A481" s="126"/>
      <c r="B481" s="122" t="s">
        <v>547</v>
      </c>
      <c r="C481" s="118" t="s">
        <v>208</v>
      </c>
      <c r="D481" s="123"/>
      <c r="E481" s="125"/>
    </row>
    <row r="482" spans="1:5" s="105" customFormat="1">
      <c r="A482" s="126"/>
      <c r="B482" s="122" t="s">
        <v>548</v>
      </c>
      <c r="C482" s="118" t="s">
        <v>208</v>
      </c>
      <c r="D482" s="123"/>
      <c r="E482" s="125"/>
    </row>
    <row r="483" spans="1:5" s="105" customFormat="1">
      <c r="A483" s="126"/>
      <c r="B483" s="122" t="s">
        <v>549</v>
      </c>
      <c r="C483" s="118" t="s">
        <v>208</v>
      </c>
      <c r="D483" s="123"/>
      <c r="E483" s="125"/>
    </row>
    <row r="484" spans="1:5" s="105" customFormat="1" ht="14.5" customHeight="1">
      <c r="A484" s="126"/>
      <c r="B484" s="122" t="s">
        <v>550</v>
      </c>
      <c r="C484" s="118" t="s">
        <v>208</v>
      </c>
      <c r="D484" s="123"/>
      <c r="E484" s="125"/>
    </row>
    <row r="485" spans="1:5" s="105" customFormat="1">
      <c r="A485" s="126"/>
      <c r="B485" s="122" t="s">
        <v>551</v>
      </c>
      <c r="C485" s="118" t="s">
        <v>208</v>
      </c>
      <c r="D485" s="123"/>
      <c r="E485" s="125"/>
    </row>
    <row r="486" spans="1:5" s="105" customFormat="1" ht="13" customHeight="1">
      <c r="A486" s="126"/>
      <c r="B486" s="122" t="s">
        <v>552</v>
      </c>
      <c r="C486" s="118" t="s">
        <v>208</v>
      </c>
      <c r="D486" s="123"/>
      <c r="E486" s="125"/>
    </row>
    <row r="487" spans="1:5" s="105" customFormat="1">
      <c r="A487" s="126"/>
      <c r="B487" s="122" t="s">
        <v>553</v>
      </c>
      <c r="C487" s="118" t="s">
        <v>208</v>
      </c>
      <c r="D487" s="123"/>
      <c r="E487" s="125"/>
    </row>
    <row r="488" spans="1:5" s="105" customFormat="1" ht="14.5" customHeight="1">
      <c r="A488" s="126"/>
      <c r="B488" s="122" t="s">
        <v>554</v>
      </c>
      <c r="C488" s="118" t="s">
        <v>208</v>
      </c>
      <c r="D488" s="123"/>
      <c r="E488" s="125"/>
    </row>
    <row r="489" spans="1:5" s="105" customFormat="1">
      <c r="A489" s="126"/>
      <c r="B489" s="122" t="s">
        <v>522</v>
      </c>
      <c r="C489" s="118"/>
      <c r="D489" s="123"/>
      <c r="E489" s="125"/>
    </row>
    <row r="490" spans="1:5" s="105" customFormat="1">
      <c r="A490" s="126"/>
      <c r="B490" s="122"/>
      <c r="C490" s="118"/>
      <c r="D490" s="123"/>
      <c r="E490" s="125"/>
    </row>
    <row r="491" spans="1:5" s="105" customFormat="1">
      <c r="A491" s="126"/>
      <c r="B491" s="122" t="s">
        <v>555</v>
      </c>
      <c r="C491" s="118"/>
      <c r="D491" s="123"/>
      <c r="E491" s="125"/>
    </row>
    <row r="492" spans="1:5" s="105" customFormat="1">
      <c r="A492" s="126"/>
      <c r="B492" s="122" t="s">
        <v>556</v>
      </c>
      <c r="C492" s="118"/>
      <c r="D492" s="123"/>
      <c r="E492" s="125"/>
    </row>
    <row r="493" spans="1:5" s="105" customFormat="1">
      <c r="A493" s="126"/>
      <c r="B493" s="122" t="s">
        <v>557</v>
      </c>
      <c r="C493" s="118"/>
      <c r="D493" s="123"/>
      <c r="E493" s="125"/>
    </row>
    <row r="494" spans="1:5" s="105" customFormat="1">
      <c r="A494" s="126"/>
      <c r="B494" s="122" t="s">
        <v>558</v>
      </c>
      <c r="C494" s="118" t="s">
        <v>208</v>
      </c>
      <c r="D494" s="123"/>
      <c r="E494" s="125"/>
    </row>
    <row r="495" spans="1:5" s="105" customFormat="1">
      <c r="A495" s="126"/>
      <c r="B495" s="122" t="s">
        <v>559</v>
      </c>
      <c r="C495" s="118" t="s">
        <v>208</v>
      </c>
      <c r="D495" s="123"/>
      <c r="E495" s="125"/>
    </row>
    <row r="496" spans="1:5" s="105" customFormat="1">
      <c r="A496" s="126"/>
      <c r="B496" s="122" t="s">
        <v>560</v>
      </c>
      <c r="C496" s="118" t="s">
        <v>208</v>
      </c>
      <c r="D496" s="123"/>
      <c r="E496" s="125"/>
    </row>
    <row r="497" spans="1:5" s="105" customFormat="1">
      <c r="A497" s="126"/>
      <c r="B497" s="122" t="s">
        <v>561</v>
      </c>
      <c r="C497" s="118" t="s">
        <v>208</v>
      </c>
      <c r="D497" s="123"/>
      <c r="E497" s="125"/>
    </row>
    <row r="498" spans="1:5" s="105" customFormat="1">
      <c r="A498" s="126"/>
      <c r="B498" s="122" t="s">
        <v>562</v>
      </c>
      <c r="C498" s="118" t="s">
        <v>208</v>
      </c>
      <c r="D498" s="123"/>
      <c r="E498" s="125"/>
    </row>
    <row r="499" spans="1:5" s="105" customFormat="1">
      <c r="A499" s="126"/>
      <c r="B499" s="122" t="s">
        <v>563</v>
      </c>
      <c r="C499" s="118" t="s">
        <v>208</v>
      </c>
      <c r="D499" s="123"/>
      <c r="E499" s="125"/>
    </row>
    <row r="500" spans="1:5" s="105" customFormat="1">
      <c r="A500" s="126"/>
      <c r="B500" s="122" t="s">
        <v>564</v>
      </c>
      <c r="C500" s="118" t="s">
        <v>208</v>
      </c>
      <c r="D500" s="123"/>
      <c r="E500" s="125"/>
    </row>
    <row r="501" spans="1:5" s="105" customFormat="1">
      <c r="A501" s="126"/>
      <c r="B501" s="122" t="s">
        <v>565</v>
      </c>
      <c r="C501" s="118" t="s">
        <v>208</v>
      </c>
      <c r="D501" s="123"/>
      <c r="E501" s="125"/>
    </row>
    <row r="502" spans="1:5" s="105" customFormat="1">
      <c r="A502" s="126"/>
      <c r="B502" s="122" t="s">
        <v>566</v>
      </c>
      <c r="C502" s="118" t="s">
        <v>208</v>
      </c>
      <c r="D502" s="123"/>
      <c r="E502" s="125"/>
    </row>
    <row r="503" spans="1:5" s="105" customFormat="1">
      <c r="A503" s="126"/>
      <c r="B503" s="122" t="s">
        <v>567</v>
      </c>
      <c r="C503" s="118"/>
      <c r="D503" s="123"/>
      <c r="E503" s="125"/>
    </row>
    <row r="504" spans="1:5" s="105" customFormat="1">
      <c r="A504" s="126"/>
      <c r="B504" s="122" t="s">
        <v>558</v>
      </c>
      <c r="C504" s="118" t="s">
        <v>284</v>
      </c>
      <c r="D504" s="123"/>
      <c r="E504" s="125"/>
    </row>
    <row r="505" spans="1:5" s="105" customFormat="1">
      <c r="A505" s="126"/>
      <c r="B505" s="122" t="s">
        <v>559</v>
      </c>
      <c r="C505" s="118" t="s">
        <v>284</v>
      </c>
      <c r="D505" s="123"/>
      <c r="E505" s="125"/>
    </row>
    <row r="506" spans="1:5" s="105" customFormat="1">
      <c r="A506" s="126"/>
      <c r="B506" s="122" t="s">
        <v>560</v>
      </c>
      <c r="C506" s="118" t="s">
        <v>284</v>
      </c>
      <c r="D506" s="123"/>
      <c r="E506" s="125"/>
    </row>
    <row r="507" spans="1:5" s="105" customFormat="1">
      <c r="A507" s="126"/>
      <c r="B507" s="122" t="s">
        <v>561</v>
      </c>
      <c r="C507" s="118" t="s">
        <v>284</v>
      </c>
      <c r="D507" s="123"/>
      <c r="E507" s="125"/>
    </row>
    <row r="508" spans="1:5" s="105" customFormat="1">
      <c r="A508" s="126"/>
      <c r="B508" s="122" t="s">
        <v>562</v>
      </c>
      <c r="C508" s="118" t="s">
        <v>284</v>
      </c>
      <c r="D508" s="123"/>
      <c r="E508" s="125"/>
    </row>
    <row r="509" spans="1:5" s="105" customFormat="1">
      <c r="A509" s="126"/>
      <c r="B509" s="122" t="s">
        <v>563</v>
      </c>
      <c r="C509" s="118" t="s">
        <v>284</v>
      </c>
      <c r="D509" s="123"/>
      <c r="E509" s="125"/>
    </row>
    <row r="510" spans="1:5" s="105" customFormat="1">
      <c r="A510" s="126"/>
      <c r="B510" s="122" t="s">
        <v>564</v>
      </c>
      <c r="C510" s="118" t="s">
        <v>284</v>
      </c>
      <c r="D510" s="123"/>
      <c r="E510" s="125"/>
    </row>
    <row r="511" spans="1:5" s="105" customFormat="1">
      <c r="A511" s="126"/>
      <c r="B511" s="122" t="s">
        <v>565</v>
      </c>
      <c r="C511" s="118" t="s">
        <v>284</v>
      </c>
      <c r="D511" s="123"/>
      <c r="E511" s="125"/>
    </row>
    <row r="512" spans="1:5" s="105" customFormat="1">
      <c r="A512" s="126"/>
      <c r="B512" s="122" t="s">
        <v>566</v>
      </c>
      <c r="C512" s="118" t="s">
        <v>284</v>
      </c>
      <c r="D512" s="123"/>
      <c r="E512" s="125"/>
    </row>
    <row r="513" spans="1:5" s="105" customFormat="1">
      <c r="A513" s="126"/>
      <c r="B513" s="122" t="s">
        <v>568</v>
      </c>
      <c r="C513" s="118"/>
      <c r="D513" s="123"/>
      <c r="E513" s="125"/>
    </row>
    <row r="514" spans="1:5" s="105" customFormat="1">
      <c r="A514" s="126"/>
      <c r="B514" s="122" t="s">
        <v>558</v>
      </c>
      <c r="C514" s="118" t="s">
        <v>208</v>
      </c>
      <c r="D514" s="123"/>
      <c r="E514" s="125"/>
    </row>
    <row r="515" spans="1:5" s="105" customFormat="1">
      <c r="A515" s="126"/>
      <c r="B515" s="122" t="s">
        <v>559</v>
      </c>
      <c r="C515" s="118" t="s">
        <v>208</v>
      </c>
      <c r="D515" s="123"/>
      <c r="E515" s="125"/>
    </row>
    <row r="516" spans="1:5" s="105" customFormat="1">
      <c r="A516" s="126"/>
      <c r="B516" s="122" t="s">
        <v>560</v>
      </c>
      <c r="C516" s="118" t="s">
        <v>208</v>
      </c>
      <c r="D516" s="123"/>
      <c r="E516" s="125"/>
    </row>
    <row r="517" spans="1:5" s="105" customFormat="1">
      <c r="A517" s="126"/>
      <c r="B517" s="122" t="s">
        <v>561</v>
      </c>
      <c r="C517" s="118" t="s">
        <v>208</v>
      </c>
      <c r="D517" s="123"/>
      <c r="E517" s="125"/>
    </row>
    <row r="518" spans="1:5" s="105" customFormat="1">
      <c r="A518" s="126"/>
      <c r="B518" s="122" t="s">
        <v>562</v>
      </c>
      <c r="C518" s="118" t="s">
        <v>208</v>
      </c>
      <c r="D518" s="123"/>
      <c r="E518" s="125"/>
    </row>
    <row r="519" spans="1:5" s="105" customFormat="1">
      <c r="A519" s="126"/>
      <c r="B519" s="122" t="s">
        <v>563</v>
      </c>
      <c r="C519" s="118" t="s">
        <v>208</v>
      </c>
      <c r="D519" s="123"/>
      <c r="E519" s="125"/>
    </row>
    <row r="520" spans="1:5" s="105" customFormat="1">
      <c r="A520" s="126"/>
      <c r="B520" s="122" t="s">
        <v>564</v>
      </c>
      <c r="C520" s="118" t="s">
        <v>208</v>
      </c>
      <c r="D520" s="123"/>
      <c r="E520" s="125"/>
    </row>
    <row r="521" spans="1:5" s="105" customFormat="1">
      <c r="A521" s="126"/>
      <c r="B521" s="122" t="s">
        <v>565</v>
      </c>
      <c r="C521" s="118" t="s">
        <v>208</v>
      </c>
      <c r="D521" s="123"/>
      <c r="E521" s="125"/>
    </row>
    <row r="522" spans="1:5" s="105" customFormat="1">
      <c r="A522" s="126"/>
      <c r="B522" s="122" t="s">
        <v>566</v>
      </c>
      <c r="C522" s="118" t="s">
        <v>208</v>
      </c>
      <c r="D522" s="123"/>
      <c r="E522" s="125"/>
    </row>
    <row r="523" spans="1:5" s="105" customFormat="1">
      <c r="A523" s="126"/>
      <c r="B523" s="122" t="s">
        <v>569</v>
      </c>
      <c r="C523" s="118"/>
      <c r="D523" s="123"/>
      <c r="E523" s="125"/>
    </row>
    <row r="524" spans="1:5" s="105" customFormat="1">
      <c r="A524" s="126"/>
      <c r="B524" s="122" t="s">
        <v>558</v>
      </c>
      <c r="C524" s="118" t="s">
        <v>284</v>
      </c>
      <c r="D524" s="123"/>
      <c r="E524" s="125"/>
    </row>
    <row r="525" spans="1:5" s="105" customFormat="1">
      <c r="A525" s="126"/>
      <c r="B525" s="122" t="s">
        <v>559</v>
      </c>
      <c r="C525" s="118" t="s">
        <v>284</v>
      </c>
      <c r="D525" s="123"/>
      <c r="E525" s="125"/>
    </row>
    <row r="526" spans="1:5" s="105" customFormat="1">
      <c r="A526" s="126"/>
      <c r="B526" s="122" t="s">
        <v>560</v>
      </c>
      <c r="C526" s="118" t="s">
        <v>284</v>
      </c>
      <c r="D526" s="123"/>
      <c r="E526" s="125"/>
    </row>
    <row r="527" spans="1:5" s="105" customFormat="1">
      <c r="A527" s="126"/>
      <c r="B527" s="122" t="s">
        <v>561</v>
      </c>
      <c r="C527" s="118" t="s">
        <v>284</v>
      </c>
      <c r="D527" s="123"/>
      <c r="E527" s="125"/>
    </row>
    <row r="528" spans="1:5" s="105" customFormat="1">
      <c r="A528" s="126"/>
      <c r="B528" s="122" t="s">
        <v>562</v>
      </c>
      <c r="C528" s="118" t="s">
        <v>284</v>
      </c>
      <c r="D528" s="123"/>
      <c r="E528" s="125"/>
    </row>
    <row r="529" spans="1:5" s="105" customFormat="1">
      <c r="A529" s="126"/>
      <c r="B529" s="122" t="s">
        <v>563</v>
      </c>
      <c r="C529" s="118" t="s">
        <v>284</v>
      </c>
      <c r="D529" s="123"/>
      <c r="E529" s="125"/>
    </row>
    <row r="530" spans="1:5" s="105" customFormat="1">
      <c r="A530" s="126"/>
      <c r="B530" s="122" t="s">
        <v>564</v>
      </c>
      <c r="C530" s="118" t="s">
        <v>284</v>
      </c>
      <c r="D530" s="123"/>
      <c r="E530" s="125"/>
    </row>
    <row r="531" spans="1:5" s="105" customFormat="1">
      <c r="A531" s="126"/>
      <c r="B531" s="122" t="s">
        <v>565</v>
      </c>
      <c r="C531" s="118" t="s">
        <v>284</v>
      </c>
      <c r="D531" s="123"/>
      <c r="E531" s="125"/>
    </row>
    <row r="532" spans="1:5" s="105" customFormat="1">
      <c r="A532" s="126"/>
      <c r="B532" s="122" t="s">
        <v>566</v>
      </c>
      <c r="C532" s="118" t="s">
        <v>284</v>
      </c>
      <c r="D532" s="123"/>
      <c r="E532" s="125"/>
    </row>
    <row r="533" spans="1:5" s="105" customFormat="1">
      <c r="A533" s="126"/>
      <c r="B533" s="122"/>
      <c r="C533" s="118"/>
      <c r="D533" s="123"/>
      <c r="E533" s="125"/>
    </row>
    <row r="534" spans="1:5" s="105" customFormat="1">
      <c r="A534" s="126"/>
      <c r="B534" s="122" t="s">
        <v>570</v>
      </c>
      <c r="C534" s="118"/>
      <c r="D534" s="123"/>
      <c r="E534" s="125"/>
    </row>
    <row r="535" spans="1:5" s="105" customFormat="1">
      <c r="A535" s="126"/>
      <c r="B535" s="122" t="s">
        <v>557</v>
      </c>
      <c r="C535" s="118"/>
      <c r="D535" s="123"/>
      <c r="E535" s="125"/>
    </row>
    <row r="536" spans="1:5" s="105" customFormat="1">
      <c r="A536" s="126"/>
      <c r="B536" s="122" t="s">
        <v>558</v>
      </c>
      <c r="C536" s="118" t="s">
        <v>208</v>
      </c>
      <c r="D536" s="123"/>
      <c r="E536" s="125"/>
    </row>
    <row r="537" spans="1:5" s="105" customFormat="1">
      <c r="A537" s="126"/>
      <c r="B537" s="122" t="s">
        <v>559</v>
      </c>
      <c r="C537" s="118" t="s">
        <v>208</v>
      </c>
      <c r="D537" s="123"/>
      <c r="E537" s="125"/>
    </row>
    <row r="538" spans="1:5" s="105" customFormat="1">
      <c r="A538" s="126"/>
      <c r="B538" s="122" t="s">
        <v>560</v>
      </c>
      <c r="C538" s="118" t="s">
        <v>208</v>
      </c>
      <c r="D538" s="123"/>
      <c r="E538" s="125"/>
    </row>
    <row r="539" spans="1:5" s="105" customFormat="1">
      <c r="A539" s="126"/>
      <c r="B539" s="122" t="s">
        <v>561</v>
      </c>
      <c r="C539" s="118" t="s">
        <v>208</v>
      </c>
      <c r="D539" s="123"/>
      <c r="E539" s="125"/>
    </row>
    <row r="540" spans="1:5" s="105" customFormat="1">
      <c r="A540" s="126"/>
      <c r="B540" s="122" t="s">
        <v>562</v>
      </c>
      <c r="C540" s="118" t="s">
        <v>208</v>
      </c>
      <c r="D540" s="123"/>
      <c r="E540" s="125"/>
    </row>
    <row r="541" spans="1:5" s="105" customFormat="1">
      <c r="A541" s="126"/>
      <c r="B541" s="122" t="s">
        <v>563</v>
      </c>
      <c r="C541" s="118" t="s">
        <v>208</v>
      </c>
      <c r="D541" s="123"/>
      <c r="E541" s="125"/>
    </row>
    <row r="542" spans="1:5" s="105" customFormat="1">
      <c r="A542" s="126"/>
      <c r="B542" s="122" t="s">
        <v>564</v>
      </c>
      <c r="C542" s="118" t="s">
        <v>208</v>
      </c>
      <c r="D542" s="123"/>
      <c r="E542" s="125"/>
    </row>
    <row r="543" spans="1:5" s="105" customFormat="1">
      <c r="A543" s="126"/>
      <c r="B543" s="122" t="s">
        <v>565</v>
      </c>
      <c r="C543" s="118" t="s">
        <v>208</v>
      </c>
      <c r="D543" s="123"/>
      <c r="E543" s="125"/>
    </row>
    <row r="544" spans="1:5" s="105" customFormat="1">
      <c r="A544" s="126"/>
      <c r="B544" s="122" t="s">
        <v>566</v>
      </c>
      <c r="C544" s="118" t="s">
        <v>208</v>
      </c>
      <c r="D544" s="123"/>
      <c r="E544" s="125"/>
    </row>
    <row r="545" spans="1:5" s="105" customFormat="1">
      <c r="A545" s="126"/>
      <c r="B545" s="122" t="s">
        <v>567</v>
      </c>
      <c r="C545" s="118"/>
      <c r="D545" s="123"/>
      <c r="E545" s="125"/>
    </row>
    <row r="546" spans="1:5" s="105" customFormat="1">
      <c r="A546" s="126"/>
      <c r="B546" s="122" t="s">
        <v>558</v>
      </c>
      <c r="C546" s="118" t="s">
        <v>284</v>
      </c>
      <c r="D546" s="123"/>
      <c r="E546" s="125"/>
    </row>
    <row r="547" spans="1:5" s="105" customFormat="1">
      <c r="A547" s="126"/>
      <c r="B547" s="122" t="s">
        <v>559</v>
      </c>
      <c r="C547" s="118" t="s">
        <v>284</v>
      </c>
      <c r="D547" s="123"/>
      <c r="E547" s="125"/>
    </row>
    <row r="548" spans="1:5" s="105" customFormat="1">
      <c r="A548" s="126"/>
      <c r="B548" s="122" t="s">
        <v>560</v>
      </c>
      <c r="C548" s="118" t="s">
        <v>284</v>
      </c>
      <c r="D548" s="123"/>
      <c r="E548" s="125"/>
    </row>
    <row r="549" spans="1:5" s="105" customFormat="1">
      <c r="A549" s="126"/>
      <c r="B549" s="122" t="s">
        <v>561</v>
      </c>
      <c r="C549" s="118" t="s">
        <v>284</v>
      </c>
      <c r="D549" s="123"/>
      <c r="E549" s="125"/>
    </row>
    <row r="550" spans="1:5" s="105" customFormat="1">
      <c r="A550" s="126"/>
      <c r="B550" s="122" t="s">
        <v>562</v>
      </c>
      <c r="C550" s="118" t="s">
        <v>284</v>
      </c>
      <c r="D550" s="123"/>
      <c r="E550" s="125"/>
    </row>
    <row r="551" spans="1:5" s="105" customFormat="1">
      <c r="A551" s="126"/>
      <c r="B551" s="122" t="s">
        <v>563</v>
      </c>
      <c r="C551" s="118" t="s">
        <v>284</v>
      </c>
      <c r="D551" s="123"/>
      <c r="E551" s="125"/>
    </row>
    <row r="552" spans="1:5" s="105" customFormat="1">
      <c r="A552" s="126"/>
      <c r="B552" s="122" t="s">
        <v>564</v>
      </c>
      <c r="C552" s="118" t="s">
        <v>284</v>
      </c>
      <c r="D552" s="123"/>
      <c r="E552" s="125"/>
    </row>
    <row r="553" spans="1:5" s="105" customFormat="1">
      <c r="A553" s="126"/>
      <c r="B553" s="122" t="s">
        <v>565</v>
      </c>
      <c r="C553" s="118" t="s">
        <v>284</v>
      </c>
      <c r="D553" s="123"/>
      <c r="E553" s="125"/>
    </row>
    <row r="554" spans="1:5" s="105" customFormat="1">
      <c r="A554" s="126"/>
      <c r="B554" s="122" t="s">
        <v>566</v>
      </c>
      <c r="C554" s="118" t="s">
        <v>284</v>
      </c>
      <c r="D554" s="123"/>
      <c r="E554" s="125"/>
    </row>
    <row r="555" spans="1:5" s="105" customFormat="1">
      <c r="A555" s="126"/>
      <c r="B555" s="122" t="s">
        <v>568</v>
      </c>
      <c r="C555" s="118"/>
      <c r="D555" s="123"/>
      <c r="E555" s="125"/>
    </row>
    <row r="556" spans="1:5" s="105" customFormat="1">
      <c r="A556" s="126"/>
      <c r="B556" s="122" t="s">
        <v>558</v>
      </c>
      <c r="C556" s="118" t="s">
        <v>208</v>
      </c>
      <c r="D556" s="123"/>
      <c r="E556" s="125"/>
    </row>
    <row r="557" spans="1:5" s="105" customFormat="1">
      <c r="A557" s="126"/>
      <c r="B557" s="122" t="s">
        <v>559</v>
      </c>
      <c r="C557" s="118" t="s">
        <v>208</v>
      </c>
      <c r="D557" s="123"/>
      <c r="E557" s="125"/>
    </row>
    <row r="558" spans="1:5" s="105" customFormat="1">
      <c r="A558" s="126"/>
      <c r="B558" s="122" t="s">
        <v>560</v>
      </c>
      <c r="C558" s="118" t="s">
        <v>208</v>
      </c>
      <c r="D558" s="123"/>
      <c r="E558" s="125"/>
    </row>
    <row r="559" spans="1:5" s="105" customFormat="1">
      <c r="A559" s="126"/>
      <c r="B559" s="122" t="s">
        <v>561</v>
      </c>
      <c r="C559" s="118" t="s">
        <v>208</v>
      </c>
      <c r="D559" s="123"/>
      <c r="E559" s="125"/>
    </row>
    <row r="560" spans="1:5" s="105" customFormat="1">
      <c r="A560" s="126"/>
      <c r="B560" s="122" t="s">
        <v>562</v>
      </c>
      <c r="C560" s="118" t="s">
        <v>208</v>
      </c>
      <c r="D560" s="123"/>
      <c r="E560" s="125"/>
    </row>
    <row r="561" spans="1:5" s="105" customFormat="1">
      <c r="A561" s="126"/>
      <c r="B561" s="122" t="s">
        <v>563</v>
      </c>
      <c r="C561" s="118" t="s">
        <v>208</v>
      </c>
      <c r="D561" s="123"/>
      <c r="E561" s="125"/>
    </row>
    <row r="562" spans="1:5" s="105" customFormat="1">
      <c r="A562" s="126"/>
      <c r="B562" s="122" t="s">
        <v>564</v>
      </c>
      <c r="C562" s="118" t="s">
        <v>208</v>
      </c>
      <c r="D562" s="123"/>
      <c r="E562" s="125"/>
    </row>
    <row r="563" spans="1:5" s="105" customFormat="1">
      <c r="A563" s="126"/>
      <c r="B563" s="122" t="s">
        <v>565</v>
      </c>
      <c r="C563" s="118" t="s">
        <v>208</v>
      </c>
      <c r="D563" s="123"/>
      <c r="E563" s="125"/>
    </row>
    <row r="564" spans="1:5" s="105" customFormat="1">
      <c r="A564" s="126"/>
      <c r="B564" s="122" t="s">
        <v>566</v>
      </c>
      <c r="C564" s="118" t="s">
        <v>208</v>
      </c>
      <c r="D564" s="123"/>
      <c r="E564" s="125"/>
    </row>
    <row r="565" spans="1:5" s="105" customFormat="1">
      <c r="A565" s="126"/>
      <c r="B565" s="122" t="s">
        <v>569</v>
      </c>
      <c r="C565" s="118"/>
      <c r="D565" s="123"/>
      <c r="E565" s="125"/>
    </row>
    <row r="566" spans="1:5" s="105" customFormat="1">
      <c r="A566" s="126"/>
      <c r="B566" s="122" t="s">
        <v>558</v>
      </c>
      <c r="C566" s="118" t="s">
        <v>284</v>
      </c>
      <c r="D566" s="123"/>
      <c r="E566" s="125"/>
    </row>
    <row r="567" spans="1:5" s="105" customFormat="1">
      <c r="A567" s="126"/>
      <c r="B567" s="122" t="s">
        <v>559</v>
      </c>
      <c r="C567" s="118" t="s">
        <v>284</v>
      </c>
      <c r="D567" s="123"/>
      <c r="E567" s="125"/>
    </row>
    <row r="568" spans="1:5" s="105" customFormat="1">
      <c r="A568" s="126"/>
      <c r="B568" s="122" t="s">
        <v>560</v>
      </c>
      <c r="C568" s="118" t="s">
        <v>284</v>
      </c>
      <c r="D568" s="123"/>
      <c r="E568" s="125"/>
    </row>
    <row r="569" spans="1:5" s="105" customFormat="1">
      <c r="A569" s="126"/>
      <c r="B569" s="122" t="s">
        <v>561</v>
      </c>
      <c r="C569" s="118" t="s">
        <v>284</v>
      </c>
      <c r="D569" s="123"/>
      <c r="E569" s="125"/>
    </row>
    <row r="570" spans="1:5" s="105" customFormat="1">
      <c r="A570" s="126"/>
      <c r="B570" s="122" t="s">
        <v>562</v>
      </c>
      <c r="C570" s="118" t="s">
        <v>284</v>
      </c>
      <c r="D570" s="123"/>
      <c r="E570" s="125"/>
    </row>
    <row r="571" spans="1:5" s="105" customFormat="1">
      <c r="A571" s="126"/>
      <c r="B571" s="122" t="s">
        <v>563</v>
      </c>
      <c r="C571" s="118" t="s">
        <v>284</v>
      </c>
      <c r="D571" s="123"/>
      <c r="E571" s="125"/>
    </row>
    <row r="572" spans="1:5" s="105" customFormat="1">
      <c r="A572" s="126"/>
      <c r="B572" s="122" t="s">
        <v>564</v>
      </c>
      <c r="C572" s="118" t="s">
        <v>284</v>
      </c>
      <c r="D572" s="123"/>
      <c r="E572" s="125"/>
    </row>
    <row r="573" spans="1:5" s="105" customFormat="1">
      <c r="A573" s="126"/>
      <c r="B573" s="122" t="s">
        <v>565</v>
      </c>
      <c r="C573" s="118" t="s">
        <v>284</v>
      </c>
      <c r="D573" s="123"/>
      <c r="E573" s="125"/>
    </row>
    <row r="574" spans="1:5" s="105" customFormat="1">
      <c r="A574" s="126"/>
      <c r="B574" s="122" t="s">
        <v>566</v>
      </c>
      <c r="C574" s="118" t="s">
        <v>284</v>
      </c>
      <c r="D574" s="123"/>
      <c r="E574" s="125"/>
    </row>
    <row r="575" spans="1:5" s="105" customFormat="1">
      <c r="A575" s="126"/>
      <c r="B575" s="122"/>
      <c r="C575" s="118"/>
      <c r="D575" s="123"/>
      <c r="E575" s="125"/>
    </row>
    <row r="576" spans="1:5" s="105" customFormat="1">
      <c r="A576" s="126"/>
      <c r="B576" s="122" t="s">
        <v>571</v>
      </c>
      <c r="C576" s="118"/>
      <c r="D576" s="123"/>
      <c r="E576" s="125"/>
    </row>
    <row r="577" spans="1:5" s="105" customFormat="1">
      <c r="A577" s="126"/>
      <c r="B577" s="122" t="s">
        <v>557</v>
      </c>
      <c r="C577" s="118"/>
      <c r="D577" s="123"/>
      <c r="E577" s="125"/>
    </row>
    <row r="578" spans="1:5" s="105" customFormat="1">
      <c r="A578" s="126"/>
      <c r="B578" s="122" t="s">
        <v>565</v>
      </c>
      <c r="C578" s="118" t="s">
        <v>208</v>
      </c>
      <c r="D578" s="123"/>
      <c r="E578" s="125"/>
    </row>
    <row r="579" spans="1:5" s="105" customFormat="1">
      <c r="A579" s="126"/>
      <c r="B579" s="122" t="s">
        <v>566</v>
      </c>
      <c r="C579" s="118" t="s">
        <v>208</v>
      </c>
      <c r="D579" s="123"/>
      <c r="E579" s="125"/>
    </row>
    <row r="580" spans="1:5" s="105" customFormat="1">
      <c r="A580" s="126"/>
      <c r="B580" s="122" t="s">
        <v>567</v>
      </c>
      <c r="C580" s="118"/>
      <c r="D580" s="123"/>
      <c r="E580" s="125"/>
    </row>
    <row r="581" spans="1:5" s="105" customFormat="1">
      <c r="A581" s="126"/>
      <c r="B581" s="122" t="s">
        <v>565</v>
      </c>
      <c r="C581" s="118" t="s">
        <v>284</v>
      </c>
      <c r="D581" s="123"/>
      <c r="E581" s="125"/>
    </row>
    <row r="582" spans="1:5" s="105" customFormat="1">
      <c r="A582" s="126"/>
      <c r="B582" s="122" t="s">
        <v>566</v>
      </c>
      <c r="C582" s="118" t="s">
        <v>284</v>
      </c>
      <c r="D582" s="123"/>
      <c r="E582" s="125"/>
    </row>
    <row r="583" spans="1:5" s="105" customFormat="1">
      <c r="A583" s="126"/>
      <c r="B583" s="122" t="s">
        <v>568</v>
      </c>
      <c r="C583" s="118"/>
      <c r="D583" s="123"/>
      <c r="E583" s="125"/>
    </row>
    <row r="584" spans="1:5" s="105" customFormat="1">
      <c r="A584" s="126"/>
      <c r="B584" s="122" t="s">
        <v>565</v>
      </c>
      <c r="C584" s="118" t="s">
        <v>208</v>
      </c>
      <c r="D584" s="123"/>
      <c r="E584" s="125"/>
    </row>
    <row r="585" spans="1:5" s="105" customFormat="1">
      <c r="A585" s="126"/>
      <c r="B585" s="122" t="s">
        <v>566</v>
      </c>
      <c r="C585" s="118" t="s">
        <v>208</v>
      </c>
      <c r="D585" s="123"/>
      <c r="E585" s="125"/>
    </row>
    <row r="586" spans="1:5" s="105" customFormat="1">
      <c r="A586" s="126"/>
      <c r="B586" s="122" t="s">
        <v>569</v>
      </c>
      <c r="C586" s="118"/>
      <c r="D586" s="123"/>
      <c r="E586" s="125"/>
    </row>
    <row r="587" spans="1:5" s="105" customFormat="1">
      <c r="A587" s="126"/>
      <c r="B587" s="122" t="s">
        <v>565</v>
      </c>
      <c r="C587" s="118" t="s">
        <v>284</v>
      </c>
      <c r="D587" s="123"/>
      <c r="E587" s="125"/>
    </row>
    <row r="588" spans="1:5" s="105" customFormat="1">
      <c r="A588" s="126"/>
      <c r="B588" s="122" t="s">
        <v>566</v>
      </c>
      <c r="C588" s="118" t="s">
        <v>284</v>
      </c>
      <c r="D588" s="123"/>
      <c r="E588" s="125"/>
    </row>
    <row r="589" spans="1:5" s="105" customFormat="1">
      <c r="A589" s="126"/>
      <c r="B589" s="122"/>
      <c r="C589" s="118"/>
      <c r="D589" s="123"/>
      <c r="E589" s="125"/>
    </row>
    <row r="590" spans="1:5" s="105" customFormat="1">
      <c r="A590" s="126"/>
      <c r="B590" s="122" t="s">
        <v>572</v>
      </c>
      <c r="C590" s="118"/>
      <c r="D590" s="123"/>
      <c r="E590" s="125"/>
    </row>
    <row r="591" spans="1:5" s="105" customFormat="1">
      <c r="A591" s="126"/>
      <c r="B591" s="122" t="s">
        <v>557</v>
      </c>
      <c r="C591" s="118"/>
      <c r="D591" s="123"/>
      <c r="E591" s="125"/>
    </row>
    <row r="592" spans="1:5" s="105" customFormat="1">
      <c r="A592" s="126"/>
      <c r="B592" s="122" t="s">
        <v>565</v>
      </c>
      <c r="C592" s="118" t="s">
        <v>208</v>
      </c>
      <c r="D592" s="123"/>
      <c r="E592" s="125"/>
    </row>
    <row r="593" spans="1:5" s="105" customFormat="1">
      <c r="A593" s="126"/>
      <c r="B593" s="122" t="s">
        <v>566</v>
      </c>
      <c r="C593" s="118" t="s">
        <v>208</v>
      </c>
      <c r="D593" s="123"/>
      <c r="E593" s="125"/>
    </row>
    <row r="594" spans="1:5" s="105" customFormat="1">
      <c r="A594" s="126"/>
      <c r="B594" s="122" t="s">
        <v>567</v>
      </c>
      <c r="C594" s="118"/>
      <c r="D594" s="123"/>
      <c r="E594" s="125"/>
    </row>
    <row r="595" spans="1:5" s="105" customFormat="1">
      <c r="A595" s="126"/>
      <c r="B595" s="122" t="s">
        <v>565</v>
      </c>
      <c r="C595" s="118" t="s">
        <v>284</v>
      </c>
      <c r="D595" s="123"/>
      <c r="E595" s="125"/>
    </row>
    <row r="596" spans="1:5" s="105" customFormat="1">
      <c r="A596" s="126"/>
      <c r="B596" s="122" t="s">
        <v>566</v>
      </c>
      <c r="C596" s="118" t="s">
        <v>284</v>
      </c>
      <c r="D596" s="123"/>
      <c r="E596" s="125"/>
    </row>
    <row r="597" spans="1:5" s="105" customFormat="1">
      <c r="A597" s="126"/>
      <c r="B597" s="122" t="s">
        <v>568</v>
      </c>
      <c r="C597" s="118"/>
      <c r="D597" s="123"/>
      <c r="E597" s="125"/>
    </row>
    <row r="598" spans="1:5" s="105" customFormat="1">
      <c r="A598" s="126"/>
      <c r="B598" s="122" t="s">
        <v>565</v>
      </c>
      <c r="C598" s="118" t="s">
        <v>208</v>
      </c>
      <c r="D598" s="123"/>
      <c r="E598" s="125"/>
    </row>
    <row r="599" spans="1:5" s="105" customFormat="1">
      <c r="A599" s="126"/>
      <c r="B599" s="122" t="s">
        <v>566</v>
      </c>
      <c r="C599" s="118" t="s">
        <v>208</v>
      </c>
      <c r="D599" s="123"/>
      <c r="E599" s="125"/>
    </row>
    <row r="600" spans="1:5" s="105" customFormat="1">
      <c r="A600" s="126"/>
      <c r="B600" s="122" t="s">
        <v>569</v>
      </c>
      <c r="C600" s="118"/>
      <c r="D600" s="123"/>
      <c r="E600" s="125"/>
    </row>
    <row r="601" spans="1:5" s="105" customFormat="1">
      <c r="A601" s="126"/>
      <c r="B601" s="122" t="s">
        <v>565</v>
      </c>
      <c r="C601" s="118" t="s">
        <v>284</v>
      </c>
      <c r="D601" s="123"/>
      <c r="E601" s="125"/>
    </row>
    <row r="602" spans="1:5" s="105" customFormat="1">
      <c r="A602" s="126"/>
      <c r="B602" s="122" t="s">
        <v>566</v>
      </c>
      <c r="C602" s="118" t="s">
        <v>284</v>
      </c>
      <c r="D602" s="123"/>
      <c r="E602" s="125"/>
    </row>
    <row r="603" spans="1:5" s="105" customFormat="1">
      <c r="A603" s="126"/>
      <c r="B603" s="122"/>
      <c r="C603" s="118"/>
      <c r="D603" s="123"/>
      <c r="E603" s="125"/>
    </row>
    <row r="604" spans="1:5" s="105" customFormat="1">
      <c r="A604" s="126"/>
      <c r="B604" s="122" t="s">
        <v>573</v>
      </c>
      <c r="C604" s="118"/>
      <c r="D604" s="123"/>
      <c r="E604" s="125"/>
    </row>
    <row r="605" spans="1:5" s="105" customFormat="1">
      <c r="A605" s="126"/>
      <c r="B605" s="122" t="s">
        <v>574</v>
      </c>
      <c r="C605" s="118"/>
      <c r="D605" s="123"/>
      <c r="E605" s="125"/>
    </row>
    <row r="606" spans="1:5" s="105" customFormat="1">
      <c r="A606" s="126"/>
      <c r="B606" s="122" t="s">
        <v>558</v>
      </c>
      <c r="C606" s="118" t="s">
        <v>284</v>
      </c>
      <c r="D606" s="123"/>
      <c r="E606" s="125"/>
    </row>
    <row r="607" spans="1:5" s="105" customFormat="1">
      <c r="A607" s="126"/>
      <c r="B607" s="122" t="s">
        <v>559</v>
      </c>
      <c r="C607" s="118" t="s">
        <v>284</v>
      </c>
      <c r="D607" s="123"/>
      <c r="E607" s="125"/>
    </row>
    <row r="608" spans="1:5" s="105" customFormat="1">
      <c r="A608" s="126"/>
      <c r="B608" s="122" t="s">
        <v>560</v>
      </c>
      <c r="C608" s="118" t="s">
        <v>284</v>
      </c>
      <c r="D608" s="123"/>
      <c r="E608" s="125"/>
    </row>
    <row r="609" spans="1:5" s="105" customFormat="1">
      <c r="A609" s="126"/>
      <c r="B609" s="122" t="s">
        <v>561</v>
      </c>
      <c r="C609" s="118" t="s">
        <v>284</v>
      </c>
      <c r="D609" s="123"/>
      <c r="E609" s="125"/>
    </row>
    <row r="610" spans="1:5" s="105" customFormat="1">
      <c r="A610" s="126"/>
      <c r="B610" s="122" t="s">
        <v>562</v>
      </c>
      <c r="C610" s="118" t="s">
        <v>284</v>
      </c>
      <c r="D610" s="123"/>
      <c r="E610" s="125"/>
    </row>
    <row r="611" spans="1:5" s="105" customFormat="1">
      <c r="A611" s="126"/>
      <c r="B611" s="122" t="s">
        <v>563</v>
      </c>
      <c r="C611" s="118" t="s">
        <v>284</v>
      </c>
      <c r="D611" s="123"/>
      <c r="E611" s="125"/>
    </row>
    <row r="612" spans="1:5" s="105" customFormat="1">
      <c r="A612" s="126"/>
      <c r="B612" s="122" t="s">
        <v>564</v>
      </c>
      <c r="C612" s="118" t="s">
        <v>284</v>
      </c>
      <c r="D612" s="123"/>
      <c r="E612" s="125"/>
    </row>
    <row r="613" spans="1:5" s="105" customFormat="1">
      <c r="A613" s="126"/>
      <c r="B613" s="122" t="s">
        <v>565</v>
      </c>
      <c r="C613" s="118" t="s">
        <v>284</v>
      </c>
      <c r="D613" s="123"/>
      <c r="E613" s="125"/>
    </row>
    <row r="614" spans="1:5" s="105" customFormat="1">
      <c r="A614" s="126"/>
      <c r="B614" s="122" t="s">
        <v>566</v>
      </c>
      <c r="C614" s="118" t="s">
        <v>284</v>
      </c>
      <c r="D614" s="123"/>
      <c r="E614" s="125"/>
    </row>
    <row r="615" spans="1:5" s="105" customFormat="1">
      <c r="A615" s="126"/>
      <c r="B615" s="122"/>
      <c r="C615" s="118"/>
      <c r="D615" s="123"/>
      <c r="E615" s="125"/>
    </row>
    <row r="616" spans="1:5" s="105" customFormat="1">
      <c r="A616" s="126"/>
      <c r="B616" s="122" t="s">
        <v>575</v>
      </c>
      <c r="C616" s="118"/>
      <c r="D616" s="123"/>
      <c r="E616" s="125"/>
    </row>
    <row r="617" spans="1:5" s="105" customFormat="1">
      <c r="A617" s="126"/>
      <c r="B617" s="122" t="s">
        <v>558</v>
      </c>
      <c r="C617" s="118" t="s">
        <v>284</v>
      </c>
      <c r="D617" s="123"/>
      <c r="E617" s="125"/>
    </row>
    <row r="618" spans="1:5" s="105" customFormat="1">
      <c r="A618" s="126"/>
      <c r="B618" s="122" t="s">
        <v>559</v>
      </c>
      <c r="C618" s="118" t="s">
        <v>284</v>
      </c>
      <c r="D618" s="123"/>
      <c r="E618" s="125"/>
    </row>
    <row r="619" spans="1:5" s="105" customFormat="1">
      <c r="A619" s="126"/>
      <c r="B619" s="122" t="s">
        <v>560</v>
      </c>
      <c r="C619" s="118" t="s">
        <v>284</v>
      </c>
      <c r="D619" s="123"/>
      <c r="E619" s="125"/>
    </row>
    <row r="620" spans="1:5" s="105" customFormat="1">
      <c r="A620" s="126"/>
      <c r="B620" s="122" t="s">
        <v>561</v>
      </c>
      <c r="C620" s="118" t="s">
        <v>284</v>
      </c>
      <c r="D620" s="123"/>
      <c r="E620" s="125"/>
    </row>
    <row r="621" spans="1:5" s="105" customFormat="1">
      <c r="A621" s="126"/>
      <c r="B621" s="122" t="s">
        <v>562</v>
      </c>
      <c r="C621" s="118" t="s">
        <v>284</v>
      </c>
      <c r="D621" s="123"/>
      <c r="E621" s="125"/>
    </row>
    <row r="622" spans="1:5" s="105" customFormat="1">
      <c r="A622" s="126"/>
      <c r="B622" s="122" t="s">
        <v>563</v>
      </c>
      <c r="C622" s="118" t="s">
        <v>284</v>
      </c>
      <c r="D622" s="123"/>
      <c r="E622" s="125"/>
    </row>
    <row r="623" spans="1:5" s="105" customFormat="1">
      <c r="A623" s="126"/>
      <c r="B623" s="122" t="s">
        <v>564</v>
      </c>
      <c r="C623" s="118" t="s">
        <v>284</v>
      </c>
      <c r="D623" s="123"/>
      <c r="E623" s="125"/>
    </row>
    <row r="624" spans="1:5" s="105" customFormat="1">
      <c r="A624" s="126"/>
      <c r="B624" s="122" t="s">
        <v>565</v>
      </c>
      <c r="C624" s="118" t="s">
        <v>284</v>
      </c>
      <c r="D624" s="123"/>
      <c r="E624" s="125"/>
    </row>
    <row r="625" spans="1:5" s="105" customFormat="1">
      <c r="A625" s="126"/>
      <c r="B625" s="122" t="s">
        <v>566</v>
      </c>
      <c r="C625" s="118" t="s">
        <v>284</v>
      </c>
      <c r="D625" s="123"/>
      <c r="E625" s="125"/>
    </row>
    <row r="626" spans="1:5" s="105" customFormat="1">
      <c r="A626" s="126"/>
      <c r="B626" s="122"/>
      <c r="C626" s="118"/>
      <c r="D626" s="123"/>
      <c r="E626" s="125"/>
    </row>
    <row r="627" spans="1:5" s="105" customFormat="1">
      <c r="A627" s="126"/>
      <c r="B627" s="122" t="s">
        <v>576</v>
      </c>
      <c r="C627" s="118"/>
      <c r="D627" s="123"/>
      <c r="E627" s="125"/>
    </row>
    <row r="628" spans="1:5" s="105" customFormat="1">
      <c r="A628" s="126"/>
      <c r="B628" s="122" t="s">
        <v>558</v>
      </c>
      <c r="C628" s="118" t="s">
        <v>284</v>
      </c>
      <c r="D628" s="123"/>
      <c r="E628" s="125"/>
    </row>
    <row r="629" spans="1:5" s="105" customFormat="1">
      <c r="A629" s="126"/>
      <c r="B629" s="122" t="s">
        <v>559</v>
      </c>
      <c r="C629" s="118" t="s">
        <v>284</v>
      </c>
      <c r="D629" s="123"/>
      <c r="E629" s="125"/>
    </row>
    <row r="630" spans="1:5" s="105" customFormat="1">
      <c r="A630" s="126"/>
      <c r="B630" s="122" t="s">
        <v>560</v>
      </c>
      <c r="C630" s="118" t="s">
        <v>284</v>
      </c>
      <c r="D630" s="123"/>
      <c r="E630" s="125"/>
    </row>
    <row r="631" spans="1:5" s="105" customFormat="1">
      <c r="A631" s="126"/>
      <c r="B631" s="122" t="s">
        <v>561</v>
      </c>
      <c r="C631" s="118" t="s">
        <v>284</v>
      </c>
      <c r="D631" s="123"/>
      <c r="E631" s="125"/>
    </row>
    <row r="632" spans="1:5" s="105" customFormat="1">
      <c r="A632" s="126"/>
      <c r="B632" s="122" t="s">
        <v>562</v>
      </c>
      <c r="C632" s="118" t="s">
        <v>284</v>
      </c>
      <c r="D632" s="123"/>
      <c r="E632" s="125"/>
    </row>
    <row r="633" spans="1:5" s="105" customFormat="1">
      <c r="A633" s="126"/>
      <c r="B633" s="122" t="s">
        <v>563</v>
      </c>
      <c r="C633" s="118" t="s">
        <v>284</v>
      </c>
      <c r="D633" s="123"/>
      <c r="E633" s="125"/>
    </row>
    <row r="634" spans="1:5" s="105" customFormat="1">
      <c r="A634" s="126"/>
      <c r="B634" s="122" t="s">
        <v>564</v>
      </c>
      <c r="C634" s="118" t="s">
        <v>284</v>
      </c>
      <c r="D634" s="123"/>
      <c r="E634" s="125"/>
    </row>
    <row r="635" spans="1:5" s="105" customFormat="1">
      <c r="A635" s="126"/>
      <c r="B635" s="122" t="s">
        <v>565</v>
      </c>
      <c r="C635" s="118" t="s">
        <v>284</v>
      </c>
      <c r="D635" s="123"/>
      <c r="E635" s="125"/>
    </row>
    <row r="636" spans="1:5" s="105" customFormat="1">
      <c r="A636" s="126"/>
      <c r="B636" s="122" t="s">
        <v>566</v>
      </c>
      <c r="C636" s="118" t="s">
        <v>284</v>
      </c>
      <c r="D636" s="123"/>
      <c r="E636" s="125"/>
    </row>
    <row r="637" spans="1:5" s="105" customFormat="1">
      <c r="A637" s="126"/>
      <c r="B637" s="122"/>
      <c r="C637" s="118"/>
      <c r="D637" s="123"/>
      <c r="E637" s="125"/>
    </row>
    <row r="638" spans="1:5" s="105" customFormat="1">
      <c r="A638" s="126"/>
      <c r="B638" s="122" t="s">
        <v>577</v>
      </c>
      <c r="C638" s="118"/>
      <c r="D638" s="123"/>
      <c r="E638" s="125"/>
    </row>
    <row r="639" spans="1:5" s="105" customFormat="1">
      <c r="A639" s="126"/>
      <c r="B639" s="122" t="s">
        <v>558</v>
      </c>
      <c r="C639" s="118" t="s">
        <v>284</v>
      </c>
      <c r="D639" s="123"/>
      <c r="E639" s="125"/>
    </row>
    <row r="640" spans="1:5" s="105" customFormat="1">
      <c r="A640" s="126"/>
      <c r="B640" s="122" t="s">
        <v>559</v>
      </c>
      <c r="C640" s="118" t="s">
        <v>284</v>
      </c>
      <c r="D640" s="123"/>
      <c r="E640" s="125"/>
    </row>
    <row r="641" spans="1:5" s="105" customFormat="1">
      <c r="A641" s="126"/>
      <c r="B641" s="122" t="s">
        <v>560</v>
      </c>
      <c r="C641" s="118" t="s">
        <v>284</v>
      </c>
      <c r="D641" s="123"/>
      <c r="E641" s="125"/>
    </row>
    <row r="642" spans="1:5" s="105" customFormat="1">
      <c r="A642" s="126"/>
      <c r="B642" s="122" t="s">
        <v>561</v>
      </c>
      <c r="C642" s="118" t="s">
        <v>284</v>
      </c>
      <c r="D642" s="123"/>
      <c r="E642" s="125"/>
    </row>
    <row r="643" spans="1:5" s="105" customFormat="1">
      <c r="A643" s="126"/>
      <c r="B643" s="122" t="s">
        <v>562</v>
      </c>
      <c r="C643" s="118" t="s">
        <v>284</v>
      </c>
      <c r="D643" s="123"/>
      <c r="E643" s="125"/>
    </row>
    <row r="644" spans="1:5" s="105" customFormat="1">
      <c r="A644" s="126"/>
      <c r="B644" s="122" t="s">
        <v>563</v>
      </c>
      <c r="C644" s="118" t="s">
        <v>284</v>
      </c>
      <c r="D644" s="123"/>
      <c r="E644" s="125"/>
    </row>
    <row r="645" spans="1:5" s="105" customFormat="1">
      <c r="A645" s="126"/>
      <c r="B645" s="122" t="s">
        <v>564</v>
      </c>
      <c r="C645" s="118" t="s">
        <v>284</v>
      </c>
      <c r="D645" s="123"/>
      <c r="E645" s="125"/>
    </row>
    <row r="646" spans="1:5" s="105" customFormat="1">
      <c r="A646" s="126"/>
      <c r="B646" s="122" t="s">
        <v>565</v>
      </c>
      <c r="C646" s="118" t="s">
        <v>284</v>
      </c>
      <c r="D646" s="123"/>
      <c r="E646" s="125"/>
    </row>
    <row r="647" spans="1:5" s="105" customFormat="1">
      <c r="A647" s="126"/>
      <c r="B647" s="122" t="s">
        <v>566</v>
      </c>
      <c r="C647" s="118" t="s">
        <v>284</v>
      </c>
      <c r="D647" s="123"/>
      <c r="E647" s="125"/>
    </row>
    <row r="648" spans="1:5" s="105" customFormat="1">
      <c r="A648" s="126"/>
      <c r="B648" s="122"/>
      <c r="C648" s="118"/>
      <c r="D648" s="123"/>
      <c r="E648" s="125"/>
    </row>
    <row r="649" spans="1:5" s="105" customFormat="1">
      <c r="A649" s="126"/>
      <c r="B649" s="122" t="s">
        <v>578</v>
      </c>
      <c r="C649" s="118"/>
      <c r="D649" s="123"/>
      <c r="E649" s="125"/>
    </row>
    <row r="650" spans="1:5" s="105" customFormat="1">
      <c r="A650" s="126"/>
      <c r="B650" s="122" t="s">
        <v>558</v>
      </c>
      <c r="C650" s="118" t="s">
        <v>284</v>
      </c>
      <c r="D650" s="123"/>
      <c r="E650" s="125"/>
    </row>
    <row r="651" spans="1:5" s="105" customFormat="1">
      <c r="A651" s="126"/>
      <c r="B651" s="122" t="s">
        <v>559</v>
      </c>
      <c r="C651" s="118" t="s">
        <v>284</v>
      </c>
      <c r="D651" s="123"/>
      <c r="E651" s="125"/>
    </row>
    <row r="652" spans="1:5" s="105" customFormat="1">
      <c r="A652" s="126"/>
      <c r="B652" s="122" t="s">
        <v>560</v>
      </c>
      <c r="C652" s="118" t="s">
        <v>284</v>
      </c>
      <c r="D652" s="123"/>
      <c r="E652" s="125"/>
    </row>
    <row r="653" spans="1:5" s="105" customFormat="1">
      <c r="A653" s="126"/>
      <c r="B653" s="122" t="s">
        <v>561</v>
      </c>
      <c r="C653" s="118" t="s">
        <v>284</v>
      </c>
      <c r="D653" s="123"/>
      <c r="E653" s="125"/>
    </row>
    <row r="654" spans="1:5" s="105" customFormat="1">
      <c r="A654" s="126"/>
      <c r="B654" s="122" t="s">
        <v>562</v>
      </c>
      <c r="C654" s="118" t="s">
        <v>284</v>
      </c>
      <c r="D654" s="123"/>
      <c r="E654" s="125"/>
    </row>
    <row r="655" spans="1:5" s="105" customFormat="1">
      <c r="A655" s="126"/>
      <c r="B655" s="122" t="s">
        <v>563</v>
      </c>
      <c r="C655" s="118" t="s">
        <v>284</v>
      </c>
      <c r="D655" s="123"/>
      <c r="E655" s="125"/>
    </row>
    <row r="656" spans="1:5" s="105" customFormat="1">
      <c r="A656" s="126"/>
      <c r="B656" s="122" t="s">
        <v>564</v>
      </c>
      <c r="C656" s="118" t="s">
        <v>284</v>
      </c>
      <c r="D656" s="123"/>
      <c r="E656" s="125"/>
    </row>
    <row r="657" spans="1:5" s="105" customFormat="1">
      <c r="A657" s="126"/>
      <c r="B657" s="122" t="s">
        <v>565</v>
      </c>
      <c r="C657" s="118" t="s">
        <v>284</v>
      </c>
      <c r="D657" s="123"/>
      <c r="E657" s="125"/>
    </row>
    <row r="658" spans="1:5" s="105" customFormat="1">
      <c r="A658" s="126"/>
      <c r="B658" s="122" t="s">
        <v>566</v>
      </c>
      <c r="C658" s="118" t="s">
        <v>284</v>
      </c>
      <c r="D658" s="123"/>
      <c r="E658" s="125"/>
    </row>
    <row r="659" spans="1:5" s="105" customFormat="1">
      <c r="A659" s="126"/>
      <c r="B659" s="122"/>
      <c r="C659" s="118"/>
      <c r="D659" s="123"/>
      <c r="E659" s="125"/>
    </row>
    <row r="660" spans="1:5" s="105" customFormat="1">
      <c r="A660" s="126"/>
      <c r="B660" s="122" t="s">
        <v>579</v>
      </c>
      <c r="C660" s="118"/>
      <c r="D660" s="123"/>
      <c r="E660" s="125"/>
    </row>
    <row r="661" spans="1:5" s="105" customFormat="1">
      <c r="A661" s="126"/>
      <c r="B661" s="122" t="s">
        <v>558</v>
      </c>
      <c r="C661" s="118" t="s">
        <v>284</v>
      </c>
      <c r="D661" s="123"/>
      <c r="E661" s="125"/>
    </row>
    <row r="662" spans="1:5" s="105" customFormat="1">
      <c r="A662" s="126"/>
      <c r="B662" s="122" t="s">
        <v>559</v>
      </c>
      <c r="C662" s="118" t="s">
        <v>284</v>
      </c>
      <c r="D662" s="123"/>
      <c r="E662" s="125"/>
    </row>
    <row r="663" spans="1:5" s="105" customFormat="1">
      <c r="A663" s="126"/>
      <c r="B663" s="122" t="s">
        <v>560</v>
      </c>
      <c r="C663" s="118" t="s">
        <v>284</v>
      </c>
      <c r="D663" s="123"/>
      <c r="E663" s="125"/>
    </row>
    <row r="664" spans="1:5" s="105" customFormat="1">
      <c r="A664" s="126"/>
      <c r="B664" s="122" t="s">
        <v>561</v>
      </c>
      <c r="C664" s="118" t="s">
        <v>284</v>
      </c>
      <c r="D664" s="123"/>
      <c r="E664" s="125"/>
    </row>
    <row r="665" spans="1:5" s="105" customFormat="1">
      <c r="A665" s="126"/>
      <c r="B665" s="122" t="s">
        <v>562</v>
      </c>
      <c r="C665" s="118" t="s">
        <v>284</v>
      </c>
      <c r="D665" s="123"/>
      <c r="E665" s="125"/>
    </row>
    <row r="666" spans="1:5" s="105" customFormat="1">
      <c r="A666" s="126"/>
      <c r="B666" s="122" t="s">
        <v>563</v>
      </c>
      <c r="C666" s="118" t="s">
        <v>284</v>
      </c>
      <c r="D666" s="123"/>
      <c r="E666" s="125"/>
    </row>
    <row r="667" spans="1:5" s="105" customFormat="1">
      <c r="A667" s="126"/>
      <c r="B667" s="122" t="s">
        <v>564</v>
      </c>
      <c r="C667" s="118" t="s">
        <v>284</v>
      </c>
      <c r="D667" s="123"/>
      <c r="E667" s="125"/>
    </row>
    <row r="668" spans="1:5" s="105" customFormat="1">
      <c r="A668" s="126"/>
      <c r="B668" s="122" t="s">
        <v>565</v>
      </c>
      <c r="C668" s="118" t="s">
        <v>284</v>
      </c>
      <c r="D668" s="123"/>
      <c r="E668" s="125"/>
    </row>
    <row r="669" spans="1:5" s="105" customFormat="1">
      <c r="A669" s="126"/>
      <c r="B669" s="122" t="s">
        <v>566</v>
      </c>
      <c r="C669" s="118" t="s">
        <v>284</v>
      </c>
      <c r="D669" s="123"/>
      <c r="E669" s="125"/>
    </row>
    <row r="670" spans="1:5" s="105" customFormat="1">
      <c r="A670" s="126"/>
      <c r="B670" s="122"/>
      <c r="C670" s="118"/>
      <c r="D670" s="123"/>
      <c r="E670" s="125"/>
    </row>
    <row r="671" spans="1:5" s="105" customFormat="1">
      <c r="A671" s="126"/>
      <c r="B671" s="122" t="s">
        <v>580</v>
      </c>
      <c r="C671" s="118"/>
      <c r="D671" s="123"/>
      <c r="E671" s="125"/>
    </row>
    <row r="672" spans="1:5" s="105" customFormat="1">
      <c r="A672" s="126"/>
      <c r="B672" s="122" t="s">
        <v>581</v>
      </c>
      <c r="C672" s="118" t="s">
        <v>284</v>
      </c>
      <c r="D672" s="123"/>
      <c r="E672" s="125"/>
    </row>
    <row r="673" spans="1:5" s="105" customFormat="1">
      <c r="A673" s="126"/>
      <c r="B673" s="122" t="s">
        <v>582</v>
      </c>
      <c r="C673" s="118" t="s">
        <v>284</v>
      </c>
      <c r="D673" s="123"/>
      <c r="E673" s="125"/>
    </row>
    <row r="674" spans="1:5" s="105" customFormat="1">
      <c r="A674" s="126"/>
      <c r="B674" s="122" t="s">
        <v>583</v>
      </c>
      <c r="C674" s="118" t="s">
        <v>284</v>
      </c>
      <c r="D674" s="123"/>
      <c r="E674" s="125"/>
    </row>
    <row r="675" spans="1:5" s="105" customFormat="1">
      <c r="A675" s="126"/>
      <c r="B675" s="122" t="s">
        <v>583</v>
      </c>
      <c r="C675" s="118" t="s">
        <v>284</v>
      </c>
      <c r="D675" s="123"/>
      <c r="E675" s="125"/>
    </row>
    <row r="676" spans="1:5" s="105" customFormat="1">
      <c r="A676" s="126"/>
      <c r="B676" s="122" t="s">
        <v>584</v>
      </c>
      <c r="C676" s="118" t="s">
        <v>284</v>
      </c>
      <c r="D676" s="123"/>
      <c r="E676" s="125"/>
    </row>
    <row r="677" spans="1:5" s="105" customFormat="1">
      <c r="A677" s="126"/>
      <c r="B677" s="122" t="s">
        <v>585</v>
      </c>
      <c r="C677" s="118" t="s">
        <v>284</v>
      </c>
      <c r="D677" s="123"/>
      <c r="E677" s="125"/>
    </row>
    <row r="678" spans="1:5" s="105" customFormat="1">
      <c r="A678" s="126"/>
      <c r="B678" s="122" t="s">
        <v>586</v>
      </c>
      <c r="C678" s="118" t="s">
        <v>284</v>
      </c>
      <c r="D678" s="123"/>
      <c r="E678" s="125"/>
    </row>
    <row r="679" spans="1:5" s="105" customFormat="1">
      <c r="A679" s="126"/>
      <c r="B679" s="122" t="s">
        <v>587</v>
      </c>
      <c r="C679" s="118" t="s">
        <v>284</v>
      </c>
      <c r="D679" s="123"/>
      <c r="E679" s="125"/>
    </row>
    <row r="680" spans="1:5" s="105" customFormat="1">
      <c r="A680" s="126"/>
      <c r="B680" s="122" t="s">
        <v>588</v>
      </c>
      <c r="C680" s="118" t="s">
        <v>284</v>
      </c>
      <c r="D680" s="123"/>
      <c r="E680" s="125"/>
    </row>
    <row r="681" spans="1:5" s="105" customFormat="1">
      <c r="A681" s="126"/>
      <c r="B681" s="122" t="s">
        <v>589</v>
      </c>
      <c r="C681" s="118" t="s">
        <v>284</v>
      </c>
      <c r="D681" s="123"/>
      <c r="E681" s="125"/>
    </row>
    <row r="682" spans="1:5" s="105" customFormat="1">
      <c r="A682" s="126"/>
      <c r="B682" s="122" t="s">
        <v>590</v>
      </c>
      <c r="C682" s="118" t="s">
        <v>284</v>
      </c>
      <c r="D682" s="123"/>
      <c r="E682" s="125"/>
    </row>
    <row r="683" spans="1:5" s="105" customFormat="1">
      <c r="A683" s="126"/>
      <c r="B683" s="122" t="s">
        <v>591</v>
      </c>
      <c r="C683" s="118" t="s">
        <v>284</v>
      </c>
      <c r="D683" s="123"/>
      <c r="E683" s="125"/>
    </row>
    <row r="684" spans="1:5" s="105" customFormat="1">
      <c r="A684" s="126"/>
      <c r="B684" s="122" t="s">
        <v>592</v>
      </c>
      <c r="C684" s="118" t="s">
        <v>284</v>
      </c>
      <c r="D684" s="123"/>
      <c r="E684" s="125"/>
    </row>
    <row r="685" spans="1:5" s="105" customFormat="1">
      <c r="A685" s="126"/>
      <c r="B685" s="122" t="s">
        <v>593</v>
      </c>
      <c r="C685" s="118" t="s">
        <v>284</v>
      </c>
      <c r="D685" s="123"/>
      <c r="E685" s="125"/>
    </row>
    <row r="686" spans="1:5" s="105" customFormat="1">
      <c r="A686" s="126"/>
      <c r="B686" s="122" t="s">
        <v>594</v>
      </c>
      <c r="C686" s="118" t="s">
        <v>284</v>
      </c>
      <c r="D686" s="123"/>
      <c r="E686" s="125"/>
    </row>
    <row r="687" spans="1:5" s="105" customFormat="1">
      <c r="A687" s="126"/>
      <c r="B687" s="122" t="s">
        <v>595</v>
      </c>
      <c r="C687" s="118" t="s">
        <v>284</v>
      </c>
      <c r="D687" s="123"/>
      <c r="E687" s="125"/>
    </row>
    <row r="688" spans="1:5" s="105" customFormat="1">
      <c r="A688" s="126"/>
      <c r="B688" s="122" t="s">
        <v>596</v>
      </c>
      <c r="C688" s="118" t="s">
        <v>284</v>
      </c>
      <c r="D688" s="123"/>
      <c r="E688" s="125"/>
    </row>
    <row r="689" spans="1:5" s="105" customFormat="1">
      <c r="A689" s="126"/>
      <c r="B689" s="122" t="s">
        <v>597</v>
      </c>
      <c r="C689" s="118" t="s">
        <v>284</v>
      </c>
      <c r="D689" s="123"/>
      <c r="E689" s="125"/>
    </row>
    <row r="690" spans="1:5" s="105" customFormat="1">
      <c r="A690" s="126"/>
      <c r="B690" s="122" t="s">
        <v>598</v>
      </c>
      <c r="C690" s="118" t="s">
        <v>284</v>
      </c>
      <c r="D690" s="123"/>
      <c r="E690" s="125"/>
    </row>
    <row r="691" spans="1:5" s="105" customFormat="1">
      <c r="A691" s="126"/>
      <c r="B691" s="122" t="s">
        <v>599</v>
      </c>
      <c r="C691" s="118" t="s">
        <v>284</v>
      </c>
      <c r="D691" s="123"/>
      <c r="E691" s="125"/>
    </row>
    <row r="692" spans="1:5" s="105" customFormat="1">
      <c r="A692" s="126"/>
      <c r="B692" s="122"/>
      <c r="C692" s="118"/>
      <c r="D692" s="123"/>
      <c r="E692" s="125"/>
    </row>
    <row r="693" spans="1:5" s="105" customFormat="1">
      <c r="A693" s="126"/>
      <c r="B693" s="127" t="s">
        <v>600</v>
      </c>
      <c r="C693" s="118"/>
      <c r="D693" s="123"/>
      <c r="E693" s="125"/>
    </row>
    <row r="694" spans="1:5" s="105" customFormat="1">
      <c r="A694" s="126"/>
      <c r="B694" s="146" t="s">
        <v>767</v>
      </c>
      <c r="C694" s="118"/>
      <c r="D694" s="123"/>
      <c r="E694" s="125"/>
    </row>
    <row r="695" spans="1:5" s="105" customFormat="1">
      <c r="A695" s="126"/>
      <c r="B695" s="122" t="s">
        <v>601</v>
      </c>
      <c r="C695" s="118" t="s">
        <v>284</v>
      </c>
      <c r="D695" s="123"/>
      <c r="E695" s="125"/>
    </row>
    <row r="696" spans="1:5" s="105" customFormat="1">
      <c r="A696" s="126"/>
      <c r="B696" s="122" t="s">
        <v>602</v>
      </c>
      <c r="C696" s="118" t="s">
        <v>284</v>
      </c>
      <c r="D696" s="123"/>
      <c r="E696" s="125"/>
    </row>
    <row r="697" spans="1:5" s="105" customFormat="1">
      <c r="A697" s="126"/>
      <c r="B697" s="122" t="s">
        <v>603</v>
      </c>
      <c r="C697" s="118" t="s">
        <v>284</v>
      </c>
      <c r="D697" s="123"/>
      <c r="E697" s="125"/>
    </row>
    <row r="698" spans="1:5" s="105" customFormat="1">
      <c r="A698" s="126"/>
      <c r="B698" s="122" t="s">
        <v>604</v>
      </c>
      <c r="C698" s="118" t="s">
        <v>284</v>
      </c>
      <c r="D698" s="123"/>
      <c r="E698" s="125"/>
    </row>
    <row r="699" spans="1:5" s="105" customFormat="1">
      <c r="A699" s="126"/>
      <c r="B699" s="122" t="s">
        <v>605</v>
      </c>
      <c r="C699" s="118" t="s">
        <v>284</v>
      </c>
      <c r="D699" s="123"/>
      <c r="E699" s="125"/>
    </row>
    <row r="700" spans="1:5" s="105" customFormat="1">
      <c r="A700" s="126"/>
      <c r="B700" s="122" t="s">
        <v>606</v>
      </c>
      <c r="C700" s="118" t="s">
        <v>284</v>
      </c>
      <c r="D700" s="123"/>
      <c r="E700" s="125"/>
    </row>
    <row r="701" spans="1:5" s="105" customFormat="1">
      <c r="A701" s="126"/>
      <c r="B701" s="122" t="s">
        <v>607</v>
      </c>
      <c r="C701" s="118" t="s">
        <v>284</v>
      </c>
      <c r="D701" s="123"/>
      <c r="E701" s="125"/>
    </row>
    <row r="702" spans="1:5">
      <c r="A702" s="43"/>
      <c r="B702" s="122" t="s">
        <v>608</v>
      </c>
      <c r="C702" s="118" t="s">
        <v>284</v>
      </c>
      <c r="D702" s="41"/>
      <c r="E702" s="42"/>
    </row>
    <row r="703" spans="1:5">
      <c r="A703" s="43"/>
      <c r="B703" s="122" t="s">
        <v>609</v>
      </c>
      <c r="C703" s="118" t="s">
        <v>284</v>
      </c>
      <c r="D703" s="41"/>
      <c r="E703" s="42"/>
    </row>
    <row r="704" spans="1:5">
      <c r="A704" s="43"/>
      <c r="B704" s="122" t="s">
        <v>610</v>
      </c>
      <c r="C704" s="118" t="s">
        <v>284</v>
      </c>
      <c r="D704" s="41"/>
      <c r="E704" s="42"/>
    </row>
    <row r="705" spans="1:5">
      <c r="A705" s="43"/>
      <c r="B705" s="122" t="s">
        <v>611</v>
      </c>
      <c r="C705" s="118" t="s">
        <v>284</v>
      </c>
      <c r="D705" s="41"/>
      <c r="E705" s="42"/>
    </row>
    <row r="706" spans="1:5">
      <c r="A706" s="43"/>
      <c r="B706" s="122" t="s">
        <v>612</v>
      </c>
      <c r="C706" s="118" t="s">
        <v>208</v>
      </c>
      <c r="D706" s="41"/>
      <c r="E706" s="42"/>
    </row>
    <row r="707" spans="1:5">
      <c r="A707" s="43"/>
      <c r="B707" s="122" t="s">
        <v>613</v>
      </c>
      <c r="C707" s="118" t="s">
        <v>208</v>
      </c>
      <c r="D707" s="41"/>
      <c r="E707" s="42"/>
    </row>
    <row r="708" spans="1:5">
      <c r="A708" s="43"/>
      <c r="B708" s="122" t="s">
        <v>614</v>
      </c>
      <c r="C708" s="118" t="s">
        <v>208</v>
      </c>
      <c r="D708" s="41"/>
      <c r="E708" s="42"/>
    </row>
    <row r="709" spans="1:5">
      <c r="A709" s="43"/>
      <c r="B709" s="122" t="s">
        <v>615</v>
      </c>
      <c r="C709" s="118" t="s">
        <v>208</v>
      </c>
      <c r="D709" s="41"/>
      <c r="E709" s="42"/>
    </row>
    <row r="710" spans="1:5">
      <c r="A710" s="43"/>
      <c r="B710" s="122" t="s">
        <v>616</v>
      </c>
      <c r="C710" s="118" t="s">
        <v>208</v>
      </c>
      <c r="D710" s="41"/>
      <c r="E710" s="42"/>
    </row>
    <row r="711" spans="1:5">
      <c r="A711" s="43"/>
      <c r="B711" s="122" t="s">
        <v>617</v>
      </c>
      <c r="C711" s="118" t="s">
        <v>208</v>
      </c>
      <c r="D711" s="41"/>
      <c r="E711" s="42"/>
    </row>
    <row r="712" spans="1:5">
      <c r="A712" s="43"/>
      <c r="B712" s="122" t="s">
        <v>618</v>
      </c>
      <c r="C712" s="118" t="s">
        <v>208</v>
      </c>
      <c r="D712" s="41"/>
      <c r="E712" s="42"/>
    </row>
    <row r="713" spans="1:5">
      <c r="A713" s="43"/>
      <c r="B713" s="122" t="s">
        <v>619</v>
      </c>
      <c r="C713" s="118" t="s">
        <v>208</v>
      </c>
      <c r="D713" s="41"/>
      <c r="E713" s="42"/>
    </row>
    <row r="714" spans="1:5">
      <c r="A714" s="43"/>
      <c r="B714" s="122" t="s">
        <v>620</v>
      </c>
      <c r="C714" s="118" t="s">
        <v>284</v>
      </c>
      <c r="D714" s="41"/>
      <c r="E714" s="42"/>
    </row>
    <row r="715" spans="1:5">
      <c r="A715" s="43"/>
      <c r="B715" s="122" t="s">
        <v>621</v>
      </c>
      <c r="C715" s="118" t="s">
        <v>284</v>
      </c>
      <c r="D715" s="41"/>
      <c r="E715" s="42"/>
    </row>
    <row r="716" spans="1:5">
      <c r="A716" s="43"/>
      <c r="B716" s="122" t="s">
        <v>622</v>
      </c>
      <c r="C716" s="118" t="s">
        <v>284</v>
      </c>
      <c r="D716" s="41"/>
      <c r="E716" s="42"/>
    </row>
    <row r="717" spans="1:5">
      <c r="A717" s="43"/>
      <c r="B717" s="122" t="s">
        <v>623</v>
      </c>
      <c r="C717" s="118" t="s">
        <v>208</v>
      </c>
      <c r="D717" s="41"/>
      <c r="E717" s="42"/>
    </row>
    <row r="718" spans="1:5">
      <c r="A718" s="43"/>
      <c r="B718" s="122" t="s">
        <v>624</v>
      </c>
      <c r="C718" s="118" t="s">
        <v>208</v>
      </c>
      <c r="D718" s="41"/>
      <c r="E718" s="42"/>
    </row>
    <row r="719" spans="1:5">
      <c r="A719" s="43"/>
      <c r="B719" s="122" t="s">
        <v>625</v>
      </c>
      <c r="C719" s="118" t="s">
        <v>208</v>
      </c>
      <c r="D719" s="41"/>
      <c r="E719" s="42"/>
    </row>
    <row r="720" spans="1:5">
      <c r="A720" s="43"/>
      <c r="B720" s="122" t="s">
        <v>626</v>
      </c>
      <c r="C720" s="118" t="s">
        <v>208</v>
      </c>
      <c r="D720" s="41"/>
      <c r="E720" s="42"/>
    </row>
    <row r="721" spans="1:5">
      <c r="A721" s="43"/>
      <c r="B721" s="122" t="s">
        <v>627</v>
      </c>
      <c r="C721" s="118" t="s">
        <v>208</v>
      </c>
      <c r="D721" s="41"/>
      <c r="E721" s="42"/>
    </row>
    <row r="722" spans="1:5">
      <c r="A722" s="43"/>
      <c r="B722" s="122" t="s">
        <v>628</v>
      </c>
      <c r="C722" s="118" t="s">
        <v>208</v>
      </c>
      <c r="D722" s="41"/>
      <c r="E722" s="42"/>
    </row>
    <row r="723" spans="1:5">
      <c r="A723" s="43"/>
      <c r="B723" s="122" t="s">
        <v>629</v>
      </c>
      <c r="C723" s="118" t="s">
        <v>208</v>
      </c>
      <c r="D723" s="41"/>
      <c r="E723" s="42"/>
    </row>
    <row r="724" spans="1:5">
      <c r="A724" s="43"/>
      <c r="B724" s="122" t="s">
        <v>630</v>
      </c>
      <c r="C724" s="118" t="s">
        <v>208</v>
      </c>
      <c r="D724" s="41"/>
      <c r="E724" s="42"/>
    </row>
    <row r="725" spans="1:5">
      <c r="A725" s="43"/>
      <c r="B725" s="122" t="s">
        <v>631</v>
      </c>
      <c r="C725" s="118"/>
      <c r="D725" s="41"/>
      <c r="E725" s="42"/>
    </row>
    <row r="726" spans="1:5">
      <c r="A726" s="43"/>
      <c r="B726" s="122" t="s">
        <v>632</v>
      </c>
      <c r="C726" s="118" t="s">
        <v>284</v>
      </c>
      <c r="D726" s="41"/>
      <c r="E726" s="42"/>
    </row>
    <row r="727" spans="1:5">
      <c r="A727" s="43"/>
      <c r="B727" s="122" t="s">
        <v>633</v>
      </c>
      <c r="C727" s="118" t="s">
        <v>208</v>
      </c>
      <c r="D727" s="41"/>
      <c r="E727" s="42"/>
    </row>
    <row r="728" spans="1:5">
      <c r="A728" s="43"/>
      <c r="B728" s="122" t="s">
        <v>634</v>
      </c>
      <c r="C728" s="118" t="s">
        <v>208</v>
      </c>
      <c r="D728" s="41"/>
      <c r="E728" s="42"/>
    </row>
    <row r="729" spans="1:5">
      <c r="A729" s="43"/>
      <c r="B729" s="122" t="s">
        <v>635</v>
      </c>
      <c r="C729" s="118" t="s">
        <v>208</v>
      </c>
      <c r="D729" s="41"/>
      <c r="E729" s="42"/>
    </row>
    <row r="730" spans="1:5">
      <c r="A730" s="43"/>
      <c r="B730" s="122" t="s">
        <v>636</v>
      </c>
      <c r="C730" s="118" t="s">
        <v>208</v>
      </c>
      <c r="D730" s="41"/>
      <c r="E730" s="42"/>
    </row>
    <row r="731" spans="1:5">
      <c r="A731" s="43"/>
      <c r="B731" s="122" t="s">
        <v>637</v>
      </c>
      <c r="C731" s="118" t="s">
        <v>208</v>
      </c>
      <c r="D731" s="41"/>
      <c r="E731" s="42"/>
    </row>
    <row r="732" spans="1:5">
      <c r="A732" s="43"/>
      <c r="B732" s="122" t="s">
        <v>638</v>
      </c>
      <c r="C732" s="118"/>
      <c r="D732" s="41"/>
      <c r="E732" s="42"/>
    </row>
    <row r="733" spans="1:5">
      <c r="A733" s="43"/>
      <c r="B733" s="122" t="s">
        <v>639</v>
      </c>
      <c r="C733" s="118" t="s">
        <v>284</v>
      </c>
      <c r="D733" s="41"/>
      <c r="E733" s="42"/>
    </row>
    <row r="734" spans="1:5">
      <c r="A734" s="43"/>
      <c r="B734" s="122" t="s">
        <v>640</v>
      </c>
      <c r="C734" s="118" t="s">
        <v>208</v>
      </c>
      <c r="D734" s="41"/>
      <c r="E734" s="42"/>
    </row>
    <row r="735" spans="1:5">
      <c r="A735" s="43"/>
      <c r="B735" s="122" t="s">
        <v>641</v>
      </c>
      <c r="C735" s="118" t="s">
        <v>208</v>
      </c>
      <c r="D735" s="41"/>
      <c r="E735" s="42"/>
    </row>
    <row r="736" spans="1:5">
      <c r="A736" s="43"/>
      <c r="B736" s="122" t="s">
        <v>642</v>
      </c>
      <c r="C736" s="118" t="s">
        <v>208</v>
      </c>
      <c r="D736" s="41"/>
      <c r="E736" s="42"/>
    </row>
    <row r="737" spans="1:5">
      <c r="A737" s="43"/>
      <c r="B737" s="122" t="s">
        <v>643</v>
      </c>
      <c r="C737" s="118" t="s">
        <v>208</v>
      </c>
      <c r="D737" s="41"/>
      <c r="E737" s="42"/>
    </row>
    <row r="738" spans="1:5">
      <c r="A738" s="43"/>
      <c r="B738" s="122" t="s">
        <v>644</v>
      </c>
      <c r="C738" s="118" t="s">
        <v>208</v>
      </c>
      <c r="D738" s="41"/>
      <c r="E738" s="42"/>
    </row>
    <row r="739" spans="1:5">
      <c r="A739" s="43"/>
      <c r="B739" s="122" t="s">
        <v>645</v>
      </c>
      <c r="C739" s="118"/>
      <c r="D739" s="41"/>
      <c r="E739" s="42"/>
    </row>
    <row r="740" spans="1:5">
      <c r="A740" s="43"/>
      <c r="B740" s="122" t="s">
        <v>646</v>
      </c>
      <c r="C740" s="118" t="s">
        <v>284</v>
      </c>
      <c r="D740" s="41"/>
      <c r="E740" s="42"/>
    </row>
    <row r="741" spans="1:5">
      <c r="A741" s="43"/>
      <c r="B741" s="122" t="s">
        <v>634</v>
      </c>
      <c r="C741" s="118" t="s">
        <v>208</v>
      </c>
      <c r="D741" s="41"/>
      <c r="E741" s="42"/>
    </row>
    <row r="742" spans="1:5">
      <c r="A742" s="43"/>
      <c r="B742" s="122" t="s">
        <v>635</v>
      </c>
      <c r="C742" s="118" t="s">
        <v>208</v>
      </c>
      <c r="D742" s="41"/>
      <c r="E742" s="42"/>
    </row>
    <row r="743" spans="1:5">
      <c r="A743" s="43"/>
      <c r="B743" s="122" t="s">
        <v>636</v>
      </c>
      <c r="C743" s="118" t="s">
        <v>208</v>
      </c>
      <c r="D743" s="41"/>
      <c r="E743" s="42"/>
    </row>
    <row r="744" spans="1:5">
      <c r="A744" s="43"/>
      <c r="B744" s="122" t="s">
        <v>637</v>
      </c>
      <c r="C744" s="118" t="s">
        <v>208</v>
      </c>
      <c r="D744" s="41"/>
      <c r="E744" s="42"/>
    </row>
    <row r="745" spans="1:5">
      <c r="A745" s="43"/>
      <c r="B745" s="122" t="s">
        <v>647</v>
      </c>
      <c r="C745" s="118" t="s">
        <v>208</v>
      </c>
      <c r="D745" s="41"/>
      <c r="E745" s="42"/>
    </row>
    <row r="746" spans="1:5">
      <c r="A746" s="43"/>
      <c r="B746" s="122" t="s">
        <v>648</v>
      </c>
      <c r="C746" s="118" t="s">
        <v>208</v>
      </c>
      <c r="D746" s="41"/>
      <c r="E746" s="42"/>
    </row>
    <row r="747" spans="1:5">
      <c r="A747" s="43"/>
      <c r="B747" s="122" t="s">
        <v>649</v>
      </c>
      <c r="C747" s="118" t="s">
        <v>208</v>
      </c>
      <c r="D747" s="41"/>
      <c r="E747" s="42"/>
    </row>
    <row r="748" spans="1:5">
      <c r="A748" s="43"/>
      <c r="B748" s="122" t="s">
        <v>650</v>
      </c>
      <c r="C748" s="118" t="s">
        <v>208</v>
      </c>
      <c r="D748" s="41"/>
      <c r="E748" s="42"/>
    </row>
    <row r="749" spans="1:5">
      <c r="A749" s="43"/>
      <c r="B749" s="122" t="s">
        <v>651</v>
      </c>
      <c r="C749" s="118" t="s">
        <v>208</v>
      </c>
      <c r="D749" s="41"/>
      <c r="E749" s="42"/>
    </row>
    <row r="750" spans="1:5">
      <c r="A750" s="43"/>
      <c r="B750" s="122" t="s">
        <v>644</v>
      </c>
      <c r="C750" s="118" t="s">
        <v>208</v>
      </c>
      <c r="D750" s="41"/>
      <c r="E750" s="42"/>
    </row>
    <row r="751" spans="1:5">
      <c r="A751" s="43"/>
      <c r="B751" s="122" t="s">
        <v>652</v>
      </c>
      <c r="C751" s="118" t="s">
        <v>208</v>
      </c>
      <c r="D751" s="41"/>
      <c r="E751" s="42"/>
    </row>
    <row r="752" spans="1:5">
      <c r="A752" s="43"/>
      <c r="B752" s="122" t="s">
        <v>653</v>
      </c>
      <c r="C752" s="118" t="s">
        <v>208</v>
      </c>
      <c r="D752" s="41"/>
      <c r="E752" s="42"/>
    </row>
    <row r="753" spans="1:5">
      <c r="A753" s="43"/>
      <c r="B753" s="122" t="s">
        <v>654</v>
      </c>
      <c r="C753" s="118" t="s">
        <v>208</v>
      </c>
      <c r="D753" s="41"/>
      <c r="E753" s="42"/>
    </row>
    <row r="754" spans="1:5">
      <c r="A754" s="43"/>
      <c r="B754" s="122" t="s">
        <v>655</v>
      </c>
      <c r="C754" s="118"/>
      <c r="D754" s="41"/>
      <c r="E754" s="42"/>
    </row>
    <row r="755" spans="1:5">
      <c r="A755" s="43"/>
      <c r="B755" s="122" t="s">
        <v>656</v>
      </c>
      <c r="C755" s="118" t="s">
        <v>284</v>
      </c>
      <c r="D755" s="41"/>
      <c r="E755" s="42"/>
    </row>
    <row r="756" spans="1:5">
      <c r="A756" s="43"/>
      <c r="B756" s="122" t="s">
        <v>637</v>
      </c>
      <c r="C756" s="118" t="s">
        <v>208</v>
      </c>
      <c r="D756" s="41"/>
      <c r="E756" s="42"/>
    </row>
    <row r="757" spans="1:5">
      <c r="A757" s="43"/>
      <c r="B757" s="122" t="s">
        <v>647</v>
      </c>
      <c r="C757" s="118" t="s">
        <v>208</v>
      </c>
      <c r="D757" s="41"/>
      <c r="E757" s="42"/>
    </row>
    <row r="758" spans="1:5" s="105" customFormat="1">
      <c r="A758" s="126"/>
      <c r="B758" s="122"/>
      <c r="C758" s="118"/>
      <c r="D758" s="123"/>
      <c r="E758" s="125"/>
    </row>
    <row r="759" spans="1:5" s="105" customFormat="1">
      <c r="A759" s="126"/>
      <c r="B759" s="127" t="s">
        <v>657</v>
      </c>
      <c r="C759" s="118"/>
      <c r="D759" s="123"/>
      <c r="E759" s="125"/>
    </row>
    <row r="760" spans="1:5" s="105" customFormat="1">
      <c r="A760" s="126"/>
      <c r="B760" s="146" t="s">
        <v>767</v>
      </c>
      <c r="C760" s="118"/>
      <c r="D760" s="123"/>
      <c r="E760" s="125"/>
    </row>
    <row r="761" spans="1:5" s="105" customFormat="1">
      <c r="A761" s="126"/>
      <c r="B761" s="122" t="s">
        <v>658</v>
      </c>
      <c r="C761" s="118" t="s">
        <v>284</v>
      </c>
      <c r="D761" s="123"/>
      <c r="E761" s="125"/>
    </row>
    <row r="762" spans="1:5" s="105" customFormat="1">
      <c r="A762" s="126"/>
      <c r="B762" s="122" t="s">
        <v>659</v>
      </c>
      <c r="C762" s="118" t="s">
        <v>284</v>
      </c>
      <c r="D762" s="123"/>
      <c r="E762" s="125"/>
    </row>
    <row r="763" spans="1:5" s="105" customFormat="1">
      <c r="A763" s="126"/>
      <c r="B763" s="122" t="s">
        <v>660</v>
      </c>
      <c r="C763" s="118" t="s">
        <v>284</v>
      </c>
      <c r="D763" s="123"/>
      <c r="E763" s="125"/>
    </row>
    <row r="764" spans="1:5" s="105" customFormat="1">
      <c r="A764" s="126"/>
      <c r="B764" s="122" t="s">
        <v>661</v>
      </c>
      <c r="C764" s="118" t="s">
        <v>284</v>
      </c>
      <c r="D764" s="123"/>
      <c r="E764" s="125"/>
    </row>
    <row r="765" spans="1:5" s="105" customFormat="1" ht="26">
      <c r="A765" s="126"/>
      <c r="B765" s="122" t="s">
        <v>662</v>
      </c>
      <c r="C765" s="118" t="s">
        <v>284</v>
      </c>
      <c r="D765" s="123"/>
      <c r="E765" s="125"/>
    </row>
    <row r="766" spans="1:5" s="105" customFormat="1">
      <c r="A766" s="126"/>
      <c r="B766" s="122" t="s">
        <v>663</v>
      </c>
      <c r="C766" s="118" t="s">
        <v>284</v>
      </c>
      <c r="D766" s="123"/>
      <c r="E766" s="125"/>
    </row>
    <row r="767" spans="1:5" s="105" customFormat="1">
      <c r="A767" s="126"/>
      <c r="B767" s="122" t="s">
        <v>664</v>
      </c>
      <c r="C767" s="118" t="s">
        <v>284</v>
      </c>
      <c r="D767" s="123"/>
      <c r="E767" s="125"/>
    </row>
    <row r="768" spans="1:5" s="105" customFormat="1">
      <c r="A768" s="126"/>
      <c r="B768" s="122" t="s">
        <v>665</v>
      </c>
      <c r="C768" s="118" t="s">
        <v>284</v>
      </c>
      <c r="D768" s="123"/>
      <c r="E768" s="125"/>
    </row>
    <row r="769" spans="1:5" s="105" customFormat="1">
      <c r="A769" s="126"/>
      <c r="B769" s="122" t="s">
        <v>666</v>
      </c>
      <c r="C769" s="118" t="s">
        <v>284</v>
      </c>
      <c r="D769" s="123"/>
      <c r="E769" s="125"/>
    </row>
    <row r="770" spans="1:5" s="105" customFormat="1">
      <c r="A770" s="128"/>
      <c r="B770" s="122" t="s">
        <v>667</v>
      </c>
      <c r="C770" s="118" t="s">
        <v>284</v>
      </c>
      <c r="D770" s="129"/>
      <c r="E770" s="130"/>
    </row>
    <row r="771" spans="1:5" s="105" customFormat="1">
      <c r="A771" s="126"/>
      <c r="B771" s="122" t="s">
        <v>668</v>
      </c>
      <c r="C771" s="118" t="s">
        <v>284</v>
      </c>
      <c r="D771" s="123"/>
      <c r="E771" s="125"/>
    </row>
    <row r="772" spans="1:5" s="105" customFormat="1">
      <c r="A772" s="126"/>
      <c r="B772" s="122" t="s">
        <v>669</v>
      </c>
      <c r="C772" s="118" t="s">
        <v>284</v>
      </c>
      <c r="D772" s="123"/>
      <c r="E772" s="125"/>
    </row>
    <row r="773" spans="1:5" s="105" customFormat="1">
      <c r="A773" s="128"/>
      <c r="B773" s="122" t="s">
        <v>670</v>
      </c>
      <c r="C773" s="118" t="s">
        <v>284</v>
      </c>
      <c r="D773" s="129"/>
      <c r="E773" s="130"/>
    </row>
    <row r="774" spans="1:5" s="105" customFormat="1">
      <c r="A774" s="126"/>
      <c r="B774" s="122" t="s">
        <v>671</v>
      </c>
      <c r="C774" s="118" t="s">
        <v>284</v>
      </c>
      <c r="D774" s="123"/>
      <c r="E774" s="125"/>
    </row>
    <row r="775" spans="1:5" s="105" customFormat="1">
      <c r="A775" s="126"/>
      <c r="B775" s="122" t="s">
        <v>672</v>
      </c>
      <c r="C775" s="118" t="s">
        <v>284</v>
      </c>
      <c r="D775" s="123"/>
      <c r="E775" s="125"/>
    </row>
    <row r="776" spans="1:5" s="105" customFormat="1">
      <c r="A776" s="126"/>
      <c r="B776" s="122" t="s">
        <v>673</v>
      </c>
      <c r="C776" s="118" t="s">
        <v>284</v>
      </c>
      <c r="D776" s="123"/>
      <c r="E776" s="125"/>
    </row>
    <row r="777" spans="1:5" s="105" customFormat="1">
      <c r="A777" s="126"/>
      <c r="B777" s="122" t="s">
        <v>674</v>
      </c>
      <c r="C777" s="118" t="s">
        <v>284</v>
      </c>
      <c r="D777" s="123"/>
      <c r="E777" s="125"/>
    </row>
    <row r="778" spans="1:5" s="105" customFormat="1">
      <c r="A778" s="126"/>
      <c r="B778" s="122" t="s">
        <v>675</v>
      </c>
      <c r="C778" s="118" t="s">
        <v>284</v>
      </c>
      <c r="D778" s="123"/>
      <c r="E778" s="125"/>
    </row>
    <row r="779" spans="1:5" s="105" customFormat="1">
      <c r="A779" s="126"/>
      <c r="B779" s="122" t="s">
        <v>676</v>
      </c>
      <c r="C779" s="118" t="s">
        <v>284</v>
      </c>
      <c r="D779" s="123"/>
      <c r="E779" s="125"/>
    </row>
    <row r="780" spans="1:5" s="105" customFormat="1">
      <c r="A780" s="126"/>
      <c r="B780" s="122" t="s">
        <v>677</v>
      </c>
      <c r="C780" s="118"/>
      <c r="D780" s="123"/>
      <c r="E780" s="125"/>
    </row>
    <row r="781" spans="1:5" s="105" customFormat="1">
      <c r="A781" s="126"/>
      <c r="B781" s="122" t="s">
        <v>678</v>
      </c>
      <c r="C781" s="118" t="s">
        <v>679</v>
      </c>
      <c r="D781" s="123"/>
      <c r="E781" s="125"/>
    </row>
    <row r="782" spans="1:5" s="105" customFormat="1">
      <c r="A782" s="126"/>
      <c r="B782" s="122" t="s">
        <v>680</v>
      </c>
      <c r="C782" s="118" t="s">
        <v>679</v>
      </c>
      <c r="D782" s="123"/>
      <c r="E782" s="125"/>
    </row>
    <row r="783" spans="1:5" s="105" customFormat="1">
      <c r="A783" s="126"/>
      <c r="B783" s="122" t="s">
        <v>681</v>
      </c>
      <c r="C783" s="118" t="s">
        <v>679</v>
      </c>
      <c r="D783" s="123"/>
      <c r="E783" s="125"/>
    </row>
    <row r="784" spans="1:5" s="105" customFormat="1">
      <c r="A784" s="126"/>
      <c r="B784" s="122" t="s">
        <v>682</v>
      </c>
      <c r="C784" s="118" t="s">
        <v>679</v>
      </c>
      <c r="D784" s="123"/>
      <c r="E784" s="125"/>
    </row>
    <row r="785" spans="1:5" s="105" customFormat="1">
      <c r="A785" s="126"/>
      <c r="B785" s="122" t="s">
        <v>683</v>
      </c>
      <c r="C785" s="118" t="s">
        <v>679</v>
      </c>
      <c r="D785" s="123"/>
      <c r="E785" s="125"/>
    </row>
    <row r="786" spans="1:5" s="105" customFormat="1">
      <c r="A786" s="126"/>
      <c r="B786" s="122" t="s">
        <v>684</v>
      </c>
      <c r="C786" s="118" t="s">
        <v>679</v>
      </c>
      <c r="D786" s="123"/>
      <c r="E786" s="125"/>
    </row>
    <row r="787" spans="1:5" s="105" customFormat="1">
      <c r="A787" s="126"/>
      <c r="B787" s="122" t="s">
        <v>685</v>
      </c>
      <c r="C787" s="118" t="s">
        <v>679</v>
      </c>
      <c r="D787" s="123"/>
      <c r="E787" s="125"/>
    </row>
    <row r="788" spans="1:5" s="105" customFormat="1">
      <c r="A788" s="126"/>
      <c r="B788" s="122" t="s">
        <v>686</v>
      </c>
      <c r="C788" s="118" t="s">
        <v>679</v>
      </c>
      <c r="D788" s="123"/>
      <c r="E788" s="125"/>
    </row>
    <row r="789" spans="1:5" s="105" customFormat="1">
      <c r="A789" s="126"/>
      <c r="B789" s="122"/>
      <c r="C789" s="118"/>
      <c r="D789" s="123"/>
      <c r="E789" s="125"/>
    </row>
    <row r="790" spans="1:5" s="105" customFormat="1">
      <c r="A790" s="126"/>
      <c r="B790" s="127" t="s">
        <v>687</v>
      </c>
      <c r="C790" s="118"/>
      <c r="D790" s="123"/>
      <c r="E790" s="125"/>
    </row>
    <row r="791" spans="1:5" s="105" customFormat="1">
      <c r="A791" s="126"/>
      <c r="B791" s="146" t="s">
        <v>767</v>
      </c>
      <c r="C791" s="118"/>
      <c r="D791" s="123"/>
      <c r="E791" s="125"/>
    </row>
    <row r="792" spans="1:5" s="105" customFormat="1">
      <c r="A792" s="126"/>
      <c r="B792" s="122" t="s">
        <v>688</v>
      </c>
      <c r="C792" s="118" t="s">
        <v>284</v>
      </c>
      <c r="D792" s="123"/>
      <c r="E792" s="125"/>
    </row>
    <row r="793" spans="1:5" s="105" customFormat="1">
      <c r="A793" s="126"/>
      <c r="B793" s="122" t="s">
        <v>689</v>
      </c>
      <c r="C793" s="118" t="s">
        <v>284</v>
      </c>
      <c r="D793" s="123"/>
      <c r="E793" s="125"/>
    </row>
    <row r="794" spans="1:5" s="105" customFormat="1">
      <c r="A794" s="126"/>
      <c r="B794" s="122" t="s">
        <v>690</v>
      </c>
      <c r="C794" s="118" t="s">
        <v>284</v>
      </c>
      <c r="D794" s="123"/>
      <c r="E794" s="125"/>
    </row>
    <row r="795" spans="1:5" s="105" customFormat="1">
      <c r="A795" s="126"/>
      <c r="B795" s="122" t="s">
        <v>691</v>
      </c>
      <c r="C795" s="118" t="s">
        <v>284</v>
      </c>
      <c r="D795" s="123"/>
      <c r="E795" s="125"/>
    </row>
    <row r="796" spans="1:5" s="105" customFormat="1">
      <c r="A796" s="126"/>
      <c r="B796" s="122" t="s">
        <v>692</v>
      </c>
      <c r="C796" s="118" t="s">
        <v>284</v>
      </c>
      <c r="D796" s="123"/>
      <c r="E796" s="125"/>
    </row>
    <row r="797" spans="1:5" s="105" customFormat="1">
      <c r="A797" s="126"/>
      <c r="B797" s="122" t="s">
        <v>693</v>
      </c>
      <c r="C797" s="118" t="s">
        <v>284</v>
      </c>
      <c r="D797" s="123"/>
      <c r="E797" s="125"/>
    </row>
    <row r="798" spans="1:5" s="105" customFormat="1">
      <c r="A798" s="126"/>
      <c r="B798" s="122" t="s">
        <v>694</v>
      </c>
      <c r="C798" s="118" t="s">
        <v>284</v>
      </c>
      <c r="D798" s="123"/>
      <c r="E798" s="125"/>
    </row>
    <row r="799" spans="1:5" s="105" customFormat="1">
      <c r="A799" s="128"/>
      <c r="B799" s="122" t="s">
        <v>695</v>
      </c>
      <c r="C799" s="118" t="s">
        <v>284</v>
      </c>
      <c r="D799" s="129"/>
      <c r="E799" s="130"/>
    </row>
    <row r="800" spans="1:5" s="105" customFormat="1">
      <c r="A800" s="128"/>
      <c r="B800" s="122" t="s">
        <v>696</v>
      </c>
      <c r="C800" s="118" t="s">
        <v>284</v>
      </c>
      <c r="D800" s="129"/>
      <c r="E800" s="130"/>
    </row>
    <row r="801" spans="1:5" s="105" customFormat="1">
      <c r="A801" s="126"/>
      <c r="B801" s="122" t="s">
        <v>697</v>
      </c>
      <c r="C801" s="118" t="s">
        <v>284</v>
      </c>
      <c r="D801" s="123"/>
      <c r="E801" s="125"/>
    </row>
    <row r="802" spans="1:5" s="105" customFormat="1">
      <c r="A802" s="126"/>
      <c r="B802" s="122" t="s">
        <v>698</v>
      </c>
      <c r="C802" s="118" t="s">
        <v>284</v>
      </c>
      <c r="D802" s="123"/>
      <c r="E802" s="125"/>
    </row>
    <row r="803" spans="1:5" s="105" customFormat="1">
      <c r="A803" s="126"/>
      <c r="B803" s="132" t="s">
        <v>699</v>
      </c>
      <c r="C803" s="118" t="s">
        <v>284</v>
      </c>
      <c r="D803" s="123"/>
      <c r="E803" s="125"/>
    </row>
    <row r="804" spans="1:5" s="105" customFormat="1">
      <c r="A804" s="126"/>
      <c r="B804" s="122" t="s">
        <v>700</v>
      </c>
      <c r="C804" s="118" t="s">
        <v>284</v>
      </c>
      <c r="D804" s="123"/>
      <c r="E804" s="125"/>
    </row>
    <row r="805" spans="1:5" s="105" customFormat="1">
      <c r="A805" s="126"/>
      <c r="B805" s="122" t="s">
        <v>701</v>
      </c>
      <c r="C805" s="118" t="s">
        <v>284</v>
      </c>
      <c r="D805" s="123"/>
      <c r="E805" s="125"/>
    </row>
    <row r="806" spans="1:5" s="105" customFormat="1">
      <c r="A806" s="126"/>
      <c r="B806" s="122" t="s">
        <v>702</v>
      </c>
      <c r="C806" s="118" t="s">
        <v>284</v>
      </c>
      <c r="D806" s="123"/>
      <c r="E806" s="125"/>
    </row>
    <row r="807" spans="1:5" s="105" customFormat="1">
      <c r="A807" s="126"/>
      <c r="B807" s="122" t="s">
        <v>703</v>
      </c>
      <c r="C807" s="118" t="s">
        <v>284</v>
      </c>
      <c r="D807" s="123"/>
      <c r="E807" s="125"/>
    </row>
    <row r="808" spans="1:5" s="105" customFormat="1">
      <c r="A808" s="126"/>
      <c r="B808" s="122" t="s">
        <v>704</v>
      </c>
      <c r="C808" s="118" t="s">
        <v>284</v>
      </c>
      <c r="D808" s="123"/>
      <c r="E808" s="125"/>
    </row>
    <row r="809" spans="1:5" s="105" customFormat="1">
      <c r="A809" s="126"/>
      <c r="B809" s="122" t="s">
        <v>705</v>
      </c>
      <c r="C809" s="118" t="s">
        <v>284</v>
      </c>
      <c r="D809" s="123"/>
      <c r="E809" s="125"/>
    </row>
    <row r="810" spans="1:5" s="105" customFormat="1">
      <c r="A810" s="128"/>
      <c r="B810" s="122" t="s">
        <v>706</v>
      </c>
      <c r="C810" s="118" t="s">
        <v>284</v>
      </c>
      <c r="D810" s="129"/>
      <c r="E810" s="130"/>
    </row>
    <row r="811" spans="1:5" s="105" customFormat="1">
      <c r="A811" s="128"/>
      <c r="B811" s="122" t="s">
        <v>707</v>
      </c>
      <c r="C811" s="118" t="s">
        <v>284</v>
      </c>
      <c r="D811" s="129"/>
      <c r="E811" s="130"/>
    </row>
    <row r="812" spans="1:5" s="105" customFormat="1">
      <c r="A812" s="126"/>
      <c r="B812" s="122" t="s">
        <v>708</v>
      </c>
      <c r="C812" s="118" t="s">
        <v>284</v>
      </c>
      <c r="D812" s="123"/>
      <c r="E812" s="125"/>
    </row>
    <row r="813" spans="1:5" s="105" customFormat="1">
      <c r="A813" s="128"/>
      <c r="B813" s="122" t="s">
        <v>709</v>
      </c>
      <c r="C813" s="118" t="s">
        <v>284</v>
      </c>
      <c r="D813" s="129"/>
      <c r="E813" s="130"/>
    </row>
    <row r="814" spans="1:5" s="105" customFormat="1">
      <c r="A814" s="128"/>
      <c r="B814" s="122" t="s">
        <v>710</v>
      </c>
      <c r="C814" s="118" t="s">
        <v>284</v>
      </c>
      <c r="D814" s="129"/>
      <c r="E814" s="130"/>
    </row>
    <row r="815" spans="1:5" s="105" customFormat="1">
      <c r="A815" s="126"/>
      <c r="B815" s="122" t="s">
        <v>711</v>
      </c>
      <c r="C815" s="118" t="s">
        <v>284</v>
      </c>
      <c r="D815" s="123"/>
      <c r="E815" s="125"/>
    </row>
    <row r="816" spans="1:5" s="105" customFormat="1">
      <c r="A816" s="126"/>
      <c r="B816" s="122" t="s">
        <v>712</v>
      </c>
      <c r="C816" s="118" t="s">
        <v>284</v>
      </c>
      <c r="D816" s="123"/>
      <c r="E816" s="125"/>
    </row>
    <row r="817" spans="1:5" s="105" customFormat="1">
      <c r="A817" s="126"/>
      <c r="B817" s="105" t="s">
        <v>713</v>
      </c>
      <c r="C817" s="118" t="s">
        <v>284</v>
      </c>
      <c r="D817" s="123"/>
      <c r="E817" s="125"/>
    </row>
    <row r="818" spans="1:5" s="105" customFormat="1">
      <c r="A818" s="126"/>
      <c r="B818" s="122" t="s">
        <v>714</v>
      </c>
      <c r="C818" s="118" t="s">
        <v>284</v>
      </c>
      <c r="D818" s="123"/>
      <c r="E818" s="125"/>
    </row>
    <row r="819" spans="1:5" s="105" customFormat="1">
      <c r="A819" s="126"/>
      <c r="B819" s="122" t="s">
        <v>715</v>
      </c>
      <c r="C819" s="118" t="s">
        <v>284</v>
      </c>
      <c r="D819" s="123"/>
      <c r="E819" s="125"/>
    </row>
    <row r="820" spans="1:5" s="105" customFormat="1">
      <c r="A820" s="126"/>
      <c r="B820" s="122" t="s">
        <v>716</v>
      </c>
      <c r="C820" s="118" t="s">
        <v>284</v>
      </c>
      <c r="D820" s="123"/>
      <c r="E820" s="125"/>
    </row>
    <row r="821" spans="1:5" s="105" customFormat="1">
      <c r="A821" s="126"/>
      <c r="B821" s="122" t="s">
        <v>717</v>
      </c>
      <c r="C821" s="118" t="s">
        <v>284</v>
      </c>
      <c r="D821" s="123"/>
      <c r="E821" s="125"/>
    </row>
    <row r="822" spans="1:5" s="105" customFormat="1">
      <c r="A822" s="128"/>
      <c r="B822" s="122" t="s">
        <v>718</v>
      </c>
      <c r="C822" s="118" t="s">
        <v>284</v>
      </c>
      <c r="D822" s="129"/>
      <c r="E822" s="130"/>
    </row>
    <row r="823" spans="1:5" s="105" customFormat="1">
      <c r="A823" s="126"/>
      <c r="B823" s="122" t="s">
        <v>719</v>
      </c>
      <c r="C823" s="118" t="s">
        <v>284</v>
      </c>
      <c r="D823" s="123"/>
      <c r="E823" s="125"/>
    </row>
    <row r="824" spans="1:5" s="105" customFormat="1">
      <c r="A824" s="126"/>
      <c r="B824" s="122" t="s">
        <v>720</v>
      </c>
      <c r="C824" s="118" t="s">
        <v>284</v>
      </c>
      <c r="D824" s="123"/>
      <c r="E824" s="125"/>
    </row>
    <row r="825" spans="1:5" s="105" customFormat="1">
      <c r="A825" s="126"/>
      <c r="B825" s="122" t="s">
        <v>721</v>
      </c>
      <c r="C825" s="118" t="s">
        <v>284</v>
      </c>
      <c r="D825" s="123"/>
      <c r="E825" s="125"/>
    </row>
    <row r="826" spans="1:5" s="105" customFormat="1">
      <c r="A826" s="126"/>
      <c r="B826" s="122" t="s">
        <v>722</v>
      </c>
      <c r="C826" s="118" t="s">
        <v>284</v>
      </c>
      <c r="D826" s="123"/>
      <c r="E826" s="125"/>
    </row>
    <row r="827" spans="1:5" s="105" customFormat="1">
      <c r="A827" s="128"/>
      <c r="B827" s="122" t="s">
        <v>723</v>
      </c>
      <c r="C827" s="118" t="s">
        <v>284</v>
      </c>
      <c r="D827" s="129"/>
      <c r="E827" s="130"/>
    </row>
    <row r="828" spans="1:5" s="105" customFormat="1">
      <c r="A828" s="126"/>
      <c r="B828" s="122" t="s">
        <v>724</v>
      </c>
      <c r="C828" s="118" t="s">
        <v>284</v>
      </c>
      <c r="D828" s="123"/>
      <c r="E828" s="125"/>
    </row>
    <row r="829" spans="1:5" s="105" customFormat="1">
      <c r="A829" s="126"/>
      <c r="B829" s="122" t="s">
        <v>725</v>
      </c>
      <c r="C829" s="118" t="s">
        <v>284</v>
      </c>
      <c r="D829" s="123"/>
      <c r="E829" s="125"/>
    </row>
    <row r="830" spans="1:5" s="105" customFormat="1">
      <c r="A830" s="126"/>
      <c r="B830" s="122" t="s">
        <v>726</v>
      </c>
      <c r="C830" s="118" t="s">
        <v>284</v>
      </c>
      <c r="D830" s="123"/>
      <c r="E830" s="125"/>
    </row>
    <row r="831" spans="1:5" s="105" customFormat="1">
      <c r="A831" s="126"/>
      <c r="B831" s="122" t="s">
        <v>727</v>
      </c>
      <c r="C831" s="118" t="s">
        <v>284</v>
      </c>
      <c r="D831" s="123"/>
      <c r="E831" s="125"/>
    </row>
    <row r="832" spans="1:5" s="105" customFormat="1">
      <c r="A832" s="126"/>
      <c r="B832" s="122" t="s">
        <v>728</v>
      </c>
      <c r="C832" s="118" t="s">
        <v>284</v>
      </c>
      <c r="D832" s="123"/>
      <c r="E832" s="125"/>
    </row>
    <row r="833" spans="1:5" s="105" customFormat="1">
      <c r="A833" s="126"/>
      <c r="B833" s="122" t="s">
        <v>729</v>
      </c>
      <c r="C833" s="118" t="s">
        <v>284</v>
      </c>
      <c r="D833" s="123"/>
      <c r="E833" s="125"/>
    </row>
    <row r="834" spans="1:5" s="105" customFormat="1">
      <c r="A834" s="126"/>
      <c r="B834" s="122" t="s">
        <v>730</v>
      </c>
      <c r="C834" s="118" t="s">
        <v>284</v>
      </c>
      <c r="D834" s="123"/>
      <c r="E834" s="125"/>
    </row>
    <row r="835" spans="1:5" s="105" customFormat="1">
      <c r="A835" s="126"/>
      <c r="B835" s="122" t="s">
        <v>731</v>
      </c>
      <c r="C835" s="118" t="s">
        <v>284</v>
      </c>
      <c r="D835" s="123"/>
      <c r="E835" s="125"/>
    </row>
    <row r="836" spans="1:5" s="105" customFormat="1">
      <c r="A836" s="126"/>
      <c r="B836" s="122" t="s">
        <v>732</v>
      </c>
      <c r="C836" s="118" t="s">
        <v>284</v>
      </c>
      <c r="D836" s="123"/>
      <c r="E836" s="125"/>
    </row>
    <row r="837" spans="1:5" s="105" customFormat="1">
      <c r="A837" s="126"/>
      <c r="B837" s="122" t="s">
        <v>733</v>
      </c>
      <c r="C837" s="118" t="s">
        <v>284</v>
      </c>
      <c r="D837" s="123"/>
      <c r="E837" s="125"/>
    </row>
    <row r="838" spans="1:5" s="105" customFormat="1">
      <c r="A838" s="126"/>
      <c r="B838" s="122" t="s">
        <v>734</v>
      </c>
      <c r="C838" s="118" t="s">
        <v>284</v>
      </c>
      <c r="D838" s="123"/>
      <c r="E838" s="125"/>
    </row>
    <row r="839" spans="1:5" s="105" customFormat="1">
      <c r="A839" s="126"/>
      <c r="B839" s="122" t="s">
        <v>735</v>
      </c>
      <c r="C839" s="118" t="s">
        <v>284</v>
      </c>
      <c r="D839" s="123"/>
      <c r="E839" s="125"/>
    </row>
    <row r="840" spans="1:5" s="105" customFormat="1">
      <c r="A840" s="126"/>
      <c r="B840" s="122" t="s">
        <v>736</v>
      </c>
      <c r="C840" s="118" t="s">
        <v>284</v>
      </c>
      <c r="D840" s="123"/>
      <c r="E840" s="125"/>
    </row>
    <row r="841" spans="1:5" s="105" customFormat="1">
      <c r="A841" s="126"/>
      <c r="B841" s="122" t="s">
        <v>737</v>
      </c>
      <c r="C841" s="118" t="s">
        <v>284</v>
      </c>
      <c r="D841" s="123"/>
      <c r="E841" s="125"/>
    </row>
    <row r="842" spans="1:5" s="105" customFormat="1">
      <c r="A842" s="126"/>
      <c r="B842" s="122" t="s">
        <v>738</v>
      </c>
      <c r="C842" s="118" t="s">
        <v>284</v>
      </c>
      <c r="D842" s="123"/>
      <c r="E842" s="125"/>
    </row>
    <row r="843" spans="1:5" s="105" customFormat="1">
      <c r="A843" s="128"/>
      <c r="B843" s="122" t="s">
        <v>739</v>
      </c>
      <c r="C843" s="118" t="s">
        <v>284</v>
      </c>
      <c r="D843" s="129"/>
      <c r="E843" s="130"/>
    </row>
    <row r="844" spans="1:5" s="138" customFormat="1">
      <c r="A844" s="133"/>
      <c r="B844" s="134"/>
      <c r="C844" s="135"/>
      <c r="D844" s="136"/>
      <c r="E844" s="137"/>
    </row>
    <row r="845" spans="1:5" s="105" customFormat="1" ht="13.5" thickBot="1">
      <c r="A845" s="139" t="s">
        <v>157</v>
      </c>
      <c r="B845" s="140"/>
      <c r="C845" s="141"/>
      <c r="D845" s="142"/>
      <c r="E845" s="143"/>
    </row>
    <row r="846" spans="1:5">
      <c r="D846" s="45"/>
    </row>
  </sheetData>
  <phoneticPr fontId="32" type="noConversion"/>
  <pageMargins left="0.51181102362204722" right="0.51181102362204722" top="0.74803149606299213" bottom="0.74803149606299213" header="0.31496062992125984" footer="0.31496062992125984"/>
  <pageSetup paperSize="9" scale="67" fitToHeight="0" orientation="portrait" r:id="rId1"/>
  <headerFooter>
    <oddFooter>&amp;C&amp;"Khmer UI,Bold"Ref&amp;"Khmer UI,Regular" &amp;F &amp;"Khmer UI,Bold"Date&amp;"Khmer UI,Regular" &amp;D&amp;R &amp;"Khmer UI,Bold" Page&amp;"Khmer UI,Regular"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02261277C55FC4A99131659C3442258" ma:contentTypeVersion="7" ma:contentTypeDescription="Create a new document." ma:contentTypeScope="" ma:versionID="d407181b9631f6ee426dc83d98b930f4">
  <xsd:schema xmlns:xsd="http://www.w3.org/2001/XMLSchema" xmlns:xs="http://www.w3.org/2001/XMLSchema" xmlns:p="http://schemas.microsoft.com/office/2006/metadata/properties" xmlns:ns2="416c726b-ceca-4724-b00c-1a9f37bec44a" xmlns:ns3="94bd9683-96dc-4a36-bc4b-dc6fb5bc7f39" targetNamespace="http://schemas.microsoft.com/office/2006/metadata/properties" ma:root="true" ma:fieldsID="bc5de33eca80b7367c152cde42adb38f" ns2:_="" ns3:_="">
    <xsd:import namespace="416c726b-ceca-4724-b00c-1a9f37bec44a"/>
    <xsd:import namespace="94bd9683-96dc-4a36-bc4b-dc6fb5bc7f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c726b-ceca-4724-b00c-1a9f37bec4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b492977-2dea-498c-99b4-1555f3d0d96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4bd9683-96dc-4a36-bc4b-dc6fb5bc7f3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5469454-34ff-420a-9444-043d180edb5f}" ma:internalName="TaxCatchAll" ma:showField="CatchAllData" ma:web="94bd9683-96dc-4a36-bc4b-dc6fb5bc7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bd9683-96dc-4a36-bc4b-dc6fb5bc7f39" xsi:nil="true"/>
    <lcf76f155ced4ddcb4097134ff3c332f xmlns="416c726b-ceca-4724-b00c-1a9f37bec44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725864-127A-42DE-AC55-B33A3400B3AF}">
  <ds:schemaRefs>
    <ds:schemaRef ds:uri="http://schemas.microsoft.com/sharepoint/v3/contenttype/forms"/>
  </ds:schemaRefs>
</ds:datastoreItem>
</file>

<file path=customXml/itemProps2.xml><?xml version="1.0" encoding="utf-8"?>
<ds:datastoreItem xmlns:ds="http://schemas.openxmlformats.org/officeDocument/2006/customXml" ds:itemID="{BE5E96F4-C939-4529-8EC9-BC83A068CC53}"/>
</file>

<file path=customXml/itemProps3.xml><?xml version="1.0" encoding="utf-8"?>
<ds:datastoreItem xmlns:ds="http://schemas.openxmlformats.org/officeDocument/2006/customXml" ds:itemID="{F8098843-0A8B-49FE-8905-0EBEB9DC1941}">
  <ds:schemaRefs>
    <ds:schemaRef ds:uri="http://schemas.microsoft.com/office/2006/documentManagement/types"/>
    <ds:schemaRef ds:uri="http://purl.org/dc/elements/1.1/"/>
    <ds:schemaRef ds:uri="http://schemas.openxmlformats.org/package/2006/metadata/core-properties"/>
    <ds:schemaRef ds:uri="a2d5e8e8-b575-455b-88f7-772eb66ae6b0"/>
    <ds:schemaRef ds:uri="http://schemas.microsoft.com/office/infopath/2007/PartnerControls"/>
    <ds:schemaRef ds:uri="cf9c4c85-70ed-4a1b-9dd4-63c749c8efd1"/>
    <ds:schemaRef ds:uri="http://purl.org/dc/dcmitype/"/>
    <ds:schemaRef ds:uri="http://www.w3.org/XML/1998/namespace"/>
    <ds:schemaRef ds:uri="http://schemas.microsoft.com/office/2006/metadata/properties"/>
    <ds:schemaRef ds:uri="05b86552-c263-4e78-8b00-920ed7b165d1"/>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Summary </vt:lpstr>
      <vt:lpstr>Preliminaries </vt:lpstr>
      <vt:lpstr>VE</vt:lpstr>
      <vt:lpstr>Trade </vt:lpstr>
      <vt:lpstr>Trade - Elec</vt:lpstr>
      <vt:lpstr>Trade - Hydr</vt:lpstr>
      <vt:lpstr>Trade - Mech</vt:lpstr>
      <vt:lpstr>Trade - Fire</vt:lpstr>
      <vt:lpstr>Design </vt:lpstr>
      <vt:lpstr>Prov Sums </vt:lpstr>
      <vt:lpstr>PA Variations</vt:lpstr>
      <vt:lpstr>Labour</vt:lpstr>
      <vt:lpstr>Schedule of Rates</vt:lpstr>
      <vt:lpstr>'Design '!Print_Area</vt:lpstr>
      <vt:lpstr>Labour!Print_Area</vt:lpstr>
      <vt:lpstr>'PA Variations'!Print_Area</vt:lpstr>
      <vt:lpstr>'Preliminaries '!Print_Area</vt:lpstr>
      <vt:lpstr>'Prov Sums '!Print_Area</vt:lpstr>
      <vt:lpstr>'Schedule of Rates'!Print_Area</vt:lpstr>
      <vt:lpstr>'Summary '!Print_Area</vt:lpstr>
      <vt:lpstr>'Trade '!Print_Area</vt:lpstr>
      <vt:lpstr>'Trade - Elec'!Print_Area</vt:lpstr>
      <vt:lpstr>'Trade - Fire'!Print_Area</vt:lpstr>
      <vt:lpstr>'Trade - Hydr'!Print_Area</vt:lpstr>
      <vt:lpstr>'Trade - Mech'!Print_Area</vt:lpstr>
      <vt:lpstr>VE!Print_Area</vt:lpstr>
      <vt:lpstr>'Design '!Print_Titles</vt:lpstr>
      <vt:lpstr>'PA Variations'!Print_Titles</vt:lpstr>
      <vt:lpstr>'Preliminaries '!Print_Titles</vt:lpstr>
      <vt:lpstr>'Prov Sums '!Print_Titles</vt:lpstr>
      <vt:lpstr>'Schedule of Rates'!Print_Titles</vt:lpstr>
      <vt:lpstr>'Summary '!Print_Titles</vt:lpstr>
      <vt:lpstr>'Trade '!Print_Titles</vt:lpstr>
      <vt:lpstr>'Trade - Elec'!Print_Titles</vt:lpstr>
      <vt:lpstr>'Trade - Fire'!Print_Titles</vt:lpstr>
      <vt:lpstr>'Trade - Hydr'!Print_Titles</vt:lpstr>
      <vt:lpstr>'Trade - Mech'!Print_Titles</vt:lpstr>
      <vt:lpstr>VE!Print_Titles</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Fisher</dc:creator>
  <cp:keywords/>
  <dc:description/>
  <cp:lastModifiedBy>Alison Suwal</cp:lastModifiedBy>
  <cp:revision/>
  <cp:lastPrinted>2025-12-10T02:04:12Z</cp:lastPrinted>
  <dcterms:created xsi:type="dcterms:W3CDTF">2014-06-17T05:06:49Z</dcterms:created>
  <dcterms:modified xsi:type="dcterms:W3CDTF">2025-12-10T23:05:12Z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0x010100002261277C55FC4A99131659C3442258</vt:lpwstr>
  </property>
  <property fmtid="{D5CDD505-2E9C-101B-9397-08002B2CF9AE}" pid="3" name="MediaServiceImageTags">
    <vt:lpwstr/>
  </property>
  <property fmtid="{D5CDD505-2E9C-101B-9397-08002B2CF9AE}" pid="4" name="_ExtendedDescription">
    <vt:lpwstr/>
  </property>
  <property fmtid="{D5CDD505-2E9C-101B-9397-08002B2CF9AE}" pid="5" name="Order">
    <vt:r8>3470500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TriggerFlowInfo">
    <vt:lpwstr/>
  </property>
  <property fmtid="{D5CDD505-2E9C-101B-9397-08002B2CF9AE}" pid="11" name="_SourceUrl">
    <vt:lpwstr/>
  </property>
  <property fmtid="{D5CDD505-2E9C-101B-9397-08002B2CF9AE}" pid="12" name="_SharedFileIndex">
    <vt:lpwstr/>
  </property>
</Properties>
</file>